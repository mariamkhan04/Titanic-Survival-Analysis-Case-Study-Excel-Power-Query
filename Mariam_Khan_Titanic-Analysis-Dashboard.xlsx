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MLS\Desktop\AI Datayard\Case Study 1 - Titanic\"/>
    </mc:Choice>
  </mc:AlternateContent>
  <xr:revisionPtr revIDLastSave="0" documentId="13_ncr:1_{6734E148-6444-408F-B57E-205EBC7C85EE}" xr6:coauthVersionLast="47" xr6:coauthVersionMax="47" xr10:uidLastSave="{00000000-0000-0000-0000-000000000000}"/>
  <bookViews>
    <workbookView xWindow="-108" yWindow="-108" windowWidth="23256" windowHeight="12576" firstSheet="4" activeTab="7" xr2:uid="{00000000-000D-0000-FFFF-FFFF00000000}"/>
  </bookViews>
  <sheets>
    <sheet name="Raw Data" sheetId="1" r:id="rId1"/>
    <sheet name="Working | Formulas" sheetId="2" r:id="rId2"/>
    <sheet name="Final | Formulas" sheetId="11" r:id="rId3"/>
    <sheet name="Working | Power Query" sheetId="5" r:id="rId4"/>
    <sheet name="Final | Power Query" sheetId="9" r:id="rId5"/>
    <sheet name="Pivot Report | Insights" sheetId="10" r:id="rId6"/>
    <sheet name="Pivot Report | Dashboard" sheetId="12" r:id="rId7"/>
    <sheet name="Dashboard" sheetId="14" r:id="rId8"/>
    <sheet name="Text-to-column (Data Split)" sheetId="3" r:id="rId9"/>
  </sheets>
  <definedNames>
    <definedName name="_xlnm._FilterDatabase" localSheetId="2" hidden="1">'Final | Formulas'!$A$1:$I$1306</definedName>
    <definedName name="_xlchart.v1.0" hidden="1">'Pivot Report | Dashboard'!$H$25:$H$38</definedName>
    <definedName name="_xlchart.v1.1" hidden="1">'Pivot Report | Dashboard'!$I$25:$I$38</definedName>
    <definedName name="_xlcn.WorksheetConnection_TitanicDataset.xlsxTable1_21" hidden="1">Table1_2[]</definedName>
    <definedName name="ExternalData_1" localSheetId="4" hidden="1">'Final | Power Query'!$A$1:$I$1306</definedName>
    <definedName name="Slicer_Age_Group">#N/A</definedName>
    <definedName name="Slicer_Embarked_Category">#N/A</definedName>
    <definedName name="Slicer_Family_Status">#N/A</definedName>
    <definedName name="Slicer_Fare_Category">#N/A</definedName>
    <definedName name="Slicer_Gender">#N/A</definedName>
    <definedName name="Slicer_Pclass_Category">#N/A</definedName>
    <definedName name="Slicer_Survived_Category">#N/A</definedName>
  </definedNames>
  <calcPr calcId="191029"/>
  <pivotCaches>
    <pivotCache cacheId="890" r:id="rId10"/>
    <pivotCache cacheId="891" r:id="rId11"/>
    <pivotCache cacheId="892" r:id="rId12"/>
    <pivotCache cacheId="893" r:id="rId13"/>
    <pivotCache cacheId="894" r:id="rId14"/>
    <pivotCache cacheId="895" r:id="rId15"/>
    <pivotCache cacheId="896" r:id="rId16"/>
    <pivotCache cacheId="897" r:id="rId17"/>
    <pivotCache cacheId="898" r:id="rId18"/>
    <pivotCache cacheId="2118" r:id="rId19"/>
    <pivotCache cacheId="2121" r:id="rId20"/>
    <pivotCache cacheId="2124" r:id="rId21"/>
    <pivotCache cacheId="2127" r:id="rId22"/>
    <pivotCache cacheId="2130" r:id="rId23"/>
    <pivotCache cacheId="2133" r:id="rId24"/>
    <pivotCache cacheId="2136" r:id="rId25"/>
    <pivotCache cacheId="2139" r:id="rId26"/>
    <pivotCache cacheId="2142" r:id="rId27"/>
    <pivotCache cacheId="2145" r:id="rId28"/>
    <pivotCache cacheId="2148" r:id="rId29"/>
    <pivotCache cacheId="2151" r:id="rId30"/>
    <pivotCache cacheId="2154" r:id="rId31"/>
    <pivotCache cacheId="2157" r:id="rId32"/>
    <pivotCache cacheId="2160" r:id="rId33"/>
    <pivotCache cacheId="2163" r:id="rId34"/>
  </pivotCaches>
  <extLst>
    <ext xmlns:x14="http://schemas.microsoft.com/office/spreadsheetml/2009/9/main" uri="{876F7934-8845-4945-9796-88D515C7AA90}">
      <x14:pivotCaches>
        <pivotCache cacheId="915" r:id="rId35"/>
      </x14:pivotCaches>
    </ext>
    <ext xmlns:x14="http://schemas.microsoft.com/office/spreadsheetml/2009/9/main" uri="{BBE1A952-AA13-448e-AADC-164F8A28A991}">
      <x14:slicerCaches>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2" name="Table1_2" connection="WorksheetConnection_Titanic Dataset.xlsx!Table1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2" l="1" a="1"/>
  <c r="C2" i="2"/>
  <c r="C3" i="2" a="1"/>
  <c r="C3" i="2"/>
  <c r="C4" i="2" a="1"/>
  <c r="C4" i="2" s="1"/>
  <c r="C5" i="2" a="1"/>
  <c r="C5" i="2" s="1"/>
  <c r="C6" i="2" a="1"/>
  <c r="C6" i="2"/>
  <c r="C7" i="2" a="1"/>
  <c r="C7" i="2" s="1"/>
  <c r="C8" i="2" a="1"/>
  <c r="C8" i="2"/>
  <c r="C9" i="2" a="1"/>
  <c r="C9" i="2"/>
  <c r="C10" i="2" a="1"/>
  <c r="C10" i="2" s="1"/>
  <c r="C11" i="2" a="1"/>
  <c r="C11" i="2" s="1"/>
  <c r="C12" i="2" a="1"/>
  <c r="C12" i="2"/>
  <c r="C13" i="2" a="1"/>
  <c r="C13" i="2" s="1"/>
  <c r="C14" i="2" a="1"/>
  <c r="C14" i="2"/>
  <c r="C15" i="2" a="1"/>
  <c r="C15" i="2"/>
  <c r="C16" i="2" a="1"/>
  <c r="C16" i="2" s="1"/>
  <c r="C17" i="2" a="1"/>
  <c r="C17" i="2" s="1"/>
  <c r="C18" i="2" a="1"/>
  <c r="C18" i="2"/>
  <c r="C19" i="2" a="1"/>
  <c r="C19" i="2" s="1"/>
  <c r="C20" i="2" a="1"/>
  <c r="C20" i="2"/>
  <c r="C21" i="2" a="1"/>
  <c r="C21" i="2"/>
  <c r="C22" i="2" a="1"/>
  <c r="C22" i="2" s="1"/>
  <c r="C23" i="2" a="1"/>
  <c r="C23" i="2" s="1"/>
  <c r="C24" i="2" a="1"/>
  <c r="C24" i="2"/>
  <c r="C25" i="2" a="1"/>
  <c r="C25" i="2" s="1"/>
  <c r="C26" i="2" a="1"/>
  <c r="C26" i="2"/>
  <c r="C27" i="2" a="1"/>
  <c r="C27" i="2" s="1"/>
  <c r="C28" i="2" a="1"/>
  <c r="C28" i="2" s="1"/>
  <c r="C29" i="2" a="1"/>
  <c r="C29" i="2" s="1"/>
  <c r="C30" i="2" a="1"/>
  <c r="C30" i="2"/>
  <c r="C31" i="2" a="1"/>
  <c r="C31" i="2" s="1"/>
  <c r="C32" i="2" a="1"/>
  <c r="C32" i="2" s="1"/>
  <c r="C33" i="2" a="1"/>
  <c r="C33" i="2" s="1"/>
  <c r="C34" i="2" a="1"/>
  <c r="C34" i="2" s="1"/>
  <c r="C35" i="2" a="1"/>
  <c r="C35" i="2" s="1"/>
  <c r="C36" i="2" a="1"/>
  <c r="C36" i="2"/>
  <c r="C37" i="2" a="1"/>
  <c r="C37" i="2" s="1"/>
  <c r="C38" i="2" a="1"/>
  <c r="C38" i="2" s="1"/>
  <c r="C39" i="2" a="1"/>
  <c r="C39" i="2" s="1"/>
  <c r="C40" i="2" a="1"/>
  <c r="C40" i="2" s="1"/>
  <c r="C41" i="2" a="1"/>
  <c r="C41" i="2" s="1"/>
  <c r="C42" i="2" a="1"/>
  <c r="C42" i="2"/>
  <c r="C43" i="2" a="1"/>
  <c r="C43" i="2"/>
  <c r="C44" i="2" a="1"/>
  <c r="C44" i="2" s="1"/>
  <c r="C45" i="2" a="1"/>
  <c r="C45" i="2" s="1"/>
  <c r="C46" i="2" a="1"/>
  <c r="C46" i="2" s="1"/>
  <c r="C47" i="2" a="1"/>
  <c r="C47" i="2" s="1"/>
  <c r="C48" i="2" a="1"/>
  <c r="C48" i="2"/>
  <c r="C49" i="2" a="1"/>
  <c r="C49" i="2" s="1"/>
  <c r="C50" i="2" a="1"/>
  <c r="C50" i="2" s="1"/>
  <c r="C51" i="2" a="1"/>
  <c r="C51" i="2" s="1"/>
  <c r="C52" i="2" a="1"/>
  <c r="C52" i="2" s="1"/>
  <c r="C53" i="2" a="1"/>
  <c r="C53" i="2" s="1"/>
  <c r="C54" i="2" a="1"/>
  <c r="C54" i="2"/>
  <c r="C55" i="2" a="1"/>
  <c r="C55" i="2" s="1"/>
  <c r="C56" i="2" a="1"/>
  <c r="C56" i="2" s="1"/>
  <c r="C57" i="2" a="1"/>
  <c r="C57" i="2" s="1"/>
  <c r="C58" i="2" a="1"/>
  <c r="C58" i="2" s="1"/>
  <c r="C59" i="2" a="1"/>
  <c r="C59" i="2" s="1"/>
  <c r="C60" i="2" a="1"/>
  <c r="C60" i="2"/>
  <c r="C61" i="2" a="1"/>
  <c r="C61" i="2"/>
  <c r="C62" i="2" a="1"/>
  <c r="C62" i="2" s="1"/>
  <c r="C63" i="2" a="1"/>
  <c r="C63" i="2" s="1"/>
  <c r="C64" i="2" a="1"/>
  <c r="C64" i="2" s="1"/>
  <c r="C65" i="2" a="1"/>
  <c r="C65" i="2" s="1"/>
  <c r="C66" i="2" a="1"/>
  <c r="C66" i="2"/>
  <c r="C67" i="2" a="1"/>
  <c r="C67" i="2" s="1"/>
  <c r="C68" i="2" a="1"/>
  <c r="C68" i="2" s="1"/>
  <c r="C69" i="2" a="1"/>
  <c r="C69" i="2" s="1"/>
  <c r="C70" i="2" a="1"/>
  <c r="C70" i="2" s="1"/>
  <c r="C71" i="2" a="1"/>
  <c r="C71" i="2" s="1"/>
  <c r="C72" i="2" a="1"/>
  <c r="C72" i="2"/>
  <c r="C73" i="2" a="1"/>
  <c r="C73" i="2" s="1"/>
  <c r="C74" i="2" a="1"/>
  <c r="C74" i="2" s="1"/>
  <c r="C75" i="2" a="1"/>
  <c r="C75" i="2" s="1"/>
  <c r="C76" i="2" a="1"/>
  <c r="C76" i="2" s="1"/>
  <c r="C77" i="2" a="1"/>
  <c r="C77" i="2" s="1"/>
  <c r="C78" i="2" a="1"/>
  <c r="C78" i="2"/>
  <c r="C79" i="2" a="1"/>
  <c r="C79" i="2"/>
  <c r="C80" i="2" a="1"/>
  <c r="C80" i="2" s="1"/>
  <c r="C81" i="2" a="1"/>
  <c r="C81" i="2" s="1"/>
  <c r="C82" i="2" a="1"/>
  <c r="C82" i="2" s="1"/>
  <c r="C83" i="2" a="1"/>
  <c r="C83" i="2" s="1"/>
  <c r="C84" i="2" a="1"/>
  <c r="C84" i="2"/>
  <c r="C85" i="2" a="1"/>
  <c r="C85" i="2" s="1"/>
  <c r="C86" i="2" a="1"/>
  <c r="C86" i="2" s="1"/>
  <c r="C87" i="2" a="1"/>
  <c r="C87" i="2" s="1"/>
  <c r="C88" i="2" a="1"/>
  <c r="C88" i="2" s="1"/>
  <c r="C89" i="2" a="1"/>
  <c r="C89" i="2" s="1"/>
  <c r="C90" i="2" a="1"/>
  <c r="C90" i="2"/>
  <c r="C91" i="2" a="1"/>
  <c r="C91" i="2" s="1"/>
  <c r="C92" i="2" a="1"/>
  <c r="C92" i="2" s="1"/>
  <c r="C93" i="2" a="1"/>
  <c r="C93" i="2" s="1"/>
  <c r="C94" i="2" a="1"/>
  <c r="C94" i="2" s="1"/>
  <c r="C95" i="2" a="1"/>
  <c r="C95" i="2" s="1"/>
  <c r="C96" i="2" a="1"/>
  <c r="C96" i="2"/>
  <c r="C97" i="2" a="1"/>
  <c r="C97" i="2"/>
  <c r="C98" i="2" a="1"/>
  <c r="C98" i="2" s="1"/>
  <c r="C99" i="2" a="1"/>
  <c r="C99" i="2" s="1"/>
  <c r="C100" i="2" a="1"/>
  <c r="C100" i="2" s="1"/>
  <c r="C101" i="2" a="1"/>
  <c r="C101" i="2" s="1"/>
  <c r="C102" i="2" a="1"/>
  <c r="C102" i="2"/>
  <c r="C103" i="2" a="1"/>
  <c r="C103" i="2" s="1"/>
  <c r="C104" i="2" a="1"/>
  <c r="C104" i="2" s="1"/>
  <c r="C105" i="2" a="1"/>
  <c r="C105" i="2" s="1"/>
  <c r="C106" i="2" a="1"/>
  <c r="C106" i="2" s="1"/>
  <c r="C107" i="2" a="1"/>
  <c r="C107" i="2" s="1"/>
  <c r="C108" i="2" a="1"/>
  <c r="C108" i="2"/>
  <c r="C109" i="2" a="1"/>
  <c r="C109" i="2" s="1"/>
  <c r="C110" i="2" a="1"/>
  <c r="C110" i="2" s="1"/>
  <c r="C111" i="2" a="1"/>
  <c r="C111" i="2" s="1"/>
  <c r="C112" i="2" a="1"/>
  <c r="C112" i="2" s="1"/>
  <c r="C113" i="2" a="1"/>
  <c r="C113" i="2" s="1"/>
  <c r="C114" i="2" a="1"/>
  <c r="C114" i="2"/>
  <c r="C115" i="2" a="1"/>
  <c r="C115" i="2"/>
  <c r="C116" i="2" a="1"/>
  <c r="C116" i="2" s="1"/>
  <c r="C117" i="2" a="1"/>
  <c r="C117" i="2" s="1"/>
  <c r="C118" i="2" a="1"/>
  <c r="C118" i="2" s="1"/>
  <c r="C119" i="2" a="1"/>
  <c r="C119" i="2" s="1"/>
  <c r="C120" i="2" a="1"/>
  <c r="C120" i="2"/>
  <c r="C121" i="2" a="1"/>
  <c r="C121" i="2" s="1"/>
  <c r="C122" i="2" a="1"/>
  <c r="C122" i="2" s="1"/>
  <c r="C123" i="2" a="1"/>
  <c r="C123" i="2" s="1"/>
  <c r="C124" i="2" a="1"/>
  <c r="C124" i="2" s="1"/>
  <c r="C125" i="2" a="1"/>
  <c r="C125" i="2" s="1"/>
  <c r="C126" i="2" a="1"/>
  <c r="C126" i="2"/>
  <c r="C127" i="2" a="1"/>
  <c r="C127" i="2" s="1"/>
  <c r="C128" i="2" a="1"/>
  <c r="C128" i="2" s="1"/>
  <c r="C129" i="2" a="1"/>
  <c r="C129" i="2" s="1"/>
  <c r="C130" i="2" a="1"/>
  <c r="C130" i="2" s="1"/>
  <c r="C131" i="2" a="1"/>
  <c r="C131" i="2" s="1"/>
  <c r="C132" i="2" a="1"/>
  <c r="C132" i="2"/>
  <c r="C133" i="2" a="1"/>
  <c r="C133" i="2"/>
  <c r="C134" i="2" a="1"/>
  <c r="C134" i="2" s="1"/>
  <c r="C135" i="2" a="1"/>
  <c r="C135" i="2" s="1"/>
  <c r="C136" i="2" a="1"/>
  <c r="C136" i="2" s="1"/>
  <c r="C137" i="2" a="1"/>
  <c r="C137" i="2" s="1"/>
  <c r="C138" i="2" a="1"/>
  <c r="C138" i="2"/>
  <c r="C139" i="2" a="1"/>
  <c r="C139" i="2" s="1"/>
  <c r="C140" i="2" a="1"/>
  <c r="C140" i="2" s="1"/>
  <c r="C141" i="2" a="1"/>
  <c r="C141" i="2" s="1"/>
  <c r="C142" i="2" a="1"/>
  <c r="C142" i="2" s="1"/>
  <c r="C143" i="2" a="1"/>
  <c r="C143" i="2" s="1"/>
  <c r="C144" i="2" a="1"/>
  <c r="C144" i="2"/>
  <c r="C145" i="2" a="1"/>
  <c r="C145" i="2" s="1"/>
  <c r="C146" i="2" a="1"/>
  <c r="C146" i="2" s="1"/>
  <c r="C147" i="2" a="1"/>
  <c r="C147" i="2" s="1"/>
  <c r="C148" i="2" a="1"/>
  <c r="C148" i="2" s="1"/>
  <c r="C149" i="2" a="1"/>
  <c r="C149" i="2" s="1"/>
  <c r="C150" i="2" a="1"/>
  <c r="C150" i="2"/>
  <c r="C151" i="2" a="1"/>
  <c r="C151" i="2"/>
  <c r="C152" i="2" a="1"/>
  <c r="C152" i="2" s="1"/>
  <c r="C153" i="2" a="1"/>
  <c r="C153" i="2" s="1"/>
  <c r="C154" i="2" a="1"/>
  <c r="C154" i="2" s="1"/>
  <c r="C155" i="2" a="1"/>
  <c r="C155" i="2" s="1"/>
  <c r="C156" i="2" a="1"/>
  <c r="C156" i="2"/>
  <c r="C157" i="2" a="1"/>
  <c r="C157" i="2" s="1"/>
  <c r="C158" i="2" a="1"/>
  <c r="C158" i="2" s="1"/>
  <c r="C159" i="2" a="1"/>
  <c r="C159" i="2" s="1"/>
  <c r="C160" i="2" a="1"/>
  <c r="C160" i="2" s="1"/>
  <c r="C161" i="2" a="1"/>
  <c r="C161" i="2" s="1"/>
  <c r="C162" i="2" a="1"/>
  <c r="C162" i="2"/>
  <c r="C163" i="2" a="1"/>
  <c r="C163" i="2" s="1"/>
  <c r="C164" i="2" a="1"/>
  <c r="C164" i="2" s="1"/>
  <c r="C165" i="2" a="1"/>
  <c r="C165" i="2" s="1"/>
  <c r="C166" i="2" a="1"/>
  <c r="C166" i="2" s="1"/>
  <c r="C167" i="2" a="1"/>
  <c r="C167" i="2" s="1"/>
  <c r="C168" i="2" a="1"/>
  <c r="C168" i="2"/>
  <c r="C169" i="2" a="1"/>
  <c r="C169" i="2"/>
  <c r="C170" i="2" a="1"/>
  <c r="C170" i="2" s="1"/>
  <c r="C171" i="2" a="1"/>
  <c r="C171" i="2" s="1"/>
  <c r="C172" i="2" a="1"/>
  <c r="C172" i="2" s="1"/>
  <c r="C173" i="2" a="1"/>
  <c r="C173" i="2" s="1"/>
  <c r="C174" i="2" a="1"/>
  <c r="C174" i="2"/>
  <c r="C175" i="2" a="1"/>
  <c r="C175" i="2" s="1"/>
  <c r="C176" i="2" a="1"/>
  <c r="C176" i="2" s="1"/>
  <c r="C177" i="2" a="1"/>
  <c r="C177" i="2" s="1"/>
  <c r="C178" i="2" a="1"/>
  <c r="C178" i="2" s="1"/>
  <c r="C179" i="2" a="1"/>
  <c r="C179" i="2" s="1"/>
  <c r="C180" i="2" a="1"/>
  <c r="C180" i="2"/>
  <c r="C181" i="2" a="1"/>
  <c r="C181" i="2" s="1"/>
  <c r="C182" i="2" a="1"/>
  <c r="C182" i="2" s="1"/>
  <c r="C183" i="2" a="1"/>
  <c r="C183" i="2" s="1"/>
  <c r="C184" i="2" a="1"/>
  <c r="C184" i="2" s="1"/>
  <c r="C185" i="2" a="1"/>
  <c r="C185" i="2" s="1"/>
  <c r="C186" i="2" a="1"/>
  <c r="C186" i="2"/>
  <c r="C187" i="2" a="1"/>
  <c r="C187" i="2"/>
  <c r="C188" i="2" a="1"/>
  <c r="C188" i="2" s="1"/>
  <c r="C189" i="2" a="1"/>
  <c r="C189" i="2" s="1"/>
  <c r="C190" i="2" a="1"/>
  <c r="C190" i="2" s="1"/>
  <c r="C191" i="2" a="1"/>
  <c r="C191" i="2" s="1"/>
  <c r="C192" i="2" a="1"/>
  <c r="C192" i="2"/>
  <c r="C193" i="2" a="1"/>
  <c r="C193" i="2" s="1"/>
  <c r="C194" i="2" a="1"/>
  <c r="C194" i="2" s="1"/>
  <c r="C195" i="2" a="1"/>
  <c r="C195" i="2" s="1"/>
  <c r="C196" i="2" a="1"/>
  <c r="C196" i="2" s="1"/>
  <c r="C197" i="2" a="1"/>
  <c r="C197" i="2" s="1"/>
  <c r="C198" i="2" a="1"/>
  <c r="C198" i="2"/>
  <c r="C199" i="2" a="1"/>
  <c r="C199" i="2" s="1"/>
  <c r="C200" i="2" a="1"/>
  <c r="C200" i="2" s="1"/>
  <c r="C201" i="2" a="1"/>
  <c r="C201" i="2" s="1"/>
  <c r="C202" i="2" a="1"/>
  <c r="C202" i="2" s="1"/>
  <c r="C203" i="2" a="1"/>
  <c r="C203" i="2" s="1"/>
  <c r="C204" i="2" a="1"/>
  <c r="C204" i="2"/>
  <c r="C205" i="2" a="1"/>
  <c r="C205" i="2"/>
  <c r="C206" i="2" a="1"/>
  <c r="C206" i="2" s="1"/>
  <c r="C207" i="2" a="1"/>
  <c r="C207" i="2" s="1"/>
  <c r="C208" i="2" a="1"/>
  <c r="C208" i="2" s="1"/>
  <c r="C209" i="2" a="1"/>
  <c r="C209" i="2" s="1"/>
  <c r="C210" i="2" a="1"/>
  <c r="C210" i="2"/>
  <c r="C211" i="2" a="1"/>
  <c r="C211" i="2" s="1"/>
  <c r="C212" i="2" a="1"/>
  <c r="C212" i="2" s="1"/>
  <c r="C213" i="2" a="1"/>
  <c r="C213" i="2" s="1"/>
  <c r="C214" i="2" a="1"/>
  <c r="C214" i="2" s="1"/>
  <c r="C215" i="2" a="1"/>
  <c r="C215" i="2" s="1"/>
  <c r="C216" i="2" a="1"/>
  <c r="C216" i="2"/>
  <c r="C217" i="2" a="1"/>
  <c r="C217" i="2" s="1"/>
  <c r="C218" i="2" a="1"/>
  <c r="C218" i="2" s="1"/>
  <c r="C219" i="2" a="1"/>
  <c r="C219" i="2" s="1"/>
  <c r="C220" i="2" a="1"/>
  <c r="C220" i="2" s="1"/>
  <c r="C221" i="2" a="1"/>
  <c r="C221" i="2" s="1"/>
  <c r="C222" i="2" a="1"/>
  <c r="C222" i="2"/>
  <c r="C223" i="2" a="1"/>
  <c r="C223" i="2"/>
  <c r="C224" i="2" a="1"/>
  <c r="C224" i="2" s="1"/>
  <c r="C225" i="2" a="1"/>
  <c r="C225" i="2" s="1"/>
  <c r="C226" i="2" a="1"/>
  <c r="C226" i="2" s="1"/>
  <c r="C227" i="2" a="1"/>
  <c r="C227" i="2" s="1"/>
  <c r="C228" i="2" a="1"/>
  <c r="C228" i="2"/>
  <c r="C229" i="2" a="1"/>
  <c r="C229" i="2" s="1"/>
  <c r="C230" i="2" a="1"/>
  <c r="C230" i="2" s="1"/>
  <c r="C231" i="2" a="1"/>
  <c r="C231" i="2" s="1"/>
  <c r="C232" i="2" a="1"/>
  <c r="C232" i="2" s="1"/>
  <c r="C233" i="2" a="1"/>
  <c r="C233" i="2" s="1"/>
  <c r="C234" i="2" a="1"/>
  <c r="C234" i="2"/>
  <c r="C235" i="2" a="1"/>
  <c r="C235" i="2" s="1"/>
  <c r="C236" i="2" a="1"/>
  <c r="C236" i="2" s="1"/>
  <c r="C237" i="2" a="1"/>
  <c r="C237" i="2" s="1"/>
  <c r="C238" i="2" a="1"/>
  <c r="C238" i="2" s="1"/>
  <c r="C239" i="2" a="1"/>
  <c r="C239" i="2" s="1"/>
  <c r="C240" i="2" a="1"/>
  <c r="C240" i="2"/>
  <c r="C241" i="2" a="1"/>
  <c r="C241" i="2"/>
  <c r="C242" i="2" a="1"/>
  <c r="C242" i="2" s="1"/>
  <c r="C243" i="2" a="1"/>
  <c r="C243" i="2" s="1"/>
  <c r="C244" i="2" a="1"/>
  <c r="C244" i="2" s="1"/>
  <c r="C245" i="2" a="1"/>
  <c r="C245" i="2" s="1"/>
  <c r="C246" i="2" a="1"/>
  <c r="C246" i="2"/>
  <c r="C247" i="2" a="1"/>
  <c r="C247" i="2" s="1"/>
  <c r="C248" i="2" a="1"/>
  <c r="C248" i="2" s="1"/>
  <c r="C249" i="2" a="1"/>
  <c r="C249" i="2" s="1"/>
  <c r="C250" i="2" a="1"/>
  <c r="C250" i="2" s="1"/>
  <c r="C251" i="2" a="1"/>
  <c r="C251" i="2" s="1"/>
  <c r="C252" i="2" a="1"/>
  <c r="C252" i="2"/>
  <c r="C253" i="2" a="1"/>
  <c r="C253" i="2" s="1"/>
  <c r="C254" i="2" a="1"/>
  <c r="C254" i="2" s="1"/>
  <c r="C255" i="2" a="1"/>
  <c r="C255" i="2" s="1"/>
  <c r="C256" i="2" a="1"/>
  <c r="C256" i="2" s="1"/>
  <c r="C257" i="2" a="1"/>
  <c r="C257" i="2" s="1"/>
  <c r="C258" i="2" a="1"/>
  <c r="C258" i="2"/>
  <c r="C259" i="2" a="1"/>
  <c r="C259" i="2"/>
  <c r="C260" i="2" a="1"/>
  <c r="C260" i="2" s="1"/>
  <c r="C261" i="2" a="1"/>
  <c r="C261" i="2" s="1"/>
  <c r="C262" i="2" a="1"/>
  <c r="C262" i="2" s="1"/>
  <c r="C263" i="2" a="1"/>
  <c r="C263" i="2" s="1"/>
  <c r="C264" i="2" a="1"/>
  <c r="C264" i="2"/>
  <c r="C265" i="2" a="1"/>
  <c r="C265" i="2" s="1"/>
  <c r="C266" i="2" a="1"/>
  <c r="C266" i="2" s="1"/>
  <c r="C267" i="2" a="1"/>
  <c r="C267" i="2" s="1"/>
  <c r="C268" i="2" a="1"/>
  <c r="C268" i="2" s="1"/>
  <c r="C269" i="2" a="1"/>
  <c r="C269" i="2" s="1"/>
  <c r="C270" i="2" a="1"/>
  <c r="C270" i="2"/>
  <c r="C271" i="2" a="1"/>
  <c r="C271" i="2" s="1"/>
  <c r="C272" i="2" a="1"/>
  <c r="C272" i="2" s="1"/>
  <c r="C273" i="2" a="1"/>
  <c r="C273" i="2" s="1"/>
  <c r="C274" i="2" a="1"/>
  <c r="C274" i="2" s="1"/>
  <c r="C275" i="2" a="1"/>
  <c r="C275" i="2" s="1"/>
  <c r="C276" i="2" a="1"/>
  <c r="C276" i="2"/>
  <c r="C277" i="2" a="1"/>
  <c r="C277" i="2" s="1"/>
  <c r="C278" i="2" a="1"/>
  <c r="C278" i="2" s="1"/>
  <c r="C279" i="2" a="1"/>
  <c r="C279" i="2" s="1"/>
  <c r="C280" i="2" a="1"/>
  <c r="C280" i="2" s="1"/>
  <c r="C281" i="2" a="1"/>
  <c r="C281" i="2" s="1"/>
  <c r="C282" i="2" a="1"/>
  <c r="C282" i="2"/>
  <c r="C283" i="2" a="1"/>
  <c r="C283" i="2" s="1"/>
  <c r="C284" i="2" a="1"/>
  <c r="C284" i="2" s="1"/>
  <c r="C285" i="2" a="1"/>
  <c r="C285" i="2" s="1"/>
  <c r="C286" i="2" a="1"/>
  <c r="C286" i="2" s="1"/>
  <c r="C287" i="2" a="1"/>
  <c r="C287" i="2" s="1"/>
  <c r="C288" i="2" a="1"/>
  <c r="C288" i="2"/>
  <c r="C289" i="2" a="1"/>
  <c r="C289" i="2" s="1"/>
  <c r="C290" i="2" a="1"/>
  <c r="C290" i="2" s="1"/>
  <c r="C291" i="2" a="1"/>
  <c r="C291" i="2" s="1"/>
  <c r="C292" i="2" a="1"/>
  <c r="C292" i="2" s="1"/>
  <c r="C293" i="2" a="1"/>
  <c r="C293" i="2" s="1"/>
  <c r="C294" i="2" a="1"/>
  <c r="C294" i="2"/>
  <c r="C295" i="2" a="1"/>
  <c r="C295" i="2"/>
  <c r="C296" i="2" a="1"/>
  <c r="C296" i="2" s="1"/>
  <c r="C297" i="2" a="1"/>
  <c r="C297" i="2" s="1"/>
  <c r="C298" i="2" a="1"/>
  <c r="C298" i="2" s="1"/>
  <c r="C299" i="2" a="1"/>
  <c r="C299" i="2" s="1"/>
  <c r="C300" i="2" a="1"/>
  <c r="C300" i="2"/>
  <c r="C301" i="2" a="1"/>
  <c r="C301" i="2" s="1"/>
  <c r="C302" i="2" a="1"/>
  <c r="C302" i="2" s="1"/>
  <c r="C303" i="2" a="1"/>
  <c r="C303" i="2" s="1"/>
  <c r="C304" i="2" a="1"/>
  <c r="C304" i="2" s="1"/>
  <c r="C305" i="2" a="1"/>
  <c r="C305" i="2" s="1"/>
  <c r="C306" i="2" a="1"/>
  <c r="C306" i="2"/>
  <c r="C307" i="2" a="1"/>
  <c r="C307" i="2" s="1"/>
  <c r="C308" i="2" a="1"/>
  <c r="C308" i="2" s="1"/>
  <c r="C309" i="2" a="1"/>
  <c r="C309" i="2" s="1"/>
  <c r="C310" i="2" a="1"/>
  <c r="C310" i="2" s="1"/>
  <c r="C311" i="2" a="1"/>
  <c r="C311" i="2" s="1"/>
  <c r="C312" i="2" a="1"/>
  <c r="C312" i="2"/>
  <c r="C313" i="2" a="1"/>
  <c r="C313" i="2"/>
  <c r="C314" i="2" a="1"/>
  <c r="C314" i="2" s="1"/>
  <c r="C315" i="2" a="1"/>
  <c r="C315" i="2" s="1"/>
  <c r="C316" i="2" a="1"/>
  <c r="C316" i="2" s="1"/>
  <c r="C317" i="2" a="1"/>
  <c r="C317" i="2" s="1"/>
  <c r="C318" i="2" a="1"/>
  <c r="C318" i="2"/>
  <c r="C319" i="2" a="1"/>
  <c r="C319" i="2" s="1"/>
  <c r="C320" i="2" a="1"/>
  <c r="C320" i="2" s="1"/>
  <c r="C321" i="2" a="1"/>
  <c r="C321" i="2" s="1"/>
  <c r="C322" i="2" a="1"/>
  <c r="C322" i="2" s="1"/>
  <c r="C323" i="2" a="1"/>
  <c r="C323" i="2" s="1"/>
  <c r="C324" i="2" a="1"/>
  <c r="C324" i="2"/>
  <c r="C325" i="2" a="1"/>
  <c r="C325" i="2" s="1"/>
  <c r="C326" i="2" a="1"/>
  <c r="C326" i="2" s="1"/>
  <c r="C327" i="2" a="1"/>
  <c r="C327" i="2" s="1"/>
  <c r="C328" i="2" a="1"/>
  <c r="C328" i="2" s="1"/>
  <c r="C329" i="2" a="1"/>
  <c r="C329" i="2" s="1"/>
  <c r="C330" i="2" a="1"/>
  <c r="C330" i="2"/>
  <c r="C331" i="2" a="1"/>
  <c r="C331" i="2" s="1"/>
  <c r="C332" i="2" a="1"/>
  <c r="C332" i="2" s="1"/>
  <c r="C333" i="2" a="1"/>
  <c r="C333" i="2" s="1"/>
  <c r="C334" i="2" a="1"/>
  <c r="C334" i="2" s="1"/>
  <c r="C335" i="2" a="1"/>
  <c r="C335" i="2" s="1"/>
  <c r="C336" i="2" a="1"/>
  <c r="C336" i="2"/>
  <c r="C337" i="2" a="1"/>
  <c r="C337" i="2" s="1"/>
  <c r="C338" i="2" a="1"/>
  <c r="C338" i="2" s="1"/>
  <c r="C339" i="2" a="1"/>
  <c r="C339" i="2" s="1"/>
  <c r="C340" i="2" a="1"/>
  <c r="C340" i="2" s="1"/>
  <c r="C341" i="2" a="1"/>
  <c r="C341" i="2" s="1"/>
  <c r="C342" i="2" a="1"/>
  <c r="C342" i="2"/>
  <c r="C343" i="2" a="1"/>
  <c r="C343" i="2" s="1"/>
  <c r="C344" i="2" a="1"/>
  <c r="C344" i="2" s="1"/>
  <c r="C345" i="2" a="1"/>
  <c r="C345" i="2" s="1"/>
  <c r="C346" i="2" a="1"/>
  <c r="C346" i="2" s="1"/>
  <c r="C347" i="2" a="1"/>
  <c r="C347" i="2" s="1"/>
  <c r="C348" i="2" a="1"/>
  <c r="C348" i="2"/>
  <c r="C349" i="2" a="1"/>
  <c r="C349" i="2" s="1"/>
  <c r="C350" i="2" a="1"/>
  <c r="C350" i="2" s="1"/>
  <c r="C351" i="2" a="1"/>
  <c r="C351" i="2" s="1"/>
  <c r="C352" i="2" a="1"/>
  <c r="C352" i="2" s="1"/>
  <c r="C353" i="2" a="1"/>
  <c r="C353" i="2" s="1"/>
  <c r="C354" i="2" a="1"/>
  <c r="C354" i="2"/>
  <c r="C355" i="2" a="1"/>
  <c r="C355" i="2" s="1"/>
  <c r="C356" i="2" a="1"/>
  <c r="C356" i="2" s="1"/>
  <c r="C357" i="2" a="1"/>
  <c r="C357" i="2" s="1"/>
  <c r="C358" i="2" a="1"/>
  <c r="C358" i="2" s="1"/>
  <c r="C359" i="2" a="1"/>
  <c r="C359" i="2" s="1"/>
  <c r="C360" i="2" a="1"/>
  <c r="C360" i="2"/>
  <c r="C361" i="2" a="1"/>
  <c r="C361" i="2" s="1"/>
  <c r="C362" i="2" a="1"/>
  <c r="C362" i="2" s="1"/>
  <c r="C363" i="2" a="1"/>
  <c r="C363" i="2" s="1"/>
  <c r="C364" i="2" a="1"/>
  <c r="C364" i="2" s="1"/>
  <c r="C365" i="2" a="1"/>
  <c r="C365" i="2" s="1"/>
  <c r="C366" i="2" a="1"/>
  <c r="C366" i="2"/>
  <c r="C367" i="2" a="1"/>
  <c r="C367" i="2"/>
  <c r="C368" i="2" a="1"/>
  <c r="C368" i="2" s="1"/>
  <c r="C369" i="2" a="1"/>
  <c r="C369" i="2" s="1"/>
  <c r="C370" i="2" a="1"/>
  <c r="C370" i="2" s="1"/>
  <c r="C371" i="2" a="1"/>
  <c r="C371" i="2" s="1"/>
  <c r="C372" i="2" a="1"/>
  <c r="C372" i="2"/>
  <c r="C373" i="2" a="1"/>
  <c r="C373" i="2" s="1"/>
  <c r="C374" i="2" a="1"/>
  <c r="C374" i="2" s="1"/>
  <c r="C375" i="2" a="1"/>
  <c r="C375" i="2" s="1"/>
  <c r="C376" i="2" a="1"/>
  <c r="C376" i="2" s="1"/>
  <c r="C377" i="2" a="1"/>
  <c r="C377" i="2" s="1"/>
  <c r="C378" i="2" a="1"/>
  <c r="C378" i="2"/>
  <c r="C379" i="2" a="1"/>
  <c r="C379" i="2" s="1"/>
  <c r="C380" i="2" a="1"/>
  <c r="C380" i="2" s="1"/>
  <c r="C381" i="2" a="1"/>
  <c r="C381" i="2" s="1"/>
  <c r="C382" i="2" a="1"/>
  <c r="C382" i="2" s="1"/>
  <c r="C383" i="2" a="1"/>
  <c r="C383" i="2" s="1"/>
  <c r="C384" i="2" a="1"/>
  <c r="C384" i="2" s="1"/>
  <c r="C385" i="2" a="1"/>
  <c r="C385" i="2"/>
  <c r="C386" i="2" a="1"/>
  <c r="C386" i="2" s="1"/>
  <c r="C387" i="2" a="1"/>
  <c r="C387" i="2" s="1"/>
  <c r="C388" i="2" a="1"/>
  <c r="C388" i="2" s="1"/>
  <c r="C389" i="2" a="1"/>
  <c r="C389" i="2" s="1"/>
  <c r="C390" i="2" a="1"/>
  <c r="C390" i="2"/>
  <c r="C391" i="2" a="1"/>
  <c r="C391" i="2" s="1"/>
  <c r="C392" i="2" a="1"/>
  <c r="C392" i="2" s="1"/>
  <c r="C393" i="2" a="1"/>
  <c r="C393" i="2" s="1"/>
  <c r="C394" i="2" a="1"/>
  <c r="C394" i="2" s="1"/>
  <c r="C395" i="2" a="1"/>
  <c r="C395" i="2" s="1"/>
  <c r="C396" i="2" a="1"/>
  <c r="C396" i="2"/>
  <c r="C397" i="2" a="1"/>
  <c r="C397" i="2" s="1"/>
  <c r="C398" i="2" a="1"/>
  <c r="C398" i="2" s="1"/>
  <c r="C399" i="2" a="1"/>
  <c r="C399" i="2" s="1"/>
  <c r="C400" i="2" a="1"/>
  <c r="C400" i="2" s="1"/>
  <c r="C401" i="2" a="1"/>
  <c r="C401" i="2" s="1"/>
  <c r="C402" i="2" a="1"/>
  <c r="C402" i="2" s="1"/>
  <c r="C403" i="2" a="1"/>
  <c r="C403" i="2"/>
  <c r="C404" i="2" a="1"/>
  <c r="C404" i="2" s="1"/>
  <c r="C405" i="2" a="1"/>
  <c r="C405" i="2" s="1"/>
  <c r="C406" i="2" a="1"/>
  <c r="C406" i="2" s="1"/>
  <c r="C407" i="2" a="1"/>
  <c r="C407" i="2" s="1"/>
  <c r="C408" i="2" a="1"/>
  <c r="C408" i="2"/>
  <c r="C409" i="2" a="1"/>
  <c r="C409" i="2" s="1"/>
  <c r="C410" i="2" a="1"/>
  <c r="C410" i="2" s="1"/>
  <c r="C411" i="2" a="1"/>
  <c r="C411" i="2" s="1"/>
  <c r="C412" i="2" a="1"/>
  <c r="C412" i="2" s="1"/>
  <c r="C413" i="2" a="1"/>
  <c r="C413" i="2" s="1"/>
  <c r="C414" i="2" a="1"/>
  <c r="C414" i="2"/>
  <c r="C415" i="2" a="1"/>
  <c r="C415" i="2" s="1"/>
  <c r="C416" i="2" a="1"/>
  <c r="C416" i="2" s="1"/>
  <c r="C417" i="2" a="1"/>
  <c r="C417" i="2" s="1"/>
  <c r="C418" i="2" a="1"/>
  <c r="C418" i="2" s="1"/>
  <c r="C419" i="2" a="1"/>
  <c r="C419" i="2" s="1"/>
  <c r="C420" i="2" a="1"/>
  <c r="C420" i="2" s="1"/>
  <c r="C421" i="2" a="1"/>
  <c r="C421" i="2"/>
  <c r="C422" i="2" a="1"/>
  <c r="C422" i="2" s="1"/>
  <c r="C423" i="2" a="1"/>
  <c r="C423" i="2" s="1"/>
  <c r="C424" i="2" a="1"/>
  <c r="C424" i="2" s="1"/>
  <c r="C425" i="2" a="1"/>
  <c r="C425" i="2" s="1"/>
  <c r="C426" i="2" a="1"/>
  <c r="C426" i="2"/>
  <c r="C427" i="2" a="1"/>
  <c r="C427" i="2" s="1"/>
  <c r="C428" i="2" a="1"/>
  <c r="C428" i="2" s="1"/>
  <c r="C429" i="2" a="1"/>
  <c r="C429" i="2" s="1"/>
  <c r="C430" i="2" a="1"/>
  <c r="C430" i="2" s="1"/>
  <c r="C431" i="2" a="1"/>
  <c r="C431" i="2" s="1"/>
  <c r="C432" i="2" a="1"/>
  <c r="C432" i="2"/>
  <c r="C433" i="2" a="1"/>
  <c r="C433" i="2" s="1"/>
  <c r="C434" i="2" a="1"/>
  <c r="C434" i="2" s="1"/>
  <c r="C435" i="2" a="1"/>
  <c r="C435" i="2" s="1"/>
  <c r="C436" i="2" a="1"/>
  <c r="C436" i="2" s="1"/>
  <c r="C437" i="2" a="1"/>
  <c r="C437" i="2" s="1"/>
  <c r="C438" i="2" a="1"/>
  <c r="C438" i="2" s="1"/>
  <c r="C439" i="2" a="1"/>
  <c r="C439" i="2"/>
  <c r="C440" i="2" a="1"/>
  <c r="C440" i="2" s="1"/>
  <c r="C441" i="2" a="1"/>
  <c r="C441" i="2" s="1"/>
  <c r="C442" i="2" a="1"/>
  <c r="C442" i="2" s="1"/>
  <c r="C443" i="2" a="1"/>
  <c r="C443" i="2" s="1"/>
  <c r="C444" i="2" a="1"/>
  <c r="C444" i="2"/>
  <c r="C445" i="2" a="1"/>
  <c r="C445" i="2" s="1"/>
  <c r="C446" i="2" a="1"/>
  <c r="C446" i="2" s="1"/>
  <c r="C447" i="2" a="1"/>
  <c r="C447" i="2" s="1"/>
  <c r="C448" i="2" a="1"/>
  <c r="C448" i="2" s="1"/>
  <c r="C449" i="2" a="1"/>
  <c r="C449" i="2" s="1"/>
  <c r="C450" i="2" a="1"/>
  <c r="C450" i="2"/>
  <c r="C451" i="2" a="1"/>
  <c r="C451" i="2" s="1"/>
  <c r="C452" i="2" a="1"/>
  <c r="C452" i="2" s="1"/>
  <c r="C453" i="2" a="1"/>
  <c r="C453" i="2" s="1"/>
  <c r="C454" i="2" a="1"/>
  <c r="C454" i="2" s="1"/>
  <c r="C455" i="2" a="1"/>
  <c r="C455" i="2" s="1"/>
  <c r="C456" i="2" a="1"/>
  <c r="C456" i="2"/>
  <c r="C457" i="2" a="1"/>
  <c r="C457" i="2" s="1"/>
  <c r="C458" i="2" a="1"/>
  <c r="C458" i="2" s="1"/>
  <c r="C459" i="2" a="1"/>
  <c r="C459" i="2" s="1"/>
  <c r="C460" i="2" a="1"/>
  <c r="C460" i="2" s="1"/>
  <c r="C461" i="2" a="1"/>
  <c r="C461" i="2" s="1"/>
  <c r="C462" i="2" a="1"/>
  <c r="C462" i="2"/>
  <c r="C463" i="2" a="1"/>
  <c r="C463" i="2" s="1"/>
  <c r="C464" i="2" a="1"/>
  <c r="C464" i="2" s="1"/>
  <c r="C465" i="2" a="1"/>
  <c r="C465" i="2" s="1"/>
  <c r="C466" i="2" a="1"/>
  <c r="C466" i="2" s="1"/>
  <c r="C467" i="2" a="1"/>
  <c r="C467" i="2" s="1"/>
  <c r="C468" i="2" a="1"/>
  <c r="C468" i="2"/>
  <c r="C469" i="2" a="1"/>
  <c r="C469" i="2" s="1"/>
  <c r="C470" i="2" a="1"/>
  <c r="C470" i="2" s="1"/>
  <c r="C471" i="2" a="1"/>
  <c r="C471" i="2" s="1"/>
  <c r="C472" i="2" a="1"/>
  <c r="C472" i="2" s="1"/>
  <c r="C473" i="2" a="1"/>
  <c r="C473" i="2" s="1"/>
  <c r="C474" i="2" a="1"/>
  <c r="C474" i="2" s="1"/>
  <c r="C475" i="2" a="1"/>
  <c r="C475" i="2"/>
  <c r="C476" i="2" a="1"/>
  <c r="C476" i="2" s="1"/>
  <c r="C477" i="2" a="1"/>
  <c r="C477" i="2" s="1"/>
  <c r="C478" i="2" a="1"/>
  <c r="C478" i="2" s="1"/>
  <c r="C479" i="2" a="1"/>
  <c r="C479" i="2" s="1"/>
  <c r="C480" i="2" a="1"/>
  <c r="C480" i="2"/>
  <c r="C481" i="2" a="1"/>
  <c r="C481" i="2" s="1"/>
  <c r="C482" i="2" a="1"/>
  <c r="C482" i="2" s="1"/>
  <c r="C483" i="2" a="1"/>
  <c r="C483" i="2" s="1"/>
  <c r="C484" i="2" a="1"/>
  <c r="C484" i="2" s="1"/>
  <c r="C485" i="2" a="1"/>
  <c r="C485" i="2" s="1"/>
  <c r="C486" i="2" a="1"/>
  <c r="C486" i="2"/>
  <c r="C487" i="2" a="1"/>
  <c r="C487" i="2" s="1"/>
  <c r="C488" i="2" a="1"/>
  <c r="C488" i="2" s="1"/>
  <c r="C489" i="2" a="1"/>
  <c r="C489" i="2" s="1"/>
  <c r="C490" i="2" a="1"/>
  <c r="C490" i="2" s="1"/>
  <c r="C491" i="2" a="1"/>
  <c r="C491" i="2" s="1"/>
  <c r="C492" i="2" a="1"/>
  <c r="C492" i="2" s="1"/>
  <c r="C493" i="2" a="1"/>
  <c r="C493" i="2"/>
  <c r="C494" i="2" a="1"/>
  <c r="C494" i="2" s="1"/>
  <c r="C495" i="2" a="1"/>
  <c r="C495" i="2" s="1"/>
  <c r="C496" i="2" a="1"/>
  <c r="C496" i="2" s="1"/>
  <c r="C497" i="2" a="1"/>
  <c r="C497" i="2" s="1"/>
  <c r="C498" i="2" a="1"/>
  <c r="C498" i="2"/>
  <c r="C499" i="2" a="1"/>
  <c r="C499" i="2" s="1"/>
  <c r="C500" i="2" a="1"/>
  <c r="C500" i="2" s="1"/>
  <c r="C501" i="2" a="1"/>
  <c r="C501" i="2" s="1"/>
  <c r="C502" i="2" a="1"/>
  <c r="C502" i="2" s="1"/>
  <c r="C503" i="2" a="1"/>
  <c r="C503" i="2" s="1"/>
  <c r="C504" i="2" a="1"/>
  <c r="C504" i="2"/>
  <c r="C505" i="2" a="1"/>
  <c r="C505" i="2" s="1"/>
  <c r="C506" i="2" a="1"/>
  <c r="C506" i="2" s="1"/>
  <c r="C507" i="2" a="1"/>
  <c r="C507" i="2" s="1"/>
  <c r="C508" i="2" a="1"/>
  <c r="C508" i="2" s="1"/>
  <c r="C509" i="2" a="1"/>
  <c r="C509" i="2" s="1"/>
  <c r="C510" i="2" a="1"/>
  <c r="C510" i="2" s="1"/>
  <c r="C511" i="2" a="1"/>
  <c r="C511" i="2" s="1"/>
  <c r="C512" i="2" a="1"/>
  <c r="C512" i="2" s="1"/>
  <c r="C513" i="2" a="1"/>
  <c r="C513" i="2" s="1"/>
  <c r="C514" i="2" a="1"/>
  <c r="C514" i="2" s="1"/>
  <c r="C515" i="2" a="1"/>
  <c r="C515" i="2"/>
  <c r="C516" i="2" a="1"/>
  <c r="C516" i="2" s="1"/>
  <c r="C517" i="2" a="1"/>
  <c r="C517" i="2"/>
  <c r="C518" i="2" a="1"/>
  <c r="C518" i="2" s="1"/>
  <c r="C519" i="2" a="1"/>
  <c r="C519" i="2"/>
  <c r="C520" i="2" a="1"/>
  <c r="C520" i="2" s="1"/>
  <c r="C521" i="2" a="1"/>
  <c r="C521" i="2"/>
  <c r="C522" i="2" a="1"/>
  <c r="C522" i="2" s="1"/>
  <c r="C523" i="2" a="1"/>
  <c r="C523" i="2" s="1"/>
  <c r="C524" i="2" a="1"/>
  <c r="C524" i="2"/>
  <c r="C525" i="2" a="1"/>
  <c r="C525" i="2"/>
  <c r="C526" i="2" a="1"/>
  <c r="C526" i="2" s="1"/>
  <c r="C527" i="2" a="1"/>
  <c r="C527" i="2"/>
  <c r="C528" i="2" a="1"/>
  <c r="C528" i="2" s="1"/>
  <c r="C529" i="2" a="1"/>
  <c r="C529" i="2"/>
  <c r="C530" i="2" a="1"/>
  <c r="C530" i="2" s="1"/>
  <c r="C531" i="2" a="1"/>
  <c r="C531" i="2"/>
  <c r="C532" i="2" a="1"/>
  <c r="C532" i="2" s="1"/>
  <c r="C533" i="2" a="1"/>
  <c r="C533" i="2"/>
  <c r="C534" i="2" a="1"/>
  <c r="C534" i="2" s="1"/>
  <c r="C535" i="2" a="1"/>
  <c r="C535" i="2"/>
  <c r="C536" i="2" a="1"/>
  <c r="C536" i="2"/>
  <c r="C537" i="2" a="1"/>
  <c r="C537" i="2"/>
  <c r="C538" i="2" a="1"/>
  <c r="C538" i="2" s="1"/>
  <c r="C539" i="2" a="1"/>
  <c r="C539" i="2"/>
  <c r="C540" i="2" a="1"/>
  <c r="C540" i="2" s="1"/>
  <c r="C541" i="2" a="1"/>
  <c r="C541" i="2" s="1"/>
  <c r="C542" i="2" a="1"/>
  <c r="C542" i="2"/>
  <c r="C543" i="2" a="1"/>
  <c r="C543" i="2"/>
  <c r="C544" i="2" a="1"/>
  <c r="C544" i="2" s="1"/>
  <c r="C545" i="2" a="1"/>
  <c r="C545" i="2"/>
  <c r="C546" i="2" a="1"/>
  <c r="C546" i="2" s="1"/>
  <c r="C547" i="2" a="1"/>
  <c r="C547" i="2" s="1"/>
  <c r="C548" i="2" a="1"/>
  <c r="C548" i="2"/>
  <c r="C549" i="2" a="1"/>
  <c r="C549" i="2"/>
  <c r="C550" i="2" a="1"/>
  <c r="C550" i="2" s="1"/>
  <c r="C551" i="2" a="1"/>
  <c r="C551" i="2"/>
  <c r="C552" i="2" a="1"/>
  <c r="C552" i="2" s="1"/>
  <c r="C553" i="2" a="1"/>
  <c r="C553" i="2"/>
  <c r="C554" i="2" a="1"/>
  <c r="C554" i="2" s="1"/>
  <c r="C555" i="2" a="1"/>
  <c r="C555" i="2"/>
  <c r="C556" i="2" a="1"/>
  <c r="C556" i="2" s="1"/>
  <c r="C557" i="2" a="1"/>
  <c r="C557" i="2"/>
  <c r="C558" i="2" a="1"/>
  <c r="C558" i="2" s="1"/>
  <c r="C559" i="2" a="1"/>
  <c r="C559" i="2" s="1"/>
  <c r="C560" i="2" a="1"/>
  <c r="C560" i="2"/>
  <c r="C561" i="2" a="1"/>
  <c r="C561" i="2"/>
  <c r="C562" i="2" a="1"/>
  <c r="C562" i="2" s="1"/>
  <c r="C563" i="2" a="1"/>
  <c r="C563" i="2"/>
  <c r="C564" i="2" a="1"/>
  <c r="C564" i="2" s="1"/>
  <c r="C565" i="2" a="1"/>
  <c r="C565" i="2"/>
  <c r="C566" i="2" a="1"/>
  <c r="C566" i="2" s="1"/>
  <c r="C567" i="2" a="1"/>
  <c r="C567" i="2"/>
  <c r="C568" i="2" a="1"/>
  <c r="C568" i="2" s="1"/>
  <c r="C569" i="2" a="1"/>
  <c r="C569" i="2"/>
  <c r="C570" i="2" a="1"/>
  <c r="C570" i="2" s="1"/>
  <c r="C571" i="2" a="1"/>
  <c r="C571" i="2" s="1"/>
  <c r="C572" i="2" a="1"/>
  <c r="C572" i="2"/>
  <c r="C573" i="2" a="1"/>
  <c r="C573" i="2"/>
  <c r="C574" i="2" a="1"/>
  <c r="C574" i="2" s="1"/>
  <c r="C575" i="2" a="1"/>
  <c r="C575" i="2"/>
  <c r="C576" i="2" a="1"/>
  <c r="C576" i="2" s="1"/>
  <c r="C577" i="2" a="1"/>
  <c r="C577" i="2"/>
  <c r="C578" i="2" a="1"/>
  <c r="C578" i="2" s="1"/>
  <c r="C579" i="2" a="1"/>
  <c r="C579" i="2"/>
  <c r="C580" i="2" a="1"/>
  <c r="C580" i="2" s="1"/>
  <c r="C581" i="2" a="1"/>
  <c r="C581" i="2"/>
  <c r="C582" i="2" a="1"/>
  <c r="C582" i="2" s="1"/>
  <c r="C583" i="2" a="1"/>
  <c r="C583" i="2" s="1"/>
  <c r="C584" i="2" a="1"/>
  <c r="C584" i="2" s="1"/>
  <c r="C585" i="2" a="1"/>
  <c r="C585" i="2"/>
  <c r="C586" i="2" a="1"/>
  <c r="C586" i="2" s="1"/>
  <c r="C587" i="2" a="1"/>
  <c r="C587" i="2"/>
  <c r="C588" i="2" a="1"/>
  <c r="C588" i="2" s="1"/>
  <c r="C589" i="2" a="1"/>
  <c r="C589" i="2"/>
  <c r="C590" i="2" a="1"/>
  <c r="C590" i="2" s="1"/>
  <c r="C591" i="2" a="1"/>
  <c r="C591" i="2"/>
  <c r="C592" i="2" a="1"/>
  <c r="C592" i="2" s="1"/>
  <c r="C593" i="2" a="1"/>
  <c r="C593" i="2"/>
  <c r="C594" i="2" a="1"/>
  <c r="C594" i="2" s="1"/>
  <c r="C595" i="2" a="1"/>
  <c r="C595" i="2" s="1"/>
  <c r="C596" i="2" a="1"/>
  <c r="C596" i="2"/>
  <c r="C597" i="2" a="1"/>
  <c r="C597" i="2"/>
  <c r="C598" i="2" a="1"/>
  <c r="C598" i="2" s="1"/>
  <c r="C599" i="2" a="1"/>
  <c r="C599" i="2"/>
  <c r="C600" i="2" a="1"/>
  <c r="C600" i="2" s="1"/>
  <c r="C601" i="2" a="1"/>
  <c r="C601" i="2"/>
  <c r="C602" i="2" a="1"/>
  <c r="C602" i="2" s="1"/>
  <c r="C603" i="2" a="1"/>
  <c r="C603" i="2"/>
  <c r="C604" i="2" a="1"/>
  <c r="C604" i="2" s="1"/>
  <c r="C605" i="2" a="1"/>
  <c r="C605" i="2"/>
  <c r="C606" i="2" a="1"/>
  <c r="C606" i="2" s="1"/>
  <c r="C607" i="2" a="1"/>
  <c r="C607" i="2"/>
  <c r="C608" i="2" a="1"/>
  <c r="C608" i="2"/>
  <c r="C609" i="2" a="1"/>
  <c r="C609" i="2"/>
  <c r="C610" i="2" a="1"/>
  <c r="C610" i="2" s="1"/>
  <c r="C611" i="2" a="1"/>
  <c r="C611" i="2"/>
  <c r="C612" i="2" a="1"/>
  <c r="C612" i="2" s="1"/>
  <c r="C613" i="2" a="1"/>
  <c r="C613" i="2" s="1"/>
  <c r="C614" i="2" a="1"/>
  <c r="C614" i="2"/>
  <c r="C615" i="2" a="1"/>
  <c r="C615" i="2"/>
  <c r="C616" i="2" a="1"/>
  <c r="C616" i="2" s="1"/>
  <c r="C617" i="2" a="1"/>
  <c r="C617" i="2"/>
  <c r="C618" i="2" a="1"/>
  <c r="C618" i="2" s="1"/>
  <c r="C619" i="2" a="1"/>
  <c r="C619" i="2" s="1"/>
  <c r="C620" i="2" a="1"/>
  <c r="C620" i="2" s="1"/>
  <c r="C621" i="2" a="1"/>
  <c r="C621" i="2"/>
  <c r="C622" i="2" a="1"/>
  <c r="C622" i="2" s="1"/>
  <c r="C623" i="2" a="1"/>
  <c r="C623" i="2"/>
  <c r="C624" i="2" a="1"/>
  <c r="C624" i="2" s="1"/>
  <c r="C625" i="2" a="1"/>
  <c r="C625" i="2"/>
  <c r="C626" i="2" a="1"/>
  <c r="C626" i="2" s="1"/>
  <c r="C627" i="2" a="1"/>
  <c r="C627" i="2"/>
  <c r="C628" i="2" a="1"/>
  <c r="C628" i="2" s="1"/>
  <c r="C629" i="2" a="1"/>
  <c r="C629" i="2"/>
  <c r="C630" i="2" a="1"/>
  <c r="C630" i="2" s="1"/>
  <c r="C631" i="2" a="1"/>
  <c r="C631" i="2" s="1"/>
  <c r="C632" i="2" a="1"/>
  <c r="C632" i="2"/>
  <c r="C633" i="2" a="1"/>
  <c r="C633" i="2" s="1"/>
  <c r="C634" i="2" a="1"/>
  <c r="C634" i="2" s="1"/>
  <c r="C635" i="2" a="1"/>
  <c r="C635" i="2"/>
  <c r="C636" i="2" a="1"/>
  <c r="C636" i="2" s="1"/>
  <c r="C637" i="2" a="1"/>
  <c r="C637" i="2"/>
  <c r="C638" i="2" a="1"/>
  <c r="C638" i="2" s="1"/>
  <c r="C639" i="2" a="1"/>
  <c r="C639" i="2"/>
  <c r="C640" i="2" a="1"/>
  <c r="C640" i="2" s="1"/>
  <c r="C641" i="2" a="1"/>
  <c r="C641" i="2"/>
  <c r="C642" i="2" a="1"/>
  <c r="C642" i="2" s="1"/>
  <c r="C643" i="2" a="1"/>
  <c r="C643" i="2"/>
  <c r="C644" i="2" a="1"/>
  <c r="C644" i="2"/>
  <c r="C645" i="2" a="1"/>
  <c r="C645" i="2" s="1"/>
  <c r="C646" i="2" a="1"/>
  <c r="C646" i="2" s="1"/>
  <c r="C647" i="2" a="1"/>
  <c r="C647" i="2"/>
  <c r="C648" i="2" a="1"/>
  <c r="C648" i="2" s="1"/>
  <c r="C649" i="2" a="1"/>
  <c r="C649" i="2" s="1"/>
  <c r="C650" i="2" a="1"/>
  <c r="C650" i="2" s="1"/>
  <c r="C651" i="2" a="1"/>
  <c r="C651" i="2"/>
  <c r="C652" i="2" a="1"/>
  <c r="C652" i="2" s="1"/>
  <c r="C653" i="2" a="1"/>
  <c r="C653" i="2"/>
  <c r="C654" i="2" a="1"/>
  <c r="C654" i="2" s="1"/>
  <c r="C655" i="2" a="1"/>
  <c r="C655" i="2" s="1"/>
  <c r="C656" i="2" a="1"/>
  <c r="C656" i="2"/>
  <c r="C657" i="2" a="1"/>
  <c r="C657" i="2"/>
  <c r="C658" i="2" a="1"/>
  <c r="C658" i="2" s="1"/>
  <c r="C659" i="2" a="1"/>
  <c r="C659" i="2"/>
  <c r="C660" i="2" a="1"/>
  <c r="C660" i="2" s="1"/>
  <c r="C661" i="2" a="1"/>
  <c r="C661" i="2"/>
  <c r="C662" i="2" a="1"/>
  <c r="C662" i="2" s="1"/>
  <c r="C663" i="2" a="1"/>
  <c r="C663" i="2"/>
  <c r="C664" i="2" a="1"/>
  <c r="C664" i="2" s="1"/>
  <c r="C665" i="2" a="1"/>
  <c r="C665" i="2"/>
  <c r="C666" i="2" a="1"/>
  <c r="C666" i="2" s="1"/>
  <c r="C667" i="2" a="1"/>
  <c r="C667" i="2" s="1"/>
  <c r="C668" i="2" a="1"/>
  <c r="C668" i="2"/>
  <c r="C669" i="2" a="1"/>
  <c r="C669" i="2" s="1"/>
  <c r="C670" i="2" a="1"/>
  <c r="C670" i="2" s="1"/>
  <c r="C671" i="2" a="1"/>
  <c r="C671" i="2"/>
  <c r="C672" i="2" a="1"/>
  <c r="C672" i="2" s="1"/>
  <c r="C673" i="2" a="1"/>
  <c r="C673" i="2"/>
  <c r="C674" i="2" a="1"/>
  <c r="C674" i="2" s="1"/>
  <c r="C675" i="2" a="1"/>
  <c r="C675" i="2"/>
  <c r="C676" i="2" a="1"/>
  <c r="C676" i="2" s="1"/>
  <c r="C677" i="2" a="1"/>
  <c r="C677" i="2"/>
  <c r="C678" i="2" a="1"/>
  <c r="C678" i="2" s="1"/>
  <c r="C679" i="2" a="1"/>
  <c r="C679" i="2" s="1"/>
  <c r="C680" i="2" a="1"/>
  <c r="C680" i="2"/>
  <c r="C681" i="2" a="1"/>
  <c r="C681" i="2" s="1"/>
  <c r="C682" i="2" a="1"/>
  <c r="C682" i="2" s="1"/>
  <c r="C683" i="2" a="1"/>
  <c r="C683" i="2"/>
  <c r="C684" i="2" a="1"/>
  <c r="C684" i="2" s="1"/>
  <c r="C685" i="2" a="1"/>
  <c r="C685" i="2" s="1"/>
  <c r="C686" i="2" a="1"/>
  <c r="C686" i="2"/>
  <c r="C687" i="2" a="1"/>
  <c r="C687" i="2"/>
  <c r="C688" i="2" a="1"/>
  <c r="C688" i="2" s="1"/>
  <c r="C689" i="2" a="1"/>
  <c r="C689" i="2"/>
  <c r="C690" i="2" a="1"/>
  <c r="C690" i="2" s="1"/>
  <c r="C691" i="2" a="1"/>
  <c r="C691" i="2" s="1"/>
  <c r="C692" i="2" a="1"/>
  <c r="C692" i="2" s="1"/>
  <c r="C693" i="2" a="1"/>
  <c r="C693" i="2"/>
  <c r="C694" i="2" a="1"/>
  <c r="C694" i="2" s="1"/>
  <c r="C695" i="2" a="1"/>
  <c r="C695" i="2"/>
  <c r="C696" i="2" a="1"/>
  <c r="C696" i="2" s="1"/>
  <c r="C697" i="2" a="1"/>
  <c r="C697" i="2"/>
  <c r="C698" i="2" a="1"/>
  <c r="C698" i="2" s="1"/>
  <c r="C699" i="2" a="1"/>
  <c r="C699" i="2"/>
  <c r="C700" i="2" a="1"/>
  <c r="C700" i="2" s="1"/>
  <c r="C701" i="2" a="1"/>
  <c r="C701" i="2" s="1"/>
  <c r="C702" i="2" a="1"/>
  <c r="C702" i="2" s="1"/>
  <c r="C703" i="2" a="1"/>
  <c r="C703" i="2" s="1"/>
  <c r="C704" i="2" a="1"/>
  <c r="C704" i="2"/>
  <c r="C705" i="2" a="1"/>
  <c r="C705" i="2" s="1"/>
  <c r="C706" i="2" a="1"/>
  <c r="C706" i="2" s="1"/>
  <c r="C707" i="2" a="1"/>
  <c r="C707" i="2" s="1"/>
  <c r="C708" i="2" a="1"/>
  <c r="C708" i="2" s="1"/>
  <c r="C709" i="2" a="1"/>
  <c r="C709" i="2"/>
  <c r="C710" i="2" a="1"/>
  <c r="C710" i="2" s="1"/>
  <c r="C711" i="2" a="1"/>
  <c r="C711" i="2"/>
  <c r="C712" i="2" a="1"/>
  <c r="C712" i="2" s="1"/>
  <c r="C713" i="2" a="1"/>
  <c r="C713" i="2"/>
  <c r="C714" i="2" a="1"/>
  <c r="C714" i="2" s="1"/>
  <c r="C715" i="2" a="1"/>
  <c r="C715" i="2" s="1"/>
  <c r="C716" i="2" a="1"/>
  <c r="C716" i="2"/>
  <c r="C717" i="2" a="1"/>
  <c r="C717" i="2" s="1"/>
  <c r="C718" i="2" a="1"/>
  <c r="C718" i="2" s="1"/>
  <c r="C719" i="2" a="1"/>
  <c r="C719" i="2"/>
  <c r="C720" i="2" a="1"/>
  <c r="C720" i="2" s="1"/>
  <c r="C721" i="2" a="1"/>
  <c r="C721" i="2"/>
  <c r="C722" i="2" a="1"/>
  <c r="C722" i="2"/>
  <c r="C723" i="2" a="1"/>
  <c r="C723" i="2"/>
  <c r="C724" i="2" a="1"/>
  <c r="C724" i="2" s="1"/>
  <c r="C725" i="2" a="1"/>
  <c r="C725" i="2"/>
  <c r="C726" i="2" a="1"/>
  <c r="C726" i="2" s="1"/>
  <c r="C727" i="2" a="1"/>
  <c r="C727" i="2" s="1"/>
  <c r="C728" i="2" a="1"/>
  <c r="C728" i="2"/>
  <c r="C729" i="2" a="1"/>
  <c r="C729" i="2" s="1"/>
  <c r="C730" i="2" a="1"/>
  <c r="C730" i="2" s="1"/>
  <c r="C731" i="2" a="1"/>
  <c r="C731" i="2"/>
  <c r="C732" i="2" a="1"/>
  <c r="C732" i="2" s="1"/>
  <c r="C733" i="2" a="1"/>
  <c r="C733" i="2"/>
  <c r="C734" i="2" a="1"/>
  <c r="C734" i="2" s="1"/>
  <c r="C735" i="2" a="1"/>
  <c r="C735" i="2" s="1"/>
  <c r="C736" i="2" a="1"/>
  <c r="C736" i="2" s="1"/>
  <c r="C737" i="2" a="1"/>
  <c r="C737" i="2" s="1"/>
  <c r="C738" i="2" a="1"/>
  <c r="C738" i="2" s="1"/>
  <c r="C739" i="2" a="1"/>
  <c r="C739" i="2" s="1"/>
  <c r="C740" i="2" a="1"/>
  <c r="C740" i="2"/>
  <c r="C741" i="2" a="1"/>
  <c r="C741" i="2" s="1"/>
  <c r="C742" i="2" a="1"/>
  <c r="C742" i="2" s="1"/>
  <c r="C743" i="2" a="1"/>
  <c r="C743" i="2"/>
  <c r="C744" i="2" a="1"/>
  <c r="C744" i="2" s="1"/>
  <c r="C745" i="2" a="1"/>
  <c r="C745" i="2"/>
  <c r="C746" i="2" a="1"/>
  <c r="C746" i="2" s="1"/>
  <c r="C747" i="2" a="1"/>
  <c r="C747" i="2"/>
  <c r="C748" i="2" a="1"/>
  <c r="C748" i="2" s="1"/>
  <c r="C749" i="2" a="1"/>
  <c r="C749" i="2"/>
  <c r="C750" i="2" a="1"/>
  <c r="C750" i="2" s="1"/>
  <c r="C751" i="2" a="1"/>
  <c r="C751" i="2"/>
  <c r="C752" i="2" a="1"/>
  <c r="C752" i="2"/>
  <c r="C753" i="2" a="1"/>
  <c r="C753" i="2" s="1"/>
  <c r="C754" i="2" a="1"/>
  <c r="C754" i="2" s="1"/>
  <c r="C755" i="2" a="1"/>
  <c r="C755" i="2"/>
  <c r="C756" i="2" a="1"/>
  <c r="C756" i="2" s="1"/>
  <c r="C757" i="2" a="1"/>
  <c r="C757" i="2"/>
  <c r="C758" i="2" a="1"/>
  <c r="C758" i="2" s="1"/>
  <c r="C759" i="2" a="1"/>
  <c r="C759" i="2"/>
  <c r="C760" i="2" a="1"/>
  <c r="C760" i="2" s="1"/>
  <c r="C761" i="2" a="1"/>
  <c r="C761" i="2"/>
  <c r="C762" i="2" a="1"/>
  <c r="C762" i="2" s="1"/>
  <c r="C763" i="2" a="1"/>
  <c r="C763" i="2" s="1"/>
  <c r="C764" i="2" a="1"/>
  <c r="C764" i="2"/>
  <c r="C765" i="2" a="1"/>
  <c r="C765" i="2" s="1"/>
  <c r="C766" i="2" a="1"/>
  <c r="C766" i="2" s="1"/>
  <c r="C767" i="2" a="1"/>
  <c r="C767" i="2"/>
  <c r="C768" i="2" a="1"/>
  <c r="C768" i="2" s="1"/>
  <c r="C769" i="2" a="1"/>
  <c r="C769" i="2"/>
  <c r="C770" i="2" a="1"/>
  <c r="C770" i="2" s="1"/>
  <c r="C771" i="2" a="1"/>
  <c r="C771" i="2" s="1"/>
  <c r="C772" i="2" a="1"/>
  <c r="C772" i="2" s="1"/>
  <c r="C773" i="2" a="1"/>
  <c r="C773" i="2" s="1"/>
  <c r="C774" i="2" a="1"/>
  <c r="C774" i="2" s="1"/>
  <c r="C775" i="2" a="1"/>
  <c r="C775" i="2" s="1"/>
  <c r="C776" i="2" a="1"/>
  <c r="C776" i="2"/>
  <c r="C777" i="2" a="1"/>
  <c r="C777" i="2" s="1"/>
  <c r="C778" i="2" a="1"/>
  <c r="C778" i="2" s="1"/>
  <c r="C779" i="2" a="1"/>
  <c r="C779" i="2" s="1"/>
  <c r="C780" i="2" a="1"/>
  <c r="C780" i="2" s="1"/>
  <c r="C781" i="2" a="1"/>
  <c r="C781" i="2"/>
  <c r="C782" i="2" a="1"/>
  <c r="C782" i="2" s="1"/>
  <c r="C783" i="2" a="1"/>
  <c r="C783" i="2"/>
  <c r="C784" i="2" a="1"/>
  <c r="C784" i="2" s="1"/>
  <c r="C785" i="2" a="1"/>
  <c r="C785" i="2"/>
  <c r="C786" i="2" a="1"/>
  <c r="C786" i="2" s="1"/>
  <c r="C787" i="2" a="1"/>
  <c r="C787" i="2" s="1"/>
  <c r="C788" i="2" a="1"/>
  <c r="C788" i="2"/>
  <c r="C789" i="2" a="1"/>
  <c r="C789" i="2" s="1"/>
  <c r="C790" i="2" a="1"/>
  <c r="C790" i="2" s="1"/>
  <c r="C791" i="2" a="1"/>
  <c r="C791" i="2" s="1"/>
  <c r="C792" i="2" a="1"/>
  <c r="C792" i="2" s="1"/>
  <c r="C793" i="2" a="1"/>
  <c r="C793" i="2" s="1"/>
  <c r="C794" i="2" a="1"/>
  <c r="C794" i="2"/>
  <c r="C795" i="2" a="1"/>
  <c r="C795" i="2"/>
  <c r="C796" i="2" a="1"/>
  <c r="C796" i="2" s="1"/>
  <c r="C797" i="2" a="1"/>
  <c r="C797" i="2"/>
  <c r="C798" i="2" a="1"/>
  <c r="C798" i="2" s="1"/>
  <c r="C799" i="2" a="1"/>
  <c r="C799" i="2" s="1"/>
  <c r="C800" i="2" a="1"/>
  <c r="C800" i="2"/>
  <c r="C801" i="2" a="1"/>
  <c r="C801" i="2"/>
  <c r="C802" i="2" a="1"/>
  <c r="C802" i="2" s="1"/>
  <c r="C803" i="2" a="1"/>
  <c r="C803" i="2"/>
  <c r="C804" i="2" a="1"/>
  <c r="C804" i="2" s="1"/>
  <c r="C805" i="2" a="1"/>
  <c r="C805" i="2"/>
  <c r="C806" i="2" a="1"/>
  <c r="C806" i="2" s="1"/>
  <c r="C807" i="2" a="1"/>
  <c r="C807" i="2"/>
  <c r="C808" i="2" a="1"/>
  <c r="C808" i="2" s="1"/>
  <c r="C809" i="2" a="1"/>
  <c r="C809" i="2" s="1"/>
  <c r="C810" i="2" a="1"/>
  <c r="C810" i="2" s="1"/>
  <c r="C811" i="2" a="1"/>
  <c r="C811" i="2" s="1"/>
  <c r="C812" i="2" a="1"/>
  <c r="C812" i="2"/>
  <c r="C813" i="2" a="1"/>
  <c r="C813" i="2" s="1"/>
  <c r="C814" i="2" a="1"/>
  <c r="C814" i="2" s="1"/>
  <c r="C815" i="2" a="1"/>
  <c r="C815" i="2" s="1"/>
  <c r="C816" i="2" a="1"/>
  <c r="C816" i="2" s="1"/>
  <c r="C817" i="2" a="1"/>
  <c r="C817" i="2"/>
  <c r="C818" i="2" a="1"/>
  <c r="C818" i="2" s="1"/>
  <c r="C819" i="2" a="1"/>
  <c r="C819" i="2"/>
  <c r="C820" i="2" a="1"/>
  <c r="C820" i="2" s="1"/>
  <c r="C821" i="2" a="1"/>
  <c r="C821" i="2"/>
  <c r="C822" i="2" a="1"/>
  <c r="C822" i="2" s="1"/>
  <c r="C823" i="2" a="1"/>
  <c r="C823" i="2" s="1"/>
  <c r="C824" i="2" a="1"/>
  <c r="C824" i="2"/>
  <c r="C825" i="2" a="1"/>
  <c r="C825" i="2" s="1"/>
  <c r="C826" i="2" a="1"/>
  <c r="C826" i="2" s="1"/>
  <c r="C827" i="2" a="1"/>
  <c r="C827" i="2"/>
  <c r="C828" i="2" a="1"/>
  <c r="C828" i="2" s="1"/>
  <c r="C829" i="2" a="1"/>
  <c r="C829" i="2" s="1"/>
  <c r="C830" i="2" a="1"/>
  <c r="C830" i="2"/>
  <c r="C831" i="2" a="1"/>
  <c r="C831" i="2"/>
  <c r="C832" i="2" a="1"/>
  <c r="C832" i="2" s="1"/>
  <c r="C833" i="2" a="1"/>
  <c r="C833" i="2"/>
  <c r="C834" i="2" a="1"/>
  <c r="C834" i="2" s="1"/>
  <c r="C835" i="2" a="1"/>
  <c r="C835" i="2" s="1"/>
  <c r="C836" i="2" a="1"/>
  <c r="C836" i="2" s="1"/>
  <c r="C837" i="2" a="1"/>
  <c r="C837" i="2"/>
  <c r="C838" i="2" a="1"/>
  <c r="C838" i="2" s="1"/>
  <c r="C839" i="2" a="1"/>
  <c r="C839" i="2" s="1"/>
  <c r="C840" i="2" a="1"/>
  <c r="C840" i="2" s="1"/>
  <c r="C841" i="2" a="1"/>
  <c r="C841" i="2"/>
  <c r="C842" i="2" a="1"/>
  <c r="C842" i="2" s="1"/>
  <c r="C843" i="2" a="1"/>
  <c r="C843" i="2" s="1"/>
  <c r="C844" i="2" a="1"/>
  <c r="C844" i="2" s="1"/>
  <c r="C845" i="2" a="1"/>
  <c r="C845" i="2" s="1"/>
  <c r="C846" i="2" a="1"/>
  <c r="C846" i="2" s="1"/>
  <c r="C847" i="2" a="1"/>
  <c r="C847" i="2" s="1"/>
  <c r="C848" i="2" a="1"/>
  <c r="C848" i="2"/>
  <c r="C849" i="2" a="1"/>
  <c r="C849" i="2" s="1"/>
  <c r="C850" i="2" a="1"/>
  <c r="C850" i="2" s="1"/>
  <c r="C851" i="2" a="1"/>
  <c r="C851" i="2"/>
  <c r="C852" i="2" a="1"/>
  <c r="C852" i="2" s="1"/>
  <c r="C853" i="2" a="1"/>
  <c r="C853" i="2"/>
  <c r="C854" i="2" a="1"/>
  <c r="C854" i="2" s="1"/>
  <c r="C855" i="2" a="1"/>
  <c r="C855" i="2"/>
  <c r="C856" i="2" a="1"/>
  <c r="C856" i="2" s="1"/>
  <c r="C857" i="2" a="1"/>
  <c r="C857" i="2"/>
  <c r="C858" i="2" a="1"/>
  <c r="C858" i="2" s="1"/>
  <c r="C859" i="2" a="1"/>
  <c r="C859" i="2"/>
  <c r="C860" i="2" a="1"/>
  <c r="C860" i="2"/>
  <c r="C861" i="2" a="1"/>
  <c r="C861" i="2" s="1"/>
  <c r="C862" i="2" a="1"/>
  <c r="C862" i="2"/>
  <c r="C863" i="2" a="1"/>
  <c r="C863" i="2" s="1"/>
  <c r="C864" i="2" a="1"/>
  <c r="C864" i="2" s="1"/>
  <c r="C865" i="2" a="1"/>
  <c r="C865" i="2"/>
  <c r="C866" i="2" a="1"/>
  <c r="C866" i="2"/>
  <c r="C867" i="2" a="1"/>
  <c r="C867" i="2" s="1"/>
  <c r="C868" i="2" a="1"/>
  <c r="C868" i="2"/>
  <c r="C869" i="2" a="1"/>
  <c r="C869" i="2" s="1"/>
  <c r="C870" i="2" a="1"/>
  <c r="C870" i="2"/>
  <c r="C871" i="2" a="1"/>
  <c r="C871" i="2" s="1"/>
  <c r="C872" i="2" a="1"/>
  <c r="C872" i="2"/>
  <c r="C873" i="2" a="1"/>
  <c r="C873" i="2" s="1"/>
  <c r="C874" i="2" a="1"/>
  <c r="C874" i="2"/>
  <c r="C875" i="2" a="1"/>
  <c r="C875" i="2" s="1"/>
  <c r="C876" i="2" a="1"/>
  <c r="C876" i="2" s="1"/>
  <c r="C877" i="2" a="1"/>
  <c r="C877" i="2"/>
  <c r="C878" i="2" a="1"/>
  <c r="C878" i="2" s="1"/>
  <c r="C879" i="2" a="1"/>
  <c r="C879" i="2" s="1"/>
  <c r="C880" i="2" a="1"/>
  <c r="C880" i="2"/>
  <c r="C881" i="2" a="1"/>
  <c r="C881" i="2" s="1"/>
  <c r="C882" i="2" a="1"/>
  <c r="C882" i="2" s="1"/>
  <c r="C883" i="2" a="1"/>
  <c r="C883" i="2" s="1"/>
  <c r="C884" i="2" a="1"/>
  <c r="C884" i="2"/>
  <c r="C885" i="2" a="1"/>
  <c r="C885" i="2" s="1"/>
  <c r="C886" i="2" a="1"/>
  <c r="C886" i="2"/>
  <c r="C887" i="2" a="1"/>
  <c r="C887" i="2" s="1"/>
  <c r="C888" i="2" a="1"/>
  <c r="C888" i="2"/>
  <c r="C889" i="2" a="1"/>
  <c r="C889" i="2" s="1"/>
  <c r="C890" i="2" a="1"/>
  <c r="C890" i="2" s="1"/>
  <c r="C891" i="2" a="1"/>
  <c r="C891" i="2" s="1"/>
  <c r="C892" i="2" a="1"/>
  <c r="C892" i="2"/>
  <c r="C893" i="2" a="1"/>
  <c r="C893" i="2" s="1"/>
  <c r="C894" i="2" a="1"/>
  <c r="C894" i="2"/>
  <c r="C895" i="2" a="1"/>
  <c r="C895" i="2"/>
  <c r="C896" i="2" a="1"/>
  <c r="C896" i="2" s="1"/>
  <c r="C897" i="2" a="1"/>
  <c r="C897" i="2" s="1"/>
  <c r="C898" i="2" a="1"/>
  <c r="C898" i="2"/>
  <c r="C899" i="2" a="1"/>
  <c r="C899" i="2" s="1"/>
  <c r="C900" i="2" a="1"/>
  <c r="C900" i="2" s="1"/>
  <c r="C901" i="2" a="1"/>
  <c r="C901" i="2"/>
  <c r="C902" i="2" a="1"/>
  <c r="C902" i="2"/>
  <c r="C903" i="2" a="1"/>
  <c r="C903" i="2" s="1"/>
  <c r="C904" i="2" a="1"/>
  <c r="C904" i="2"/>
  <c r="C905" i="2" a="1"/>
  <c r="C905" i="2" s="1"/>
  <c r="C906" i="2" a="1"/>
  <c r="C906" i="2"/>
  <c r="C907" i="2" a="1"/>
  <c r="C907" i="2" s="1"/>
  <c r="C908" i="2" a="1"/>
  <c r="C908" i="2"/>
  <c r="C909" i="2" a="1"/>
  <c r="C909" i="2" s="1"/>
  <c r="C910" i="2" a="1"/>
  <c r="C910" i="2"/>
  <c r="C911" i="2" a="1"/>
  <c r="C911" i="2" s="1"/>
  <c r="C912" i="2" a="1"/>
  <c r="C912" i="2" s="1"/>
  <c r="C913" i="2" a="1"/>
  <c r="C913" i="2" s="1"/>
  <c r="C914" i="2" a="1"/>
  <c r="C914" i="2" s="1"/>
  <c r="C915" i="2" a="1"/>
  <c r="C915" i="2" s="1"/>
  <c r="C916" i="2" a="1"/>
  <c r="C916" i="2"/>
  <c r="C917" i="2" a="1"/>
  <c r="C917" i="2" s="1"/>
  <c r="C918" i="2" a="1"/>
  <c r="C918" i="2" s="1"/>
  <c r="C919" i="2" a="1"/>
  <c r="C919" i="2" s="1"/>
  <c r="C920" i="2" a="1"/>
  <c r="C920" i="2" s="1"/>
  <c r="C921" i="2" a="1"/>
  <c r="C921" i="2" s="1"/>
  <c r="C922" i="2" a="1"/>
  <c r="C922" i="2"/>
  <c r="C923" i="2" a="1"/>
  <c r="C923" i="2" s="1"/>
  <c r="C924" i="2" a="1"/>
  <c r="C924" i="2"/>
  <c r="C925" i="2" a="1"/>
  <c r="C925" i="2" s="1"/>
  <c r="C926" i="2" a="1"/>
  <c r="C926" i="2" s="1"/>
  <c r="C927" i="2" a="1"/>
  <c r="C927" i="2" s="1"/>
  <c r="C928" i="2" a="1"/>
  <c r="C928" i="2"/>
  <c r="C929" i="2" a="1"/>
  <c r="C929" i="2" s="1"/>
  <c r="C930" i="2" a="1"/>
  <c r="C930" i="2"/>
  <c r="C931" i="2" a="1"/>
  <c r="C931" i="2"/>
  <c r="C932" i="2" a="1"/>
  <c r="C932" i="2" s="1"/>
  <c r="C933" i="2" a="1"/>
  <c r="C933" i="2" s="1"/>
  <c r="C934" i="2" a="1"/>
  <c r="C934" i="2"/>
  <c r="C935" i="2" a="1"/>
  <c r="C935" i="2" s="1"/>
  <c r="C936" i="2" a="1"/>
  <c r="C936" i="2" s="1"/>
  <c r="C937" i="2" a="1"/>
  <c r="C937" i="2"/>
  <c r="C938" i="2" a="1"/>
  <c r="C938" i="2"/>
  <c r="C939" i="2" a="1"/>
  <c r="C939" i="2" s="1"/>
  <c r="C940" i="2" a="1"/>
  <c r="C940" i="2"/>
  <c r="C941" i="2" a="1"/>
  <c r="C941" i="2" s="1"/>
  <c r="C942" i="2" a="1"/>
  <c r="C942" i="2" s="1"/>
  <c r="C943" i="2" a="1"/>
  <c r="C943" i="2" s="1"/>
  <c r="C944" i="2" a="1"/>
  <c r="C944" i="2"/>
  <c r="C945" i="2" a="1"/>
  <c r="C945" i="2" s="1"/>
  <c r="C946" i="2" a="1"/>
  <c r="C946" i="2"/>
  <c r="C947" i="2" a="1"/>
  <c r="C947" i="2" s="1"/>
  <c r="C948" i="2" a="1"/>
  <c r="C948" i="2" s="1"/>
  <c r="C949" i="2" a="1"/>
  <c r="C949" i="2" s="1"/>
  <c r="C950" i="2" a="1"/>
  <c r="C950" i="2" s="1"/>
  <c r="C951" i="2" a="1"/>
  <c r="C951" i="2" s="1"/>
  <c r="C952" i="2" a="1"/>
  <c r="C952" i="2"/>
  <c r="C953" i="2" a="1"/>
  <c r="C953" i="2" s="1"/>
  <c r="C954" i="2" a="1"/>
  <c r="C954" i="2" s="1"/>
  <c r="C955" i="2" a="1"/>
  <c r="C955" i="2" s="1"/>
  <c r="C956" i="2" a="1"/>
  <c r="C956" i="2" s="1"/>
  <c r="C957" i="2" a="1"/>
  <c r="C957" i="2" s="1"/>
  <c r="C958" i="2" a="1"/>
  <c r="C958" i="2"/>
  <c r="C959" i="2" a="1"/>
  <c r="C959" i="2" s="1"/>
  <c r="C960" i="2" a="1"/>
  <c r="C960" i="2"/>
  <c r="C961" i="2" a="1"/>
  <c r="C961" i="2" s="1"/>
  <c r="C962" i="2" a="1"/>
  <c r="C962" i="2" s="1"/>
  <c r="C963" i="2" a="1"/>
  <c r="C963" i="2" s="1"/>
  <c r="C964" i="2" a="1"/>
  <c r="C964" i="2"/>
  <c r="C965" i="2" a="1"/>
  <c r="C965" i="2" s="1"/>
  <c r="C966" i="2" a="1"/>
  <c r="C966" i="2"/>
  <c r="C967" i="2" a="1"/>
  <c r="C967" i="2"/>
  <c r="C968" i="2" a="1"/>
  <c r="C968" i="2" s="1"/>
  <c r="C969" i="2" a="1"/>
  <c r="C969" i="2" s="1"/>
  <c r="C970" i="2" a="1"/>
  <c r="C970" i="2"/>
  <c r="C971" i="2" a="1"/>
  <c r="C971" i="2" s="1"/>
  <c r="C972" i="2" a="1"/>
  <c r="C972" i="2" s="1"/>
  <c r="C973" i="2" a="1"/>
  <c r="C973" i="2"/>
  <c r="C974" i="2" a="1"/>
  <c r="C974" i="2"/>
  <c r="C975" i="2" a="1"/>
  <c r="C975" i="2" s="1"/>
  <c r="C976" i="2" a="1"/>
  <c r="C976" i="2"/>
  <c r="C977" i="2" a="1"/>
  <c r="C977" i="2" s="1"/>
  <c r="C978" i="2" a="1"/>
  <c r="C978" i="2" s="1"/>
  <c r="C979" i="2" a="1"/>
  <c r="C979" i="2" s="1"/>
  <c r="C980" i="2" a="1"/>
  <c r="C980" i="2"/>
  <c r="C981" i="2" a="1"/>
  <c r="C981" i="2" s="1"/>
  <c r="C982" i="2" a="1"/>
  <c r="C982" i="2"/>
  <c r="C983" i="2" a="1"/>
  <c r="C983" i="2" s="1"/>
  <c r="C984" i="2" a="1"/>
  <c r="C984" i="2" s="1"/>
  <c r="C985" i="2" a="1"/>
  <c r="C985" i="2" s="1"/>
  <c r="C986" i="2" a="1"/>
  <c r="C986" i="2" s="1"/>
  <c r="C987" i="2" a="1"/>
  <c r="C987" i="2" s="1"/>
  <c r="C988" i="2" a="1"/>
  <c r="C988" i="2"/>
  <c r="C989" i="2" a="1"/>
  <c r="C989" i="2" s="1"/>
  <c r="C990" i="2" a="1"/>
  <c r="C990" i="2" s="1"/>
  <c r="C991" i="2" a="1"/>
  <c r="C991" i="2" s="1"/>
  <c r="C992" i="2" a="1"/>
  <c r="C992" i="2" s="1"/>
  <c r="C993" i="2" a="1"/>
  <c r="C993" i="2" s="1"/>
  <c r="C994" i="2" a="1"/>
  <c r="C994" i="2"/>
  <c r="C995" i="2" a="1"/>
  <c r="C995" i="2" s="1"/>
  <c r="C996" i="2" a="1"/>
  <c r="C996" i="2"/>
  <c r="C997" i="2" a="1"/>
  <c r="C997" i="2" s="1"/>
  <c r="C998" i="2" a="1"/>
  <c r="C998" i="2" s="1"/>
  <c r="C999" i="2" a="1"/>
  <c r="C999" i="2" s="1"/>
  <c r="C1000" i="2" a="1"/>
  <c r="C1000" i="2" s="1"/>
  <c r="C1001" i="2" a="1"/>
  <c r="C1001" i="2" s="1"/>
  <c r="C1002" i="2" a="1"/>
  <c r="C1002" i="2"/>
  <c r="C1003" i="2" a="1"/>
  <c r="C1003" i="2"/>
  <c r="C1004" i="2" a="1"/>
  <c r="C1004" i="2" s="1"/>
  <c r="C1005" i="2" a="1"/>
  <c r="C1005" i="2" s="1"/>
  <c r="C1006" i="2" a="1"/>
  <c r="C1006" i="2"/>
  <c r="C1007" i="2" a="1"/>
  <c r="C1007" i="2" s="1"/>
  <c r="C1008" i="2" a="1"/>
  <c r="C1008" i="2" s="1"/>
  <c r="C1009" i="2" a="1"/>
  <c r="C1009" i="2"/>
  <c r="C1010" i="2" a="1"/>
  <c r="C1010" i="2"/>
  <c r="C1011" i="2" a="1"/>
  <c r="C1011" i="2" s="1"/>
  <c r="C1012" i="2" a="1"/>
  <c r="C1012" i="2"/>
  <c r="C1013" i="2" a="1"/>
  <c r="C1013" i="2" s="1"/>
  <c r="C1014" i="2" a="1"/>
  <c r="C1014" i="2" s="1"/>
  <c r="C1015" i="2" a="1"/>
  <c r="C1015" i="2" s="1"/>
  <c r="C1016" i="2" a="1"/>
  <c r="C1016" i="2"/>
  <c r="C1017" i="2" a="1"/>
  <c r="C1017" i="2" s="1"/>
  <c r="C1018" i="2" a="1"/>
  <c r="C1018" i="2"/>
  <c r="C1019" i="2" a="1"/>
  <c r="C1019" i="2" s="1"/>
  <c r="C1020" i="2" a="1"/>
  <c r="C1020" i="2" s="1"/>
  <c r="C1021" i="2" a="1"/>
  <c r="C1021" i="2" s="1"/>
  <c r="C1022" i="2" a="1"/>
  <c r="C1022" i="2" s="1"/>
  <c r="C1023" i="2" a="1"/>
  <c r="C1023" i="2" s="1"/>
  <c r="C1024" i="2" a="1"/>
  <c r="C1024" i="2" s="1"/>
  <c r="C1025" i="2" a="1"/>
  <c r="C1025" i="2" s="1"/>
  <c r="C1026" i="2" a="1"/>
  <c r="C1026" i="2" s="1"/>
  <c r="C1027" i="2" a="1"/>
  <c r="C1027" i="2" s="1"/>
  <c r="C1028" i="2" a="1"/>
  <c r="C1028" i="2" s="1"/>
  <c r="C1029" i="2" a="1"/>
  <c r="C1029" i="2" s="1"/>
  <c r="C1030" i="2" a="1"/>
  <c r="C1030" i="2"/>
  <c r="C1031" i="2" a="1"/>
  <c r="C1031" i="2" s="1"/>
  <c r="C1032" i="2" a="1"/>
  <c r="C1032" i="2"/>
  <c r="C1033" i="2" a="1"/>
  <c r="C1033" i="2" s="1"/>
  <c r="C1034" i="2" a="1"/>
  <c r="C1034" i="2" s="1"/>
  <c r="C1035" i="2" a="1"/>
  <c r="C1035" i="2" s="1"/>
  <c r="C1036" i="2" a="1"/>
  <c r="C1036" i="2" s="1"/>
  <c r="C1037" i="2" a="1"/>
  <c r="C1037" i="2" s="1"/>
  <c r="C1038" i="2" a="1"/>
  <c r="C1038" i="2"/>
  <c r="C1039" i="2" a="1"/>
  <c r="C1039" i="2"/>
  <c r="C1040" i="2" a="1"/>
  <c r="C1040" i="2" s="1"/>
  <c r="C1041" i="2" a="1"/>
  <c r="C1041" i="2" s="1"/>
  <c r="C1042" i="2" a="1"/>
  <c r="C1042" i="2"/>
  <c r="C1043" i="2" a="1"/>
  <c r="C1043" i="2" s="1"/>
  <c r="C1044" i="2" a="1"/>
  <c r="C1044" i="2" s="1"/>
  <c r="C1045" i="2" a="1"/>
  <c r="C1045" i="2"/>
  <c r="C1046" i="2" a="1"/>
  <c r="C1046" i="2"/>
  <c r="C1047" i="2" a="1"/>
  <c r="C1047" i="2" s="1"/>
  <c r="C1048" i="2" a="1"/>
  <c r="C1048" i="2"/>
  <c r="C1049" i="2" a="1"/>
  <c r="C1049" i="2" s="1"/>
  <c r="C1050" i="2" a="1"/>
  <c r="C1050" i="2" s="1"/>
  <c r="C1051" i="2" a="1"/>
  <c r="C1051" i="2" s="1"/>
  <c r="C1052" i="2" a="1"/>
  <c r="C1052" i="2"/>
  <c r="C1053" i="2" a="1"/>
  <c r="C1053" i="2" s="1"/>
  <c r="C1054" i="2" a="1"/>
  <c r="C1054" i="2"/>
  <c r="C1055" i="2" a="1"/>
  <c r="C1055" i="2" s="1"/>
  <c r="C1056" i="2" a="1"/>
  <c r="C1056" i="2" s="1"/>
  <c r="C1057" i="2" a="1"/>
  <c r="C1057" i="2" s="1"/>
  <c r="C1058" i="2" a="1"/>
  <c r="C1058" i="2" s="1"/>
  <c r="C1059" i="2" a="1"/>
  <c r="C1059" i="2" s="1"/>
  <c r="C1060" i="2" a="1"/>
  <c r="C1060" i="2" s="1"/>
  <c r="C1061" i="2" a="1"/>
  <c r="C1061" i="2" s="1"/>
  <c r="C1062" i="2" a="1"/>
  <c r="C1062" i="2" s="1"/>
  <c r="C1063" i="2" a="1"/>
  <c r="C1063" i="2" s="1"/>
  <c r="C1064" i="2" a="1"/>
  <c r="C1064" i="2" s="1"/>
  <c r="C1065" i="2" a="1"/>
  <c r="C1065" i="2" s="1"/>
  <c r="C1066" i="2" a="1"/>
  <c r="C1066" i="2"/>
  <c r="C1067" i="2" a="1"/>
  <c r="C1067" i="2" s="1"/>
  <c r="C1068" i="2" a="1"/>
  <c r="C1068" i="2"/>
  <c r="C1069" i="2" a="1"/>
  <c r="C1069" i="2" s="1"/>
  <c r="C1070" i="2" a="1"/>
  <c r="C1070" i="2" s="1"/>
  <c r="C1071" i="2" a="1"/>
  <c r="C1071" i="2" s="1"/>
  <c r="C1072" i="2" a="1"/>
  <c r="C1072" i="2" s="1"/>
  <c r="C1073" i="2" a="1"/>
  <c r="C1073" i="2" s="1"/>
  <c r="C1074" i="2" a="1"/>
  <c r="C1074" i="2"/>
  <c r="C1075" i="2" a="1"/>
  <c r="C1075" i="2"/>
  <c r="C1076" i="2" a="1"/>
  <c r="C1076" i="2" s="1"/>
  <c r="C1077" i="2" a="1"/>
  <c r="C1077" i="2" s="1"/>
  <c r="C1078" i="2" a="1"/>
  <c r="C1078" i="2"/>
  <c r="C1079" i="2" a="1"/>
  <c r="C1079" i="2" s="1"/>
  <c r="C1080" i="2" a="1"/>
  <c r="C1080" i="2" s="1"/>
  <c r="C1081" i="2" a="1"/>
  <c r="C1081" i="2"/>
  <c r="C1082" i="2" a="1"/>
  <c r="C1082" i="2"/>
  <c r="C1083" i="2" a="1"/>
  <c r="C1083" i="2" s="1"/>
  <c r="C1084" i="2" a="1"/>
  <c r="C1084" i="2"/>
  <c r="C1085" i="2" a="1"/>
  <c r="C1085" i="2" s="1"/>
  <c r="C1086" i="2" a="1"/>
  <c r="C1086" i="2" s="1"/>
  <c r="C1087" i="2" a="1"/>
  <c r="C1087" i="2" s="1"/>
  <c r="C1088" i="2" a="1"/>
  <c r="C1088" i="2"/>
  <c r="C1089" i="2" a="1"/>
  <c r="C1089" i="2" s="1"/>
  <c r="C1090" i="2" a="1"/>
  <c r="C1090" i="2"/>
  <c r="C1091" i="2" a="1"/>
  <c r="C1091" i="2" s="1"/>
  <c r="C1092" i="2" a="1"/>
  <c r="C1092" i="2" s="1"/>
  <c r="C1093" i="2" a="1"/>
  <c r="C1093" i="2" s="1"/>
  <c r="C1094" i="2" a="1"/>
  <c r="C1094" i="2" s="1"/>
  <c r="C1095" i="2" a="1"/>
  <c r="C1095" i="2" s="1"/>
  <c r="C1096" i="2" a="1"/>
  <c r="C1096" i="2" s="1"/>
  <c r="C1097" i="2" a="1"/>
  <c r="C1097" i="2" s="1"/>
  <c r="C1098" i="2" a="1"/>
  <c r="C1098" i="2" s="1"/>
  <c r="C1099" i="2" a="1"/>
  <c r="C1099" i="2" s="1"/>
  <c r="C1100" i="2" a="1"/>
  <c r="C1100" i="2" s="1"/>
  <c r="C1101" i="2" a="1"/>
  <c r="C1101" i="2" s="1"/>
  <c r="C1102" i="2" a="1"/>
  <c r="C1102" i="2"/>
  <c r="C1103" i="2" a="1"/>
  <c r="C1103" i="2" s="1"/>
  <c r="C1104" i="2" a="1"/>
  <c r="C1104" i="2"/>
  <c r="C1105" i="2" a="1"/>
  <c r="C1105" i="2" s="1"/>
  <c r="C1106" i="2" a="1"/>
  <c r="C1106" i="2" s="1"/>
  <c r="C1107" i="2" a="1"/>
  <c r="C1107" i="2" s="1"/>
  <c r="C1108" i="2" a="1"/>
  <c r="C1108" i="2" s="1"/>
  <c r="C1109" i="2" a="1"/>
  <c r="C1109" i="2" s="1"/>
  <c r="C1110" i="2" a="1"/>
  <c r="C1110" i="2"/>
  <c r="C1111" i="2" a="1"/>
  <c r="C1111" i="2"/>
  <c r="C1112" i="2" a="1"/>
  <c r="C1112" i="2" s="1"/>
  <c r="C1113" i="2" a="1"/>
  <c r="C1113" i="2" s="1"/>
  <c r="C1114" i="2" a="1"/>
  <c r="C1114" i="2"/>
  <c r="C1115" i="2" a="1"/>
  <c r="C1115" i="2" s="1"/>
  <c r="C1116" i="2" a="1"/>
  <c r="C1116" i="2" s="1"/>
  <c r="C1117" i="2" a="1"/>
  <c r="C1117" i="2"/>
  <c r="C1118" i="2" a="1"/>
  <c r="C1118" i="2"/>
  <c r="C1119" i="2" a="1"/>
  <c r="C1119" i="2" s="1"/>
  <c r="C1120" i="2" a="1"/>
  <c r="C1120" i="2"/>
  <c r="C1121" i="2" a="1"/>
  <c r="C1121" i="2" s="1"/>
  <c r="C1122" i="2" a="1"/>
  <c r="C1122" i="2" s="1"/>
  <c r="C1123" i="2" a="1"/>
  <c r="C1123" i="2" s="1"/>
  <c r="C1124" i="2" a="1"/>
  <c r="C1124" i="2"/>
  <c r="C1125" i="2" a="1"/>
  <c r="C1125" i="2" s="1"/>
  <c r="C1126" i="2" a="1"/>
  <c r="C1126" i="2"/>
  <c r="C1127" i="2" a="1"/>
  <c r="C1127" i="2" s="1"/>
  <c r="C1128" i="2" a="1"/>
  <c r="C1128" i="2" s="1"/>
  <c r="C1129" i="2" a="1"/>
  <c r="C1129" i="2" s="1"/>
  <c r="C1130" i="2" a="1"/>
  <c r="C1130" i="2" s="1"/>
  <c r="C1131" i="2" a="1"/>
  <c r="C1131" i="2" s="1"/>
  <c r="C1132" i="2" a="1"/>
  <c r="C1132" i="2" s="1"/>
  <c r="C1133" i="2" a="1"/>
  <c r="C1133" i="2" s="1"/>
  <c r="C1134" i="2" a="1"/>
  <c r="C1134" i="2" s="1"/>
  <c r="C1135" i="2" a="1"/>
  <c r="C1135" i="2" s="1"/>
  <c r="C1136" i="2" a="1"/>
  <c r="C1136" i="2" s="1"/>
  <c r="C1137" i="2" a="1"/>
  <c r="C1137" i="2" s="1"/>
  <c r="C1138" i="2" a="1"/>
  <c r="C1138" i="2"/>
  <c r="C1139" i="2" a="1"/>
  <c r="C1139" i="2" s="1"/>
  <c r="C1140" i="2" a="1"/>
  <c r="C1140" i="2"/>
  <c r="C1141" i="2" a="1"/>
  <c r="C1141" i="2" s="1"/>
  <c r="C1142" i="2" a="1"/>
  <c r="C1142" i="2" s="1"/>
  <c r="C1143" i="2" a="1"/>
  <c r="C1143" i="2" s="1"/>
  <c r="C1144" i="2" a="1"/>
  <c r="C1144" i="2" s="1"/>
  <c r="C1145" i="2" a="1"/>
  <c r="C1145" i="2" s="1"/>
  <c r="C1146" i="2" a="1"/>
  <c r="C1146" i="2"/>
  <c r="C1147" i="2" a="1"/>
  <c r="C1147" i="2"/>
  <c r="C1148" i="2" a="1"/>
  <c r="C1148" i="2" s="1"/>
  <c r="C1149" i="2" a="1"/>
  <c r="C1149" i="2" s="1"/>
  <c r="C1150" i="2" a="1"/>
  <c r="C1150" i="2"/>
  <c r="C1151" i="2" a="1"/>
  <c r="C1151" i="2" s="1"/>
  <c r="C1152" i="2" a="1"/>
  <c r="C1152" i="2" s="1"/>
  <c r="C1153" i="2" a="1"/>
  <c r="C1153" i="2"/>
  <c r="C1154" i="2" a="1"/>
  <c r="C1154" i="2"/>
  <c r="C1155" i="2" a="1"/>
  <c r="C1155" i="2" s="1"/>
  <c r="C1156" i="2" a="1"/>
  <c r="C1156" i="2"/>
  <c r="C1157" i="2" a="1"/>
  <c r="C1157" i="2" s="1"/>
  <c r="C1158" i="2" a="1"/>
  <c r="C1158" i="2" s="1"/>
  <c r="C1159" i="2" a="1"/>
  <c r="C1159" i="2" s="1"/>
  <c r="C1160" i="2" a="1"/>
  <c r="C1160" i="2"/>
  <c r="C1161" i="2" a="1"/>
  <c r="C1161" i="2" s="1"/>
  <c r="C1162" i="2" a="1"/>
  <c r="C1162" i="2"/>
  <c r="C1163" i="2" a="1"/>
  <c r="C1163" i="2" s="1"/>
  <c r="C1164" i="2" a="1"/>
  <c r="C1164" i="2" s="1"/>
  <c r="C1165" i="2" a="1"/>
  <c r="C1165" i="2" s="1"/>
  <c r="C1166" i="2" a="1"/>
  <c r="C1166" i="2" s="1"/>
  <c r="C1167" i="2" a="1"/>
  <c r="C1167" i="2" s="1"/>
  <c r="C1168" i="2" a="1"/>
  <c r="C1168" i="2" s="1"/>
  <c r="C1169" i="2" a="1"/>
  <c r="C1169" i="2" s="1"/>
  <c r="C1170" i="2" a="1"/>
  <c r="C1170" i="2" s="1"/>
  <c r="C1171" i="2" a="1"/>
  <c r="C1171" i="2" s="1"/>
  <c r="C1172" i="2" a="1"/>
  <c r="C1172" i="2" s="1"/>
  <c r="C1173" i="2" a="1"/>
  <c r="C1173" i="2" s="1"/>
  <c r="C1174" i="2" a="1"/>
  <c r="C1174" i="2"/>
  <c r="C1175" i="2" a="1"/>
  <c r="C1175" i="2" s="1"/>
  <c r="C1176" i="2" a="1"/>
  <c r="C1176" i="2"/>
  <c r="C1177" i="2" a="1"/>
  <c r="C1177" i="2" s="1"/>
  <c r="C1178" i="2" a="1"/>
  <c r="C1178" i="2" s="1"/>
  <c r="C1179" i="2" a="1"/>
  <c r="C1179" i="2" s="1"/>
  <c r="C1180" i="2" a="1"/>
  <c r="C1180" i="2" s="1"/>
  <c r="C1181" i="2" a="1"/>
  <c r="C1181" i="2" s="1"/>
  <c r="C1182" i="2" a="1"/>
  <c r="C1182" i="2"/>
  <c r="C1183" i="2" a="1"/>
  <c r="C1183" i="2"/>
  <c r="C1184" i="2" a="1"/>
  <c r="C1184" i="2" s="1"/>
  <c r="C1185" i="2" a="1"/>
  <c r="C1185" i="2" s="1"/>
  <c r="C1186" i="2" a="1"/>
  <c r="C1186" i="2"/>
  <c r="C1187" i="2" a="1"/>
  <c r="C1187" i="2" s="1"/>
  <c r="C1188" i="2" a="1"/>
  <c r="C1188" i="2" s="1"/>
  <c r="C1189" i="2" a="1"/>
  <c r="C1189" i="2"/>
  <c r="C1190" i="2" a="1"/>
  <c r="C1190" i="2"/>
  <c r="C1191" i="2" a="1"/>
  <c r="C1191" i="2" s="1"/>
  <c r="C1192" i="2" a="1"/>
  <c r="C1192" i="2"/>
  <c r="C1193" i="2" a="1"/>
  <c r="C1193" i="2" s="1"/>
  <c r="C1194" i="2" a="1"/>
  <c r="C1194" i="2" s="1"/>
  <c r="C1195" i="2" a="1"/>
  <c r="C1195" i="2" s="1"/>
  <c r="C1196" i="2" a="1"/>
  <c r="C1196" i="2"/>
  <c r="C1197" i="2" a="1"/>
  <c r="C1197" i="2" s="1"/>
  <c r="C1198" i="2" a="1"/>
  <c r="C1198" i="2"/>
  <c r="C1199" i="2" a="1"/>
  <c r="C1199" i="2" s="1"/>
  <c r="C1200" i="2" a="1"/>
  <c r="C1200" i="2" s="1"/>
  <c r="C1201" i="2" a="1"/>
  <c r="C1201" i="2" s="1"/>
  <c r="C1202" i="2" a="1"/>
  <c r="C1202" i="2" s="1"/>
  <c r="C1203" i="2" a="1"/>
  <c r="C1203" i="2" s="1"/>
  <c r="C1204" i="2" a="1"/>
  <c r="C1204" i="2" s="1"/>
  <c r="C1205" i="2" a="1"/>
  <c r="C1205" i="2"/>
  <c r="C1206" i="2" a="1"/>
  <c r="C1206" i="2"/>
  <c r="C1207" i="2" a="1"/>
  <c r="C1207" i="2"/>
  <c r="C1208" i="2" a="1"/>
  <c r="C1208" i="2" s="1"/>
  <c r="C1209" i="2" a="1"/>
  <c r="C1209" i="2"/>
  <c r="C1210" i="2" a="1"/>
  <c r="C1210" i="2" s="1"/>
  <c r="C1211" i="2" a="1"/>
  <c r="C1211" i="2"/>
  <c r="C1212" i="2" a="1"/>
  <c r="C1212" i="2"/>
  <c r="C1213" i="2" a="1"/>
  <c r="C1213" i="2"/>
  <c r="C1214" i="2" a="1"/>
  <c r="C1214" i="2" s="1"/>
  <c r="C1215" i="2" a="1"/>
  <c r="C1215" i="2"/>
  <c r="C1216" i="2" a="1"/>
  <c r="C1216" i="2" s="1"/>
  <c r="C1217" i="2" a="1"/>
  <c r="C1217" i="2"/>
  <c r="C1218" i="2" a="1"/>
  <c r="C1218" i="2"/>
  <c r="C1219" i="2" a="1"/>
  <c r="C1219" i="2"/>
  <c r="C1220" i="2" a="1"/>
  <c r="C1220" i="2" s="1"/>
  <c r="C1221" i="2" a="1"/>
  <c r="C1221" i="2"/>
  <c r="C1222" i="2" a="1"/>
  <c r="C1222" i="2" s="1"/>
  <c r="C1223" i="2" a="1"/>
  <c r="C1223" i="2"/>
  <c r="C1224" i="2" a="1"/>
  <c r="C1224" i="2"/>
  <c r="C1225" i="2" a="1"/>
  <c r="C1225" i="2"/>
  <c r="C1226" i="2" a="1"/>
  <c r="C1226" i="2" s="1"/>
  <c r="C1227" i="2" a="1"/>
  <c r="C1227" i="2"/>
  <c r="C1228" i="2" a="1"/>
  <c r="C1228" i="2" s="1"/>
  <c r="C1229" i="2" a="1"/>
  <c r="C1229" i="2"/>
  <c r="C1230" i="2" a="1"/>
  <c r="C1230" i="2"/>
  <c r="C1231" i="2" a="1"/>
  <c r="C1231" i="2"/>
  <c r="C1232" i="2" a="1"/>
  <c r="C1232" i="2" s="1"/>
  <c r="C1233" i="2" a="1"/>
  <c r="C1233" i="2"/>
  <c r="C1234" i="2" a="1"/>
  <c r="C1234" i="2" s="1"/>
  <c r="C1235" i="2" a="1"/>
  <c r="C1235" i="2"/>
  <c r="C1236" i="2" a="1"/>
  <c r="C1236" i="2"/>
  <c r="C1237" i="2" a="1"/>
  <c r="C1237" i="2"/>
  <c r="C1238" i="2" a="1"/>
  <c r="C1238" i="2" s="1"/>
  <c r="C1239" i="2" a="1"/>
  <c r="C1239" i="2"/>
  <c r="C1240" i="2" a="1"/>
  <c r="C1240" i="2" s="1"/>
  <c r="C1241" i="2" a="1"/>
  <c r="C1241" i="2"/>
  <c r="C1242" i="2" a="1"/>
  <c r="C1242" i="2"/>
  <c r="C1243" i="2" a="1"/>
  <c r="C1243" i="2"/>
  <c r="C1244" i="2" a="1"/>
  <c r="C1244" i="2" s="1"/>
  <c r="C1245" i="2" a="1"/>
  <c r="C1245" i="2"/>
  <c r="C1246" i="2" a="1"/>
  <c r="C1246" i="2" s="1"/>
  <c r="C1247" i="2" a="1"/>
  <c r="C1247" i="2"/>
  <c r="C1248" i="2" a="1"/>
  <c r="C1248" i="2"/>
  <c r="C1249" i="2" a="1"/>
  <c r="C1249" i="2"/>
  <c r="C1250" i="2" a="1"/>
  <c r="C1250" i="2" s="1"/>
  <c r="C1251" i="2" a="1"/>
  <c r="C1251" i="2"/>
  <c r="C1252" i="2" a="1"/>
  <c r="C1252" i="2" s="1"/>
  <c r="C1253" i="2" a="1"/>
  <c r="C1253" i="2"/>
  <c r="C1254" i="2" a="1"/>
  <c r="C1254" i="2"/>
  <c r="C1255" i="2" a="1"/>
  <c r="C1255" i="2"/>
  <c r="C1256" i="2" a="1"/>
  <c r="C1256" i="2" s="1"/>
  <c r="C1257" i="2" a="1"/>
  <c r="C1257" i="2"/>
  <c r="C1258" i="2" a="1"/>
  <c r="C1258" i="2" s="1"/>
  <c r="C1259" i="2" a="1"/>
  <c r="C1259" i="2"/>
  <c r="C1260" i="2" a="1"/>
  <c r="C1260" i="2"/>
  <c r="C1261" i="2" a="1"/>
  <c r="C1261" i="2"/>
  <c r="C1262" i="2" a="1"/>
  <c r="C1262" i="2" s="1"/>
  <c r="C1263" i="2" a="1"/>
  <c r="C1263" i="2"/>
  <c r="C1264" i="2" a="1"/>
  <c r="C1264" i="2" s="1"/>
  <c r="C1265" i="2" a="1"/>
  <c r="C1265" i="2"/>
  <c r="C1266" i="2" a="1"/>
  <c r="C1266" i="2"/>
  <c r="C1267" i="2" a="1"/>
  <c r="C1267" i="2"/>
  <c r="C1268" i="2" a="1"/>
  <c r="C1268" i="2" s="1"/>
  <c r="C1269" i="2" a="1"/>
  <c r="C1269" i="2"/>
  <c r="C1270" i="2" a="1"/>
  <c r="C1270" i="2" s="1"/>
  <c r="C1271" i="2" a="1"/>
  <c r="C1271" i="2"/>
  <c r="C1272" i="2" a="1"/>
  <c r="C1272" i="2"/>
  <c r="C1273" i="2" a="1"/>
  <c r="C1273" i="2"/>
  <c r="C1274" i="2" a="1"/>
  <c r="C1274" i="2" s="1"/>
  <c r="C1275" i="2" a="1"/>
  <c r="C1275" i="2"/>
  <c r="C1276" i="2" a="1"/>
  <c r="C1276" i="2" s="1"/>
  <c r="C1277" i="2" a="1"/>
  <c r="C1277" i="2"/>
  <c r="C1278" i="2" a="1"/>
  <c r="C1278" i="2"/>
  <c r="C1279" i="2" a="1"/>
  <c r="C1279" i="2"/>
  <c r="C1280" i="2" a="1"/>
  <c r="C1280" i="2" s="1"/>
  <c r="C1281" i="2" a="1"/>
  <c r="C1281" i="2"/>
  <c r="C1282" i="2" a="1"/>
  <c r="C1282" i="2" s="1"/>
  <c r="C1283" i="2" a="1"/>
  <c r="C1283" i="2"/>
  <c r="C1284" i="2" a="1"/>
  <c r="C1284" i="2"/>
  <c r="C1285" i="2" a="1"/>
  <c r="C1285" i="2"/>
  <c r="C1286" i="2" a="1"/>
  <c r="C1286" i="2" s="1"/>
  <c r="C1287" i="2" a="1"/>
  <c r="C1287" i="2"/>
  <c r="C1288" i="2" a="1"/>
  <c r="C1288" i="2" s="1"/>
  <c r="C1289" i="2" a="1"/>
  <c r="C1289" i="2"/>
  <c r="C1290" i="2" a="1"/>
  <c r="C1290" i="2"/>
  <c r="C1291" i="2" a="1"/>
  <c r="C1291" i="2"/>
  <c r="C1292" i="2" a="1"/>
  <c r="C1292" i="2" s="1"/>
  <c r="C1293" i="2" a="1"/>
  <c r="C1293" i="2"/>
  <c r="C1294" i="2" a="1"/>
  <c r="C1294" i="2" s="1"/>
  <c r="C1295" i="2" a="1"/>
  <c r="C1295" i="2"/>
  <c r="C1296" i="2" a="1"/>
  <c r="C1296" i="2"/>
  <c r="C1297" i="2" a="1"/>
  <c r="C1297" i="2"/>
  <c r="C1298" i="2" a="1"/>
  <c r="C1298" i="2" s="1"/>
  <c r="C1299" i="2" a="1"/>
  <c r="C1299" i="2"/>
  <c r="C1300" i="2" a="1"/>
  <c r="C1300" i="2" s="1"/>
  <c r="C1301" i="2" a="1"/>
  <c r="C1301" i="2"/>
  <c r="C1302" i="2" a="1"/>
  <c r="C1302" i="2"/>
  <c r="C1303" i="2" a="1"/>
  <c r="C1303" i="2"/>
  <c r="C1304" i="2" a="1"/>
  <c r="C1304" i="2" s="1"/>
  <c r="C1305" i="2" a="1"/>
  <c r="C1305" i="2"/>
  <c r="C1306" i="2" a="1"/>
  <c r="C1306" i="2" s="1"/>
  <c r="C1307" i="2" a="1"/>
  <c r="C1307" i="2"/>
  <c r="C1308" i="2" a="1"/>
  <c r="C1308" i="2"/>
  <c r="C1309" i="2" a="1"/>
  <c r="C1309" i="2"/>
  <c r="C1310" i="2" a="1"/>
  <c r="C1310" i="2" s="1"/>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Q3" i="2" a="1"/>
  <c r="Q3" i="2" s="1"/>
  <c r="Q4" i="2" a="1"/>
  <c r="Q4" i="2" s="1"/>
  <c r="Q5" i="2" a="1"/>
  <c r="Q5" i="2" s="1"/>
  <c r="Q6" i="2" a="1"/>
  <c r="Q6" i="2" s="1"/>
  <c r="Q7" i="2" a="1"/>
  <c r="Q7" i="2" s="1"/>
  <c r="Q8" i="2" a="1"/>
  <c r="Q8" i="2" s="1"/>
  <c r="Q9" i="2" a="1"/>
  <c r="Q9" i="2" s="1"/>
  <c r="Q10" i="2" a="1"/>
  <c r="Q10" i="2" s="1"/>
  <c r="Q11" i="2" a="1"/>
  <c r="Q11" i="2" s="1"/>
  <c r="Q12" i="2" a="1"/>
  <c r="Q12" i="2" s="1"/>
  <c r="Q13" i="2" a="1"/>
  <c r="Q13" i="2" s="1"/>
  <c r="Q14" i="2" a="1"/>
  <c r="Q14" i="2" s="1"/>
  <c r="Q15" i="2" a="1"/>
  <c r="Q15" i="2" s="1"/>
  <c r="Q16" i="2" a="1"/>
  <c r="Q16" i="2" s="1"/>
  <c r="Q17" i="2" a="1"/>
  <c r="Q17" i="2" s="1"/>
  <c r="Q18" i="2" a="1"/>
  <c r="Q18" i="2" s="1"/>
  <c r="Q19" i="2" a="1"/>
  <c r="Q19" i="2" s="1"/>
  <c r="Q20" i="2" a="1"/>
  <c r="Q20" i="2" s="1"/>
  <c r="Q21" i="2" a="1"/>
  <c r="Q21" i="2" s="1"/>
  <c r="Q22" i="2" a="1"/>
  <c r="Q22" i="2" s="1"/>
  <c r="Q23" i="2" a="1"/>
  <c r="Q23" i="2" s="1"/>
  <c r="Q24" i="2" a="1"/>
  <c r="Q24" i="2" s="1"/>
  <c r="Q25" i="2" a="1"/>
  <c r="Q25" i="2" s="1"/>
  <c r="Q26" i="2" a="1"/>
  <c r="Q26" i="2" s="1"/>
  <c r="Q27" i="2" a="1"/>
  <c r="Q27" i="2" s="1"/>
  <c r="Q28" i="2" a="1"/>
  <c r="Q28" i="2" s="1"/>
  <c r="Q29" i="2" a="1"/>
  <c r="Q29" i="2" s="1"/>
  <c r="Q30" i="2" a="1"/>
  <c r="Q30" i="2" s="1"/>
  <c r="Q31" i="2" a="1"/>
  <c r="Q31" i="2" s="1"/>
  <c r="Q32" i="2" a="1"/>
  <c r="Q32" i="2" s="1"/>
  <c r="Q33" i="2" a="1"/>
  <c r="Q33" i="2" s="1"/>
  <c r="Q34" i="2" a="1"/>
  <c r="Q34" i="2" s="1"/>
  <c r="Q35" i="2" a="1"/>
  <c r="Q35" i="2" s="1"/>
  <c r="Q36" i="2" a="1"/>
  <c r="Q36" i="2" s="1"/>
  <c r="Q37" i="2" a="1"/>
  <c r="Q37" i="2" s="1"/>
  <c r="Q38" i="2" a="1"/>
  <c r="Q38" i="2" s="1"/>
  <c r="Q39" i="2" a="1"/>
  <c r="Q39" i="2" s="1"/>
  <c r="Q40" i="2" a="1"/>
  <c r="Q40" i="2" s="1"/>
  <c r="Q41" i="2" a="1"/>
  <c r="Q41" i="2" s="1"/>
  <c r="Q42" i="2" a="1"/>
  <c r="Q42" i="2" s="1"/>
  <c r="Q43" i="2" a="1"/>
  <c r="Q43" i="2" s="1"/>
  <c r="Q44" i="2" a="1"/>
  <c r="Q44" i="2" s="1"/>
  <c r="Q45" i="2" a="1"/>
  <c r="Q45" i="2" s="1"/>
  <c r="Q46" i="2" a="1"/>
  <c r="Q46" i="2" s="1"/>
  <c r="Q47" i="2" a="1"/>
  <c r="Q47" i="2" s="1"/>
  <c r="Q48" i="2" a="1"/>
  <c r="Q48" i="2" s="1"/>
  <c r="Q49" i="2" a="1"/>
  <c r="Q49" i="2" s="1"/>
  <c r="Q50" i="2" a="1"/>
  <c r="Q50" i="2" s="1"/>
  <c r="Q51" i="2" a="1"/>
  <c r="Q51" i="2" s="1"/>
  <c r="Q52" i="2" a="1"/>
  <c r="Q52" i="2" s="1"/>
  <c r="Q53" i="2" a="1"/>
  <c r="Q53" i="2" s="1"/>
  <c r="Q54" i="2" a="1"/>
  <c r="Q54" i="2" s="1"/>
  <c r="Q55" i="2" a="1"/>
  <c r="Q55" i="2" s="1"/>
  <c r="Q56" i="2" a="1"/>
  <c r="Q56" i="2" s="1"/>
  <c r="Q57" i="2" a="1"/>
  <c r="Q57" i="2" s="1"/>
  <c r="Q58" i="2" a="1"/>
  <c r="Q58" i="2" s="1"/>
  <c r="Q59" i="2" a="1"/>
  <c r="Q59" i="2" s="1"/>
  <c r="Q60" i="2" a="1"/>
  <c r="Q60" i="2" s="1"/>
  <c r="Q61" i="2" a="1"/>
  <c r="Q61" i="2" s="1"/>
  <c r="Q62" i="2" a="1"/>
  <c r="Q62" i="2" s="1"/>
  <c r="Q63" i="2" a="1"/>
  <c r="Q63" i="2" s="1"/>
  <c r="Q64" i="2" a="1"/>
  <c r="Q64" i="2" s="1"/>
  <c r="Q65" i="2" a="1"/>
  <c r="Q65" i="2" s="1"/>
  <c r="Q66" i="2" a="1"/>
  <c r="Q66" i="2" s="1"/>
  <c r="Q67" i="2" a="1"/>
  <c r="Q67" i="2" s="1"/>
  <c r="Q68" i="2" a="1"/>
  <c r="Q68" i="2" s="1"/>
  <c r="Q69" i="2" a="1"/>
  <c r="Q69" i="2" s="1"/>
  <c r="Q70" i="2" a="1"/>
  <c r="Q70" i="2" s="1"/>
  <c r="Q71" i="2" a="1"/>
  <c r="Q71" i="2" s="1"/>
  <c r="Q72" i="2" a="1"/>
  <c r="Q72" i="2" s="1"/>
  <c r="Q73" i="2" a="1"/>
  <c r="Q73" i="2" s="1"/>
  <c r="Q74" i="2" a="1"/>
  <c r="Q74" i="2" s="1"/>
  <c r="Q75" i="2" a="1"/>
  <c r="Q75" i="2" s="1"/>
  <c r="Q76" i="2" a="1"/>
  <c r="Q76" i="2" s="1"/>
  <c r="Q77" i="2" a="1"/>
  <c r="Q77" i="2" s="1"/>
  <c r="Q78" i="2" a="1"/>
  <c r="Q78" i="2" s="1"/>
  <c r="Q79" i="2" a="1"/>
  <c r="Q79" i="2" s="1"/>
  <c r="Q80" i="2" a="1"/>
  <c r="Q80" i="2" s="1"/>
  <c r="Q81" i="2" a="1"/>
  <c r="Q81" i="2" s="1"/>
  <c r="Q82" i="2" a="1"/>
  <c r="Q82" i="2" s="1"/>
  <c r="Q83" i="2" a="1"/>
  <c r="Q83" i="2" s="1"/>
  <c r="Q84" i="2" a="1"/>
  <c r="Q84" i="2" s="1"/>
  <c r="Q85" i="2" a="1"/>
  <c r="Q85" i="2" s="1"/>
  <c r="Q86" i="2" a="1"/>
  <c r="Q86" i="2" s="1"/>
  <c r="Q87" i="2" a="1"/>
  <c r="Q87" i="2" s="1"/>
  <c r="Q88" i="2" a="1"/>
  <c r="Q88" i="2" s="1"/>
  <c r="Q89" i="2" a="1"/>
  <c r="Q89" i="2" s="1"/>
  <c r="Q90" i="2" a="1"/>
  <c r="Q90" i="2" s="1"/>
  <c r="Q91" i="2" a="1"/>
  <c r="Q91" i="2" s="1"/>
  <c r="Q92" i="2" a="1"/>
  <c r="Q92" i="2" s="1"/>
  <c r="Q93" i="2" a="1"/>
  <c r="Q93" i="2" s="1"/>
  <c r="Q94" i="2" a="1"/>
  <c r="Q94" i="2" s="1"/>
  <c r="Q95" i="2" a="1"/>
  <c r="Q95" i="2" s="1"/>
  <c r="Q96" i="2" a="1"/>
  <c r="Q96" i="2" s="1"/>
  <c r="Q97" i="2" a="1"/>
  <c r="Q97" i="2" s="1"/>
  <c r="Q98" i="2" a="1"/>
  <c r="Q98" i="2" s="1"/>
  <c r="Q99" i="2" a="1"/>
  <c r="Q99" i="2" s="1"/>
  <c r="Q100" i="2" a="1"/>
  <c r="Q100" i="2" s="1"/>
  <c r="Q101" i="2" a="1"/>
  <c r="Q101" i="2" s="1"/>
  <c r="Q102" i="2" a="1"/>
  <c r="Q102" i="2" s="1"/>
  <c r="Q103" i="2" a="1"/>
  <c r="Q103" i="2" s="1"/>
  <c r="Q104" i="2" a="1"/>
  <c r="Q104" i="2" s="1"/>
  <c r="Q105" i="2" a="1"/>
  <c r="Q105" i="2" s="1"/>
  <c r="Q106" i="2" a="1"/>
  <c r="Q106" i="2" s="1"/>
  <c r="Q107" i="2" a="1"/>
  <c r="Q107" i="2" s="1"/>
  <c r="Q108" i="2" a="1"/>
  <c r="Q108" i="2" s="1"/>
  <c r="Q109" i="2" a="1"/>
  <c r="Q109" i="2" s="1"/>
  <c r="Q110" i="2" a="1"/>
  <c r="Q110" i="2" s="1"/>
  <c r="Q111" i="2" a="1"/>
  <c r="Q111" i="2" s="1"/>
  <c r="Q112" i="2" a="1"/>
  <c r="Q112" i="2" s="1"/>
  <c r="Q113" i="2" a="1"/>
  <c r="Q113" i="2" s="1"/>
  <c r="Q114" i="2" a="1"/>
  <c r="Q114" i="2" s="1"/>
  <c r="Q115" i="2" a="1"/>
  <c r="Q115" i="2" s="1"/>
  <c r="Q116" i="2" a="1"/>
  <c r="Q116" i="2" s="1"/>
  <c r="Q117" i="2" a="1"/>
  <c r="Q117" i="2" s="1"/>
  <c r="Q118" i="2" a="1"/>
  <c r="Q118" i="2" s="1"/>
  <c r="Q119" i="2" a="1"/>
  <c r="Q119" i="2" s="1"/>
  <c r="Q120" i="2" a="1"/>
  <c r="Q120" i="2" s="1"/>
  <c r="Q121" i="2" a="1"/>
  <c r="Q121" i="2" s="1"/>
  <c r="Q122" i="2" a="1"/>
  <c r="Q122" i="2" s="1"/>
  <c r="Q123" i="2" a="1"/>
  <c r="Q123" i="2" s="1"/>
  <c r="Q124" i="2" a="1"/>
  <c r="Q124" i="2" s="1"/>
  <c r="Q125" i="2" a="1"/>
  <c r="Q125" i="2" s="1"/>
  <c r="Q126" i="2" a="1"/>
  <c r="Q126" i="2" s="1"/>
  <c r="Q127" i="2" a="1"/>
  <c r="Q127" i="2" s="1"/>
  <c r="Q128" i="2" a="1"/>
  <c r="Q128" i="2" s="1"/>
  <c r="Q129" i="2" a="1"/>
  <c r="Q129" i="2" s="1"/>
  <c r="Q130" i="2" a="1"/>
  <c r="Q130" i="2" s="1"/>
  <c r="Q131" i="2" a="1"/>
  <c r="Q131" i="2" s="1"/>
  <c r="Q132" i="2" a="1"/>
  <c r="Q132" i="2" s="1"/>
  <c r="Q133" i="2" a="1"/>
  <c r="Q133" i="2" s="1"/>
  <c r="Q134" i="2" a="1"/>
  <c r="Q134" i="2" s="1"/>
  <c r="Q135" i="2" a="1"/>
  <c r="Q135" i="2" s="1"/>
  <c r="Q136" i="2" a="1"/>
  <c r="Q136" i="2" s="1"/>
  <c r="Q137" i="2" a="1"/>
  <c r="Q137" i="2" s="1"/>
  <c r="Q138" i="2" a="1"/>
  <c r="Q138" i="2" s="1"/>
  <c r="Q139" i="2" a="1"/>
  <c r="Q139" i="2" s="1"/>
  <c r="Q140" i="2" a="1"/>
  <c r="Q140" i="2" s="1"/>
  <c r="Q141" i="2" a="1"/>
  <c r="Q141" i="2" s="1"/>
  <c r="Q142" i="2" a="1"/>
  <c r="Q142" i="2" s="1"/>
  <c r="Q143" i="2" a="1"/>
  <c r="Q143" i="2" s="1"/>
  <c r="Q144" i="2" a="1"/>
  <c r="Q144" i="2" s="1"/>
  <c r="Q145" i="2" a="1"/>
  <c r="Q145" i="2" s="1"/>
  <c r="Q146" i="2" a="1"/>
  <c r="Q146" i="2" s="1"/>
  <c r="Q147" i="2" a="1"/>
  <c r="Q147" i="2" s="1"/>
  <c r="Q148" i="2" a="1"/>
  <c r="Q148" i="2" s="1"/>
  <c r="Q149" i="2" a="1"/>
  <c r="Q149" i="2" s="1"/>
  <c r="Q150" i="2" a="1"/>
  <c r="Q150" i="2" s="1"/>
  <c r="Q151" i="2" a="1"/>
  <c r="Q151" i="2" s="1"/>
  <c r="Q152" i="2" a="1"/>
  <c r="Q152" i="2" s="1"/>
  <c r="Q153" i="2" a="1"/>
  <c r="Q153" i="2" s="1"/>
  <c r="Q154" i="2" a="1"/>
  <c r="Q154" i="2" s="1"/>
  <c r="Q155" i="2" a="1"/>
  <c r="Q155" i="2" s="1"/>
  <c r="Q156" i="2" a="1"/>
  <c r="Q156" i="2" s="1"/>
  <c r="Q157" i="2" a="1"/>
  <c r="Q157" i="2" s="1"/>
  <c r="Q158" i="2" a="1"/>
  <c r="Q158" i="2" s="1"/>
  <c r="Q159" i="2" a="1"/>
  <c r="Q159" i="2" s="1"/>
  <c r="Q160" i="2" a="1"/>
  <c r="Q160" i="2" s="1"/>
  <c r="Q161" i="2" a="1"/>
  <c r="Q161" i="2" s="1"/>
  <c r="Q162" i="2" a="1"/>
  <c r="Q162" i="2" s="1"/>
  <c r="Q163" i="2" a="1"/>
  <c r="Q163" i="2" s="1"/>
  <c r="Q164" i="2" a="1"/>
  <c r="Q164" i="2" s="1"/>
  <c r="Q165" i="2" a="1"/>
  <c r="Q165" i="2" s="1"/>
  <c r="Q166" i="2" a="1"/>
  <c r="Q166" i="2" s="1"/>
  <c r="Q167" i="2" a="1"/>
  <c r="Q167" i="2" s="1"/>
  <c r="Q168" i="2" a="1"/>
  <c r="Q168" i="2" s="1"/>
  <c r="Q169" i="2" a="1"/>
  <c r="Q169" i="2" s="1"/>
  <c r="Q170" i="2" a="1"/>
  <c r="Q170" i="2" s="1"/>
  <c r="Q171" i="2" a="1"/>
  <c r="Q171" i="2" s="1"/>
  <c r="Q172" i="2" a="1"/>
  <c r="Q172" i="2" s="1"/>
  <c r="Q173" i="2" a="1"/>
  <c r="Q173" i="2" s="1"/>
  <c r="Q174" i="2" a="1"/>
  <c r="Q174" i="2" s="1"/>
  <c r="Q175" i="2" a="1"/>
  <c r="Q175" i="2" s="1"/>
  <c r="Q176" i="2" a="1"/>
  <c r="Q176" i="2" s="1"/>
  <c r="Q177" i="2" a="1"/>
  <c r="Q177" i="2" s="1"/>
  <c r="Q178" i="2" a="1"/>
  <c r="Q178" i="2" s="1"/>
  <c r="Q179" i="2" a="1"/>
  <c r="Q179" i="2" s="1"/>
  <c r="Q180" i="2" a="1"/>
  <c r="Q180" i="2" s="1"/>
  <c r="Q181" i="2" a="1"/>
  <c r="Q181" i="2" s="1"/>
  <c r="Q182" i="2" a="1"/>
  <c r="Q182" i="2" s="1"/>
  <c r="Q183" i="2" a="1"/>
  <c r="Q183" i="2" s="1"/>
  <c r="Q184" i="2" a="1"/>
  <c r="Q184" i="2" s="1"/>
  <c r="Q185" i="2" a="1"/>
  <c r="Q185" i="2" s="1"/>
  <c r="Q186" i="2" a="1"/>
  <c r="Q186" i="2" s="1"/>
  <c r="Q187" i="2" a="1"/>
  <c r="Q187" i="2" s="1"/>
  <c r="Q188" i="2" a="1"/>
  <c r="Q188" i="2" s="1"/>
  <c r="Q189" i="2" a="1"/>
  <c r="Q189" i="2" s="1"/>
  <c r="Q190" i="2" a="1"/>
  <c r="Q190" i="2" s="1"/>
  <c r="Q191" i="2" a="1"/>
  <c r="Q191" i="2" s="1"/>
  <c r="Q192" i="2" a="1"/>
  <c r="Q192" i="2" s="1"/>
  <c r="Q193" i="2" a="1"/>
  <c r="Q193" i="2" s="1"/>
  <c r="Q194" i="2" a="1"/>
  <c r="Q194" i="2" s="1"/>
  <c r="Q195" i="2" a="1"/>
  <c r="Q195" i="2" s="1"/>
  <c r="Q196" i="2" a="1"/>
  <c r="Q196" i="2" s="1"/>
  <c r="Q197" i="2" a="1"/>
  <c r="Q197" i="2" s="1"/>
  <c r="Q198" i="2" a="1"/>
  <c r="Q198" i="2" s="1"/>
  <c r="Q199" i="2" a="1"/>
  <c r="Q199" i="2" s="1"/>
  <c r="Q200" i="2" a="1"/>
  <c r="Q200" i="2" s="1"/>
  <c r="Q201" i="2" a="1"/>
  <c r="Q201" i="2" s="1"/>
  <c r="Q202" i="2" a="1"/>
  <c r="Q202" i="2" s="1"/>
  <c r="Q203" i="2" a="1"/>
  <c r="Q203" i="2" s="1"/>
  <c r="Q204" i="2" a="1"/>
  <c r="Q204" i="2" s="1"/>
  <c r="Q205" i="2" a="1"/>
  <c r="Q205" i="2" s="1"/>
  <c r="Q206" i="2" a="1"/>
  <c r="Q206" i="2" s="1"/>
  <c r="Q207" i="2" a="1"/>
  <c r="Q207" i="2" s="1"/>
  <c r="Q208" i="2" a="1"/>
  <c r="Q208" i="2" s="1"/>
  <c r="Q209" i="2" a="1"/>
  <c r="Q209" i="2" s="1"/>
  <c r="Q210" i="2" a="1"/>
  <c r="Q210" i="2" s="1"/>
  <c r="Q211" i="2" a="1"/>
  <c r="Q211" i="2" s="1"/>
  <c r="Q212" i="2" a="1"/>
  <c r="Q212" i="2" s="1"/>
  <c r="Q213" i="2" a="1"/>
  <c r="Q213" i="2" s="1"/>
  <c r="Q214" i="2" a="1"/>
  <c r="Q214" i="2" s="1"/>
  <c r="Q215" i="2" a="1"/>
  <c r="Q215" i="2" s="1"/>
  <c r="Q216" i="2" a="1"/>
  <c r="Q216" i="2" s="1"/>
  <c r="Q217" i="2" a="1"/>
  <c r="Q217" i="2" s="1"/>
  <c r="Q218" i="2" a="1"/>
  <c r="Q218" i="2" s="1"/>
  <c r="Q219" i="2" a="1"/>
  <c r="Q219" i="2" s="1"/>
  <c r="Q220" i="2" a="1"/>
  <c r="Q220" i="2" s="1"/>
  <c r="Q221" i="2" a="1"/>
  <c r="Q221" i="2" s="1"/>
  <c r="Q222" i="2" a="1"/>
  <c r="Q222" i="2" s="1"/>
  <c r="Q223" i="2" a="1"/>
  <c r="Q223" i="2" s="1"/>
  <c r="Q224" i="2" a="1"/>
  <c r="Q224" i="2" s="1"/>
  <c r="Q225" i="2" a="1"/>
  <c r="Q225" i="2" s="1"/>
  <c r="Q226" i="2" a="1"/>
  <c r="Q226" i="2" s="1"/>
  <c r="Q227" i="2" a="1"/>
  <c r="Q227" i="2" s="1"/>
  <c r="Q228" i="2" a="1"/>
  <c r="Q228" i="2" s="1"/>
  <c r="Q229" i="2" a="1"/>
  <c r="Q229" i="2" s="1"/>
  <c r="Q230" i="2" a="1"/>
  <c r="Q230" i="2" s="1"/>
  <c r="Q231" i="2" a="1"/>
  <c r="Q231" i="2" s="1"/>
  <c r="Q232" i="2" a="1"/>
  <c r="Q232" i="2" s="1"/>
  <c r="Q233" i="2" a="1"/>
  <c r="Q233" i="2" s="1"/>
  <c r="Q234" i="2" a="1"/>
  <c r="Q234" i="2" s="1"/>
  <c r="Q235" i="2" a="1"/>
  <c r="Q235" i="2" s="1"/>
  <c r="Q236" i="2" a="1"/>
  <c r="Q236" i="2" s="1"/>
  <c r="Q237" i="2" a="1"/>
  <c r="Q237" i="2" s="1"/>
  <c r="Q238" i="2" a="1"/>
  <c r="Q238" i="2" s="1"/>
  <c r="Q239" i="2" a="1"/>
  <c r="Q239" i="2" s="1"/>
  <c r="Q240" i="2" a="1"/>
  <c r="Q240" i="2" s="1"/>
  <c r="Q241" i="2" a="1"/>
  <c r="Q241" i="2" s="1"/>
  <c r="Q242" i="2" a="1"/>
  <c r="Q242" i="2" s="1"/>
  <c r="Q243" i="2" a="1"/>
  <c r="Q243" i="2" s="1"/>
  <c r="Q244" i="2" a="1"/>
  <c r="Q244" i="2" s="1"/>
  <c r="Q245" i="2" a="1"/>
  <c r="Q245" i="2" s="1"/>
  <c r="Q246" i="2" a="1"/>
  <c r="Q246" i="2" s="1"/>
  <c r="Q247" i="2" a="1"/>
  <c r="Q247" i="2" s="1"/>
  <c r="Q248" i="2" a="1"/>
  <c r="Q248" i="2" s="1"/>
  <c r="Q249" i="2" a="1"/>
  <c r="Q249" i="2" s="1"/>
  <c r="Q250" i="2" a="1"/>
  <c r="Q250" i="2" s="1"/>
  <c r="Q251" i="2" a="1"/>
  <c r="Q251" i="2" s="1"/>
  <c r="Q252" i="2" a="1"/>
  <c r="Q252" i="2" s="1"/>
  <c r="Q253" i="2" a="1"/>
  <c r="Q253" i="2" s="1"/>
  <c r="Q254" i="2" a="1"/>
  <c r="Q254" i="2" s="1"/>
  <c r="Q255" i="2" a="1"/>
  <c r="Q255" i="2" s="1"/>
  <c r="Q256" i="2" a="1"/>
  <c r="Q256" i="2" s="1"/>
  <c r="Q257" i="2" a="1"/>
  <c r="Q257" i="2" s="1"/>
  <c r="Q258" i="2" a="1"/>
  <c r="Q258" i="2" s="1"/>
  <c r="Q259" i="2" a="1"/>
  <c r="Q259" i="2" s="1"/>
  <c r="Q260" i="2" a="1"/>
  <c r="Q260" i="2" s="1"/>
  <c r="Q261" i="2" a="1"/>
  <c r="Q261" i="2" s="1"/>
  <c r="Q262" i="2" a="1"/>
  <c r="Q262" i="2" s="1"/>
  <c r="Q263" i="2" a="1"/>
  <c r="Q263" i="2" s="1"/>
  <c r="Q264" i="2" a="1"/>
  <c r="Q264" i="2" s="1"/>
  <c r="Q265" i="2" a="1"/>
  <c r="Q265" i="2" s="1"/>
  <c r="Q266" i="2" a="1"/>
  <c r="Q266" i="2" s="1"/>
  <c r="Q267" i="2" a="1"/>
  <c r="Q267" i="2" s="1"/>
  <c r="Q268" i="2" a="1"/>
  <c r="Q268" i="2" s="1"/>
  <c r="Q269" i="2" a="1"/>
  <c r="Q269" i="2" s="1"/>
  <c r="Q270" i="2" a="1"/>
  <c r="Q270" i="2" s="1"/>
  <c r="Q271" i="2" a="1"/>
  <c r="Q271" i="2" s="1"/>
  <c r="Q272" i="2" a="1"/>
  <c r="Q272" i="2" s="1"/>
  <c r="Q273" i="2" a="1"/>
  <c r="Q273" i="2" s="1"/>
  <c r="Q274" i="2" a="1"/>
  <c r="Q274" i="2" s="1"/>
  <c r="Q275" i="2" a="1"/>
  <c r="Q275" i="2" s="1"/>
  <c r="Q276" i="2" a="1"/>
  <c r="Q276" i="2" s="1"/>
  <c r="Q277" i="2" a="1"/>
  <c r="Q277" i="2" s="1"/>
  <c r="Q278" i="2" a="1"/>
  <c r="Q278" i="2" s="1"/>
  <c r="Q279" i="2" a="1"/>
  <c r="Q279" i="2" s="1"/>
  <c r="Q280" i="2" a="1"/>
  <c r="Q280" i="2" s="1"/>
  <c r="Q281" i="2" a="1"/>
  <c r="Q281" i="2" s="1"/>
  <c r="Q282" i="2" a="1"/>
  <c r="Q282" i="2" s="1"/>
  <c r="Q283" i="2" a="1"/>
  <c r="Q283" i="2" s="1"/>
  <c r="Q284" i="2" a="1"/>
  <c r="Q284" i="2" s="1"/>
  <c r="Q285" i="2" a="1"/>
  <c r="Q285" i="2" s="1"/>
  <c r="Q286" i="2" a="1"/>
  <c r="Q286" i="2" s="1"/>
  <c r="Q287" i="2" a="1"/>
  <c r="Q287" i="2" s="1"/>
  <c r="Q288" i="2" a="1"/>
  <c r="Q288" i="2" s="1"/>
  <c r="Q289" i="2" a="1"/>
  <c r="Q289" i="2" s="1"/>
  <c r="Q290" i="2" a="1"/>
  <c r="Q290" i="2" s="1"/>
  <c r="Q291" i="2" a="1"/>
  <c r="Q291" i="2" s="1"/>
  <c r="Q292" i="2" a="1"/>
  <c r="Q292" i="2" s="1"/>
  <c r="Q293" i="2" a="1"/>
  <c r="Q293" i="2" s="1"/>
  <c r="Q294" i="2" a="1"/>
  <c r="Q294" i="2" s="1"/>
  <c r="Q295" i="2" a="1"/>
  <c r="Q295" i="2" s="1"/>
  <c r="Q296" i="2" a="1"/>
  <c r="Q296" i="2" s="1"/>
  <c r="Q297" i="2" a="1"/>
  <c r="Q297" i="2" s="1"/>
  <c r="Q298" i="2" a="1"/>
  <c r="Q298" i="2" s="1"/>
  <c r="Q299" i="2" a="1"/>
  <c r="Q299" i="2" s="1"/>
  <c r="Q300" i="2" a="1"/>
  <c r="Q300" i="2" s="1"/>
  <c r="Q301" i="2" a="1"/>
  <c r="Q301" i="2" s="1"/>
  <c r="Q302" i="2" a="1"/>
  <c r="Q302" i="2" s="1"/>
  <c r="Q303" i="2" a="1"/>
  <c r="Q303" i="2" s="1"/>
  <c r="Q304" i="2" a="1"/>
  <c r="Q304" i="2" s="1"/>
  <c r="Q305" i="2" a="1"/>
  <c r="Q305" i="2" s="1"/>
  <c r="Q306" i="2" a="1"/>
  <c r="Q306" i="2" s="1"/>
  <c r="Q307" i="2" a="1"/>
  <c r="Q307" i="2" s="1"/>
  <c r="Q308" i="2" a="1"/>
  <c r="Q308" i="2" s="1"/>
  <c r="Q309" i="2" a="1"/>
  <c r="Q309" i="2" s="1"/>
  <c r="Q310" i="2" a="1"/>
  <c r="Q310" i="2" s="1"/>
  <c r="Q311" i="2" a="1"/>
  <c r="Q311" i="2" s="1"/>
  <c r="Q312" i="2" a="1"/>
  <c r="Q312" i="2" s="1"/>
  <c r="Q313" i="2" a="1"/>
  <c r="Q313" i="2" s="1"/>
  <c r="Q314" i="2" a="1"/>
  <c r="Q314" i="2" s="1"/>
  <c r="Q315" i="2" a="1"/>
  <c r="Q315" i="2" s="1"/>
  <c r="Q316" i="2" a="1"/>
  <c r="Q316" i="2" s="1"/>
  <c r="Q317" i="2" a="1"/>
  <c r="Q317" i="2" s="1"/>
  <c r="Q318" i="2" a="1"/>
  <c r="Q318" i="2" s="1"/>
  <c r="Q319" i="2" a="1"/>
  <c r="Q319" i="2" s="1"/>
  <c r="Q320" i="2" a="1"/>
  <c r="Q320" i="2" s="1"/>
  <c r="Q321" i="2" a="1"/>
  <c r="Q321" i="2" s="1"/>
  <c r="Q322" i="2" a="1"/>
  <c r="Q322" i="2" s="1"/>
  <c r="Q323" i="2" a="1"/>
  <c r="Q323" i="2" s="1"/>
  <c r="Q324" i="2" a="1"/>
  <c r="Q324" i="2" s="1"/>
  <c r="Q325" i="2" a="1"/>
  <c r="Q325" i="2" s="1"/>
  <c r="Q326" i="2" a="1"/>
  <c r="Q326" i="2" s="1"/>
  <c r="Q327" i="2" a="1"/>
  <c r="Q327" i="2" s="1"/>
  <c r="Q328" i="2" a="1"/>
  <c r="Q328" i="2" s="1"/>
  <c r="Q329" i="2" a="1"/>
  <c r="Q329" i="2" s="1"/>
  <c r="Q330" i="2" a="1"/>
  <c r="Q330" i="2" s="1"/>
  <c r="Q331" i="2" a="1"/>
  <c r="Q331" i="2" s="1"/>
  <c r="Q332" i="2" a="1"/>
  <c r="Q332" i="2" s="1"/>
  <c r="Q333" i="2" a="1"/>
  <c r="Q333" i="2" s="1"/>
  <c r="Q334" i="2" a="1"/>
  <c r="Q334" i="2" s="1"/>
  <c r="Q335" i="2" a="1"/>
  <c r="Q335" i="2" s="1"/>
  <c r="Q336" i="2" a="1"/>
  <c r="Q336" i="2" s="1"/>
  <c r="Q337" i="2" a="1"/>
  <c r="Q337" i="2" s="1"/>
  <c r="Q338" i="2" a="1"/>
  <c r="Q338" i="2" s="1"/>
  <c r="Q339" i="2" a="1"/>
  <c r="Q339" i="2" s="1"/>
  <c r="Q340" i="2" a="1"/>
  <c r="Q340" i="2" s="1"/>
  <c r="Q341" i="2" a="1"/>
  <c r="Q341" i="2" s="1"/>
  <c r="Q342" i="2" a="1"/>
  <c r="Q342" i="2" s="1"/>
  <c r="Q343" i="2" a="1"/>
  <c r="Q343" i="2" s="1"/>
  <c r="Q344" i="2" a="1"/>
  <c r="Q344" i="2" s="1"/>
  <c r="Q345" i="2" a="1"/>
  <c r="Q345" i="2" s="1"/>
  <c r="Q346" i="2" a="1"/>
  <c r="Q346" i="2" s="1"/>
  <c r="Q347" i="2" a="1"/>
  <c r="Q347" i="2" s="1"/>
  <c r="Q348" i="2" a="1"/>
  <c r="Q348" i="2" s="1"/>
  <c r="Q349" i="2" a="1"/>
  <c r="Q349" i="2" s="1"/>
  <c r="Q350" i="2" a="1"/>
  <c r="Q350" i="2" s="1"/>
  <c r="Q351" i="2" a="1"/>
  <c r="Q351" i="2" s="1"/>
  <c r="Q352" i="2" a="1"/>
  <c r="Q352" i="2" s="1"/>
  <c r="Q353" i="2" a="1"/>
  <c r="Q353" i="2" s="1"/>
  <c r="Q354" i="2" a="1"/>
  <c r="Q354" i="2" s="1"/>
  <c r="Q355" i="2" a="1"/>
  <c r="Q355" i="2" s="1"/>
  <c r="Q356" i="2" a="1"/>
  <c r="Q356" i="2" s="1"/>
  <c r="Q357" i="2" a="1"/>
  <c r="Q357" i="2" s="1"/>
  <c r="Q358" i="2" a="1"/>
  <c r="Q358" i="2" s="1"/>
  <c r="Q359" i="2" a="1"/>
  <c r="Q359" i="2" s="1"/>
  <c r="Q360" i="2" a="1"/>
  <c r="Q360" i="2" s="1"/>
  <c r="Q361" i="2" a="1"/>
  <c r="Q361" i="2" s="1"/>
  <c r="Q362" i="2" a="1"/>
  <c r="Q362" i="2" s="1"/>
  <c r="Q363" i="2" a="1"/>
  <c r="Q363" i="2" s="1"/>
  <c r="Q364" i="2" a="1"/>
  <c r="Q364" i="2" s="1"/>
  <c r="Q365" i="2" a="1"/>
  <c r="Q365" i="2" s="1"/>
  <c r="Q366" i="2" a="1"/>
  <c r="Q366" i="2" s="1"/>
  <c r="Q367" i="2" a="1"/>
  <c r="Q367" i="2" s="1"/>
  <c r="Q368" i="2" a="1"/>
  <c r="Q368" i="2" s="1"/>
  <c r="Q369" i="2" a="1"/>
  <c r="Q369" i="2" s="1"/>
  <c r="Q370" i="2" a="1"/>
  <c r="Q370" i="2" s="1"/>
  <c r="Q371" i="2" a="1"/>
  <c r="Q371" i="2" s="1"/>
  <c r="Q372" i="2" a="1"/>
  <c r="Q372" i="2" s="1"/>
  <c r="Q373" i="2" a="1"/>
  <c r="Q373" i="2" s="1"/>
  <c r="Q374" i="2" a="1"/>
  <c r="Q374" i="2" s="1"/>
  <c r="Q375" i="2" a="1"/>
  <c r="Q375" i="2" s="1"/>
  <c r="Q376" i="2" a="1"/>
  <c r="Q376" i="2" s="1"/>
  <c r="Q377" i="2" a="1"/>
  <c r="Q377" i="2" s="1"/>
  <c r="Q378" i="2" a="1"/>
  <c r="Q378" i="2" s="1"/>
  <c r="Q379" i="2" a="1"/>
  <c r="Q379" i="2" s="1"/>
  <c r="Q380" i="2" a="1"/>
  <c r="Q380" i="2" s="1"/>
  <c r="Q381" i="2" a="1"/>
  <c r="Q381" i="2" s="1"/>
  <c r="Q382" i="2" a="1"/>
  <c r="Q382" i="2" s="1"/>
  <c r="Q383" i="2" a="1"/>
  <c r="Q383" i="2" s="1"/>
  <c r="Q384" i="2" a="1"/>
  <c r="Q384" i="2" s="1"/>
  <c r="Q385" i="2" a="1"/>
  <c r="Q385" i="2" s="1"/>
  <c r="Q386" i="2" a="1"/>
  <c r="Q386" i="2" s="1"/>
  <c r="Q387" i="2" a="1"/>
  <c r="Q387" i="2" s="1"/>
  <c r="Q388" i="2" a="1"/>
  <c r="Q388" i="2" s="1"/>
  <c r="Q389" i="2" a="1"/>
  <c r="Q389" i="2" s="1"/>
  <c r="Q390" i="2" a="1"/>
  <c r="Q390" i="2" s="1"/>
  <c r="Q391" i="2" a="1"/>
  <c r="Q391" i="2" s="1"/>
  <c r="Q392" i="2" a="1"/>
  <c r="Q392" i="2" s="1"/>
  <c r="Q393" i="2" a="1"/>
  <c r="Q393" i="2" s="1"/>
  <c r="Q394" i="2" a="1"/>
  <c r="Q394" i="2" s="1"/>
  <c r="Q395" i="2" a="1"/>
  <c r="Q395" i="2" s="1"/>
  <c r="Q396" i="2" a="1"/>
  <c r="Q396" i="2" s="1"/>
  <c r="Q397" i="2" a="1"/>
  <c r="Q397" i="2" s="1"/>
  <c r="Q398" i="2" a="1"/>
  <c r="Q398" i="2" s="1"/>
  <c r="Q399" i="2" a="1"/>
  <c r="Q399" i="2" s="1"/>
  <c r="Q400" i="2" a="1"/>
  <c r="Q400" i="2" s="1"/>
  <c r="Q401" i="2" a="1"/>
  <c r="Q401" i="2" s="1"/>
  <c r="Q402" i="2" a="1"/>
  <c r="Q402" i="2" s="1"/>
  <c r="Q403" i="2" a="1"/>
  <c r="Q403" i="2" s="1"/>
  <c r="Q404" i="2" a="1"/>
  <c r="Q404" i="2" s="1"/>
  <c r="Q405" i="2" a="1"/>
  <c r="Q405" i="2" s="1"/>
  <c r="Q406" i="2" a="1"/>
  <c r="Q406" i="2" s="1"/>
  <c r="Q407" i="2" a="1"/>
  <c r="Q407" i="2" s="1"/>
  <c r="Q408" i="2" a="1"/>
  <c r="Q408" i="2" s="1"/>
  <c r="Q409" i="2" a="1"/>
  <c r="Q409" i="2" s="1"/>
  <c r="Q410" i="2" a="1"/>
  <c r="Q410" i="2" s="1"/>
  <c r="Q411" i="2" a="1"/>
  <c r="Q411" i="2" s="1"/>
  <c r="Q412" i="2" a="1"/>
  <c r="Q412" i="2" s="1"/>
  <c r="Q413" i="2" a="1"/>
  <c r="Q413" i="2" s="1"/>
  <c r="Q414" i="2" a="1"/>
  <c r="Q414" i="2" s="1"/>
  <c r="Q415" i="2" a="1"/>
  <c r="Q415" i="2" s="1"/>
  <c r="Q416" i="2" a="1"/>
  <c r="Q416" i="2" s="1"/>
  <c r="Q417" i="2" a="1"/>
  <c r="Q417" i="2" s="1"/>
  <c r="Q418" i="2" a="1"/>
  <c r="Q418" i="2" s="1"/>
  <c r="Q419" i="2" a="1"/>
  <c r="Q419" i="2" s="1"/>
  <c r="Q420" i="2" a="1"/>
  <c r="Q420" i="2" s="1"/>
  <c r="Q421" i="2" a="1"/>
  <c r="Q421" i="2" s="1"/>
  <c r="Q422" i="2" a="1"/>
  <c r="Q422" i="2" s="1"/>
  <c r="Q423" i="2" a="1"/>
  <c r="Q423" i="2" s="1"/>
  <c r="Q424" i="2" a="1"/>
  <c r="Q424" i="2" s="1"/>
  <c r="Q425" i="2" a="1"/>
  <c r="Q425" i="2" s="1"/>
  <c r="Q426" i="2" a="1"/>
  <c r="Q426" i="2" s="1"/>
  <c r="Q427" i="2" a="1"/>
  <c r="Q427" i="2" s="1"/>
  <c r="Q428" i="2" a="1"/>
  <c r="Q428" i="2" s="1"/>
  <c r="Q429" i="2" a="1"/>
  <c r="Q429" i="2" s="1"/>
  <c r="Q430" i="2" a="1"/>
  <c r="Q430" i="2" s="1"/>
  <c r="Q431" i="2" a="1"/>
  <c r="Q431" i="2" s="1"/>
  <c r="Q432" i="2" a="1"/>
  <c r="Q432" i="2" s="1"/>
  <c r="Q433" i="2" a="1"/>
  <c r="Q433" i="2" s="1"/>
  <c r="Q434" i="2" a="1"/>
  <c r="Q434" i="2" s="1"/>
  <c r="Q435" i="2" a="1"/>
  <c r="Q435" i="2" s="1"/>
  <c r="Q436" i="2" a="1"/>
  <c r="Q436" i="2" s="1"/>
  <c r="Q437" i="2" a="1"/>
  <c r="Q437" i="2" s="1"/>
  <c r="Q438" i="2" a="1"/>
  <c r="Q438" i="2" s="1"/>
  <c r="Q439" i="2" a="1"/>
  <c r="Q439" i="2" s="1"/>
  <c r="Q440" i="2" a="1"/>
  <c r="Q440" i="2" s="1"/>
  <c r="Q441" i="2" a="1"/>
  <c r="Q441" i="2" s="1"/>
  <c r="Q442" i="2" a="1"/>
  <c r="Q442" i="2" s="1"/>
  <c r="Q443" i="2" a="1"/>
  <c r="Q443" i="2" s="1"/>
  <c r="Q444" i="2" a="1"/>
  <c r="Q444" i="2" s="1"/>
  <c r="Q445" i="2" a="1"/>
  <c r="Q445" i="2" s="1"/>
  <c r="Q446" i="2" a="1"/>
  <c r="Q446" i="2" s="1"/>
  <c r="Q447" i="2" a="1"/>
  <c r="Q447" i="2" s="1"/>
  <c r="Q448" i="2" a="1"/>
  <c r="Q448" i="2" s="1"/>
  <c r="Q449" i="2" a="1"/>
  <c r="Q449" i="2" s="1"/>
  <c r="Q450" i="2" a="1"/>
  <c r="Q450" i="2" s="1"/>
  <c r="Q451" i="2" a="1"/>
  <c r="Q451" i="2" s="1"/>
  <c r="Q452" i="2" a="1"/>
  <c r="Q452" i="2" s="1"/>
  <c r="Q453" i="2" a="1"/>
  <c r="Q453" i="2" s="1"/>
  <c r="Q454" i="2" a="1"/>
  <c r="Q454" i="2" s="1"/>
  <c r="Q455" i="2" a="1"/>
  <c r="Q455" i="2" s="1"/>
  <c r="Q456" i="2" a="1"/>
  <c r="Q456" i="2" s="1"/>
  <c r="Q457" i="2" a="1"/>
  <c r="Q457" i="2" s="1"/>
  <c r="Q458" i="2" a="1"/>
  <c r="Q458" i="2" s="1"/>
  <c r="Q459" i="2" a="1"/>
  <c r="Q459" i="2" s="1"/>
  <c r="Q460" i="2" a="1"/>
  <c r="Q460" i="2" s="1"/>
  <c r="Q461" i="2" a="1"/>
  <c r="Q461" i="2" s="1"/>
  <c r="Q462" i="2" a="1"/>
  <c r="Q462" i="2" s="1"/>
  <c r="Q463" i="2" a="1"/>
  <c r="Q463" i="2" s="1"/>
  <c r="Q464" i="2" a="1"/>
  <c r="Q464" i="2" s="1"/>
  <c r="Q465" i="2" a="1"/>
  <c r="Q465" i="2" s="1"/>
  <c r="Q466" i="2" a="1"/>
  <c r="Q466" i="2" s="1"/>
  <c r="Q467" i="2" a="1"/>
  <c r="Q467" i="2" s="1"/>
  <c r="Q468" i="2" a="1"/>
  <c r="Q468" i="2" s="1"/>
  <c r="Q469" i="2" a="1"/>
  <c r="Q469" i="2" s="1"/>
  <c r="Q470" i="2" a="1"/>
  <c r="Q470" i="2" s="1"/>
  <c r="Q471" i="2" a="1"/>
  <c r="Q471" i="2" s="1"/>
  <c r="Q472" i="2" a="1"/>
  <c r="Q472" i="2" s="1"/>
  <c r="Q473" i="2" a="1"/>
  <c r="Q473" i="2" s="1"/>
  <c r="Q474" i="2" a="1"/>
  <c r="Q474" i="2" s="1"/>
  <c r="Q475" i="2" a="1"/>
  <c r="Q475" i="2" s="1"/>
  <c r="Q476" i="2" a="1"/>
  <c r="Q476" i="2" s="1"/>
  <c r="Q477" i="2" a="1"/>
  <c r="Q477" i="2" s="1"/>
  <c r="Q478" i="2" a="1"/>
  <c r="Q478" i="2" s="1"/>
  <c r="Q479" i="2" a="1"/>
  <c r="Q479" i="2" s="1"/>
  <c r="Q480" i="2" a="1"/>
  <c r="Q480" i="2" s="1"/>
  <c r="Q481" i="2" a="1"/>
  <c r="Q481" i="2" s="1"/>
  <c r="Q482" i="2" a="1"/>
  <c r="Q482" i="2" s="1"/>
  <c r="Q483" i="2" a="1"/>
  <c r="Q483" i="2" s="1"/>
  <c r="Q484" i="2" a="1"/>
  <c r="Q484" i="2" s="1"/>
  <c r="Q485" i="2" a="1"/>
  <c r="Q485" i="2" s="1"/>
  <c r="Q486" i="2" a="1"/>
  <c r="Q486" i="2" s="1"/>
  <c r="Q487" i="2" a="1"/>
  <c r="Q487" i="2" s="1"/>
  <c r="Q488" i="2" a="1"/>
  <c r="Q488" i="2" s="1"/>
  <c r="Q489" i="2" a="1"/>
  <c r="Q489" i="2" s="1"/>
  <c r="Q490" i="2" a="1"/>
  <c r="Q490" i="2" s="1"/>
  <c r="Q491" i="2" a="1"/>
  <c r="Q491" i="2" s="1"/>
  <c r="Q492" i="2" a="1"/>
  <c r="Q492" i="2" s="1"/>
  <c r="Q493" i="2" a="1"/>
  <c r="Q493" i="2" s="1"/>
  <c r="Q494" i="2" a="1"/>
  <c r="Q494" i="2" s="1"/>
  <c r="Q495" i="2" a="1"/>
  <c r="Q495" i="2" s="1"/>
  <c r="Q496" i="2" a="1"/>
  <c r="Q496" i="2" s="1"/>
  <c r="Q497" i="2" a="1"/>
  <c r="Q497" i="2" s="1"/>
  <c r="Q498" i="2" a="1"/>
  <c r="Q498" i="2" s="1"/>
  <c r="Q499" i="2" a="1"/>
  <c r="Q499" i="2" s="1"/>
  <c r="Q500" i="2" a="1"/>
  <c r="Q500" i="2" s="1"/>
  <c r="Q501" i="2" a="1"/>
  <c r="Q501" i="2" s="1"/>
  <c r="Q502" i="2" a="1"/>
  <c r="Q502" i="2" s="1"/>
  <c r="Q503" i="2" a="1"/>
  <c r="Q503" i="2" s="1"/>
  <c r="Q504" i="2" a="1"/>
  <c r="Q504" i="2" s="1"/>
  <c r="Q505" i="2" a="1"/>
  <c r="Q505" i="2" s="1"/>
  <c r="Q506" i="2" a="1"/>
  <c r="Q506" i="2" s="1"/>
  <c r="Q507" i="2" a="1"/>
  <c r="Q507" i="2" s="1"/>
  <c r="Q508" i="2" a="1"/>
  <c r="Q508" i="2" s="1"/>
  <c r="Q509" i="2" a="1"/>
  <c r="Q509" i="2" s="1"/>
  <c r="Q510" i="2" a="1"/>
  <c r="Q510" i="2" s="1"/>
  <c r="Q511" i="2" a="1"/>
  <c r="Q511" i="2" s="1"/>
  <c r="Q512" i="2" a="1"/>
  <c r="Q512" i="2" s="1"/>
  <c r="Q513" i="2" a="1"/>
  <c r="Q513" i="2" s="1"/>
  <c r="Q514" i="2" a="1"/>
  <c r="Q514" i="2" s="1"/>
  <c r="Q515" i="2" a="1"/>
  <c r="Q515" i="2" s="1"/>
  <c r="Q516" i="2" a="1"/>
  <c r="Q516" i="2" s="1"/>
  <c r="Q517" i="2" a="1"/>
  <c r="Q517" i="2" s="1"/>
  <c r="Q518" i="2" a="1"/>
  <c r="Q518" i="2" s="1"/>
  <c r="Q519" i="2" a="1"/>
  <c r="Q519" i="2" s="1"/>
  <c r="Q520" i="2" a="1"/>
  <c r="Q520" i="2" s="1"/>
  <c r="Q521" i="2" a="1"/>
  <c r="Q521" i="2" s="1"/>
  <c r="Q522" i="2" a="1"/>
  <c r="Q522" i="2" s="1"/>
  <c r="Q523" i="2" a="1"/>
  <c r="Q523" i="2" s="1"/>
  <c r="Q524" i="2" a="1"/>
  <c r="Q524" i="2" s="1"/>
  <c r="Q525" i="2" a="1"/>
  <c r="Q525" i="2" s="1"/>
  <c r="Q526" i="2" a="1"/>
  <c r="Q526" i="2" s="1"/>
  <c r="Q527" i="2" a="1"/>
  <c r="Q527" i="2" s="1"/>
  <c r="Q528" i="2" a="1"/>
  <c r="Q528" i="2" s="1"/>
  <c r="Q529" i="2" a="1"/>
  <c r="Q529" i="2" s="1"/>
  <c r="Q530" i="2" a="1"/>
  <c r="Q530" i="2" s="1"/>
  <c r="Q531" i="2" a="1"/>
  <c r="Q531" i="2" s="1"/>
  <c r="Q532" i="2" a="1"/>
  <c r="Q532" i="2" s="1"/>
  <c r="Q533" i="2" a="1"/>
  <c r="Q533" i="2" s="1"/>
  <c r="Q534" i="2" a="1"/>
  <c r="Q534" i="2" s="1"/>
  <c r="Q535" i="2" a="1"/>
  <c r="Q535" i="2" s="1"/>
  <c r="Q536" i="2" a="1"/>
  <c r="Q536" i="2" s="1"/>
  <c r="Q537" i="2" a="1"/>
  <c r="Q537" i="2" s="1"/>
  <c r="Q538" i="2" a="1"/>
  <c r="Q538" i="2" s="1"/>
  <c r="Q539" i="2" a="1"/>
  <c r="Q539" i="2" s="1"/>
  <c r="Q540" i="2" a="1"/>
  <c r="Q540" i="2" s="1"/>
  <c r="Q541" i="2" a="1"/>
  <c r="Q541" i="2" s="1"/>
  <c r="Q542" i="2" a="1"/>
  <c r="Q542" i="2" s="1"/>
  <c r="Q543" i="2" a="1"/>
  <c r="Q543" i="2" s="1"/>
  <c r="Q544" i="2" a="1"/>
  <c r="Q544" i="2" s="1"/>
  <c r="Q545" i="2" a="1"/>
  <c r="Q545" i="2" s="1"/>
  <c r="Q546" i="2" a="1"/>
  <c r="Q546" i="2" s="1"/>
  <c r="Q547" i="2" a="1"/>
  <c r="Q547" i="2" s="1"/>
  <c r="Q548" i="2" a="1"/>
  <c r="Q548" i="2" s="1"/>
  <c r="Q549" i="2" a="1"/>
  <c r="Q549" i="2" s="1"/>
  <c r="Q550" i="2" a="1"/>
  <c r="Q550" i="2" s="1"/>
  <c r="Q551" i="2" a="1"/>
  <c r="Q551" i="2" s="1"/>
  <c r="Q552" i="2" a="1"/>
  <c r="Q552" i="2" s="1"/>
  <c r="Q553" i="2" a="1"/>
  <c r="Q553" i="2" s="1"/>
  <c r="Q554" i="2" a="1"/>
  <c r="Q554" i="2" s="1"/>
  <c r="Q555" i="2" a="1"/>
  <c r="Q555" i="2" s="1"/>
  <c r="Q556" i="2" a="1"/>
  <c r="Q556" i="2" s="1"/>
  <c r="Q557" i="2" a="1"/>
  <c r="Q557" i="2" s="1"/>
  <c r="Q558" i="2" a="1"/>
  <c r="Q558" i="2" s="1"/>
  <c r="Q559" i="2" a="1"/>
  <c r="Q559" i="2" s="1"/>
  <c r="Q560" i="2" a="1"/>
  <c r="Q560" i="2" s="1"/>
  <c r="Q561" i="2" a="1"/>
  <c r="Q561" i="2" s="1"/>
  <c r="Q562" i="2" a="1"/>
  <c r="Q562" i="2" s="1"/>
  <c r="Q563" i="2" a="1"/>
  <c r="Q563" i="2" s="1"/>
  <c r="Q564" i="2" a="1"/>
  <c r="Q564" i="2" s="1"/>
  <c r="Q565" i="2" a="1"/>
  <c r="Q565" i="2" s="1"/>
  <c r="Q566" i="2" a="1"/>
  <c r="Q566" i="2" s="1"/>
  <c r="Q567" i="2" a="1"/>
  <c r="Q567" i="2" s="1"/>
  <c r="Q568" i="2" a="1"/>
  <c r="Q568" i="2" s="1"/>
  <c r="Q569" i="2" a="1"/>
  <c r="Q569" i="2" s="1"/>
  <c r="Q570" i="2" a="1"/>
  <c r="Q570" i="2" s="1"/>
  <c r="Q571" i="2" a="1"/>
  <c r="Q571" i="2" s="1"/>
  <c r="Q572" i="2" a="1"/>
  <c r="Q572" i="2" s="1"/>
  <c r="Q573" i="2" a="1"/>
  <c r="Q573" i="2" s="1"/>
  <c r="Q574" i="2" a="1"/>
  <c r="Q574" i="2" s="1"/>
  <c r="Q575" i="2" a="1"/>
  <c r="Q575" i="2" s="1"/>
  <c r="Q576" i="2" a="1"/>
  <c r="Q576" i="2" s="1"/>
  <c r="Q577" i="2" a="1"/>
  <c r="Q577" i="2" s="1"/>
  <c r="Q578" i="2" a="1"/>
  <c r="Q578" i="2" s="1"/>
  <c r="Q579" i="2" a="1"/>
  <c r="Q579" i="2" s="1"/>
  <c r="Q580" i="2" a="1"/>
  <c r="Q580" i="2" s="1"/>
  <c r="Q581" i="2" a="1"/>
  <c r="Q581" i="2" s="1"/>
  <c r="Q582" i="2" a="1"/>
  <c r="Q582" i="2" s="1"/>
  <c r="Q583" i="2" a="1"/>
  <c r="Q583" i="2" s="1"/>
  <c r="Q584" i="2" a="1"/>
  <c r="Q584" i="2" s="1"/>
  <c r="Q585" i="2" a="1"/>
  <c r="Q585" i="2" s="1"/>
  <c r="Q586" i="2" a="1"/>
  <c r="Q586" i="2" s="1"/>
  <c r="Q587" i="2" a="1"/>
  <c r="Q587" i="2" s="1"/>
  <c r="Q588" i="2" a="1"/>
  <c r="Q588" i="2" s="1"/>
  <c r="Q589" i="2" a="1"/>
  <c r="Q589" i="2" s="1"/>
  <c r="Q590" i="2" a="1"/>
  <c r="Q590" i="2" s="1"/>
  <c r="Q591" i="2" a="1"/>
  <c r="Q591" i="2" s="1"/>
  <c r="Q592" i="2" a="1"/>
  <c r="Q592" i="2" s="1"/>
  <c r="Q593" i="2" a="1"/>
  <c r="Q593" i="2" s="1"/>
  <c r="Q594" i="2" a="1"/>
  <c r="Q594" i="2" s="1"/>
  <c r="Q595" i="2" a="1"/>
  <c r="Q595" i="2" s="1"/>
  <c r="Q596" i="2" a="1"/>
  <c r="Q596" i="2" s="1"/>
  <c r="Q597" i="2" a="1"/>
  <c r="Q597" i="2" s="1"/>
  <c r="Q598" i="2" a="1"/>
  <c r="Q598" i="2" s="1"/>
  <c r="Q599" i="2" a="1"/>
  <c r="Q599" i="2" s="1"/>
  <c r="Q600" i="2" a="1"/>
  <c r="Q600" i="2" s="1"/>
  <c r="Q601" i="2" a="1"/>
  <c r="Q601" i="2" s="1"/>
  <c r="Q602" i="2" a="1"/>
  <c r="Q602" i="2" s="1"/>
  <c r="Q603" i="2" a="1"/>
  <c r="Q603" i="2" s="1"/>
  <c r="Q604" i="2" a="1"/>
  <c r="Q604" i="2" s="1"/>
  <c r="Q605" i="2" a="1"/>
  <c r="Q605" i="2" s="1"/>
  <c r="Q606" i="2" a="1"/>
  <c r="Q606" i="2" s="1"/>
  <c r="Q607" i="2" a="1"/>
  <c r="Q607" i="2" s="1"/>
  <c r="Q608" i="2" a="1"/>
  <c r="Q608" i="2" s="1"/>
  <c r="Q609" i="2" a="1"/>
  <c r="Q609" i="2" s="1"/>
  <c r="Q610" i="2" a="1"/>
  <c r="Q610" i="2" s="1"/>
  <c r="Q611" i="2" a="1"/>
  <c r="Q611" i="2" s="1"/>
  <c r="Q612" i="2" a="1"/>
  <c r="Q612" i="2" s="1"/>
  <c r="Q613" i="2" a="1"/>
  <c r="Q613" i="2" s="1"/>
  <c r="Q614" i="2" a="1"/>
  <c r="Q614" i="2" s="1"/>
  <c r="Q615" i="2" a="1"/>
  <c r="Q615" i="2" s="1"/>
  <c r="Q616" i="2" a="1"/>
  <c r="Q616" i="2" s="1"/>
  <c r="Q617" i="2" a="1"/>
  <c r="Q617" i="2" s="1"/>
  <c r="Q618" i="2" a="1"/>
  <c r="Q618" i="2" s="1"/>
  <c r="Q619" i="2" a="1"/>
  <c r="Q619" i="2" s="1"/>
  <c r="Q620" i="2" a="1"/>
  <c r="Q620" i="2" s="1"/>
  <c r="Q621" i="2" a="1"/>
  <c r="Q621" i="2" s="1"/>
  <c r="Q622" i="2" a="1"/>
  <c r="Q622" i="2" s="1"/>
  <c r="Q623" i="2" a="1"/>
  <c r="Q623" i="2" s="1"/>
  <c r="Q624" i="2" a="1"/>
  <c r="Q624" i="2" s="1"/>
  <c r="Q625" i="2" a="1"/>
  <c r="Q625" i="2" s="1"/>
  <c r="Q626" i="2" a="1"/>
  <c r="Q626" i="2" s="1"/>
  <c r="Q627" i="2" a="1"/>
  <c r="Q627" i="2" s="1"/>
  <c r="Q628" i="2" a="1"/>
  <c r="Q628" i="2" s="1"/>
  <c r="Q629" i="2" a="1"/>
  <c r="Q629" i="2" s="1"/>
  <c r="Q630" i="2" a="1"/>
  <c r="Q630" i="2" s="1"/>
  <c r="Q631" i="2" a="1"/>
  <c r="Q631" i="2" s="1"/>
  <c r="Q632" i="2" a="1"/>
  <c r="Q632" i="2" s="1"/>
  <c r="Q633" i="2" a="1"/>
  <c r="Q633" i="2" s="1"/>
  <c r="Q634" i="2" a="1"/>
  <c r="Q634" i="2" s="1"/>
  <c r="Q635" i="2" a="1"/>
  <c r="Q635" i="2" s="1"/>
  <c r="Q636" i="2" a="1"/>
  <c r="Q636" i="2" s="1"/>
  <c r="Q637" i="2" a="1"/>
  <c r="Q637" i="2" s="1"/>
  <c r="Q638" i="2" a="1"/>
  <c r="Q638" i="2" s="1"/>
  <c r="Q639" i="2" a="1"/>
  <c r="Q639" i="2" s="1"/>
  <c r="Q640" i="2" a="1"/>
  <c r="Q640" i="2" s="1"/>
  <c r="Q641" i="2" a="1"/>
  <c r="Q641" i="2" s="1"/>
  <c r="Q642" i="2" a="1"/>
  <c r="Q642" i="2" s="1"/>
  <c r="Q643" i="2" a="1"/>
  <c r="Q643" i="2" s="1"/>
  <c r="Q644" i="2" a="1"/>
  <c r="Q644" i="2" s="1"/>
  <c r="Q645" i="2" a="1"/>
  <c r="Q645" i="2" s="1"/>
  <c r="Q646" i="2" a="1"/>
  <c r="Q646" i="2" s="1"/>
  <c r="Q647" i="2" a="1"/>
  <c r="Q647" i="2" s="1"/>
  <c r="Q648" i="2" a="1"/>
  <c r="Q648" i="2" s="1"/>
  <c r="Q649" i="2" a="1"/>
  <c r="Q649" i="2" s="1"/>
  <c r="Q650" i="2" a="1"/>
  <c r="Q650" i="2" s="1"/>
  <c r="Q651" i="2" a="1"/>
  <c r="Q651" i="2" s="1"/>
  <c r="Q652" i="2" a="1"/>
  <c r="Q652" i="2" s="1"/>
  <c r="Q653" i="2" a="1"/>
  <c r="Q653" i="2" s="1"/>
  <c r="Q654" i="2" a="1"/>
  <c r="Q654" i="2" s="1"/>
  <c r="Q655" i="2" a="1"/>
  <c r="Q655" i="2" s="1"/>
  <c r="Q656" i="2" a="1"/>
  <c r="Q656" i="2" s="1"/>
  <c r="Q657" i="2" a="1"/>
  <c r="Q657" i="2" s="1"/>
  <c r="Q658" i="2" a="1"/>
  <c r="Q658" i="2" s="1"/>
  <c r="Q659" i="2" a="1"/>
  <c r="Q659" i="2" s="1"/>
  <c r="Q660" i="2" a="1"/>
  <c r="Q660" i="2" s="1"/>
  <c r="Q661" i="2" a="1"/>
  <c r="Q661" i="2" s="1"/>
  <c r="Q662" i="2" a="1"/>
  <c r="Q662" i="2" s="1"/>
  <c r="Q663" i="2" a="1"/>
  <c r="Q663" i="2" s="1"/>
  <c r="Q664" i="2" a="1"/>
  <c r="Q664" i="2" s="1"/>
  <c r="Q665" i="2" a="1"/>
  <c r="Q665" i="2" s="1"/>
  <c r="Q666" i="2" a="1"/>
  <c r="Q666" i="2" s="1"/>
  <c r="Q667" i="2" a="1"/>
  <c r="Q667" i="2" s="1"/>
  <c r="Q668" i="2" a="1"/>
  <c r="Q668" i="2" s="1"/>
  <c r="Q669" i="2" a="1"/>
  <c r="Q669" i="2" s="1"/>
  <c r="Q670" i="2" a="1"/>
  <c r="Q670" i="2" s="1"/>
  <c r="Q671" i="2" a="1"/>
  <c r="Q671" i="2" s="1"/>
  <c r="Q672" i="2" a="1"/>
  <c r="Q672" i="2" s="1"/>
  <c r="Q673" i="2" a="1"/>
  <c r="Q673" i="2" s="1"/>
  <c r="Q674" i="2" a="1"/>
  <c r="Q674" i="2" s="1"/>
  <c r="Q675" i="2" a="1"/>
  <c r="Q675" i="2" s="1"/>
  <c r="Q676" i="2" a="1"/>
  <c r="Q676" i="2" s="1"/>
  <c r="Q677" i="2" a="1"/>
  <c r="Q677" i="2" s="1"/>
  <c r="Q678" i="2" a="1"/>
  <c r="Q678" i="2" s="1"/>
  <c r="Q679" i="2" a="1"/>
  <c r="Q679" i="2" s="1"/>
  <c r="Q680" i="2" a="1"/>
  <c r="Q680" i="2" s="1"/>
  <c r="Q681" i="2" a="1"/>
  <c r="Q681" i="2" s="1"/>
  <c r="Q682" i="2" a="1"/>
  <c r="Q682" i="2" s="1"/>
  <c r="Q683" i="2" a="1"/>
  <c r="Q683" i="2" s="1"/>
  <c r="Q684" i="2" a="1"/>
  <c r="Q684" i="2" s="1"/>
  <c r="Q685" i="2" a="1"/>
  <c r="Q685" i="2" s="1"/>
  <c r="Q686" i="2" a="1"/>
  <c r="Q686" i="2" s="1"/>
  <c r="Q687" i="2" a="1"/>
  <c r="Q687" i="2" s="1"/>
  <c r="Q688" i="2" a="1"/>
  <c r="Q688" i="2" s="1"/>
  <c r="Q689" i="2" a="1"/>
  <c r="Q689" i="2" s="1"/>
  <c r="Q690" i="2" a="1"/>
  <c r="Q690" i="2" s="1"/>
  <c r="Q691" i="2" a="1"/>
  <c r="Q691" i="2" s="1"/>
  <c r="Q692" i="2" a="1"/>
  <c r="Q692" i="2" s="1"/>
  <c r="Q693" i="2" a="1"/>
  <c r="Q693" i="2" s="1"/>
  <c r="Q694" i="2" a="1"/>
  <c r="Q694" i="2" s="1"/>
  <c r="Q695" i="2" a="1"/>
  <c r="Q695" i="2" s="1"/>
  <c r="Q696" i="2" a="1"/>
  <c r="Q696" i="2" s="1"/>
  <c r="Q697" i="2" a="1"/>
  <c r="Q697" i="2" s="1"/>
  <c r="Q698" i="2" a="1"/>
  <c r="Q698" i="2" s="1"/>
  <c r="Q699" i="2" a="1"/>
  <c r="Q699" i="2" s="1"/>
  <c r="Q700" i="2" a="1"/>
  <c r="Q700" i="2" s="1"/>
  <c r="Q701" i="2" a="1"/>
  <c r="Q701" i="2" s="1"/>
  <c r="Q702" i="2" a="1"/>
  <c r="Q702" i="2" s="1"/>
  <c r="Q703" i="2" a="1"/>
  <c r="Q703" i="2" s="1"/>
  <c r="Q704" i="2" a="1"/>
  <c r="Q704" i="2" s="1"/>
  <c r="Q705" i="2" a="1"/>
  <c r="Q705" i="2" s="1"/>
  <c r="Q706" i="2" a="1"/>
  <c r="Q706" i="2" s="1"/>
  <c r="Q707" i="2" a="1"/>
  <c r="Q707" i="2" s="1"/>
  <c r="Q708" i="2" a="1"/>
  <c r="Q708" i="2" s="1"/>
  <c r="Q709" i="2" a="1"/>
  <c r="Q709" i="2" s="1"/>
  <c r="Q710" i="2" a="1"/>
  <c r="Q710" i="2" s="1"/>
  <c r="Q711" i="2" a="1"/>
  <c r="Q711" i="2" s="1"/>
  <c r="Q712" i="2" a="1"/>
  <c r="Q712" i="2" s="1"/>
  <c r="Q713" i="2" a="1"/>
  <c r="Q713" i="2" s="1"/>
  <c r="Q714" i="2" a="1"/>
  <c r="Q714" i="2" s="1"/>
  <c r="Q715" i="2" a="1"/>
  <c r="Q715" i="2" s="1"/>
  <c r="Q716" i="2" a="1"/>
  <c r="Q716" i="2" s="1"/>
  <c r="Q717" i="2" a="1"/>
  <c r="Q717" i="2" s="1"/>
  <c r="Q718" i="2" a="1"/>
  <c r="Q718" i="2" s="1"/>
  <c r="Q719" i="2" a="1"/>
  <c r="Q719" i="2" s="1"/>
  <c r="Q720" i="2" a="1"/>
  <c r="Q720" i="2" s="1"/>
  <c r="Q721" i="2" a="1"/>
  <c r="Q721" i="2" s="1"/>
  <c r="Q722" i="2" a="1"/>
  <c r="Q722" i="2" s="1"/>
  <c r="Q723" i="2" a="1"/>
  <c r="Q723" i="2" s="1"/>
  <c r="Q724" i="2" a="1"/>
  <c r="Q724" i="2" s="1"/>
  <c r="Q725" i="2" a="1"/>
  <c r="Q725" i="2" s="1"/>
  <c r="Q726" i="2" a="1"/>
  <c r="Q726" i="2" s="1"/>
  <c r="Q727" i="2" a="1"/>
  <c r="Q727" i="2" s="1"/>
  <c r="Q728" i="2" a="1"/>
  <c r="Q728" i="2"/>
  <c r="Q729" i="2" a="1"/>
  <c r="Q729" i="2" s="1"/>
  <c r="Q730" i="2" a="1"/>
  <c r="Q730" i="2" s="1"/>
  <c r="Q731" i="2" a="1"/>
  <c r="Q731" i="2" s="1"/>
  <c r="Q732" i="2" a="1"/>
  <c r="Q732" i="2" s="1"/>
  <c r="Q733" i="2" a="1"/>
  <c r="Q733" i="2" s="1"/>
  <c r="Q734" i="2" a="1"/>
  <c r="Q734" i="2" s="1"/>
  <c r="Q735" i="2" a="1"/>
  <c r="Q735" i="2" s="1"/>
  <c r="Q736" i="2" a="1"/>
  <c r="Q736" i="2" s="1"/>
  <c r="Q737" i="2" a="1"/>
  <c r="Q737" i="2" s="1"/>
  <c r="Q738" i="2" a="1"/>
  <c r="Q738" i="2" s="1"/>
  <c r="Q739" i="2" a="1"/>
  <c r="Q739" i="2" s="1"/>
  <c r="Q740" i="2" a="1"/>
  <c r="Q740" i="2" s="1"/>
  <c r="Q741" i="2" a="1"/>
  <c r="Q741" i="2" s="1"/>
  <c r="Q742" i="2" a="1"/>
  <c r="Q742" i="2" s="1"/>
  <c r="Q743" i="2" a="1"/>
  <c r="Q743" i="2" s="1"/>
  <c r="Q744" i="2" a="1"/>
  <c r="Q744" i="2" s="1"/>
  <c r="Q745" i="2" a="1"/>
  <c r="Q745" i="2" s="1"/>
  <c r="Q746" i="2" a="1"/>
  <c r="Q746" i="2" s="1"/>
  <c r="Q747" i="2" a="1"/>
  <c r="Q747" i="2" s="1"/>
  <c r="Q748" i="2" a="1"/>
  <c r="Q748" i="2" s="1"/>
  <c r="Q749" i="2" a="1"/>
  <c r="Q749" i="2" s="1"/>
  <c r="Q750" i="2" a="1"/>
  <c r="Q750" i="2" s="1"/>
  <c r="Q751" i="2" a="1"/>
  <c r="Q751" i="2" s="1"/>
  <c r="Q752" i="2" a="1"/>
  <c r="Q752" i="2" s="1"/>
  <c r="Q753" i="2" a="1"/>
  <c r="Q753" i="2" s="1"/>
  <c r="Q754" i="2" a="1"/>
  <c r="Q754" i="2" s="1"/>
  <c r="Q755" i="2" a="1"/>
  <c r="Q755" i="2" s="1"/>
  <c r="Q756" i="2" a="1"/>
  <c r="Q756" i="2" s="1"/>
  <c r="Q757" i="2" a="1"/>
  <c r="Q757" i="2" s="1"/>
  <c r="Q758" i="2" a="1"/>
  <c r="Q758" i="2" s="1"/>
  <c r="Q759" i="2" a="1"/>
  <c r="Q759" i="2" s="1"/>
  <c r="Q760" i="2" a="1"/>
  <c r="Q760" i="2" s="1"/>
  <c r="Q761" i="2" a="1"/>
  <c r="Q761" i="2" s="1"/>
  <c r="Q762" i="2" a="1"/>
  <c r="Q762" i="2" s="1"/>
  <c r="Q763" i="2" a="1"/>
  <c r="Q763" i="2" s="1"/>
  <c r="Q764" i="2" a="1"/>
  <c r="Q764" i="2" s="1"/>
  <c r="Q765" i="2" a="1"/>
  <c r="Q765" i="2" s="1"/>
  <c r="Q766" i="2" a="1"/>
  <c r="Q766" i="2" s="1"/>
  <c r="Q767" i="2" a="1"/>
  <c r="Q767" i="2" s="1"/>
  <c r="Q768" i="2" a="1"/>
  <c r="Q768" i="2" s="1"/>
  <c r="Q769" i="2" a="1"/>
  <c r="Q769" i="2" s="1"/>
  <c r="Q770" i="2" a="1"/>
  <c r="Q770" i="2" s="1"/>
  <c r="Q771" i="2" a="1"/>
  <c r="Q771" i="2" s="1"/>
  <c r="Q772" i="2" a="1"/>
  <c r="Q772" i="2" s="1"/>
  <c r="Q773" i="2" a="1"/>
  <c r="Q773" i="2" s="1"/>
  <c r="Q774" i="2" a="1"/>
  <c r="Q774" i="2" s="1"/>
  <c r="Q775" i="2" a="1"/>
  <c r="Q775" i="2" s="1"/>
  <c r="Q776" i="2" a="1"/>
  <c r="Q776" i="2" s="1"/>
  <c r="Q777" i="2" a="1"/>
  <c r="Q777" i="2" s="1"/>
  <c r="Q778" i="2" a="1"/>
  <c r="Q778" i="2" s="1"/>
  <c r="Q779" i="2" a="1"/>
  <c r="Q779" i="2" s="1"/>
  <c r="Q780" i="2" a="1"/>
  <c r="Q780" i="2" s="1"/>
  <c r="Q781" i="2" a="1"/>
  <c r="Q781" i="2" s="1"/>
  <c r="Q782" i="2" a="1"/>
  <c r="Q782" i="2" s="1"/>
  <c r="Q783" i="2" a="1"/>
  <c r="Q783" i="2" s="1"/>
  <c r="Q784" i="2" a="1"/>
  <c r="Q784" i="2" s="1"/>
  <c r="Q785" i="2" a="1"/>
  <c r="Q785" i="2" s="1"/>
  <c r="Q786" i="2" a="1"/>
  <c r="Q786" i="2" s="1"/>
  <c r="Q787" i="2" a="1"/>
  <c r="Q787" i="2" s="1"/>
  <c r="Q788" i="2" a="1"/>
  <c r="Q788" i="2" s="1"/>
  <c r="Q789" i="2" a="1"/>
  <c r="Q789" i="2" s="1"/>
  <c r="Q790" i="2" a="1"/>
  <c r="Q790" i="2" s="1"/>
  <c r="Q791" i="2" a="1"/>
  <c r="Q791" i="2" s="1"/>
  <c r="Q792" i="2" a="1"/>
  <c r="Q792" i="2" s="1"/>
  <c r="Q793" i="2" a="1"/>
  <c r="Q793" i="2" s="1"/>
  <c r="Q794" i="2" a="1"/>
  <c r="Q794" i="2" s="1"/>
  <c r="Q795" i="2" a="1"/>
  <c r="Q795" i="2" s="1"/>
  <c r="Q796" i="2" a="1"/>
  <c r="Q796" i="2" s="1"/>
  <c r="Q797" i="2" a="1"/>
  <c r="Q797" i="2" s="1"/>
  <c r="Q798" i="2" a="1"/>
  <c r="Q798" i="2" s="1"/>
  <c r="Q799" i="2" a="1"/>
  <c r="Q799" i="2" s="1"/>
  <c r="Q800" i="2" a="1"/>
  <c r="Q800" i="2" s="1"/>
  <c r="Q801" i="2" a="1"/>
  <c r="Q801" i="2" s="1"/>
  <c r="Q802" i="2" a="1"/>
  <c r="Q802" i="2" s="1"/>
  <c r="Q803" i="2" a="1"/>
  <c r="Q803" i="2" s="1"/>
  <c r="Q804" i="2" a="1"/>
  <c r="Q804" i="2" s="1"/>
  <c r="Q805" i="2" a="1"/>
  <c r="Q805" i="2" s="1"/>
  <c r="Q806" i="2" a="1"/>
  <c r="Q806" i="2" s="1"/>
  <c r="Q807" i="2" a="1"/>
  <c r="Q807" i="2" s="1"/>
  <c r="Q808" i="2" a="1"/>
  <c r="Q808" i="2" s="1"/>
  <c r="Q809" i="2" a="1"/>
  <c r="Q809" i="2" s="1"/>
  <c r="Q810" i="2" a="1"/>
  <c r="Q810" i="2" s="1"/>
  <c r="Q811" i="2" a="1"/>
  <c r="Q811" i="2" s="1"/>
  <c r="Q812" i="2" a="1"/>
  <c r="Q812" i="2" s="1"/>
  <c r="Q813" i="2" a="1"/>
  <c r="Q813" i="2" s="1"/>
  <c r="Q814" i="2" a="1"/>
  <c r="Q814" i="2" s="1"/>
  <c r="Q815" i="2" a="1"/>
  <c r="Q815" i="2" s="1"/>
  <c r="Q816" i="2" a="1"/>
  <c r="Q816" i="2" s="1"/>
  <c r="Q817" i="2" a="1"/>
  <c r="Q817" i="2" s="1"/>
  <c r="Q818" i="2" a="1"/>
  <c r="Q818" i="2" s="1"/>
  <c r="Q819" i="2" a="1"/>
  <c r="Q819" i="2" s="1"/>
  <c r="Q820" i="2" a="1"/>
  <c r="Q820" i="2" s="1"/>
  <c r="Q821" i="2" a="1"/>
  <c r="Q821" i="2" s="1"/>
  <c r="Q822" i="2" a="1"/>
  <c r="Q822" i="2" s="1"/>
  <c r="Q823" i="2" a="1"/>
  <c r="Q823" i="2" s="1"/>
  <c r="Q824" i="2" a="1"/>
  <c r="Q824" i="2" s="1"/>
  <c r="Q825" i="2" a="1"/>
  <c r="Q825" i="2" s="1"/>
  <c r="Q826" i="2" a="1"/>
  <c r="Q826" i="2" s="1"/>
  <c r="Q827" i="2" a="1"/>
  <c r="Q827" i="2" s="1"/>
  <c r="Q828" i="2" a="1"/>
  <c r="Q828" i="2" s="1"/>
  <c r="Q829" i="2" a="1"/>
  <c r="Q829" i="2" s="1"/>
  <c r="Q830" i="2" a="1"/>
  <c r="Q830" i="2" s="1"/>
  <c r="Q831" i="2" a="1"/>
  <c r="Q831" i="2" s="1"/>
  <c r="Q832" i="2" a="1"/>
  <c r="Q832" i="2" s="1"/>
  <c r="Q833" i="2" a="1"/>
  <c r="Q833" i="2" s="1"/>
  <c r="Q834" i="2" a="1"/>
  <c r="Q834" i="2" s="1"/>
  <c r="Q835" i="2" a="1"/>
  <c r="Q835" i="2" s="1"/>
  <c r="Q836" i="2" a="1"/>
  <c r="Q836" i="2" s="1"/>
  <c r="Q837" i="2" a="1"/>
  <c r="Q837" i="2" s="1"/>
  <c r="Q838" i="2" a="1"/>
  <c r="Q838" i="2" s="1"/>
  <c r="Q839" i="2" a="1"/>
  <c r="Q839" i="2" s="1"/>
  <c r="Q840" i="2" a="1"/>
  <c r="Q840" i="2" s="1"/>
  <c r="Q841" i="2" a="1"/>
  <c r="Q841" i="2" s="1"/>
  <c r="Q842" i="2" a="1"/>
  <c r="Q842" i="2" s="1"/>
  <c r="Q843" i="2" a="1"/>
  <c r="Q843" i="2" s="1"/>
  <c r="Q844" i="2" a="1"/>
  <c r="Q844" i="2" s="1"/>
  <c r="Q845" i="2" a="1"/>
  <c r="Q845" i="2" s="1"/>
  <c r="Q846" i="2" a="1"/>
  <c r="Q846" i="2" s="1"/>
  <c r="Q847" i="2" a="1"/>
  <c r="Q847" i="2" s="1"/>
  <c r="Q848" i="2" a="1"/>
  <c r="Q848" i="2" s="1"/>
  <c r="Q849" i="2" a="1"/>
  <c r="Q849" i="2" s="1"/>
  <c r="Q850" i="2" a="1"/>
  <c r="Q850" i="2" s="1"/>
  <c r="Q851" i="2" a="1"/>
  <c r="Q851" i="2" s="1"/>
  <c r="Q852" i="2" a="1"/>
  <c r="Q852" i="2" s="1"/>
  <c r="Q853" i="2" a="1"/>
  <c r="Q853" i="2" s="1"/>
  <c r="Q854" i="2" a="1"/>
  <c r="Q854" i="2" s="1"/>
  <c r="Q855" i="2" a="1"/>
  <c r="Q855" i="2" s="1"/>
  <c r="Q856" i="2" a="1"/>
  <c r="Q856" i="2" s="1"/>
  <c r="Q857" i="2" a="1"/>
  <c r="Q857" i="2" s="1"/>
  <c r="Q858" i="2" a="1"/>
  <c r="Q858" i="2" s="1"/>
  <c r="Q859" i="2" a="1"/>
  <c r="Q859" i="2" s="1"/>
  <c r="Q860" i="2" a="1"/>
  <c r="Q860" i="2" s="1"/>
  <c r="Q861" i="2" a="1"/>
  <c r="Q861" i="2" s="1"/>
  <c r="Q862" i="2" a="1"/>
  <c r="Q862" i="2" s="1"/>
  <c r="Q863" i="2" a="1"/>
  <c r="Q863" i="2" s="1"/>
  <c r="Q864" i="2" a="1"/>
  <c r="Q864" i="2" s="1"/>
  <c r="Q865" i="2" a="1"/>
  <c r="Q865" i="2" s="1"/>
  <c r="Q866" i="2" a="1"/>
  <c r="Q866" i="2" s="1"/>
  <c r="Q867" i="2" a="1"/>
  <c r="Q867" i="2" s="1"/>
  <c r="Q868" i="2" a="1"/>
  <c r="Q868" i="2" s="1"/>
  <c r="Q869" i="2" a="1"/>
  <c r="Q869" i="2" s="1"/>
  <c r="Q870" i="2" a="1"/>
  <c r="Q870" i="2" s="1"/>
  <c r="Q871" i="2" a="1"/>
  <c r="Q871" i="2" s="1"/>
  <c r="Q872" i="2" a="1"/>
  <c r="Q872" i="2" s="1"/>
  <c r="Q873" i="2" a="1"/>
  <c r="Q873" i="2" s="1"/>
  <c r="Q874" i="2" a="1"/>
  <c r="Q874" i="2" s="1"/>
  <c r="Q875" i="2" a="1"/>
  <c r="Q875" i="2" s="1"/>
  <c r="Q876" i="2" a="1"/>
  <c r="Q876" i="2" s="1"/>
  <c r="Q877" i="2" a="1"/>
  <c r="Q877" i="2" s="1"/>
  <c r="Q878" i="2" a="1"/>
  <c r="Q878" i="2" s="1"/>
  <c r="Q879" i="2" a="1"/>
  <c r="Q879" i="2" s="1"/>
  <c r="Q880" i="2" a="1"/>
  <c r="Q880" i="2" s="1"/>
  <c r="Q881" i="2" a="1"/>
  <c r="Q881" i="2" s="1"/>
  <c r="Q882" i="2" a="1"/>
  <c r="Q882" i="2" s="1"/>
  <c r="Q883" i="2" a="1"/>
  <c r="Q883" i="2" s="1"/>
  <c r="Q884" i="2" a="1"/>
  <c r="Q884" i="2" s="1"/>
  <c r="Q885" i="2" a="1"/>
  <c r="Q885" i="2" s="1"/>
  <c r="Q886" i="2" a="1"/>
  <c r="Q886" i="2" s="1"/>
  <c r="Q887" i="2" a="1"/>
  <c r="Q887" i="2" s="1"/>
  <c r="Q888" i="2" a="1"/>
  <c r="Q888" i="2" s="1"/>
  <c r="Q889" i="2" a="1"/>
  <c r="Q889" i="2" s="1"/>
  <c r="Q890" i="2" a="1"/>
  <c r="Q890" i="2" s="1"/>
  <c r="Q891" i="2" a="1"/>
  <c r="Q891" i="2" s="1"/>
  <c r="Q892" i="2" a="1"/>
  <c r="Q892" i="2" s="1"/>
  <c r="Q893" i="2" a="1"/>
  <c r="Q893" i="2" s="1"/>
  <c r="Q894" i="2" a="1"/>
  <c r="Q894" i="2" s="1"/>
  <c r="Q895" i="2" a="1"/>
  <c r="Q895" i="2" s="1"/>
  <c r="Q896" i="2" a="1"/>
  <c r="Q896" i="2" s="1"/>
  <c r="Q897" i="2" a="1"/>
  <c r="Q897" i="2" s="1"/>
  <c r="Q898" i="2" a="1"/>
  <c r="Q898" i="2" s="1"/>
  <c r="Q899" i="2" a="1"/>
  <c r="Q899" i="2" s="1"/>
  <c r="Q900" i="2" a="1"/>
  <c r="Q900" i="2" s="1"/>
  <c r="Q901" i="2" a="1"/>
  <c r="Q901" i="2" s="1"/>
  <c r="Q902" i="2" a="1"/>
  <c r="Q902" i="2" s="1"/>
  <c r="Q903" i="2" a="1"/>
  <c r="Q903" i="2" s="1"/>
  <c r="Q904" i="2" a="1"/>
  <c r="Q904" i="2" s="1"/>
  <c r="Q905" i="2" a="1"/>
  <c r="Q905" i="2" s="1"/>
  <c r="Q906" i="2" a="1"/>
  <c r="Q906" i="2" s="1"/>
  <c r="Q907" i="2" a="1"/>
  <c r="Q907" i="2" s="1"/>
  <c r="Q908" i="2" a="1"/>
  <c r="Q908" i="2" s="1"/>
  <c r="Q909" i="2" a="1"/>
  <c r="Q909" i="2" s="1"/>
  <c r="Q910" i="2" a="1"/>
  <c r="Q910" i="2" s="1"/>
  <c r="Q911" i="2" a="1"/>
  <c r="Q911" i="2" s="1"/>
  <c r="Q912" i="2" a="1"/>
  <c r="Q912" i="2" s="1"/>
  <c r="Q913" i="2" a="1"/>
  <c r="Q913" i="2" s="1"/>
  <c r="Q914" i="2" a="1"/>
  <c r="Q914" i="2" s="1"/>
  <c r="Q915" i="2" a="1"/>
  <c r="Q915" i="2" s="1"/>
  <c r="Q916" i="2" a="1"/>
  <c r="Q916" i="2" s="1"/>
  <c r="Q917" i="2" a="1"/>
  <c r="Q917" i="2" s="1"/>
  <c r="Q918" i="2" a="1"/>
  <c r="Q918" i="2" s="1"/>
  <c r="Q919" i="2" a="1"/>
  <c r="Q919" i="2" s="1"/>
  <c r="Q920" i="2" a="1"/>
  <c r="Q920" i="2" s="1"/>
  <c r="Q921" i="2" a="1"/>
  <c r="Q921" i="2" s="1"/>
  <c r="Q922" i="2" a="1"/>
  <c r="Q922" i="2" s="1"/>
  <c r="Q923" i="2" a="1"/>
  <c r="Q923" i="2" s="1"/>
  <c r="Q924" i="2" a="1"/>
  <c r="Q924" i="2" s="1"/>
  <c r="Q925" i="2" a="1"/>
  <c r="Q925" i="2" s="1"/>
  <c r="Q926" i="2" a="1"/>
  <c r="Q926" i="2" s="1"/>
  <c r="Q927" i="2" a="1"/>
  <c r="Q927" i="2" s="1"/>
  <c r="Q928" i="2" a="1"/>
  <c r="Q928" i="2" s="1"/>
  <c r="Q929" i="2" a="1"/>
  <c r="Q929" i="2" s="1"/>
  <c r="Q930" i="2" a="1"/>
  <c r="Q930" i="2" s="1"/>
  <c r="Q931" i="2" a="1"/>
  <c r="Q931" i="2" s="1"/>
  <c r="Q932" i="2" a="1"/>
  <c r="Q932" i="2" s="1"/>
  <c r="Q933" i="2" a="1"/>
  <c r="Q933" i="2" s="1"/>
  <c r="Q934" i="2" a="1"/>
  <c r="Q934" i="2" s="1"/>
  <c r="Q935" i="2" a="1"/>
  <c r="Q935" i="2" s="1"/>
  <c r="Q936" i="2" a="1"/>
  <c r="Q936" i="2" s="1"/>
  <c r="Q937" i="2" a="1"/>
  <c r="Q937" i="2" s="1"/>
  <c r="Q938" i="2" a="1"/>
  <c r="Q938" i="2" s="1"/>
  <c r="Q939" i="2" a="1"/>
  <c r="Q939" i="2" s="1"/>
  <c r="Q940" i="2" a="1"/>
  <c r="Q940" i="2" s="1"/>
  <c r="Q941" i="2" a="1"/>
  <c r="Q941" i="2" s="1"/>
  <c r="Q942" i="2" a="1"/>
  <c r="Q942" i="2" s="1"/>
  <c r="Q943" i="2" a="1"/>
  <c r="Q943" i="2" s="1"/>
  <c r="Q944" i="2" a="1"/>
  <c r="Q944" i="2" s="1"/>
  <c r="Q945" i="2" a="1"/>
  <c r="Q945" i="2" s="1"/>
  <c r="Q946" i="2" a="1"/>
  <c r="Q946" i="2" s="1"/>
  <c r="Q947" i="2" a="1"/>
  <c r="Q947" i="2" s="1"/>
  <c r="Q948" i="2" a="1"/>
  <c r="Q948" i="2" s="1"/>
  <c r="Q949" i="2" a="1"/>
  <c r="Q949" i="2" s="1"/>
  <c r="Q950" i="2" a="1"/>
  <c r="Q950" i="2" s="1"/>
  <c r="Q951" i="2" a="1"/>
  <c r="Q951" i="2" s="1"/>
  <c r="Q952" i="2" a="1"/>
  <c r="Q952" i="2" s="1"/>
  <c r="Q953" i="2" a="1"/>
  <c r="Q953" i="2" s="1"/>
  <c r="Q954" i="2" a="1"/>
  <c r="Q954" i="2" s="1"/>
  <c r="Q955" i="2" a="1"/>
  <c r="Q955" i="2" s="1"/>
  <c r="Q956" i="2" a="1"/>
  <c r="Q956" i="2" s="1"/>
  <c r="Q957" i="2" a="1"/>
  <c r="Q957" i="2" s="1"/>
  <c r="Q958" i="2" a="1"/>
  <c r="Q958" i="2" s="1"/>
  <c r="Q959" i="2" a="1"/>
  <c r="Q959" i="2" s="1"/>
  <c r="Q960" i="2" a="1"/>
  <c r="Q960" i="2" s="1"/>
  <c r="Q961" i="2" a="1"/>
  <c r="Q961" i="2" s="1"/>
  <c r="Q962" i="2" a="1"/>
  <c r="Q962" i="2" s="1"/>
  <c r="Q963" i="2" a="1"/>
  <c r="Q963" i="2" s="1"/>
  <c r="Q964" i="2" a="1"/>
  <c r="Q964" i="2" s="1"/>
  <c r="Q965" i="2" a="1"/>
  <c r="Q965" i="2" s="1"/>
  <c r="Q966" i="2" a="1"/>
  <c r="Q966" i="2" s="1"/>
  <c r="Q967" i="2" a="1"/>
  <c r="Q967" i="2" s="1"/>
  <c r="Q968" i="2" a="1"/>
  <c r="Q968" i="2" s="1"/>
  <c r="Q969" i="2" a="1"/>
  <c r="Q969" i="2" s="1"/>
  <c r="Q970" i="2" a="1"/>
  <c r="Q970" i="2" s="1"/>
  <c r="Q971" i="2" a="1"/>
  <c r="Q971" i="2" s="1"/>
  <c r="Q972" i="2" a="1"/>
  <c r="Q972" i="2" s="1"/>
  <c r="Q973" i="2" a="1"/>
  <c r="Q973" i="2" s="1"/>
  <c r="Q974" i="2" a="1"/>
  <c r="Q974" i="2" s="1"/>
  <c r="Q975" i="2" a="1"/>
  <c r="Q975" i="2" s="1"/>
  <c r="Q976" i="2" a="1"/>
  <c r="Q976" i="2" s="1"/>
  <c r="Q977" i="2" a="1"/>
  <c r="Q977" i="2" s="1"/>
  <c r="Q978" i="2" a="1"/>
  <c r="Q978" i="2" s="1"/>
  <c r="Q979" i="2" a="1"/>
  <c r="Q979" i="2"/>
  <c r="Q980" i="2" a="1"/>
  <c r="Q980" i="2" s="1"/>
  <c r="Q981" i="2" a="1"/>
  <c r="Q981" i="2" s="1"/>
  <c r="Q982" i="2" a="1"/>
  <c r="Q982" i="2" s="1"/>
  <c r="Q983" i="2" a="1"/>
  <c r="Q983" i="2" s="1"/>
  <c r="Q984" i="2" a="1"/>
  <c r="Q984" i="2" s="1"/>
  <c r="Q985" i="2" a="1"/>
  <c r="Q985" i="2" s="1"/>
  <c r="Q986" i="2" a="1"/>
  <c r="Q986" i="2" s="1"/>
  <c r="Q987" i="2" a="1"/>
  <c r="Q987" i="2" s="1"/>
  <c r="Q988" i="2" a="1"/>
  <c r="Q988" i="2" s="1"/>
  <c r="Q989" i="2" a="1"/>
  <c r="Q989" i="2" s="1"/>
  <c r="Q990" i="2" a="1"/>
  <c r="Q990" i="2" s="1"/>
  <c r="Q991" i="2" a="1"/>
  <c r="Q991" i="2" s="1"/>
  <c r="Q992" i="2" a="1"/>
  <c r="Q992" i="2" s="1"/>
  <c r="Q993" i="2" a="1"/>
  <c r="Q993" i="2" s="1"/>
  <c r="Q994" i="2" a="1"/>
  <c r="Q994" i="2" s="1"/>
  <c r="Q995" i="2" a="1"/>
  <c r="Q995" i="2" s="1"/>
  <c r="Q996" i="2" a="1"/>
  <c r="Q996" i="2" s="1"/>
  <c r="Q997" i="2" a="1"/>
  <c r="Q997" i="2" s="1"/>
  <c r="Q998" i="2" a="1"/>
  <c r="Q998" i="2" s="1"/>
  <c r="Q999" i="2" a="1"/>
  <c r="Q999" i="2" s="1"/>
  <c r="Q1000" i="2" a="1"/>
  <c r="Q1000" i="2" s="1"/>
  <c r="Q1001" i="2" a="1"/>
  <c r="Q1001" i="2" s="1"/>
  <c r="Q1002" i="2" a="1"/>
  <c r="Q1002" i="2" s="1"/>
  <c r="Q1003" i="2" a="1"/>
  <c r="Q1003" i="2" s="1"/>
  <c r="Q1004" i="2" a="1"/>
  <c r="Q1004" i="2" s="1"/>
  <c r="Q1005" i="2" a="1"/>
  <c r="Q1005" i="2" s="1"/>
  <c r="Q1006" i="2" a="1"/>
  <c r="Q1006" i="2" s="1"/>
  <c r="Q1007" i="2" a="1"/>
  <c r="Q1007" i="2" s="1"/>
  <c r="Q1008" i="2" a="1"/>
  <c r="Q1008" i="2" s="1"/>
  <c r="Q1009" i="2" a="1"/>
  <c r="Q1009" i="2" s="1"/>
  <c r="Q1010" i="2" a="1"/>
  <c r="Q1010" i="2" s="1"/>
  <c r="Q1011" i="2" a="1"/>
  <c r="Q1011" i="2" s="1"/>
  <c r="Q1012" i="2" a="1"/>
  <c r="Q1012" i="2" s="1"/>
  <c r="Q1013" i="2" a="1"/>
  <c r="Q1013" i="2" s="1"/>
  <c r="Q1014" i="2" a="1"/>
  <c r="Q1014" i="2" s="1"/>
  <c r="Q1015" i="2" a="1"/>
  <c r="Q1015" i="2" s="1"/>
  <c r="Q1016" i="2" a="1"/>
  <c r="Q1016" i="2" s="1"/>
  <c r="Q1017" i="2" a="1"/>
  <c r="Q1017" i="2" s="1"/>
  <c r="Q1018" i="2" a="1"/>
  <c r="Q1018" i="2" s="1"/>
  <c r="Q1019" i="2" a="1"/>
  <c r="Q1019" i="2" s="1"/>
  <c r="Q1020" i="2" a="1"/>
  <c r="Q1020" i="2" s="1"/>
  <c r="Q1021" i="2" a="1"/>
  <c r="Q1021" i="2" s="1"/>
  <c r="Q1022" i="2" a="1"/>
  <c r="Q1022" i="2" s="1"/>
  <c r="Q1023" i="2" a="1"/>
  <c r="Q1023" i="2" s="1"/>
  <c r="Q1024" i="2" a="1"/>
  <c r="Q1024" i="2" s="1"/>
  <c r="Q1025" i="2" a="1"/>
  <c r="Q1025" i="2" s="1"/>
  <c r="Q1026" i="2" a="1"/>
  <c r="Q1026" i="2" s="1"/>
  <c r="Q1027" i="2" a="1"/>
  <c r="Q1027" i="2" s="1"/>
  <c r="Q1028" i="2" a="1"/>
  <c r="Q1028" i="2" s="1"/>
  <c r="Q1029" i="2" a="1"/>
  <c r="Q1029" i="2" s="1"/>
  <c r="Q1030" i="2" a="1"/>
  <c r="Q1030" i="2" s="1"/>
  <c r="Q1031" i="2" a="1"/>
  <c r="Q1031" i="2" s="1"/>
  <c r="Q1032" i="2" a="1"/>
  <c r="Q1032" i="2" s="1"/>
  <c r="Q1033" i="2" a="1"/>
  <c r="Q1033" i="2" s="1"/>
  <c r="Q1034" i="2" a="1"/>
  <c r="Q1034" i="2" s="1"/>
  <c r="Q1035" i="2" a="1"/>
  <c r="Q1035" i="2" s="1"/>
  <c r="Q1036" i="2" a="1"/>
  <c r="Q1036" i="2" s="1"/>
  <c r="Q1037" i="2" a="1"/>
  <c r="Q1037" i="2" s="1"/>
  <c r="Q1038" i="2" a="1"/>
  <c r="Q1038" i="2" s="1"/>
  <c r="Q1039" i="2" a="1"/>
  <c r="Q1039" i="2" s="1"/>
  <c r="Q1040" i="2" a="1"/>
  <c r="Q1040" i="2" s="1"/>
  <c r="Q1041" i="2" a="1"/>
  <c r="Q1041" i="2" s="1"/>
  <c r="Q1042" i="2" a="1"/>
  <c r="Q1042" i="2" s="1"/>
  <c r="Q1043" i="2" a="1"/>
  <c r="Q1043" i="2" s="1"/>
  <c r="Q1044" i="2" a="1"/>
  <c r="Q1044" i="2" s="1"/>
  <c r="Q1045" i="2" a="1"/>
  <c r="Q1045" i="2" s="1"/>
  <c r="Q1046" i="2" a="1"/>
  <c r="Q1046" i="2" s="1"/>
  <c r="Q1047" i="2" a="1"/>
  <c r="Q1047" i="2" s="1"/>
  <c r="Q1048" i="2" a="1"/>
  <c r="Q1048" i="2" s="1"/>
  <c r="Q1049" i="2" a="1"/>
  <c r="Q1049" i="2" s="1"/>
  <c r="Q1050" i="2" a="1"/>
  <c r="Q1050" i="2" s="1"/>
  <c r="Q1051" i="2" a="1"/>
  <c r="Q1051" i="2" s="1"/>
  <c r="Q1052" i="2" a="1"/>
  <c r="Q1052" i="2" s="1"/>
  <c r="Q1053" i="2" a="1"/>
  <c r="Q1053" i="2" s="1"/>
  <c r="Q1054" i="2" a="1"/>
  <c r="Q1054" i="2" s="1"/>
  <c r="Q1055" i="2" a="1"/>
  <c r="Q1055" i="2" s="1"/>
  <c r="Q1056" i="2" a="1"/>
  <c r="Q1056" i="2" s="1"/>
  <c r="Q1057" i="2" a="1"/>
  <c r="Q1057" i="2" s="1"/>
  <c r="Q1058" i="2" a="1"/>
  <c r="Q1058" i="2" s="1"/>
  <c r="Q1059" i="2" a="1"/>
  <c r="Q1059" i="2" s="1"/>
  <c r="Q1060" i="2" a="1"/>
  <c r="Q1060" i="2" s="1"/>
  <c r="Q1061" i="2" a="1"/>
  <c r="Q1061" i="2" s="1"/>
  <c r="Q1062" i="2" a="1"/>
  <c r="Q1062" i="2" s="1"/>
  <c r="Q1063" i="2" a="1"/>
  <c r="Q1063" i="2" s="1"/>
  <c r="Q1064" i="2" a="1"/>
  <c r="Q1064" i="2" s="1"/>
  <c r="Q1065" i="2" a="1"/>
  <c r="Q1065" i="2" s="1"/>
  <c r="Q1066" i="2" a="1"/>
  <c r="Q1066" i="2" s="1"/>
  <c r="Q1067" i="2" a="1"/>
  <c r="Q1067" i="2" s="1"/>
  <c r="Q1068" i="2" a="1"/>
  <c r="Q1068" i="2" s="1"/>
  <c r="Q1069" i="2" a="1"/>
  <c r="Q1069" i="2" s="1"/>
  <c r="Q1070" i="2" a="1"/>
  <c r="Q1070" i="2" s="1"/>
  <c r="Q1071" i="2" a="1"/>
  <c r="Q1071" i="2" s="1"/>
  <c r="Q1072" i="2" a="1"/>
  <c r="Q1072" i="2" s="1"/>
  <c r="Q1073" i="2" a="1"/>
  <c r="Q1073" i="2" s="1"/>
  <c r="Q1074" i="2" a="1"/>
  <c r="Q1074" i="2" s="1"/>
  <c r="Q1075" i="2" a="1"/>
  <c r="Q1075" i="2" s="1"/>
  <c r="Q1076" i="2" a="1"/>
  <c r="Q1076" i="2" s="1"/>
  <c r="Q1077" i="2" a="1"/>
  <c r="Q1077" i="2" s="1"/>
  <c r="Q1078" i="2" a="1"/>
  <c r="Q1078" i="2" s="1"/>
  <c r="Q1079" i="2" a="1"/>
  <c r="Q1079" i="2" s="1"/>
  <c r="Q1080" i="2" a="1"/>
  <c r="Q1080" i="2" s="1"/>
  <c r="Q1081" i="2" a="1"/>
  <c r="Q1081" i="2" s="1"/>
  <c r="Q1082" i="2" a="1"/>
  <c r="Q1082" i="2" s="1"/>
  <c r="Q1083" i="2" a="1"/>
  <c r="Q1083" i="2" s="1"/>
  <c r="Q1084" i="2" a="1"/>
  <c r="Q1084" i="2" s="1"/>
  <c r="Q1085" i="2" a="1"/>
  <c r="Q1085" i="2" s="1"/>
  <c r="Q1086" i="2" a="1"/>
  <c r="Q1086" i="2" s="1"/>
  <c r="Q1087" i="2" a="1"/>
  <c r="Q1087" i="2" s="1"/>
  <c r="Q1088" i="2" a="1"/>
  <c r="Q1088" i="2" s="1"/>
  <c r="Q1089" i="2" a="1"/>
  <c r="Q1089" i="2" s="1"/>
  <c r="Q1090" i="2" a="1"/>
  <c r="Q1090" i="2" s="1"/>
  <c r="Q1091" i="2" a="1"/>
  <c r="Q1091" i="2" s="1"/>
  <c r="Q1092" i="2" a="1"/>
  <c r="Q1092" i="2" s="1"/>
  <c r="Q1093" i="2" a="1"/>
  <c r="Q1093" i="2" s="1"/>
  <c r="Q1094" i="2" a="1"/>
  <c r="Q1094" i="2" s="1"/>
  <c r="Q1095" i="2" a="1"/>
  <c r="Q1095" i="2" s="1"/>
  <c r="Q1096" i="2" a="1"/>
  <c r="Q1096" i="2" s="1"/>
  <c r="Q1097" i="2" a="1"/>
  <c r="Q1097" i="2" s="1"/>
  <c r="Q1098" i="2" a="1"/>
  <c r="Q1098" i="2" s="1"/>
  <c r="Q1099" i="2" a="1"/>
  <c r="Q1099" i="2" s="1"/>
  <c r="Q1100" i="2" a="1"/>
  <c r="Q1100" i="2" s="1"/>
  <c r="Q1101" i="2" a="1"/>
  <c r="Q1101" i="2" s="1"/>
  <c r="Q1102" i="2" a="1"/>
  <c r="Q1102" i="2" s="1"/>
  <c r="Q1103" i="2" a="1"/>
  <c r="Q1103" i="2" s="1"/>
  <c r="Q1104" i="2" a="1"/>
  <c r="Q1104" i="2" s="1"/>
  <c r="Q1105" i="2" a="1"/>
  <c r="Q1105" i="2" s="1"/>
  <c r="Q1106" i="2" a="1"/>
  <c r="Q1106" i="2" s="1"/>
  <c r="Q1107" i="2" a="1"/>
  <c r="Q1107" i="2" s="1"/>
  <c r="Q1108" i="2" a="1"/>
  <c r="Q1108" i="2" s="1"/>
  <c r="Q1109" i="2" a="1"/>
  <c r="Q1109" i="2" s="1"/>
  <c r="Q1110" i="2" a="1"/>
  <c r="Q1110" i="2" s="1"/>
  <c r="Q1111" i="2" a="1"/>
  <c r="Q1111" i="2" s="1"/>
  <c r="Q1112" i="2" a="1"/>
  <c r="Q1112" i="2" s="1"/>
  <c r="Q1113" i="2" a="1"/>
  <c r="Q1113" i="2" s="1"/>
  <c r="Q1114" i="2" a="1"/>
  <c r="Q1114" i="2" s="1"/>
  <c r="Q1115" i="2" a="1"/>
  <c r="Q1115" i="2" s="1"/>
  <c r="Q1116" i="2" a="1"/>
  <c r="Q1116" i="2" s="1"/>
  <c r="Q1117" i="2" a="1"/>
  <c r="Q1117" i="2" s="1"/>
  <c r="Q1118" i="2" a="1"/>
  <c r="Q1118" i="2" s="1"/>
  <c r="Q1119" i="2" a="1"/>
  <c r="Q1119" i="2" s="1"/>
  <c r="Q1120" i="2" a="1"/>
  <c r="Q1120" i="2" s="1"/>
  <c r="Q1121" i="2" a="1"/>
  <c r="Q1121" i="2" s="1"/>
  <c r="Q1122" i="2" a="1"/>
  <c r="Q1122" i="2" s="1"/>
  <c r="Q1123" i="2" a="1"/>
  <c r="Q1123" i="2" s="1"/>
  <c r="Q1124" i="2" a="1"/>
  <c r="Q1124" i="2" s="1"/>
  <c r="Q1125" i="2" a="1"/>
  <c r="Q1125" i="2" s="1"/>
  <c r="Q1126" i="2" a="1"/>
  <c r="Q1126" i="2" s="1"/>
  <c r="Q1127" i="2" a="1"/>
  <c r="Q1127" i="2" s="1"/>
  <c r="Q1128" i="2" a="1"/>
  <c r="Q1128" i="2" s="1"/>
  <c r="Q1129" i="2" a="1"/>
  <c r="Q1129" i="2" s="1"/>
  <c r="Q1130" i="2" a="1"/>
  <c r="Q1130" i="2" s="1"/>
  <c r="Q1131" i="2" a="1"/>
  <c r="Q1131" i="2" s="1"/>
  <c r="Q1132" i="2" a="1"/>
  <c r="Q1132" i="2" s="1"/>
  <c r="Q1133" i="2" a="1"/>
  <c r="Q1133" i="2" s="1"/>
  <c r="Q1134" i="2" a="1"/>
  <c r="Q1134" i="2" s="1"/>
  <c r="Q1135" i="2" a="1"/>
  <c r="Q1135" i="2" s="1"/>
  <c r="Q1136" i="2" a="1"/>
  <c r="Q1136" i="2" s="1"/>
  <c r="Q1137" i="2" a="1"/>
  <c r="Q1137" i="2" s="1"/>
  <c r="Q1138" i="2" a="1"/>
  <c r="Q1138" i="2" s="1"/>
  <c r="Q1139" i="2" a="1"/>
  <c r="Q1139" i="2" s="1"/>
  <c r="Q1140" i="2" a="1"/>
  <c r="Q1140" i="2" s="1"/>
  <c r="Q1141" i="2" a="1"/>
  <c r="Q1141" i="2" s="1"/>
  <c r="Q1142" i="2" a="1"/>
  <c r="Q1142" i="2" s="1"/>
  <c r="Q1143" i="2" a="1"/>
  <c r="Q1143" i="2" s="1"/>
  <c r="Q1144" i="2" a="1"/>
  <c r="Q1144" i="2" s="1"/>
  <c r="Q1145" i="2" a="1"/>
  <c r="Q1145" i="2" s="1"/>
  <c r="Q1146" i="2" a="1"/>
  <c r="Q1146" i="2" s="1"/>
  <c r="Q1147" i="2" a="1"/>
  <c r="Q1147" i="2" s="1"/>
  <c r="Q1148" i="2" a="1"/>
  <c r="Q1148" i="2" s="1"/>
  <c r="Q1149" i="2" a="1"/>
  <c r="Q1149" i="2" s="1"/>
  <c r="Q1150" i="2" a="1"/>
  <c r="Q1150" i="2" s="1"/>
  <c r="Q1151" i="2" a="1"/>
  <c r="Q1151" i="2" s="1"/>
  <c r="Q1152" i="2" a="1"/>
  <c r="Q1152" i="2" s="1"/>
  <c r="Q1153" i="2" a="1"/>
  <c r="Q1153" i="2" s="1"/>
  <c r="Q1154" i="2" a="1"/>
  <c r="Q1154" i="2" s="1"/>
  <c r="Q1155" i="2" a="1"/>
  <c r="Q1155" i="2" s="1"/>
  <c r="Q1156" i="2" a="1"/>
  <c r="Q1156" i="2" s="1"/>
  <c r="Q1157" i="2" a="1"/>
  <c r="Q1157" i="2" s="1"/>
  <c r="Q1158" i="2" a="1"/>
  <c r="Q1158" i="2" s="1"/>
  <c r="Q1159" i="2" a="1"/>
  <c r="Q1159" i="2" s="1"/>
  <c r="Q1160" i="2" a="1"/>
  <c r="Q1160" i="2" s="1"/>
  <c r="Q1161" i="2" a="1"/>
  <c r="Q1161" i="2" s="1"/>
  <c r="Q1162" i="2" a="1"/>
  <c r="Q1162" i="2" s="1"/>
  <c r="Q1163" i="2" a="1"/>
  <c r="Q1163" i="2" s="1"/>
  <c r="Q1164" i="2" a="1"/>
  <c r="Q1164" i="2" s="1"/>
  <c r="Q1165" i="2" a="1"/>
  <c r="Q1165" i="2" s="1"/>
  <c r="Q1166" i="2" a="1"/>
  <c r="Q1166" i="2" s="1"/>
  <c r="Q1167" i="2" a="1"/>
  <c r="Q1167" i="2" s="1"/>
  <c r="Q1168" i="2" a="1"/>
  <c r="Q1168" i="2" s="1"/>
  <c r="Q1169" i="2" a="1"/>
  <c r="Q1169" i="2" s="1"/>
  <c r="Q1170" i="2" a="1"/>
  <c r="Q1170" i="2" s="1"/>
  <c r="Q1171" i="2" a="1"/>
  <c r="Q1171" i="2" s="1"/>
  <c r="Q1172" i="2" a="1"/>
  <c r="Q1172" i="2" s="1"/>
  <c r="Q1173" i="2" a="1"/>
  <c r="Q1173" i="2" s="1"/>
  <c r="Q1174" i="2" a="1"/>
  <c r="Q1174" i="2" s="1"/>
  <c r="Q1175" i="2" a="1"/>
  <c r="Q1175" i="2" s="1"/>
  <c r="Q1176" i="2" a="1"/>
  <c r="Q1176" i="2" s="1"/>
  <c r="Q1177" i="2" a="1"/>
  <c r="Q1177" i="2" s="1"/>
  <c r="Q1178" i="2" a="1"/>
  <c r="Q1178" i="2" s="1"/>
  <c r="Q1179" i="2" a="1"/>
  <c r="Q1179" i="2" s="1"/>
  <c r="Q1180" i="2" a="1"/>
  <c r="Q1180" i="2" s="1"/>
  <c r="Q1181" i="2" a="1"/>
  <c r="Q1181" i="2" s="1"/>
  <c r="Q1182" i="2" a="1"/>
  <c r="Q1182" i="2" s="1"/>
  <c r="Q1183" i="2" a="1"/>
  <c r="Q1183" i="2" s="1"/>
  <c r="Q1184" i="2" a="1"/>
  <c r="Q1184" i="2" s="1"/>
  <c r="Q1185" i="2" a="1"/>
  <c r="Q1185" i="2" s="1"/>
  <c r="Q1186" i="2" a="1"/>
  <c r="Q1186" i="2" s="1"/>
  <c r="Q1187" i="2" a="1"/>
  <c r="Q1187" i="2" s="1"/>
  <c r="Q1188" i="2" a="1"/>
  <c r="Q1188" i="2" s="1"/>
  <c r="Q1189" i="2" a="1"/>
  <c r="Q1189" i="2" s="1"/>
  <c r="Q1190" i="2" a="1"/>
  <c r="Q1190" i="2" s="1"/>
  <c r="Q1191" i="2" a="1"/>
  <c r="Q1191" i="2" s="1"/>
  <c r="Q1192" i="2" a="1"/>
  <c r="Q1192" i="2" s="1"/>
  <c r="Q1193" i="2" a="1"/>
  <c r="Q1193" i="2" s="1"/>
  <c r="Q1194" i="2" a="1"/>
  <c r="Q1194" i="2" s="1"/>
  <c r="Q1195" i="2" a="1"/>
  <c r="Q1195" i="2" s="1"/>
  <c r="Q1196" i="2" a="1"/>
  <c r="Q1196" i="2" s="1"/>
  <c r="Q1197" i="2" a="1"/>
  <c r="Q1197" i="2" s="1"/>
  <c r="Q1198" i="2" a="1"/>
  <c r="Q1198" i="2" s="1"/>
  <c r="Q1199" i="2" a="1"/>
  <c r="Q1199" i="2" s="1"/>
  <c r="Q1200" i="2" a="1"/>
  <c r="Q1200" i="2" s="1"/>
  <c r="Q1201" i="2" a="1"/>
  <c r="Q1201" i="2" s="1"/>
  <c r="Q1202" i="2" a="1"/>
  <c r="Q1202" i="2" s="1"/>
  <c r="Q1203" i="2" a="1"/>
  <c r="Q1203" i="2" s="1"/>
  <c r="Q1204" i="2" a="1"/>
  <c r="Q1204" i="2" s="1"/>
  <c r="Q1205" i="2" a="1"/>
  <c r="Q1205" i="2" s="1"/>
  <c r="Q1206" i="2" a="1"/>
  <c r="Q1206" i="2" s="1"/>
  <c r="Q1207" i="2" a="1"/>
  <c r="Q1207" i="2" s="1"/>
  <c r="Q1208" i="2" a="1"/>
  <c r="Q1208" i="2" s="1"/>
  <c r="Q1209" i="2" a="1"/>
  <c r="Q1209" i="2" s="1"/>
  <c r="Q1210" i="2" a="1"/>
  <c r="Q1210" i="2" s="1"/>
  <c r="Q1211" i="2" a="1"/>
  <c r="Q1211" i="2" s="1"/>
  <c r="Q1212" i="2" a="1"/>
  <c r="Q1212" i="2" s="1"/>
  <c r="Q1213" i="2" a="1"/>
  <c r="Q1213" i="2" s="1"/>
  <c r="Q1214" i="2" a="1"/>
  <c r="Q1214" i="2" s="1"/>
  <c r="Q1215" i="2" a="1"/>
  <c r="Q1215" i="2" s="1"/>
  <c r="Q1216" i="2" a="1"/>
  <c r="Q1216" i="2" s="1"/>
  <c r="Q1217" i="2" a="1"/>
  <c r="Q1217" i="2" s="1"/>
  <c r="Q1218" i="2" a="1"/>
  <c r="Q1218" i="2" s="1"/>
  <c r="Q1219" i="2" a="1"/>
  <c r="Q1219" i="2" s="1"/>
  <c r="Q1220" i="2" a="1"/>
  <c r="Q1220" i="2" s="1"/>
  <c r="Q1221" i="2" a="1"/>
  <c r="Q1221" i="2" s="1"/>
  <c r="Q1222" i="2" a="1"/>
  <c r="Q1222" i="2" s="1"/>
  <c r="Q1223" i="2" a="1"/>
  <c r="Q1223" i="2" s="1"/>
  <c r="Q1224" i="2" a="1"/>
  <c r="Q1224" i="2" s="1"/>
  <c r="Q1225" i="2" a="1"/>
  <c r="Q1225" i="2" s="1"/>
  <c r="Q1226" i="2" a="1"/>
  <c r="Q1226" i="2" s="1"/>
  <c r="Q1227" i="2" a="1"/>
  <c r="Q1227" i="2" s="1"/>
  <c r="Q1228" i="2" a="1"/>
  <c r="Q1228" i="2" s="1"/>
  <c r="Q1229" i="2" a="1"/>
  <c r="Q1229" i="2" s="1"/>
  <c r="Q1230" i="2" a="1"/>
  <c r="Q1230" i="2" s="1"/>
  <c r="Q1231" i="2" a="1"/>
  <c r="Q1231" i="2" s="1"/>
  <c r="Q1232" i="2" a="1"/>
  <c r="Q1232" i="2" s="1"/>
  <c r="Q1233" i="2" a="1"/>
  <c r="Q1233" i="2" s="1"/>
  <c r="Q1234" i="2" a="1"/>
  <c r="Q1234" i="2" s="1"/>
  <c r="Q1235" i="2" a="1"/>
  <c r="Q1235" i="2" s="1"/>
  <c r="Q1236" i="2" a="1"/>
  <c r="Q1236" i="2" s="1"/>
  <c r="Q1237" i="2" a="1"/>
  <c r="Q1237" i="2" s="1"/>
  <c r="Q1238" i="2" a="1"/>
  <c r="Q1238" i="2" s="1"/>
  <c r="Q1239" i="2" a="1"/>
  <c r="Q1239" i="2" s="1"/>
  <c r="Q1240" i="2" a="1"/>
  <c r="Q1240" i="2" s="1"/>
  <c r="Q1241" i="2" a="1"/>
  <c r="Q1241" i="2" s="1"/>
  <c r="Q1242" i="2" a="1"/>
  <c r="Q1242" i="2" s="1"/>
  <c r="Q1243" i="2" a="1"/>
  <c r="Q1243" i="2" s="1"/>
  <c r="Q1244" i="2" a="1"/>
  <c r="Q1244" i="2" s="1"/>
  <c r="Q1245" i="2" a="1"/>
  <c r="Q1245" i="2" s="1"/>
  <c r="Q1246" i="2" a="1"/>
  <c r="Q1246" i="2" s="1"/>
  <c r="Q1247" i="2" a="1"/>
  <c r="Q1247" i="2" s="1"/>
  <c r="Q1248" i="2" a="1"/>
  <c r="Q1248" i="2" s="1"/>
  <c r="Q1249" i="2" a="1"/>
  <c r="Q1249" i="2" s="1"/>
  <c r="Q1250" i="2" a="1"/>
  <c r="Q1250" i="2" s="1"/>
  <c r="Q1251" i="2" a="1"/>
  <c r="Q1251" i="2" s="1"/>
  <c r="Q1252" i="2" a="1"/>
  <c r="Q1252" i="2" s="1"/>
  <c r="Q1253" i="2" a="1"/>
  <c r="Q1253" i="2" s="1"/>
  <c r="Q1254" i="2" a="1"/>
  <c r="Q1254" i="2" s="1"/>
  <c r="Q1255" i="2" a="1"/>
  <c r="Q1255" i="2" s="1"/>
  <c r="Q1256" i="2" a="1"/>
  <c r="Q1256" i="2" s="1"/>
  <c r="Q1257" i="2" a="1"/>
  <c r="Q1257" i="2" s="1"/>
  <c r="Q1258" i="2" a="1"/>
  <c r="Q1258" i="2" s="1"/>
  <c r="Q1259" i="2" a="1"/>
  <c r="Q1259" i="2" s="1"/>
  <c r="Q1260" i="2" a="1"/>
  <c r="Q1260" i="2" s="1"/>
  <c r="Q1261" i="2" a="1"/>
  <c r="Q1261" i="2" s="1"/>
  <c r="Q1262" i="2" a="1"/>
  <c r="Q1262" i="2" s="1"/>
  <c r="Q1263" i="2" a="1"/>
  <c r="Q1263" i="2" s="1"/>
  <c r="Q1264" i="2" a="1"/>
  <c r="Q1264" i="2" s="1"/>
  <c r="Q1265" i="2" a="1"/>
  <c r="Q1265" i="2" s="1"/>
  <c r="Q1266" i="2" a="1"/>
  <c r="Q1266" i="2" s="1"/>
  <c r="Q1267" i="2" a="1"/>
  <c r="Q1267" i="2" s="1"/>
  <c r="Q1268" i="2" a="1"/>
  <c r="Q1268" i="2" s="1"/>
  <c r="Q1269" i="2" a="1"/>
  <c r="Q1269" i="2" s="1"/>
  <c r="Q1270" i="2" a="1"/>
  <c r="Q1270" i="2" s="1"/>
  <c r="Q1271" i="2" a="1"/>
  <c r="Q1271" i="2" s="1"/>
  <c r="Q1272" i="2" a="1"/>
  <c r="Q1272" i="2" s="1"/>
  <c r="Q1273" i="2" a="1"/>
  <c r="Q1273" i="2" s="1"/>
  <c r="Q1274" i="2" a="1"/>
  <c r="Q1274" i="2" s="1"/>
  <c r="Q1275" i="2" a="1"/>
  <c r="Q1275" i="2" s="1"/>
  <c r="Q1276" i="2" a="1"/>
  <c r="Q1276" i="2" s="1"/>
  <c r="Q1277" i="2" a="1"/>
  <c r="Q1277" i="2" s="1"/>
  <c r="Q1278" i="2" a="1"/>
  <c r="Q1278" i="2" s="1"/>
  <c r="Q1279" i="2" a="1"/>
  <c r="Q1279" i="2" s="1"/>
  <c r="Q1280" i="2" a="1"/>
  <c r="Q1280" i="2" s="1"/>
  <c r="Q1281" i="2" a="1"/>
  <c r="Q1281" i="2" s="1"/>
  <c r="Q1282" i="2" a="1"/>
  <c r="Q1282" i="2" s="1"/>
  <c r="Q1283" i="2" a="1"/>
  <c r="Q1283" i="2" s="1"/>
  <c r="Q1284" i="2" a="1"/>
  <c r="Q1284" i="2" s="1"/>
  <c r="Q1285" i="2" a="1"/>
  <c r="Q1285" i="2" s="1"/>
  <c r="Q1286" i="2" a="1"/>
  <c r="Q1286" i="2" s="1"/>
  <c r="Q1287" i="2" a="1"/>
  <c r="Q1287" i="2" s="1"/>
  <c r="Q1288" i="2" a="1"/>
  <c r="Q1288" i="2" s="1"/>
  <c r="Q1289" i="2" a="1"/>
  <c r="Q1289" i="2" s="1"/>
  <c r="Q1290" i="2" a="1"/>
  <c r="Q1290" i="2" s="1"/>
  <c r="Q1291" i="2" a="1"/>
  <c r="Q1291" i="2" s="1"/>
  <c r="Q1292" i="2" a="1"/>
  <c r="Q1292" i="2" s="1"/>
  <c r="Q1293" i="2" a="1"/>
  <c r="Q1293" i="2" s="1"/>
  <c r="Q1294" i="2" a="1"/>
  <c r="Q1294" i="2" s="1"/>
  <c r="Q1295" i="2" a="1"/>
  <c r="Q1295" i="2" s="1"/>
  <c r="Q1296" i="2" a="1"/>
  <c r="Q1296" i="2" s="1"/>
  <c r="Q1297" i="2" a="1"/>
  <c r="Q1297" i="2" s="1"/>
  <c r="Q1298" i="2" a="1"/>
  <c r="Q1298" i="2" s="1"/>
  <c r="Q1299" i="2" a="1"/>
  <c r="Q1299" i="2" s="1"/>
  <c r="Q1300" i="2" a="1"/>
  <c r="Q1300" i="2" s="1"/>
  <c r="Q1301" i="2" a="1"/>
  <c r="Q1301" i="2" s="1"/>
  <c r="Q1302" i="2" a="1"/>
  <c r="Q1302" i="2" s="1"/>
  <c r="Q1303" i="2" a="1"/>
  <c r="Q1303" i="2" s="1"/>
  <c r="Q1304" i="2" a="1"/>
  <c r="Q1304" i="2" s="1"/>
  <c r="Q1305" i="2" a="1"/>
  <c r="Q1305" i="2" s="1"/>
  <c r="Q1306" i="2" a="1"/>
  <c r="Q1306" i="2" s="1"/>
  <c r="Q1307" i="2" a="1"/>
  <c r="Q1307" i="2" s="1"/>
  <c r="Q1308" i="2" a="1"/>
  <c r="Q1308" i="2" s="1"/>
  <c r="Q1309" i="2" a="1"/>
  <c r="Q1309" i="2" s="1"/>
  <c r="Q1310" i="2" a="1"/>
  <c r="Q1310" i="2" s="1"/>
  <c r="Q2" i="2" a="1"/>
  <c r="Q2" i="2" s="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K1002" i="2" a="1"/>
  <c r="K1002" i="2" s="1"/>
  <c r="K1003" i="2" a="1"/>
  <c r="K1003" i="2" s="1"/>
  <c r="K1004" i="2" a="1"/>
  <c r="K1004" i="2" s="1"/>
  <c r="K1005" i="2" a="1"/>
  <c r="K1005" i="2" s="1"/>
  <c r="K1006" i="2" a="1"/>
  <c r="K1006" i="2" s="1"/>
  <c r="K1007" i="2" a="1"/>
  <c r="K1007" i="2" s="1"/>
  <c r="K1008" i="2" a="1"/>
  <c r="K1008" i="2" s="1"/>
  <c r="K1009" i="2" a="1"/>
  <c r="K1009" i="2" s="1"/>
  <c r="K1010" i="2" a="1"/>
  <c r="K1010" i="2" s="1"/>
  <c r="K1011" i="2" a="1"/>
  <c r="K1011" i="2" s="1"/>
  <c r="K1012" i="2" a="1"/>
  <c r="K1012" i="2" s="1"/>
  <c r="K1013" i="2" a="1"/>
  <c r="K1013" i="2" s="1"/>
  <c r="K1014" i="2" a="1"/>
  <c r="K1014" i="2" s="1"/>
  <c r="K1015" i="2" a="1"/>
  <c r="K1015" i="2" s="1"/>
  <c r="K1016" i="2" a="1"/>
  <c r="K1016" i="2" s="1"/>
  <c r="K1017" i="2" a="1"/>
  <c r="K1017" i="2" s="1"/>
  <c r="K1018" i="2" a="1"/>
  <c r="K1018" i="2" s="1"/>
  <c r="K1019" i="2" a="1"/>
  <c r="K1019" i="2" s="1"/>
  <c r="K1020" i="2" a="1"/>
  <c r="K1020" i="2" s="1"/>
  <c r="K1021" i="2" a="1"/>
  <c r="K1021" i="2" s="1"/>
  <c r="K1022" i="2" a="1"/>
  <c r="K1022" i="2" s="1"/>
  <c r="K1023" i="2" a="1"/>
  <c r="K1023" i="2" s="1"/>
  <c r="K1024" i="2" a="1"/>
  <c r="K1024" i="2" s="1"/>
  <c r="K1025" i="2" a="1"/>
  <c r="K1025" i="2" s="1"/>
  <c r="K1026" i="2" a="1"/>
  <c r="K1026" i="2" s="1"/>
  <c r="K1027" i="2" a="1"/>
  <c r="K1027" i="2" s="1"/>
  <c r="K1028" i="2" a="1"/>
  <c r="K1028" i="2" s="1"/>
  <c r="K1029" i="2" a="1"/>
  <c r="K1029" i="2" s="1"/>
  <c r="K1030" i="2" a="1"/>
  <c r="K1030" i="2" s="1"/>
  <c r="K1031" i="2" a="1"/>
  <c r="K1031" i="2" s="1"/>
  <c r="K1032" i="2" a="1"/>
  <c r="K1032" i="2" s="1"/>
  <c r="K1033" i="2" a="1"/>
  <c r="K1033" i="2" s="1"/>
  <c r="K1034" i="2" a="1"/>
  <c r="K1034" i="2" s="1"/>
  <c r="K1035" i="2" a="1"/>
  <c r="K1035" i="2" s="1"/>
  <c r="K1036" i="2" a="1"/>
  <c r="K1036" i="2" s="1"/>
  <c r="K1037" i="2" a="1"/>
  <c r="K1037" i="2" s="1"/>
  <c r="K1038" i="2" a="1"/>
  <c r="K1038" i="2" s="1"/>
  <c r="K1039" i="2" a="1"/>
  <c r="K1039" i="2" s="1"/>
  <c r="K1040" i="2" a="1"/>
  <c r="K1040" i="2" s="1"/>
  <c r="K1041" i="2" a="1"/>
  <c r="K1041" i="2" s="1"/>
  <c r="K1042" i="2" a="1"/>
  <c r="K1042" i="2" s="1"/>
  <c r="K1043" i="2" a="1"/>
  <c r="K1043" i="2" s="1"/>
  <c r="K1044" i="2" a="1"/>
  <c r="K1044" i="2" s="1"/>
  <c r="K1045" i="2" a="1"/>
  <c r="K1045" i="2" s="1"/>
  <c r="K1046" i="2" a="1"/>
  <c r="K1046" i="2" s="1"/>
  <c r="K1047" i="2" a="1"/>
  <c r="K1047" i="2" s="1"/>
  <c r="K1048" i="2" a="1"/>
  <c r="K1048" i="2" s="1"/>
  <c r="K1049" i="2" a="1"/>
  <c r="K1049" i="2" s="1"/>
  <c r="K1050" i="2" a="1"/>
  <c r="K1050" i="2" s="1"/>
  <c r="K1051" i="2" a="1"/>
  <c r="K1051" i="2" s="1"/>
  <c r="K1052" i="2" a="1"/>
  <c r="K1052" i="2" s="1"/>
  <c r="K1053" i="2" a="1"/>
  <c r="K1053" i="2" s="1"/>
  <c r="K1054" i="2" a="1"/>
  <c r="K1054" i="2" s="1"/>
  <c r="K1055" i="2" a="1"/>
  <c r="K1055" i="2" s="1"/>
  <c r="K1056" i="2" a="1"/>
  <c r="K1056" i="2" s="1"/>
  <c r="K1057" i="2" a="1"/>
  <c r="K1057" i="2" s="1"/>
  <c r="K1058" i="2" a="1"/>
  <c r="K1058" i="2" s="1"/>
  <c r="K1059" i="2" a="1"/>
  <c r="K1059" i="2" s="1"/>
  <c r="K1060" i="2" a="1"/>
  <c r="K1060" i="2" s="1"/>
  <c r="K1061" i="2" a="1"/>
  <c r="K1061" i="2" s="1"/>
  <c r="K1062" i="2" a="1"/>
  <c r="K1062" i="2" s="1"/>
  <c r="K1063" i="2" a="1"/>
  <c r="K1063" i="2" s="1"/>
  <c r="K1064" i="2" a="1"/>
  <c r="K1064" i="2" s="1"/>
  <c r="K1065" i="2" a="1"/>
  <c r="K1065" i="2" s="1"/>
  <c r="K1066" i="2" a="1"/>
  <c r="K1066" i="2" s="1"/>
  <c r="K1067" i="2" a="1"/>
  <c r="K1067" i="2" s="1"/>
  <c r="K1068" i="2" a="1"/>
  <c r="K1068" i="2" s="1"/>
  <c r="K1069" i="2" a="1"/>
  <c r="K1069" i="2" s="1"/>
  <c r="K1070" i="2" a="1"/>
  <c r="K1070" i="2" s="1"/>
  <c r="K1071" i="2" a="1"/>
  <c r="K1071" i="2" s="1"/>
  <c r="K1072" i="2" a="1"/>
  <c r="K1072" i="2" s="1"/>
  <c r="K1073" i="2" a="1"/>
  <c r="K1073" i="2" s="1"/>
  <c r="K1074" i="2" a="1"/>
  <c r="K1074" i="2" s="1"/>
  <c r="K1075" i="2" a="1"/>
  <c r="K1075" i="2" s="1"/>
  <c r="K1076" i="2" a="1"/>
  <c r="K1076" i="2" s="1"/>
  <c r="K1077" i="2" a="1"/>
  <c r="K1077" i="2" s="1"/>
  <c r="K1078" i="2" a="1"/>
  <c r="K1078" i="2" s="1"/>
  <c r="K1079" i="2" a="1"/>
  <c r="K1079" i="2" s="1"/>
  <c r="K1080" i="2" a="1"/>
  <c r="K1080" i="2" s="1"/>
  <c r="K1081" i="2" a="1"/>
  <c r="K1081" i="2" s="1"/>
  <c r="K1082" i="2" a="1"/>
  <c r="K1082" i="2" s="1"/>
  <c r="K1083" i="2" a="1"/>
  <c r="K1083" i="2" s="1"/>
  <c r="K1084" i="2" a="1"/>
  <c r="K1084" i="2" s="1"/>
  <c r="K1085" i="2" a="1"/>
  <c r="K1085" i="2" s="1"/>
  <c r="K1086" i="2" a="1"/>
  <c r="K1086" i="2" s="1"/>
  <c r="K1087" i="2" a="1"/>
  <c r="K1087" i="2" s="1"/>
  <c r="K1088" i="2" a="1"/>
  <c r="K1088" i="2" s="1"/>
  <c r="K1089" i="2" a="1"/>
  <c r="K1089" i="2" s="1"/>
  <c r="K1090" i="2" a="1"/>
  <c r="K1090" i="2" s="1"/>
  <c r="K1091" i="2" a="1"/>
  <c r="K1091" i="2" s="1"/>
  <c r="K1092" i="2" a="1"/>
  <c r="K1092" i="2" s="1"/>
  <c r="K1093" i="2" a="1"/>
  <c r="K1093" i="2" s="1"/>
  <c r="K1094" i="2" a="1"/>
  <c r="K1094" i="2" s="1"/>
  <c r="K1095" i="2" a="1"/>
  <c r="K1095" i="2" s="1"/>
  <c r="K1096" i="2" a="1"/>
  <c r="K1096" i="2" s="1"/>
  <c r="K1097" i="2" a="1"/>
  <c r="K1097" i="2" s="1"/>
  <c r="K1098" i="2" a="1"/>
  <c r="K1098" i="2" s="1"/>
  <c r="K1099" i="2" a="1"/>
  <c r="K1099" i="2" s="1"/>
  <c r="K1100" i="2" a="1"/>
  <c r="K1100" i="2" s="1"/>
  <c r="K1101" i="2" a="1"/>
  <c r="K1101" i="2" s="1"/>
  <c r="K1102" i="2" a="1"/>
  <c r="K1102" i="2" s="1"/>
  <c r="K1103" i="2" a="1"/>
  <c r="K1103" i="2" s="1"/>
  <c r="K1104" i="2" a="1"/>
  <c r="K1104" i="2" s="1"/>
  <c r="K1105" i="2" a="1"/>
  <c r="K1105" i="2" s="1"/>
  <c r="K1106" i="2" a="1"/>
  <c r="K1106" i="2" s="1"/>
  <c r="K1107" i="2" a="1"/>
  <c r="K1107" i="2" s="1"/>
  <c r="K1108" i="2" a="1"/>
  <c r="K1108" i="2" s="1"/>
  <c r="K1109" i="2" a="1"/>
  <c r="K1109" i="2" s="1"/>
  <c r="K1110" i="2" a="1"/>
  <c r="K1110" i="2" s="1"/>
  <c r="K1111" i="2" a="1"/>
  <c r="K1111" i="2" s="1"/>
  <c r="K1112" i="2" a="1"/>
  <c r="K1112" i="2" s="1"/>
  <c r="K1113" i="2" a="1"/>
  <c r="K1113" i="2" s="1"/>
  <c r="K1114" i="2" a="1"/>
  <c r="K1114" i="2" s="1"/>
  <c r="K1115" i="2" a="1"/>
  <c r="K1115" i="2" s="1"/>
  <c r="K1116" i="2" a="1"/>
  <c r="K1116" i="2" s="1"/>
  <c r="K1117" i="2" a="1"/>
  <c r="K1117" i="2" s="1"/>
  <c r="K1118" i="2" a="1"/>
  <c r="K1118" i="2" s="1"/>
  <c r="K1119" i="2" a="1"/>
  <c r="K1119" i="2" s="1"/>
  <c r="K1120" i="2" a="1"/>
  <c r="K1120" i="2" s="1"/>
  <c r="K1121" i="2" a="1"/>
  <c r="K1121" i="2" s="1"/>
  <c r="K1122" i="2" a="1"/>
  <c r="K1122" i="2" s="1"/>
  <c r="K1123" i="2" a="1"/>
  <c r="K1123" i="2" s="1"/>
  <c r="K1124" i="2" a="1"/>
  <c r="K1124" i="2" s="1"/>
  <c r="K1125" i="2" a="1"/>
  <c r="K1125" i="2" s="1"/>
  <c r="K1126" i="2" a="1"/>
  <c r="K1126" i="2" s="1"/>
  <c r="K1127" i="2" a="1"/>
  <c r="K1127" i="2" s="1"/>
  <c r="K1128" i="2" a="1"/>
  <c r="K1128" i="2" s="1"/>
  <c r="K1129" i="2" a="1"/>
  <c r="K1129" i="2" s="1"/>
  <c r="K1130" i="2" a="1"/>
  <c r="K1130" i="2" s="1"/>
  <c r="K1131" i="2" a="1"/>
  <c r="K1131" i="2" s="1"/>
  <c r="K1132" i="2" a="1"/>
  <c r="K1132" i="2" s="1"/>
  <c r="K1133" i="2" a="1"/>
  <c r="K1133" i="2" s="1"/>
  <c r="K1134" i="2" a="1"/>
  <c r="K1134" i="2" s="1"/>
  <c r="K1135" i="2" a="1"/>
  <c r="K1135" i="2" s="1"/>
  <c r="K1136" i="2" a="1"/>
  <c r="K1136" i="2" s="1"/>
  <c r="K1137" i="2" a="1"/>
  <c r="K1137" i="2" s="1"/>
  <c r="K1138" i="2" a="1"/>
  <c r="K1138" i="2" s="1"/>
  <c r="K1139" i="2" a="1"/>
  <c r="K1139" i="2" s="1"/>
  <c r="K1140" i="2" a="1"/>
  <c r="K1140" i="2" s="1"/>
  <c r="K1141" i="2" a="1"/>
  <c r="K1141" i="2" s="1"/>
  <c r="K1142" i="2" a="1"/>
  <c r="K1142" i="2" s="1"/>
  <c r="K1143" i="2" a="1"/>
  <c r="K1143" i="2" s="1"/>
  <c r="K1144" i="2" a="1"/>
  <c r="K1144" i="2" s="1"/>
  <c r="K1145" i="2" a="1"/>
  <c r="K1145" i="2" s="1"/>
  <c r="K1146" i="2" a="1"/>
  <c r="K1146" i="2" s="1"/>
  <c r="K1147" i="2" a="1"/>
  <c r="K1147" i="2" s="1"/>
  <c r="K1148" i="2" a="1"/>
  <c r="K1148" i="2" s="1"/>
  <c r="K1149" i="2" a="1"/>
  <c r="K1149" i="2" s="1"/>
  <c r="K1150" i="2" a="1"/>
  <c r="K1150" i="2" s="1"/>
  <c r="K1151" i="2" a="1"/>
  <c r="K1151" i="2" s="1"/>
  <c r="K1152" i="2" a="1"/>
  <c r="K1152" i="2" s="1"/>
  <c r="K1153" i="2" a="1"/>
  <c r="K1153" i="2" s="1"/>
  <c r="K1154" i="2" a="1"/>
  <c r="K1154" i="2" s="1"/>
  <c r="K1155" i="2" a="1"/>
  <c r="K1155" i="2" s="1"/>
  <c r="K1156" i="2" a="1"/>
  <c r="K1156" i="2" s="1"/>
  <c r="K1157" i="2" a="1"/>
  <c r="K1157" i="2" s="1"/>
  <c r="K1158" i="2" a="1"/>
  <c r="K1158" i="2" s="1"/>
  <c r="K1159" i="2" a="1"/>
  <c r="K1159" i="2" s="1"/>
  <c r="K1160" i="2" a="1"/>
  <c r="K1160" i="2" s="1"/>
  <c r="K1161" i="2" a="1"/>
  <c r="K1161" i="2" s="1"/>
  <c r="K1162" i="2" a="1"/>
  <c r="K1162" i="2" s="1"/>
  <c r="K1163" i="2" a="1"/>
  <c r="K1163" i="2" s="1"/>
  <c r="K1164" i="2" a="1"/>
  <c r="K1164" i="2" s="1"/>
  <c r="K1165" i="2" a="1"/>
  <c r="K1165" i="2" s="1"/>
  <c r="K1166" i="2" a="1"/>
  <c r="K1166" i="2" s="1"/>
  <c r="K1167" i="2" a="1"/>
  <c r="K1167" i="2" s="1"/>
  <c r="K1168" i="2" a="1"/>
  <c r="K1168" i="2" s="1"/>
  <c r="K1169" i="2" a="1"/>
  <c r="K1169" i="2" s="1"/>
  <c r="K1170" i="2" a="1"/>
  <c r="K1170" i="2" s="1"/>
  <c r="K1171" i="2" a="1"/>
  <c r="K1171" i="2" s="1"/>
  <c r="K1172" i="2" a="1"/>
  <c r="K1172" i="2" s="1"/>
  <c r="K1173" i="2" a="1"/>
  <c r="K1173" i="2" s="1"/>
  <c r="K1174" i="2" a="1"/>
  <c r="K1174" i="2" s="1"/>
  <c r="K1175" i="2" a="1"/>
  <c r="K1175" i="2" s="1"/>
  <c r="K1176" i="2" a="1"/>
  <c r="K1176" i="2" s="1"/>
  <c r="K1177" i="2" a="1"/>
  <c r="K1177" i="2" s="1"/>
  <c r="K1178" i="2" a="1"/>
  <c r="K1178" i="2" s="1"/>
  <c r="K1179" i="2" a="1"/>
  <c r="K1179" i="2" s="1"/>
  <c r="K1180" i="2" a="1"/>
  <c r="K1180" i="2" s="1"/>
  <c r="K1181" i="2" a="1"/>
  <c r="K1181" i="2" s="1"/>
  <c r="K1182" i="2" a="1"/>
  <c r="K1182" i="2" s="1"/>
  <c r="K1183" i="2" a="1"/>
  <c r="K1183" i="2" s="1"/>
  <c r="K1184" i="2" a="1"/>
  <c r="K1184" i="2" s="1"/>
  <c r="K1185" i="2" a="1"/>
  <c r="K1185" i="2" s="1"/>
  <c r="K1186" i="2" a="1"/>
  <c r="K1186" i="2" s="1"/>
  <c r="K1187" i="2" a="1"/>
  <c r="K1187" i="2" s="1"/>
  <c r="K1188" i="2" a="1"/>
  <c r="K1188" i="2" s="1"/>
  <c r="K1189" i="2" a="1"/>
  <c r="K1189" i="2" s="1"/>
  <c r="K1190" i="2" a="1"/>
  <c r="K1190" i="2" s="1"/>
  <c r="K1191" i="2" a="1"/>
  <c r="K1191" i="2" s="1"/>
  <c r="K1192" i="2" a="1"/>
  <c r="K1192" i="2" s="1"/>
  <c r="K1193" i="2" a="1"/>
  <c r="K1193" i="2" s="1"/>
  <c r="K1194" i="2" a="1"/>
  <c r="K1194" i="2" s="1"/>
  <c r="K1195" i="2" a="1"/>
  <c r="K1195" i="2" s="1"/>
  <c r="K1196" i="2" a="1"/>
  <c r="K1196" i="2" s="1"/>
  <c r="K1197" i="2" a="1"/>
  <c r="K1197" i="2" s="1"/>
  <c r="K1198" i="2" a="1"/>
  <c r="K1198" i="2" s="1"/>
  <c r="K1199" i="2" a="1"/>
  <c r="K1199" i="2" s="1"/>
  <c r="K1200" i="2" a="1"/>
  <c r="K1200" i="2" s="1"/>
  <c r="K1201" i="2" a="1"/>
  <c r="K1201" i="2" s="1"/>
  <c r="K1202" i="2" a="1"/>
  <c r="K1202" i="2" s="1"/>
  <c r="K1203" i="2" a="1"/>
  <c r="K1203" i="2" s="1"/>
  <c r="K1204" i="2" a="1"/>
  <c r="K1204" i="2" s="1"/>
  <c r="K1205" i="2" a="1"/>
  <c r="K1205" i="2" s="1"/>
  <c r="K1206" i="2" a="1"/>
  <c r="K1206" i="2" s="1"/>
  <c r="K1207" i="2" a="1"/>
  <c r="K1207" i="2" s="1"/>
  <c r="K1208" i="2" a="1"/>
  <c r="K1208" i="2" s="1"/>
  <c r="K1209" i="2" a="1"/>
  <c r="K1209" i="2" s="1"/>
  <c r="K1210" i="2" a="1"/>
  <c r="K1210" i="2" s="1"/>
  <c r="K1211" i="2" a="1"/>
  <c r="K1211" i="2" s="1"/>
  <c r="K1212" i="2" a="1"/>
  <c r="K1212" i="2" s="1"/>
  <c r="K1213" i="2" a="1"/>
  <c r="K1213" i="2" s="1"/>
  <c r="K1214" i="2" a="1"/>
  <c r="K1214" i="2" s="1"/>
  <c r="K1215" i="2" a="1"/>
  <c r="K1215" i="2" s="1"/>
  <c r="K1216" i="2" a="1"/>
  <c r="K1216" i="2" s="1"/>
  <c r="K1217" i="2" a="1"/>
  <c r="K1217" i="2" s="1"/>
  <c r="K1218" i="2" a="1"/>
  <c r="K1218" i="2" s="1"/>
  <c r="K1219" i="2" a="1"/>
  <c r="K1219" i="2" s="1"/>
  <c r="K1220" i="2" a="1"/>
  <c r="K1220" i="2" s="1"/>
  <c r="K1221" i="2" a="1"/>
  <c r="K1221" i="2" s="1"/>
  <c r="K1222" i="2" a="1"/>
  <c r="K1222" i="2" s="1"/>
  <c r="K1223" i="2" a="1"/>
  <c r="K1223" i="2" s="1"/>
  <c r="K1224" i="2" a="1"/>
  <c r="K1224" i="2" s="1"/>
  <c r="K1225" i="2" a="1"/>
  <c r="K1225" i="2" s="1"/>
  <c r="K1226" i="2" a="1"/>
  <c r="K1226" i="2" s="1"/>
  <c r="K1227" i="2" a="1"/>
  <c r="K1227" i="2" s="1"/>
  <c r="K1228" i="2" a="1"/>
  <c r="K1228" i="2" s="1"/>
  <c r="K1229" i="2" a="1"/>
  <c r="K1229" i="2" s="1"/>
  <c r="K1230" i="2" a="1"/>
  <c r="K1230" i="2" s="1"/>
  <c r="K1231" i="2" a="1"/>
  <c r="K1231" i="2" s="1"/>
  <c r="K1232" i="2" a="1"/>
  <c r="K1232" i="2" s="1"/>
  <c r="K1233" i="2" a="1"/>
  <c r="K1233" i="2" s="1"/>
  <c r="K1234" i="2" a="1"/>
  <c r="K1234" i="2" s="1"/>
  <c r="K1235" i="2" a="1"/>
  <c r="K1235" i="2" s="1"/>
  <c r="K1236" i="2" a="1"/>
  <c r="K1236" i="2" s="1"/>
  <c r="K1237" i="2" a="1"/>
  <c r="K1237" i="2" s="1"/>
  <c r="K1238" i="2" a="1"/>
  <c r="K1238" i="2" s="1"/>
  <c r="K1239" i="2" a="1"/>
  <c r="K1239" i="2" s="1"/>
  <c r="K1240" i="2" a="1"/>
  <c r="K1240" i="2" s="1"/>
  <c r="K1241" i="2" a="1"/>
  <c r="K1241" i="2" s="1"/>
  <c r="K1242" i="2" a="1"/>
  <c r="K1242" i="2" s="1"/>
  <c r="K1243" i="2" a="1"/>
  <c r="K1243" i="2" s="1"/>
  <c r="K1244" i="2" a="1"/>
  <c r="K1244" i="2" s="1"/>
  <c r="K1245" i="2" a="1"/>
  <c r="K1245" i="2" s="1"/>
  <c r="K1246" i="2" a="1"/>
  <c r="K1246" i="2" s="1"/>
  <c r="K1247" i="2" a="1"/>
  <c r="K1247" i="2" s="1"/>
  <c r="K1248" i="2" a="1"/>
  <c r="K1248" i="2" s="1"/>
  <c r="K1249" i="2" a="1"/>
  <c r="K1249" i="2" s="1"/>
  <c r="K1250" i="2" a="1"/>
  <c r="K1250" i="2" s="1"/>
  <c r="K1251" i="2" a="1"/>
  <c r="K1251" i="2" s="1"/>
  <c r="K1252" i="2" a="1"/>
  <c r="K1252" i="2" s="1"/>
  <c r="K1253" i="2" a="1"/>
  <c r="K1253" i="2" s="1"/>
  <c r="K1254" i="2" a="1"/>
  <c r="K1254" i="2" s="1"/>
  <c r="K1255" i="2" a="1"/>
  <c r="K1255" i="2" s="1"/>
  <c r="K1256" i="2" a="1"/>
  <c r="K1256" i="2" s="1"/>
  <c r="K1257" i="2" a="1"/>
  <c r="K1257" i="2" s="1"/>
  <c r="K1258" i="2" a="1"/>
  <c r="K1258" i="2" s="1"/>
  <c r="K1259" i="2" a="1"/>
  <c r="K1259" i="2" s="1"/>
  <c r="K1260" i="2" a="1"/>
  <c r="K1260" i="2" s="1"/>
  <c r="K1261" i="2" a="1"/>
  <c r="K1261" i="2" s="1"/>
  <c r="K1262" i="2" a="1"/>
  <c r="K1262" i="2" s="1"/>
  <c r="K1263" i="2" a="1"/>
  <c r="K1263" i="2" s="1"/>
  <c r="K1264" i="2" a="1"/>
  <c r="K1264" i="2" s="1"/>
  <c r="K1265" i="2" a="1"/>
  <c r="K1265" i="2" s="1"/>
  <c r="K1266" i="2" a="1"/>
  <c r="K1266" i="2" s="1"/>
  <c r="K1267" i="2" a="1"/>
  <c r="K1267" i="2" s="1"/>
  <c r="K1268" i="2" a="1"/>
  <c r="K1268" i="2" s="1"/>
  <c r="K1269" i="2" a="1"/>
  <c r="K1269" i="2" s="1"/>
  <c r="K1270" i="2" a="1"/>
  <c r="K1270" i="2" s="1"/>
  <c r="K1271" i="2" a="1"/>
  <c r="K1271" i="2" s="1"/>
  <c r="K1272" i="2" a="1"/>
  <c r="K1272" i="2" s="1"/>
  <c r="K1273" i="2" a="1"/>
  <c r="K1273" i="2" s="1"/>
  <c r="K1274" i="2" a="1"/>
  <c r="K1274" i="2" s="1"/>
  <c r="K1275" i="2" a="1"/>
  <c r="K1275" i="2" s="1"/>
  <c r="K1276" i="2" a="1"/>
  <c r="K1276" i="2" s="1"/>
  <c r="K1277" i="2" a="1"/>
  <c r="K1277" i="2" s="1"/>
  <c r="K1278" i="2" a="1"/>
  <c r="K1278" i="2" s="1"/>
  <c r="K1279" i="2" a="1"/>
  <c r="K1279" i="2" s="1"/>
  <c r="K1280" i="2" a="1"/>
  <c r="K1280" i="2" s="1"/>
  <c r="K1281" i="2" a="1"/>
  <c r="K1281" i="2" s="1"/>
  <c r="K1282" i="2" a="1"/>
  <c r="K1282" i="2" s="1"/>
  <c r="K1283" i="2" a="1"/>
  <c r="K1283" i="2" s="1"/>
  <c r="K1284" i="2" a="1"/>
  <c r="K1284" i="2" s="1"/>
  <c r="K1285" i="2" a="1"/>
  <c r="K1285" i="2" s="1"/>
  <c r="K1286" i="2" a="1"/>
  <c r="K1286" i="2" s="1"/>
  <c r="K1287" i="2" a="1"/>
  <c r="K1287" i="2" s="1"/>
  <c r="K1288" i="2" a="1"/>
  <c r="K1288" i="2" s="1"/>
  <c r="K1289" i="2" a="1"/>
  <c r="K1289" i="2" s="1"/>
  <c r="K1290" i="2" a="1"/>
  <c r="K1290" i="2" s="1"/>
  <c r="K1291" i="2" a="1"/>
  <c r="K1291" i="2" s="1"/>
  <c r="K1292" i="2" a="1"/>
  <c r="K1292" i="2" s="1"/>
  <c r="K1293" i="2" a="1"/>
  <c r="K1293" i="2" s="1"/>
  <c r="K1294" i="2" a="1"/>
  <c r="K1294" i="2" s="1"/>
  <c r="K1295" i="2" a="1"/>
  <c r="K1295" i="2" s="1"/>
  <c r="K1296" i="2" a="1"/>
  <c r="K1296" i="2" s="1"/>
  <c r="K1297" i="2" a="1"/>
  <c r="K1297" i="2" s="1"/>
  <c r="K1298" i="2" a="1"/>
  <c r="K1298" i="2" s="1"/>
  <c r="K1299" i="2" a="1"/>
  <c r="K1299" i="2" s="1"/>
  <c r="K1300" i="2" a="1"/>
  <c r="K1300" i="2" s="1"/>
  <c r="K1301" i="2" a="1"/>
  <c r="K1301" i="2" s="1"/>
  <c r="K1302" i="2" a="1"/>
  <c r="K1302" i="2" s="1"/>
  <c r="K1303" i="2" a="1"/>
  <c r="K1303" i="2" s="1"/>
  <c r="K1304" i="2" a="1"/>
  <c r="K1304" i="2" s="1"/>
  <c r="K1305" i="2" a="1"/>
  <c r="K1305" i="2" s="1"/>
  <c r="K1306" i="2" a="1"/>
  <c r="K1306" i="2" s="1"/>
  <c r="K1307" i="2" a="1"/>
  <c r="K1307" i="2" s="1"/>
  <c r="K1308" i="2" a="1"/>
  <c r="K1308" i="2" s="1"/>
  <c r="K1309" i="2" a="1"/>
  <c r="K1309" i="2" s="1"/>
  <c r="K1310" i="2" a="1"/>
  <c r="K1310" i="2" s="1"/>
  <c r="K2" i="2" a="1"/>
  <c r="K2" i="2" s="1"/>
  <c r="S3" i="2" a="1"/>
  <c r="S3" i="2" s="1"/>
  <c r="S4" i="2" a="1"/>
  <c r="S4" i="2" s="1"/>
  <c r="S5" i="2" a="1"/>
  <c r="S5" i="2" s="1"/>
  <c r="S6" i="2" a="1"/>
  <c r="S6" i="2" s="1"/>
  <c r="S7" i="2" a="1"/>
  <c r="S7" i="2" s="1"/>
  <c r="S8" i="2" a="1"/>
  <c r="S8" i="2" s="1"/>
  <c r="S9" i="2" a="1"/>
  <c r="S9" i="2" s="1"/>
  <c r="S10" i="2" a="1"/>
  <c r="S10" i="2" s="1"/>
  <c r="S11" i="2" a="1"/>
  <c r="S11" i="2" s="1"/>
  <c r="S12" i="2" a="1"/>
  <c r="S12" i="2" s="1"/>
  <c r="S13" i="2" a="1"/>
  <c r="S13" i="2" s="1"/>
  <c r="S14" i="2" a="1"/>
  <c r="S14" i="2" s="1"/>
  <c r="S15" i="2" a="1"/>
  <c r="S15" i="2" s="1"/>
  <c r="S16" i="2" a="1"/>
  <c r="S16" i="2" s="1"/>
  <c r="S17" i="2" a="1"/>
  <c r="S17" i="2" s="1"/>
  <c r="S18" i="2" a="1"/>
  <c r="S18" i="2" s="1"/>
  <c r="S19" i="2" a="1"/>
  <c r="S19" i="2" s="1"/>
  <c r="S20" i="2" a="1"/>
  <c r="S20" i="2" s="1"/>
  <c r="S21" i="2" a="1"/>
  <c r="S21" i="2" s="1"/>
  <c r="S22" i="2" a="1"/>
  <c r="S22" i="2" s="1"/>
  <c r="S23" i="2" a="1"/>
  <c r="S23" i="2" s="1"/>
  <c r="S24" i="2" a="1"/>
  <c r="S24" i="2" s="1"/>
  <c r="S25" i="2" a="1"/>
  <c r="S25" i="2" s="1"/>
  <c r="S26" i="2" a="1"/>
  <c r="S26" i="2" s="1"/>
  <c r="S27" i="2" a="1"/>
  <c r="S27" i="2" s="1"/>
  <c r="S28" i="2" a="1"/>
  <c r="S28" i="2" s="1"/>
  <c r="S29" i="2" a="1"/>
  <c r="S29" i="2" s="1"/>
  <c r="S30" i="2" a="1"/>
  <c r="S30" i="2" s="1"/>
  <c r="S31" i="2" a="1"/>
  <c r="S31" i="2" s="1"/>
  <c r="S32" i="2" a="1"/>
  <c r="S32" i="2" s="1"/>
  <c r="S33" i="2" a="1"/>
  <c r="S33" i="2" s="1"/>
  <c r="S34" i="2" a="1"/>
  <c r="S34" i="2" s="1"/>
  <c r="S35" i="2" a="1"/>
  <c r="S35" i="2" s="1"/>
  <c r="S36" i="2" a="1"/>
  <c r="S36" i="2" s="1"/>
  <c r="S37" i="2" a="1"/>
  <c r="S37" i="2" s="1"/>
  <c r="S38" i="2" a="1"/>
  <c r="S38" i="2" s="1"/>
  <c r="S39" i="2" a="1"/>
  <c r="S39" i="2" s="1"/>
  <c r="S40" i="2" a="1"/>
  <c r="S40" i="2" s="1"/>
  <c r="S41" i="2" a="1"/>
  <c r="S41" i="2" s="1"/>
  <c r="S42" i="2" a="1"/>
  <c r="S42" i="2" s="1"/>
  <c r="S43" i="2" a="1"/>
  <c r="S43" i="2" s="1"/>
  <c r="S44" i="2" a="1"/>
  <c r="S44" i="2" s="1"/>
  <c r="S45" i="2" a="1"/>
  <c r="S45" i="2" s="1"/>
  <c r="S46" i="2" a="1"/>
  <c r="S46" i="2" s="1"/>
  <c r="S47" i="2" a="1"/>
  <c r="S47" i="2" s="1"/>
  <c r="S48" i="2" a="1"/>
  <c r="S48" i="2" s="1"/>
  <c r="S49" i="2" a="1"/>
  <c r="S49" i="2" s="1"/>
  <c r="S50" i="2" a="1"/>
  <c r="S50" i="2" s="1"/>
  <c r="S51" i="2" a="1"/>
  <c r="S51" i="2" s="1"/>
  <c r="S52" i="2" a="1"/>
  <c r="S52" i="2" s="1"/>
  <c r="S53" i="2" a="1"/>
  <c r="S53" i="2" s="1"/>
  <c r="S54" i="2" a="1"/>
  <c r="S54" i="2" s="1"/>
  <c r="S55" i="2" a="1"/>
  <c r="S55" i="2" s="1"/>
  <c r="S56" i="2" a="1"/>
  <c r="S56" i="2" s="1"/>
  <c r="S57" i="2" a="1"/>
  <c r="S57" i="2" s="1"/>
  <c r="S58" i="2" a="1"/>
  <c r="S58" i="2" s="1"/>
  <c r="S59" i="2" a="1"/>
  <c r="S59" i="2" s="1"/>
  <c r="S60" i="2" a="1"/>
  <c r="S60" i="2" s="1"/>
  <c r="S61" i="2" a="1"/>
  <c r="S61" i="2" s="1"/>
  <c r="S62" i="2" a="1"/>
  <c r="S62" i="2" s="1"/>
  <c r="S63" i="2" a="1"/>
  <c r="S63" i="2" s="1"/>
  <c r="S64" i="2" a="1"/>
  <c r="S64" i="2" s="1"/>
  <c r="S65" i="2" a="1"/>
  <c r="S65" i="2" s="1"/>
  <c r="S66" i="2" a="1"/>
  <c r="S66" i="2" s="1"/>
  <c r="S67" i="2" a="1"/>
  <c r="S67" i="2" s="1"/>
  <c r="S68" i="2" a="1"/>
  <c r="S68" i="2" s="1"/>
  <c r="S69" i="2" a="1"/>
  <c r="S69" i="2" s="1"/>
  <c r="S70" i="2" a="1"/>
  <c r="S70" i="2" s="1"/>
  <c r="S71" i="2" a="1"/>
  <c r="S71" i="2" s="1"/>
  <c r="S72" i="2" a="1"/>
  <c r="S72" i="2" s="1"/>
  <c r="S73" i="2" a="1"/>
  <c r="S73" i="2" s="1"/>
  <c r="S74" i="2" a="1"/>
  <c r="S74" i="2" s="1"/>
  <c r="S75" i="2" a="1"/>
  <c r="S75" i="2" s="1"/>
  <c r="S76" i="2" a="1"/>
  <c r="S76" i="2" s="1"/>
  <c r="S77" i="2" a="1"/>
  <c r="S77" i="2" s="1"/>
  <c r="S78" i="2" a="1"/>
  <c r="S78" i="2" s="1"/>
  <c r="S79" i="2" a="1"/>
  <c r="S79" i="2" s="1"/>
  <c r="S80" i="2" a="1"/>
  <c r="S80" i="2" s="1"/>
  <c r="S81" i="2" a="1"/>
  <c r="S81" i="2" s="1"/>
  <c r="S82" i="2" a="1"/>
  <c r="S82" i="2" s="1"/>
  <c r="S83" i="2" a="1"/>
  <c r="S83" i="2" s="1"/>
  <c r="S84" i="2" a="1"/>
  <c r="S84" i="2" s="1"/>
  <c r="S85" i="2" a="1"/>
  <c r="S85" i="2" s="1"/>
  <c r="S86" i="2" a="1"/>
  <c r="S86" i="2" s="1"/>
  <c r="S87" i="2" a="1"/>
  <c r="S87" i="2" s="1"/>
  <c r="S88" i="2" a="1"/>
  <c r="S88" i="2" s="1"/>
  <c r="S89" i="2" a="1"/>
  <c r="S89" i="2" s="1"/>
  <c r="S90" i="2" a="1"/>
  <c r="S90" i="2" s="1"/>
  <c r="S91" i="2" a="1"/>
  <c r="S91" i="2" s="1"/>
  <c r="S92" i="2" a="1"/>
  <c r="S92" i="2" s="1"/>
  <c r="S93" i="2" a="1"/>
  <c r="S93" i="2" s="1"/>
  <c r="S94" i="2" a="1"/>
  <c r="S94" i="2" s="1"/>
  <c r="S95" i="2" a="1"/>
  <c r="S95" i="2" s="1"/>
  <c r="S96" i="2" a="1"/>
  <c r="S96" i="2" s="1"/>
  <c r="S97" i="2" a="1"/>
  <c r="S97" i="2" s="1"/>
  <c r="S98" i="2" a="1"/>
  <c r="S98" i="2" s="1"/>
  <c r="S99" i="2" a="1"/>
  <c r="S99" i="2" s="1"/>
  <c r="S100" i="2" a="1"/>
  <c r="S100" i="2" s="1"/>
  <c r="S101" i="2" a="1"/>
  <c r="S101" i="2" s="1"/>
  <c r="S102" i="2" a="1"/>
  <c r="S102" i="2" s="1"/>
  <c r="S103" i="2" a="1"/>
  <c r="S103" i="2" s="1"/>
  <c r="S104" i="2" a="1"/>
  <c r="S104" i="2" s="1"/>
  <c r="S105" i="2" a="1"/>
  <c r="S105" i="2" s="1"/>
  <c r="S106" i="2" a="1"/>
  <c r="S106" i="2" s="1"/>
  <c r="S107" i="2" a="1"/>
  <c r="S107" i="2" s="1"/>
  <c r="S108" i="2" a="1"/>
  <c r="S108" i="2" s="1"/>
  <c r="S109" i="2" a="1"/>
  <c r="S109" i="2" s="1"/>
  <c r="S110" i="2" a="1"/>
  <c r="S110" i="2" s="1"/>
  <c r="S111" i="2" a="1"/>
  <c r="S111" i="2" s="1"/>
  <c r="S112" i="2" a="1"/>
  <c r="S112" i="2" s="1"/>
  <c r="S113" i="2" a="1"/>
  <c r="S113" i="2" s="1"/>
  <c r="S114" i="2" a="1"/>
  <c r="S114" i="2" s="1"/>
  <c r="S115" i="2" a="1"/>
  <c r="S115" i="2" s="1"/>
  <c r="S116" i="2" a="1"/>
  <c r="S116" i="2" s="1"/>
  <c r="S117" i="2" a="1"/>
  <c r="S117" i="2" s="1"/>
  <c r="S118" i="2" a="1"/>
  <c r="S118" i="2" s="1"/>
  <c r="S119" i="2" a="1"/>
  <c r="S119" i="2" s="1"/>
  <c r="S120" i="2" a="1"/>
  <c r="S120" i="2" s="1"/>
  <c r="S121" i="2" a="1"/>
  <c r="S121" i="2" s="1"/>
  <c r="S122" i="2" a="1"/>
  <c r="S122" i="2" s="1"/>
  <c r="S123" i="2" a="1"/>
  <c r="S123" i="2" s="1"/>
  <c r="S124" i="2" a="1"/>
  <c r="S124" i="2" s="1"/>
  <c r="S125" i="2" a="1"/>
  <c r="S125" i="2" s="1"/>
  <c r="S126" i="2" a="1"/>
  <c r="S126" i="2" s="1"/>
  <c r="S127" i="2" a="1"/>
  <c r="S127" i="2" s="1"/>
  <c r="S128" i="2" a="1"/>
  <c r="S128" i="2" s="1"/>
  <c r="S129" i="2" a="1"/>
  <c r="S129" i="2" s="1"/>
  <c r="S130" i="2" a="1"/>
  <c r="S130" i="2" s="1"/>
  <c r="S131" i="2" a="1"/>
  <c r="S131" i="2" s="1"/>
  <c r="S132" i="2" a="1"/>
  <c r="S132" i="2" s="1"/>
  <c r="S133" i="2" a="1"/>
  <c r="S133" i="2" s="1"/>
  <c r="S134" i="2" a="1"/>
  <c r="S134" i="2" s="1"/>
  <c r="S135" i="2" a="1"/>
  <c r="S135" i="2" s="1"/>
  <c r="S136" i="2" a="1"/>
  <c r="S136" i="2" s="1"/>
  <c r="S137" i="2" a="1"/>
  <c r="S137" i="2" s="1"/>
  <c r="S138" i="2" a="1"/>
  <c r="S138" i="2" s="1"/>
  <c r="S139" i="2" a="1"/>
  <c r="S139" i="2" s="1"/>
  <c r="S140" i="2" a="1"/>
  <c r="S140" i="2" s="1"/>
  <c r="S141" i="2" a="1"/>
  <c r="S141" i="2" s="1"/>
  <c r="S142" i="2" a="1"/>
  <c r="S142" i="2" s="1"/>
  <c r="S143" i="2" a="1"/>
  <c r="S143" i="2" s="1"/>
  <c r="S144" i="2" a="1"/>
  <c r="S144" i="2" s="1"/>
  <c r="S145" i="2" a="1"/>
  <c r="S145" i="2" s="1"/>
  <c r="S146" i="2" a="1"/>
  <c r="S146" i="2" s="1"/>
  <c r="S147" i="2" a="1"/>
  <c r="S147" i="2" s="1"/>
  <c r="S148" i="2" a="1"/>
  <c r="S148" i="2" s="1"/>
  <c r="S149" i="2" a="1"/>
  <c r="S149" i="2" s="1"/>
  <c r="S150" i="2" a="1"/>
  <c r="S150" i="2" s="1"/>
  <c r="S151" i="2" a="1"/>
  <c r="S151" i="2" s="1"/>
  <c r="S152" i="2" a="1"/>
  <c r="S152" i="2" s="1"/>
  <c r="S153" i="2" a="1"/>
  <c r="S153" i="2" s="1"/>
  <c r="S154" i="2" a="1"/>
  <c r="S154" i="2" s="1"/>
  <c r="S155" i="2" a="1"/>
  <c r="S155" i="2" s="1"/>
  <c r="S156" i="2" a="1"/>
  <c r="S156" i="2" s="1"/>
  <c r="S157" i="2" a="1"/>
  <c r="S157" i="2" s="1"/>
  <c r="S158" i="2" a="1"/>
  <c r="S158" i="2" s="1"/>
  <c r="S159" i="2" a="1"/>
  <c r="S159" i="2" s="1"/>
  <c r="S160" i="2" a="1"/>
  <c r="S160" i="2" s="1"/>
  <c r="S161" i="2" a="1"/>
  <c r="S161" i="2" s="1"/>
  <c r="S162" i="2" a="1"/>
  <c r="S162" i="2" s="1"/>
  <c r="S163" i="2" a="1"/>
  <c r="S163" i="2" s="1"/>
  <c r="S164" i="2" a="1"/>
  <c r="S164" i="2" s="1"/>
  <c r="S165" i="2" a="1"/>
  <c r="S165" i="2" s="1"/>
  <c r="S166" i="2" a="1"/>
  <c r="S166" i="2" s="1"/>
  <c r="S167" i="2" a="1"/>
  <c r="S167" i="2" s="1"/>
  <c r="S168" i="2" a="1"/>
  <c r="S168" i="2" s="1"/>
  <c r="S169" i="2" a="1"/>
  <c r="S169" i="2" s="1"/>
  <c r="S170" i="2" a="1"/>
  <c r="S170" i="2" s="1"/>
  <c r="S171" i="2" a="1"/>
  <c r="S171" i="2" s="1"/>
  <c r="S172" i="2" a="1"/>
  <c r="S172" i="2" s="1"/>
  <c r="S173" i="2" a="1"/>
  <c r="S173" i="2" s="1"/>
  <c r="S174" i="2" a="1"/>
  <c r="S174" i="2" s="1"/>
  <c r="S175" i="2" a="1"/>
  <c r="S175" i="2" s="1"/>
  <c r="S176" i="2" a="1"/>
  <c r="S176" i="2" s="1"/>
  <c r="S177" i="2" a="1"/>
  <c r="S177" i="2" s="1"/>
  <c r="S178" i="2" a="1"/>
  <c r="S178" i="2" s="1"/>
  <c r="S179" i="2" a="1"/>
  <c r="S179" i="2" s="1"/>
  <c r="S180" i="2" a="1"/>
  <c r="S180" i="2" s="1"/>
  <c r="S181" i="2" a="1"/>
  <c r="S181" i="2" s="1"/>
  <c r="S182" i="2" a="1"/>
  <c r="S182" i="2" s="1"/>
  <c r="S183" i="2" a="1"/>
  <c r="S183" i="2" s="1"/>
  <c r="S184" i="2" a="1"/>
  <c r="S184" i="2" s="1"/>
  <c r="S185" i="2" a="1"/>
  <c r="S185" i="2" s="1"/>
  <c r="S186" i="2" a="1"/>
  <c r="S186" i="2" s="1"/>
  <c r="S187" i="2" a="1"/>
  <c r="S187" i="2" s="1"/>
  <c r="S188" i="2" a="1"/>
  <c r="S188" i="2" s="1"/>
  <c r="S189" i="2" a="1"/>
  <c r="S189" i="2" s="1"/>
  <c r="S190" i="2" a="1"/>
  <c r="S190" i="2" s="1"/>
  <c r="S191" i="2" a="1"/>
  <c r="S191" i="2" s="1"/>
  <c r="S192" i="2" a="1"/>
  <c r="S192" i="2" s="1"/>
  <c r="S193" i="2" a="1"/>
  <c r="S193" i="2" s="1"/>
  <c r="S194" i="2" a="1"/>
  <c r="S194" i="2" s="1"/>
  <c r="S195" i="2" a="1"/>
  <c r="S195" i="2" s="1"/>
  <c r="S196" i="2" a="1"/>
  <c r="S196" i="2" s="1"/>
  <c r="S197" i="2" a="1"/>
  <c r="S197" i="2" s="1"/>
  <c r="S198" i="2" a="1"/>
  <c r="S198" i="2" s="1"/>
  <c r="S199" i="2" a="1"/>
  <c r="S199" i="2" s="1"/>
  <c r="S200" i="2" a="1"/>
  <c r="S200" i="2" s="1"/>
  <c r="S201" i="2" a="1"/>
  <c r="S201" i="2" s="1"/>
  <c r="S202" i="2" a="1"/>
  <c r="S202" i="2" s="1"/>
  <c r="S203" i="2" a="1"/>
  <c r="S203" i="2" s="1"/>
  <c r="S204" i="2" a="1"/>
  <c r="S204" i="2" s="1"/>
  <c r="S205" i="2" a="1"/>
  <c r="S205" i="2" s="1"/>
  <c r="S206" i="2" a="1"/>
  <c r="S206" i="2" s="1"/>
  <c r="S207" i="2" a="1"/>
  <c r="S207" i="2" s="1"/>
  <c r="S208" i="2" a="1"/>
  <c r="S208" i="2" s="1"/>
  <c r="S209" i="2" a="1"/>
  <c r="S209" i="2" s="1"/>
  <c r="S210" i="2" a="1"/>
  <c r="S210" i="2" s="1"/>
  <c r="S211" i="2" a="1"/>
  <c r="S211" i="2" s="1"/>
  <c r="S212" i="2" a="1"/>
  <c r="S212" i="2" s="1"/>
  <c r="S213" i="2" a="1"/>
  <c r="S213" i="2" s="1"/>
  <c r="S214" i="2" a="1"/>
  <c r="S214" i="2" s="1"/>
  <c r="S215" i="2" a="1"/>
  <c r="S215" i="2" s="1"/>
  <c r="S216" i="2" a="1"/>
  <c r="S216" i="2" s="1"/>
  <c r="S217" i="2" a="1"/>
  <c r="S217" i="2" s="1"/>
  <c r="S218" i="2" a="1"/>
  <c r="S218" i="2" s="1"/>
  <c r="S219" i="2" a="1"/>
  <c r="S219" i="2" s="1"/>
  <c r="S220" i="2" a="1"/>
  <c r="S220" i="2" s="1"/>
  <c r="S221" i="2" a="1"/>
  <c r="S221" i="2" s="1"/>
  <c r="S222" i="2" a="1"/>
  <c r="S222" i="2" s="1"/>
  <c r="S223" i="2" a="1"/>
  <c r="S223" i="2" s="1"/>
  <c r="S224" i="2" a="1"/>
  <c r="S224" i="2" s="1"/>
  <c r="S225" i="2" a="1"/>
  <c r="S225" i="2" s="1"/>
  <c r="S226" i="2" a="1"/>
  <c r="S226" i="2" s="1"/>
  <c r="S227" i="2" a="1"/>
  <c r="S227" i="2" s="1"/>
  <c r="S228" i="2" a="1"/>
  <c r="S228" i="2" s="1"/>
  <c r="S229" i="2" a="1"/>
  <c r="S229" i="2" s="1"/>
  <c r="S230" i="2" a="1"/>
  <c r="S230" i="2" s="1"/>
  <c r="S231" i="2" a="1"/>
  <c r="S231" i="2" s="1"/>
  <c r="S232" i="2" a="1"/>
  <c r="S232" i="2" s="1"/>
  <c r="S233" i="2" a="1"/>
  <c r="S233" i="2" s="1"/>
  <c r="S234" i="2" a="1"/>
  <c r="S234" i="2" s="1"/>
  <c r="S235" i="2" a="1"/>
  <c r="S235" i="2" s="1"/>
  <c r="S236" i="2" a="1"/>
  <c r="S236" i="2" s="1"/>
  <c r="S237" i="2" a="1"/>
  <c r="S237" i="2" s="1"/>
  <c r="S238" i="2" a="1"/>
  <c r="S238" i="2" s="1"/>
  <c r="S239" i="2" a="1"/>
  <c r="S239" i="2" s="1"/>
  <c r="S240" i="2" a="1"/>
  <c r="S240" i="2" s="1"/>
  <c r="S241" i="2" a="1"/>
  <c r="S241" i="2" s="1"/>
  <c r="S242" i="2" a="1"/>
  <c r="S242" i="2" s="1"/>
  <c r="S243" i="2" a="1"/>
  <c r="S243" i="2" s="1"/>
  <c r="S244" i="2" a="1"/>
  <c r="S244" i="2" s="1"/>
  <c r="S245" i="2" a="1"/>
  <c r="S245" i="2" s="1"/>
  <c r="S246" i="2" a="1"/>
  <c r="S246" i="2" s="1"/>
  <c r="S247" i="2" a="1"/>
  <c r="S247" i="2" s="1"/>
  <c r="S248" i="2" a="1"/>
  <c r="S248" i="2" s="1"/>
  <c r="S249" i="2" a="1"/>
  <c r="S249" i="2" s="1"/>
  <c r="S250" i="2" a="1"/>
  <c r="S250" i="2" s="1"/>
  <c r="S251" i="2" a="1"/>
  <c r="S251" i="2" s="1"/>
  <c r="S252" i="2" a="1"/>
  <c r="S252" i="2" s="1"/>
  <c r="S253" i="2" a="1"/>
  <c r="S253" i="2" s="1"/>
  <c r="S254" i="2" a="1"/>
  <c r="S254" i="2" s="1"/>
  <c r="S255" i="2" a="1"/>
  <c r="S255" i="2" s="1"/>
  <c r="S256" i="2" a="1"/>
  <c r="S256" i="2" s="1"/>
  <c r="S257" i="2" a="1"/>
  <c r="S257" i="2" s="1"/>
  <c r="S258" i="2" a="1"/>
  <c r="S258" i="2" s="1"/>
  <c r="S259" i="2" a="1"/>
  <c r="S259" i="2" s="1"/>
  <c r="S260" i="2" a="1"/>
  <c r="S260" i="2" s="1"/>
  <c r="S261" i="2" a="1"/>
  <c r="S261" i="2" s="1"/>
  <c r="S262" i="2" a="1"/>
  <c r="S262" i="2" s="1"/>
  <c r="S263" i="2" a="1"/>
  <c r="S263" i="2" s="1"/>
  <c r="S264" i="2" a="1"/>
  <c r="S264" i="2" s="1"/>
  <c r="S265" i="2" a="1"/>
  <c r="S265" i="2" s="1"/>
  <c r="S266" i="2" a="1"/>
  <c r="S266" i="2" s="1"/>
  <c r="S267" i="2" a="1"/>
  <c r="S267" i="2" s="1"/>
  <c r="S268" i="2" a="1"/>
  <c r="S268" i="2" s="1"/>
  <c r="S269" i="2" a="1"/>
  <c r="S269" i="2" s="1"/>
  <c r="S270" i="2" a="1"/>
  <c r="S270" i="2" s="1"/>
  <c r="S271" i="2" a="1"/>
  <c r="S271" i="2" s="1"/>
  <c r="S272" i="2" a="1"/>
  <c r="S272" i="2" s="1"/>
  <c r="S273" i="2" a="1"/>
  <c r="S273" i="2" s="1"/>
  <c r="S274" i="2" a="1"/>
  <c r="S274" i="2" s="1"/>
  <c r="S275" i="2" a="1"/>
  <c r="S275" i="2" s="1"/>
  <c r="S276" i="2" a="1"/>
  <c r="S276" i="2" s="1"/>
  <c r="S277" i="2" a="1"/>
  <c r="S277" i="2" s="1"/>
  <c r="S278" i="2" a="1"/>
  <c r="S278" i="2" s="1"/>
  <c r="S279" i="2" a="1"/>
  <c r="S279" i="2" s="1"/>
  <c r="S280" i="2" a="1"/>
  <c r="S280" i="2" s="1"/>
  <c r="S281" i="2" a="1"/>
  <c r="S281" i="2" s="1"/>
  <c r="S282" i="2" a="1"/>
  <c r="S282" i="2" s="1"/>
  <c r="S283" i="2" a="1"/>
  <c r="S283" i="2" s="1"/>
  <c r="S284" i="2" a="1"/>
  <c r="S284" i="2" s="1"/>
  <c r="S285" i="2" a="1"/>
  <c r="S285" i="2" s="1"/>
  <c r="S286" i="2" a="1"/>
  <c r="S286" i="2" s="1"/>
  <c r="S287" i="2" a="1"/>
  <c r="S287" i="2" s="1"/>
  <c r="S288" i="2" a="1"/>
  <c r="S288" i="2" s="1"/>
  <c r="S289" i="2" a="1"/>
  <c r="S289" i="2" s="1"/>
  <c r="S290" i="2" a="1"/>
  <c r="S290" i="2" s="1"/>
  <c r="S291" i="2" a="1"/>
  <c r="S291" i="2" s="1"/>
  <c r="S292" i="2" a="1"/>
  <c r="S292" i="2" s="1"/>
  <c r="S293" i="2" a="1"/>
  <c r="S293" i="2" s="1"/>
  <c r="S294" i="2" a="1"/>
  <c r="S294" i="2" s="1"/>
  <c r="S295" i="2" a="1"/>
  <c r="S295" i="2" s="1"/>
  <c r="S296" i="2" a="1"/>
  <c r="S296" i="2" s="1"/>
  <c r="S297" i="2" a="1"/>
  <c r="S297" i="2" s="1"/>
  <c r="S298" i="2" a="1"/>
  <c r="S298" i="2" s="1"/>
  <c r="S299" i="2" a="1"/>
  <c r="S299" i="2" s="1"/>
  <c r="S300" i="2" a="1"/>
  <c r="S300" i="2" s="1"/>
  <c r="S301" i="2" a="1"/>
  <c r="S301" i="2" s="1"/>
  <c r="S302" i="2" a="1"/>
  <c r="S302" i="2" s="1"/>
  <c r="S303" i="2" a="1"/>
  <c r="S303" i="2" s="1"/>
  <c r="S304" i="2" a="1"/>
  <c r="S304" i="2" s="1"/>
  <c r="S305" i="2" a="1"/>
  <c r="S305" i="2" s="1"/>
  <c r="S306" i="2" a="1"/>
  <c r="S306" i="2" s="1"/>
  <c r="S307" i="2" a="1"/>
  <c r="S307" i="2" s="1"/>
  <c r="S308" i="2" a="1"/>
  <c r="S308" i="2" s="1"/>
  <c r="S309" i="2" a="1"/>
  <c r="S309" i="2" s="1"/>
  <c r="S310" i="2" a="1"/>
  <c r="S310" i="2" s="1"/>
  <c r="S311" i="2" a="1"/>
  <c r="S311" i="2" s="1"/>
  <c r="S312" i="2" a="1"/>
  <c r="S312" i="2" s="1"/>
  <c r="S313" i="2" a="1"/>
  <c r="S313" i="2" s="1"/>
  <c r="S314" i="2" a="1"/>
  <c r="S314" i="2" s="1"/>
  <c r="S315" i="2" a="1"/>
  <c r="S315" i="2" s="1"/>
  <c r="S316" i="2" a="1"/>
  <c r="S316" i="2" s="1"/>
  <c r="S317" i="2" a="1"/>
  <c r="S317" i="2" s="1"/>
  <c r="S318" i="2" a="1"/>
  <c r="S318" i="2" s="1"/>
  <c r="S319" i="2" a="1"/>
  <c r="S319" i="2" s="1"/>
  <c r="S320" i="2" a="1"/>
  <c r="S320" i="2" s="1"/>
  <c r="S321" i="2" a="1"/>
  <c r="S321" i="2" s="1"/>
  <c r="S322" i="2" a="1"/>
  <c r="S322" i="2" s="1"/>
  <c r="S323" i="2" a="1"/>
  <c r="S323" i="2" s="1"/>
  <c r="S324" i="2" a="1"/>
  <c r="S324" i="2" s="1"/>
  <c r="S325" i="2" a="1"/>
  <c r="S325" i="2" s="1"/>
  <c r="S326" i="2" a="1"/>
  <c r="S326" i="2" s="1"/>
  <c r="S327" i="2" a="1"/>
  <c r="S327" i="2" s="1"/>
  <c r="S328" i="2" a="1"/>
  <c r="S328" i="2" s="1"/>
  <c r="S329" i="2" a="1"/>
  <c r="S329" i="2" s="1"/>
  <c r="S330" i="2" a="1"/>
  <c r="S330" i="2" s="1"/>
  <c r="S331" i="2" a="1"/>
  <c r="S331" i="2" s="1"/>
  <c r="S332" i="2" a="1"/>
  <c r="S332" i="2" s="1"/>
  <c r="S333" i="2" a="1"/>
  <c r="S333" i="2" s="1"/>
  <c r="S334" i="2" a="1"/>
  <c r="S334" i="2" s="1"/>
  <c r="S335" i="2" a="1"/>
  <c r="S335" i="2" s="1"/>
  <c r="S336" i="2" a="1"/>
  <c r="S336" i="2" s="1"/>
  <c r="S337" i="2" a="1"/>
  <c r="S337" i="2" s="1"/>
  <c r="S338" i="2" a="1"/>
  <c r="S338" i="2" s="1"/>
  <c r="S339" i="2" a="1"/>
  <c r="S339" i="2" s="1"/>
  <c r="S340" i="2" a="1"/>
  <c r="S340" i="2" s="1"/>
  <c r="S341" i="2" a="1"/>
  <c r="S341" i="2" s="1"/>
  <c r="S342" i="2" a="1"/>
  <c r="S342" i="2" s="1"/>
  <c r="S343" i="2" a="1"/>
  <c r="S343" i="2" s="1"/>
  <c r="S344" i="2" a="1"/>
  <c r="S344" i="2" s="1"/>
  <c r="S345" i="2" a="1"/>
  <c r="S345" i="2" s="1"/>
  <c r="S346" i="2" a="1"/>
  <c r="S346" i="2" s="1"/>
  <c r="S347" i="2" a="1"/>
  <c r="S347" i="2" s="1"/>
  <c r="S348" i="2" a="1"/>
  <c r="S348" i="2" s="1"/>
  <c r="S349" i="2" a="1"/>
  <c r="S349" i="2" s="1"/>
  <c r="S350" i="2" a="1"/>
  <c r="S350" i="2" s="1"/>
  <c r="S351" i="2" a="1"/>
  <c r="S351" i="2" s="1"/>
  <c r="S352" i="2" a="1"/>
  <c r="S352" i="2" s="1"/>
  <c r="S353" i="2" a="1"/>
  <c r="S353" i="2" s="1"/>
  <c r="S354" i="2" a="1"/>
  <c r="S354" i="2" s="1"/>
  <c r="S355" i="2" a="1"/>
  <c r="S355" i="2" s="1"/>
  <c r="S356" i="2" a="1"/>
  <c r="S356" i="2" s="1"/>
  <c r="S357" i="2" a="1"/>
  <c r="S357" i="2" s="1"/>
  <c r="S358" i="2" a="1"/>
  <c r="S358" i="2" s="1"/>
  <c r="S359" i="2" a="1"/>
  <c r="S359" i="2" s="1"/>
  <c r="S360" i="2" a="1"/>
  <c r="S360" i="2" s="1"/>
  <c r="S361" i="2" a="1"/>
  <c r="S361" i="2" s="1"/>
  <c r="S362" i="2" a="1"/>
  <c r="S362" i="2" s="1"/>
  <c r="S363" i="2" a="1"/>
  <c r="S363" i="2" s="1"/>
  <c r="S364" i="2" a="1"/>
  <c r="S364" i="2" s="1"/>
  <c r="S365" i="2" a="1"/>
  <c r="S365" i="2" s="1"/>
  <c r="S366" i="2" a="1"/>
  <c r="S366" i="2" s="1"/>
  <c r="S367" i="2" a="1"/>
  <c r="S367" i="2" s="1"/>
  <c r="S368" i="2" a="1"/>
  <c r="S368" i="2" s="1"/>
  <c r="S369" i="2" a="1"/>
  <c r="S369" i="2" s="1"/>
  <c r="S370" i="2" a="1"/>
  <c r="S370" i="2" s="1"/>
  <c r="S371" i="2" a="1"/>
  <c r="S371" i="2" s="1"/>
  <c r="S372" i="2" a="1"/>
  <c r="S372" i="2" s="1"/>
  <c r="S373" i="2" a="1"/>
  <c r="S373" i="2" s="1"/>
  <c r="S374" i="2" a="1"/>
  <c r="S374" i="2" s="1"/>
  <c r="S375" i="2" a="1"/>
  <c r="S375" i="2" s="1"/>
  <c r="S376" i="2" a="1"/>
  <c r="S376" i="2" s="1"/>
  <c r="S377" i="2" a="1"/>
  <c r="S377" i="2" s="1"/>
  <c r="S378" i="2" a="1"/>
  <c r="S378" i="2" s="1"/>
  <c r="S379" i="2" a="1"/>
  <c r="S379" i="2" s="1"/>
  <c r="S380" i="2" a="1"/>
  <c r="S380" i="2" s="1"/>
  <c r="S381" i="2" a="1"/>
  <c r="S381" i="2" s="1"/>
  <c r="S382" i="2" a="1"/>
  <c r="S382" i="2" s="1"/>
  <c r="S383" i="2" a="1"/>
  <c r="S383" i="2" s="1"/>
  <c r="S384" i="2" a="1"/>
  <c r="S384" i="2" s="1"/>
  <c r="S385" i="2" a="1"/>
  <c r="S385" i="2" s="1"/>
  <c r="S386" i="2" a="1"/>
  <c r="S386" i="2" s="1"/>
  <c r="S387" i="2" a="1"/>
  <c r="S387" i="2" s="1"/>
  <c r="S388" i="2" a="1"/>
  <c r="S388" i="2" s="1"/>
  <c r="S389" i="2" a="1"/>
  <c r="S389" i="2" s="1"/>
  <c r="S390" i="2" a="1"/>
  <c r="S390" i="2" s="1"/>
  <c r="S391" i="2" a="1"/>
  <c r="S391" i="2" s="1"/>
  <c r="S392" i="2" a="1"/>
  <c r="S392" i="2" s="1"/>
  <c r="S393" i="2" a="1"/>
  <c r="S393" i="2" s="1"/>
  <c r="S394" i="2" a="1"/>
  <c r="S394" i="2" s="1"/>
  <c r="S395" i="2" a="1"/>
  <c r="S395" i="2" s="1"/>
  <c r="S396" i="2" a="1"/>
  <c r="S396" i="2" s="1"/>
  <c r="S397" i="2" a="1"/>
  <c r="S397" i="2" s="1"/>
  <c r="S398" i="2" a="1"/>
  <c r="S398" i="2" s="1"/>
  <c r="S399" i="2" a="1"/>
  <c r="S399" i="2" s="1"/>
  <c r="S400" i="2" a="1"/>
  <c r="S400" i="2" s="1"/>
  <c r="S401" i="2" a="1"/>
  <c r="S401" i="2" s="1"/>
  <c r="S402" i="2" a="1"/>
  <c r="S402" i="2" s="1"/>
  <c r="S403" i="2" a="1"/>
  <c r="S403" i="2" s="1"/>
  <c r="S404" i="2" a="1"/>
  <c r="S404" i="2" s="1"/>
  <c r="S405" i="2" a="1"/>
  <c r="S405" i="2" s="1"/>
  <c r="S406" i="2" a="1"/>
  <c r="S406" i="2" s="1"/>
  <c r="S407" i="2" a="1"/>
  <c r="S407" i="2" s="1"/>
  <c r="S408" i="2" a="1"/>
  <c r="S408" i="2" s="1"/>
  <c r="S409" i="2" a="1"/>
  <c r="S409" i="2" s="1"/>
  <c r="S410" i="2" a="1"/>
  <c r="S410" i="2" s="1"/>
  <c r="S411" i="2" a="1"/>
  <c r="S411" i="2" s="1"/>
  <c r="S412" i="2" a="1"/>
  <c r="S412" i="2" s="1"/>
  <c r="S413" i="2" a="1"/>
  <c r="S413" i="2" s="1"/>
  <c r="S414" i="2" a="1"/>
  <c r="S414" i="2" s="1"/>
  <c r="S415" i="2" a="1"/>
  <c r="S415" i="2" s="1"/>
  <c r="S416" i="2" a="1"/>
  <c r="S416" i="2" s="1"/>
  <c r="S417" i="2" a="1"/>
  <c r="S417" i="2" s="1"/>
  <c r="S418" i="2" a="1"/>
  <c r="S418" i="2" s="1"/>
  <c r="S419" i="2" a="1"/>
  <c r="S419" i="2" s="1"/>
  <c r="S420" i="2" a="1"/>
  <c r="S420" i="2" s="1"/>
  <c r="S421" i="2" a="1"/>
  <c r="S421" i="2" s="1"/>
  <c r="S422" i="2" a="1"/>
  <c r="S422" i="2" s="1"/>
  <c r="S423" i="2" a="1"/>
  <c r="S423" i="2" s="1"/>
  <c r="S424" i="2" a="1"/>
  <c r="S424" i="2" s="1"/>
  <c r="S425" i="2" a="1"/>
  <c r="S425" i="2" s="1"/>
  <c r="S426" i="2" a="1"/>
  <c r="S426" i="2" s="1"/>
  <c r="S427" i="2" a="1"/>
  <c r="S427" i="2" s="1"/>
  <c r="S428" i="2" a="1"/>
  <c r="S428" i="2" s="1"/>
  <c r="S429" i="2" a="1"/>
  <c r="S429" i="2" s="1"/>
  <c r="S430" i="2" a="1"/>
  <c r="S430" i="2" s="1"/>
  <c r="S431" i="2" a="1"/>
  <c r="S431" i="2" s="1"/>
  <c r="S432" i="2" a="1"/>
  <c r="S432" i="2" s="1"/>
  <c r="S433" i="2" a="1"/>
  <c r="S433" i="2" s="1"/>
  <c r="S434" i="2" a="1"/>
  <c r="S434" i="2" s="1"/>
  <c r="S435" i="2" a="1"/>
  <c r="S435" i="2" s="1"/>
  <c r="S436" i="2" a="1"/>
  <c r="S436" i="2" s="1"/>
  <c r="S437" i="2" a="1"/>
  <c r="S437" i="2" s="1"/>
  <c r="S438" i="2" a="1"/>
  <c r="S438" i="2" s="1"/>
  <c r="S439" i="2" a="1"/>
  <c r="S439" i="2" s="1"/>
  <c r="S440" i="2" a="1"/>
  <c r="S440" i="2" s="1"/>
  <c r="S441" i="2" a="1"/>
  <c r="S441" i="2" s="1"/>
  <c r="S442" i="2" a="1"/>
  <c r="S442" i="2" s="1"/>
  <c r="S443" i="2" a="1"/>
  <c r="S443" i="2" s="1"/>
  <c r="S444" i="2" a="1"/>
  <c r="S444" i="2" s="1"/>
  <c r="S445" i="2" a="1"/>
  <c r="S445" i="2" s="1"/>
  <c r="S446" i="2" a="1"/>
  <c r="S446" i="2" s="1"/>
  <c r="S447" i="2" a="1"/>
  <c r="S447" i="2" s="1"/>
  <c r="S448" i="2" a="1"/>
  <c r="S448" i="2" s="1"/>
  <c r="S449" i="2" a="1"/>
  <c r="S449" i="2" s="1"/>
  <c r="S450" i="2" a="1"/>
  <c r="S450" i="2" s="1"/>
  <c r="S451" i="2" a="1"/>
  <c r="S451" i="2" s="1"/>
  <c r="S452" i="2" a="1"/>
  <c r="S452" i="2" s="1"/>
  <c r="S453" i="2" a="1"/>
  <c r="S453" i="2" s="1"/>
  <c r="S454" i="2" a="1"/>
  <c r="S454" i="2" s="1"/>
  <c r="S455" i="2" a="1"/>
  <c r="S455" i="2" s="1"/>
  <c r="S456" i="2" a="1"/>
  <c r="S456" i="2" s="1"/>
  <c r="S457" i="2" a="1"/>
  <c r="S457" i="2" s="1"/>
  <c r="S458" i="2" a="1"/>
  <c r="S458" i="2" s="1"/>
  <c r="S459" i="2" a="1"/>
  <c r="S459" i="2" s="1"/>
  <c r="S460" i="2" a="1"/>
  <c r="S460" i="2" s="1"/>
  <c r="S461" i="2" a="1"/>
  <c r="S461" i="2" s="1"/>
  <c r="S462" i="2" a="1"/>
  <c r="S462" i="2" s="1"/>
  <c r="S463" i="2" a="1"/>
  <c r="S463" i="2" s="1"/>
  <c r="S464" i="2" a="1"/>
  <c r="S464" i="2" s="1"/>
  <c r="S465" i="2" a="1"/>
  <c r="S465" i="2" s="1"/>
  <c r="S466" i="2" a="1"/>
  <c r="S466" i="2" s="1"/>
  <c r="S467" i="2" a="1"/>
  <c r="S467" i="2" s="1"/>
  <c r="S468" i="2" a="1"/>
  <c r="S468" i="2" s="1"/>
  <c r="S469" i="2" a="1"/>
  <c r="S469" i="2" s="1"/>
  <c r="S470" i="2" a="1"/>
  <c r="S470" i="2" s="1"/>
  <c r="S471" i="2" a="1"/>
  <c r="S471" i="2" s="1"/>
  <c r="S472" i="2" a="1"/>
  <c r="S472" i="2" s="1"/>
  <c r="S473" i="2" a="1"/>
  <c r="S473" i="2" s="1"/>
  <c r="S474" i="2" a="1"/>
  <c r="S474" i="2" s="1"/>
  <c r="S475" i="2" a="1"/>
  <c r="S475" i="2" s="1"/>
  <c r="S476" i="2" a="1"/>
  <c r="S476" i="2" s="1"/>
  <c r="S477" i="2" a="1"/>
  <c r="S477" i="2" s="1"/>
  <c r="S478" i="2" a="1"/>
  <c r="S478" i="2" s="1"/>
  <c r="S479" i="2" a="1"/>
  <c r="S479" i="2" s="1"/>
  <c r="S480" i="2" a="1"/>
  <c r="S480" i="2" s="1"/>
  <c r="S481" i="2" a="1"/>
  <c r="S481" i="2" s="1"/>
  <c r="S482" i="2" a="1"/>
  <c r="S482" i="2" s="1"/>
  <c r="S483" i="2" a="1"/>
  <c r="S483" i="2" s="1"/>
  <c r="S484" i="2" a="1"/>
  <c r="S484" i="2" s="1"/>
  <c r="S485" i="2" a="1"/>
  <c r="S485" i="2" s="1"/>
  <c r="S486" i="2" a="1"/>
  <c r="S486" i="2" s="1"/>
  <c r="S487" i="2" a="1"/>
  <c r="S487" i="2" s="1"/>
  <c r="S488" i="2" a="1"/>
  <c r="S488" i="2" s="1"/>
  <c r="S489" i="2" a="1"/>
  <c r="S489" i="2" s="1"/>
  <c r="S490" i="2" a="1"/>
  <c r="S490" i="2" s="1"/>
  <c r="S491" i="2" a="1"/>
  <c r="S491" i="2" s="1"/>
  <c r="S492" i="2" a="1"/>
  <c r="S492" i="2" s="1"/>
  <c r="S493" i="2" a="1"/>
  <c r="S493" i="2" s="1"/>
  <c r="S494" i="2" a="1"/>
  <c r="S494" i="2" s="1"/>
  <c r="S495" i="2" a="1"/>
  <c r="S495" i="2" s="1"/>
  <c r="S496" i="2" a="1"/>
  <c r="S496" i="2" s="1"/>
  <c r="S497" i="2" a="1"/>
  <c r="S497" i="2" s="1"/>
  <c r="S498" i="2" a="1"/>
  <c r="S498" i="2" s="1"/>
  <c r="S499" i="2" a="1"/>
  <c r="S499" i="2" s="1"/>
  <c r="S500" i="2" a="1"/>
  <c r="S500" i="2" s="1"/>
  <c r="S501" i="2" a="1"/>
  <c r="S501" i="2" s="1"/>
  <c r="S502" i="2" a="1"/>
  <c r="S502" i="2" s="1"/>
  <c r="S503" i="2" a="1"/>
  <c r="S503" i="2" s="1"/>
  <c r="S504" i="2" a="1"/>
  <c r="S504" i="2" s="1"/>
  <c r="S505" i="2" a="1"/>
  <c r="S505" i="2" s="1"/>
  <c r="S506" i="2" a="1"/>
  <c r="S506" i="2" s="1"/>
  <c r="S507" i="2" a="1"/>
  <c r="S507" i="2" s="1"/>
  <c r="S508" i="2" a="1"/>
  <c r="S508" i="2" s="1"/>
  <c r="S509" i="2" a="1"/>
  <c r="S509" i="2" s="1"/>
  <c r="S510" i="2" a="1"/>
  <c r="S510" i="2" s="1"/>
  <c r="S511" i="2" a="1"/>
  <c r="S511" i="2" s="1"/>
  <c r="S512" i="2" a="1"/>
  <c r="S512" i="2" s="1"/>
  <c r="S513" i="2" a="1"/>
  <c r="S513" i="2" s="1"/>
  <c r="S514" i="2" a="1"/>
  <c r="S514" i="2" s="1"/>
  <c r="S515" i="2" a="1"/>
  <c r="S515" i="2" s="1"/>
  <c r="S516" i="2" a="1"/>
  <c r="S516" i="2" s="1"/>
  <c r="S517" i="2" a="1"/>
  <c r="S517" i="2" s="1"/>
  <c r="S518" i="2" a="1"/>
  <c r="S518" i="2" s="1"/>
  <c r="S519" i="2" a="1"/>
  <c r="S519" i="2" s="1"/>
  <c r="S520" i="2" a="1"/>
  <c r="S520" i="2" s="1"/>
  <c r="S521" i="2" a="1"/>
  <c r="S521" i="2" s="1"/>
  <c r="S522" i="2" a="1"/>
  <c r="S522" i="2" s="1"/>
  <c r="S523" i="2" a="1"/>
  <c r="S523" i="2" s="1"/>
  <c r="S524" i="2" a="1"/>
  <c r="S524" i="2" s="1"/>
  <c r="S525" i="2" a="1"/>
  <c r="S525" i="2" s="1"/>
  <c r="S526" i="2" a="1"/>
  <c r="S526" i="2" s="1"/>
  <c r="S527" i="2" a="1"/>
  <c r="S527" i="2" s="1"/>
  <c r="S528" i="2" a="1"/>
  <c r="S528" i="2" s="1"/>
  <c r="S529" i="2" a="1"/>
  <c r="S529" i="2" s="1"/>
  <c r="S530" i="2" a="1"/>
  <c r="S530" i="2" s="1"/>
  <c r="S531" i="2" a="1"/>
  <c r="S531" i="2" s="1"/>
  <c r="S532" i="2" a="1"/>
  <c r="S532" i="2" s="1"/>
  <c r="S533" i="2" a="1"/>
  <c r="S533" i="2" s="1"/>
  <c r="S534" i="2" a="1"/>
  <c r="S534" i="2" s="1"/>
  <c r="S535" i="2" a="1"/>
  <c r="S535" i="2" s="1"/>
  <c r="S536" i="2" a="1"/>
  <c r="S536" i="2" s="1"/>
  <c r="S537" i="2" a="1"/>
  <c r="S537" i="2" s="1"/>
  <c r="S538" i="2" a="1"/>
  <c r="S538" i="2" s="1"/>
  <c r="S539" i="2" a="1"/>
  <c r="S539" i="2" s="1"/>
  <c r="S540" i="2" a="1"/>
  <c r="S540" i="2" s="1"/>
  <c r="S541" i="2" a="1"/>
  <c r="S541" i="2" s="1"/>
  <c r="S542" i="2" a="1"/>
  <c r="S542" i="2" s="1"/>
  <c r="S543" i="2" a="1"/>
  <c r="S543" i="2" s="1"/>
  <c r="S544" i="2" a="1"/>
  <c r="S544" i="2" s="1"/>
  <c r="S545" i="2" a="1"/>
  <c r="S545" i="2" s="1"/>
  <c r="S546" i="2" a="1"/>
  <c r="S546" i="2" s="1"/>
  <c r="S547" i="2" a="1"/>
  <c r="S547" i="2" s="1"/>
  <c r="S548" i="2" a="1"/>
  <c r="S548" i="2" s="1"/>
  <c r="S549" i="2" a="1"/>
  <c r="S549" i="2" s="1"/>
  <c r="S550" i="2" a="1"/>
  <c r="S550" i="2" s="1"/>
  <c r="S551" i="2" a="1"/>
  <c r="S551" i="2" s="1"/>
  <c r="S552" i="2" a="1"/>
  <c r="S552" i="2" s="1"/>
  <c r="S553" i="2" a="1"/>
  <c r="S553" i="2" s="1"/>
  <c r="S554" i="2" a="1"/>
  <c r="S554" i="2" s="1"/>
  <c r="S555" i="2" a="1"/>
  <c r="S555" i="2" s="1"/>
  <c r="S556" i="2" a="1"/>
  <c r="S556" i="2" s="1"/>
  <c r="S557" i="2" a="1"/>
  <c r="S557" i="2" s="1"/>
  <c r="S558" i="2" a="1"/>
  <c r="S558" i="2" s="1"/>
  <c r="S559" i="2" a="1"/>
  <c r="S559" i="2" s="1"/>
  <c r="S560" i="2" a="1"/>
  <c r="S560" i="2" s="1"/>
  <c r="S561" i="2" a="1"/>
  <c r="S561" i="2" s="1"/>
  <c r="S562" i="2" a="1"/>
  <c r="S562" i="2" s="1"/>
  <c r="S563" i="2" a="1"/>
  <c r="S563" i="2" s="1"/>
  <c r="S564" i="2" a="1"/>
  <c r="S564" i="2" s="1"/>
  <c r="S565" i="2" a="1"/>
  <c r="S565" i="2" s="1"/>
  <c r="S566" i="2" a="1"/>
  <c r="S566" i="2" s="1"/>
  <c r="S567" i="2" a="1"/>
  <c r="S567" i="2" s="1"/>
  <c r="S568" i="2" a="1"/>
  <c r="S568" i="2" s="1"/>
  <c r="S569" i="2" a="1"/>
  <c r="S569" i="2" s="1"/>
  <c r="S570" i="2" a="1"/>
  <c r="S570" i="2" s="1"/>
  <c r="S571" i="2" a="1"/>
  <c r="S571" i="2" s="1"/>
  <c r="S572" i="2" a="1"/>
  <c r="S572" i="2" s="1"/>
  <c r="S573" i="2" a="1"/>
  <c r="S573" i="2" s="1"/>
  <c r="S574" i="2" a="1"/>
  <c r="S574" i="2" s="1"/>
  <c r="S575" i="2" a="1"/>
  <c r="S575" i="2" s="1"/>
  <c r="S576" i="2" a="1"/>
  <c r="S576" i="2" s="1"/>
  <c r="S577" i="2" a="1"/>
  <c r="S577" i="2" s="1"/>
  <c r="S578" i="2" a="1"/>
  <c r="S578" i="2" s="1"/>
  <c r="S579" i="2" a="1"/>
  <c r="S579" i="2" s="1"/>
  <c r="S580" i="2" a="1"/>
  <c r="S580" i="2" s="1"/>
  <c r="S581" i="2" a="1"/>
  <c r="S581" i="2" s="1"/>
  <c r="S582" i="2" a="1"/>
  <c r="S582" i="2" s="1"/>
  <c r="S583" i="2" a="1"/>
  <c r="S583" i="2" s="1"/>
  <c r="S584" i="2" a="1"/>
  <c r="S584" i="2" s="1"/>
  <c r="S585" i="2" a="1"/>
  <c r="S585" i="2" s="1"/>
  <c r="S586" i="2" a="1"/>
  <c r="S586" i="2" s="1"/>
  <c r="S587" i="2" a="1"/>
  <c r="S587" i="2" s="1"/>
  <c r="S588" i="2" a="1"/>
  <c r="S588" i="2" s="1"/>
  <c r="S589" i="2" a="1"/>
  <c r="S589" i="2" s="1"/>
  <c r="S590" i="2" a="1"/>
  <c r="S590" i="2" s="1"/>
  <c r="S591" i="2" a="1"/>
  <c r="S591" i="2" s="1"/>
  <c r="S592" i="2" a="1"/>
  <c r="S592" i="2" s="1"/>
  <c r="S593" i="2" a="1"/>
  <c r="S593" i="2" s="1"/>
  <c r="S594" i="2" a="1"/>
  <c r="S594" i="2" s="1"/>
  <c r="S595" i="2" a="1"/>
  <c r="S595" i="2" s="1"/>
  <c r="S596" i="2" a="1"/>
  <c r="S596" i="2" s="1"/>
  <c r="S597" i="2" a="1"/>
  <c r="S597" i="2" s="1"/>
  <c r="S598" i="2" a="1"/>
  <c r="S598" i="2" s="1"/>
  <c r="S599" i="2" a="1"/>
  <c r="S599" i="2" s="1"/>
  <c r="S600" i="2" a="1"/>
  <c r="S600" i="2" s="1"/>
  <c r="S601" i="2" a="1"/>
  <c r="S601" i="2" s="1"/>
  <c r="S602" i="2" a="1"/>
  <c r="S602" i="2" s="1"/>
  <c r="S603" i="2" a="1"/>
  <c r="S603" i="2" s="1"/>
  <c r="S604" i="2" a="1"/>
  <c r="S604" i="2" s="1"/>
  <c r="S605" i="2" a="1"/>
  <c r="S605" i="2" s="1"/>
  <c r="S606" i="2" a="1"/>
  <c r="S606" i="2" s="1"/>
  <c r="S607" i="2" a="1"/>
  <c r="S607" i="2" s="1"/>
  <c r="S608" i="2" a="1"/>
  <c r="S608" i="2" s="1"/>
  <c r="S609" i="2" a="1"/>
  <c r="S609" i="2" s="1"/>
  <c r="S610" i="2" a="1"/>
  <c r="S610" i="2" s="1"/>
  <c r="S611" i="2" a="1"/>
  <c r="S611" i="2" s="1"/>
  <c r="S612" i="2" a="1"/>
  <c r="S612" i="2" s="1"/>
  <c r="S613" i="2" a="1"/>
  <c r="S613" i="2" s="1"/>
  <c r="S614" i="2" a="1"/>
  <c r="S614" i="2" s="1"/>
  <c r="S615" i="2" a="1"/>
  <c r="S615" i="2" s="1"/>
  <c r="S616" i="2" a="1"/>
  <c r="S616" i="2" s="1"/>
  <c r="S617" i="2" a="1"/>
  <c r="S617" i="2" s="1"/>
  <c r="S618" i="2" a="1"/>
  <c r="S618" i="2" s="1"/>
  <c r="S619" i="2" a="1"/>
  <c r="S619" i="2" s="1"/>
  <c r="S620" i="2" a="1"/>
  <c r="S620" i="2" s="1"/>
  <c r="S621" i="2" a="1"/>
  <c r="S621" i="2" s="1"/>
  <c r="S622" i="2" a="1"/>
  <c r="S622" i="2" s="1"/>
  <c r="S623" i="2" a="1"/>
  <c r="S623" i="2" s="1"/>
  <c r="S624" i="2" a="1"/>
  <c r="S624" i="2" s="1"/>
  <c r="S625" i="2" a="1"/>
  <c r="S625" i="2" s="1"/>
  <c r="S626" i="2" a="1"/>
  <c r="S626" i="2" s="1"/>
  <c r="S627" i="2" a="1"/>
  <c r="S627" i="2" s="1"/>
  <c r="S628" i="2" a="1"/>
  <c r="S628" i="2" s="1"/>
  <c r="S629" i="2" a="1"/>
  <c r="S629" i="2" s="1"/>
  <c r="S630" i="2" a="1"/>
  <c r="S630" i="2" s="1"/>
  <c r="S631" i="2" a="1"/>
  <c r="S631" i="2" s="1"/>
  <c r="S632" i="2" a="1"/>
  <c r="S632" i="2" s="1"/>
  <c r="S633" i="2" a="1"/>
  <c r="S633" i="2" s="1"/>
  <c r="S634" i="2" a="1"/>
  <c r="S634" i="2" s="1"/>
  <c r="S635" i="2" a="1"/>
  <c r="S635" i="2" s="1"/>
  <c r="S636" i="2" a="1"/>
  <c r="S636" i="2" s="1"/>
  <c r="S637" i="2" a="1"/>
  <c r="S637" i="2" s="1"/>
  <c r="S638" i="2" a="1"/>
  <c r="S638" i="2" s="1"/>
  <c r="S639" i="2" a="1"/>
  <c r="S639" i="2" s="1"/>
  <c r="S640" i="2" a="1"/>
  <c r="S640" i="2" s="1"/>
  <c r="S641" i="2" a="1"/>
  <c r="S641" i="2" s="1"/>
  <c r="S642" i="2" a="1"/>
  <c r="S642" i="2" s="1"/>
  <c r="S643" i="2" a="1"/>
  <c r="S643" i="2" s="1"/>
  <c r="S644" i="2" a="1"/>
  <c r="S644" i="2" s="1"/>
  <c r="S645" i="2" a="1"/>
  <c r="S645" i="2" s="1"/>
  <c r="S646" i="2" a="1"/>
  <c r="S646" i="2" s="1"/>
  <c r="S647" i="2" a="1"/>
  <c r="S647" i="2" s="1"/>
  <c r="S648" i="2" a="1"/>
  <c r="S648" i="2" s="1"/>
  <c r="S649" i="2" a="1"/>
  <c r="S649" i="2" s="1"/>
  <c r="S650" i="2" a="1"/>
  <c r="S650" i="2" s="1"/>
  <c r="S651" i="2" a="1"/>
  <c r="S651" i="2" s="1"/>
  <c r="S652" i="2" a="1"/>
  <c r="S652" i="2" s="1"/>
  <c r="S653" i="2" a="1"/>
  <c r="S653" i="2" s="1"/>
  <c r="S654" i="2" a="1"/>
  <c r="S654" i="2" s="1"/>
  <c r="S655" i="2" a="1"/>
  <c r="S655" i="2" s="1"/>
  <c r="S656" i="2" a="1"/>
  <c r="S656" i="2" s="1"/>
  <c r="S657" i="2" a="1"/>
  <c r="S657" i="2" s="1"/>
  <c r="S658" i="2" a="1"/>
  <c r="S658" i="2" s="1"/>
  <c r="S659" i="2" a="1"/>
  <c r="S659" i="2" s="1"/>
  <c r="S660" i="2" a="1"/>
  <c r="S660" i="2" s="1"/>
  <c r="S661" i="2" a="1"/>
  <c r="S661" i="2" s="1"/>
  <c r="S662" i="2" a="1"/>
  <c r="S662" i="2" s="1"/>
  <c r="S663" i="2" a="1"/>
  <c r="S663" i="2" s="1"/>
  <c r="S664" i="2" a="1"/>
  <c r="S664" i="2" s="1"/>
  <c r="S665" i="2" a="1"/>
  <c r="S665" i="2" s="1"/>
  <c r="S666" i="2" a="1"/>
  <c r="S666" i="2" s="1"/>
  <c r="S667" i="2" a="1"/>
  <c r="S667" i="2" s="1"/>
  <c r="S668" i="2" a="1"/>
  <c r="S668" i="2" s="1"/>
  <c r="S669" i="2" a="1"/>
  <c r="S669" i="2" s="1"/>
  <c r="S670" i="2" a="1"/>
  <c r="S670" i="2" s="1"/>
  <c r="S671" i="2" a="1"/>
  <c r="S671" i="2" s="1"/>
  <c r="S672" i="2" a="1"/>
  <c r="S672" i="2" s="1"/>
  <c r="S673" i="2" a="1"/>
  <c r="S673" i="2" s="1"/>
  <c r="S674" i="2" a="1"/>
  <c r="S674" i="2" s="1"/>
  <c r="S675" i="2" a="1"/>
  <c r="S675" i="2" s="1"/>
  <c r="S676" i="2" a="1"/>
  <c r="S676" i="2" s="1"/>
  <c r="S677" i="2" a="1"/>
  <c r="S677" i="2" s="1"/>
  <c r="S678" i="2" a="1"/>
  <c r="S678" i="2" s="1"/>
  <c r="S679" i="2" a="1"/>
  <c r="S679" i="2" s="1"/>
  <c r="S680" i="2" a="1"/>
  <c r="S680" i="2" s="1"/>
  <c r="S681" i="2" a="1"/>
  <c r="S681" i="2" s="1"/>
  <c r="S682" i="2" a="1"/>
  <c r="S682" i="2" s="1"/>
  <c r="S683" i="2" a="1"/>
  <c r="S683" i="2" s="1"/>
  <c r="S684" i="2" a="1"/>
  <c r="S684" i="2" s="1"/>
  <c r="S685" i="2" a="1"/>
  <c r="S685" i="2" s="1"/>
  <c r="S686" i="2" a="1"/>
  <c r="S686" i="2" s="1"/>
  <c r="S687" i="2" a="1"/>
  <c r="S687" i="2" s="1"/>
  <c r="S688" i="2" a="1"/>
  <c r="S688" i="2" s="1"/>
  <c r="S689" i="2" a="1"/>
  <c r="S689" i="2" s="1"/>
  <c r="S690" i="2" a="1"/>
  <c r="S690" i="2" s="1"/>
  <c r="S691" i="2" a="1"/>
  <c r="S691" i="2" s="1"/>
  <c r="S692" i="2" a="1"/>
  <c r="S692" i="2" s="1"/>
  <c r="S693" i="2" a="1"/>
  <c r="S693" i="2" s="1"/>
  <c r="S694" i="2" a="1"/>
  <c r="S694" i="2" s="1"/>
  <c r="S695" i="2" a="1"/>
  <c r="S695" i="2" s="1"/>
  <c r="S696" i="2" a="1"/>
  <c r="S696" i="2" s="1"/>
  <c r="S697" i="2" a="1"/>
  <c r="S697" i="2" s="1"/>
  <c r="S698" i="2" a="1"/>
  <c r="S698" i="2" s="1"/>
  <c r="S699" i="2" a="1"/>
  <c r="S699" i="2" s="1"/>
  <c r="S700" i="2" a="1"/>
  <c r="S700" i="2" s="1"/>
  <c r="S701" i="2" a="1"/>
  <c r="S701" i="2" s="1"/>
  <c r="S702" i="2" a="1"/>
  <c r="S702" i="2" s="1"/>
  <c r="S703" i="2" a="1"/>
  <c r="S703" i="2" s="1"/>
  <c r="S704" i="2" a="1"/>
  <c r="S704" i="2" s="1"/>
  <c r="S705" i="2" a="1"/>
  <c r="S705" i="2" s="1"/>
  <c r="S706" i="2" a="1"/>
  <c r="S706" i="2" s="1"/>
  <c r="S707" i="2" a="1"/>
  <c r="S707" i="2" s="1"/>
  <c r="S708" i="2" a="1"/>
  <c r="S708" i="2" s="1"/>
  <c r="S709" i="2" a="1"/>
  <c r="S709" i="2" s="1"/>
  <c r="S710" i="2" a="1"/>
  <c r="S710" i="2" s="1"/>
  <c r="S711" i="2" a="1"/>
  <c r="S711" i="2" s="1"/>
  <c r="S712" i="2" a="1"/>
  <c r="S712" i="2" s="1"/>
  <c r="S713" i="2" a="1"/>
  <c r="S713" i="2" s="1"/>
  <c r="S714" i="2" a="1"/>
  <c r="S714" i="2" s="1"/>
  <c r="S715" i="2" a="1"/>
  <c r="S715" i="2" s="1"/>
  <c r="S716" i="2" a="1"/>
  <c r="S716" i="2" s="1"/>
  <c r="S717" i="2" a="1"/>
  <c r="S717" i="2" s="1"/>
  <c r="S718" i="2" a="1"/>
  <c r="S718" i="2" s="1"/>
  <c r="S719" i="2" a="1"/>
  <c r="S719" i="2" s="1"/>
  <c r="S720" i="2" a="1"/>
  <c r="S720" i="2" s="1"/>
  <c r="S721" i="2" a="1"/>
  <c r="S721" i="2" s="1"/>
  <c r="S722" i="2" a="1"/>
  <c r="S722" i="2" s="1"/>
  <c r="S723" i="2" a="1"/>
  <c r="S723" i="2" s="1"/>
  <c r="S724" i="2" a="1"/>
  <c r="S724" i="2" s="1"/>
  <c r="S725" i="2" a="1"/>
  <c r="S725" i="2" s="1"/>
  <c r="S726" i="2" a="1"/>
  <c r="S726" i="2" s="1"/>
  <c r="S727" i="2" a="1"/>
  <c r="S727" i="2" s="1"/>
  <c r="S728" i="2" a="1"/>
  <c r="S728" i="2" s="1"/>
  <c r="S729" i="2" a="1"/>
  <c r="S729" i="2" s="1"/>
  <c r="S730" i="2" a="1"/>
  <c r="S730" i="2" s="1"/>
  <c r="S731" i="2" a="1"/>
  <c r="S731" i="2" s="1"/>
  <c r="S732" i="2" a="1"/>
  <c r="S732" i="2" s="1"/>
  <c r="S733" i="2" a="1"/>
  <c r="S733" i="2" s="1"/>
  <c r="S734" i="2" a="1"/>
  <c r="S734" i="2" s="1"/>
  <c r="S735" i="2" a="1"/>
  <c r="S735" i="2" s="1"/>
  <c r="S736" i="2" a="1"/>
  <c r="S736" i="2" s="1"/>
  <c r="S737" i="2" a="1"/>
  <c r="S737" i="2" s="1"/>
  <c r="S738" i="2" a="1"/>
  <c r="S738" i="2" s="1"/>
  <c r="S739" i="2" a="1"/>
  <c r="S739" i="2" s="1"/>
  <c r="S740" i="2" a="1"/>
  <c r="S740" i="2" s="1"/>
  <c r="S741" i="2" a="1"/>
  <c r="S741" i="2" s="1"/>
  <c r="S742" i="2" a="1"/>
  <c r="S742" i="2" s="1"/>
  <c r="S743" i="2" a="1"/>
  <c r="S743" i="2" s="1"/>
  <c r="S744" i="2" a="1"/>
  <c r="S744" i="2" s="1"/>
  <c r="S745" i="2" a="1"/>
  <c r="S745" i="2" s="1"/>
  <c r="S746" i="2" a="1"/>
  <c r="S746" i="2" s="1"/>
  <c r="S747" i="2" a="1"/>
  <c r="S747" i="2" s="1"/>
  <c r="S748" i="2" a="1"/>
  <c r="S748" i="2" s="1"/>
  <c r="S749" i="2" a="1"/>
  <c r="S749" i="2" s="1"/>
  <c r="S750" i="2" a="1"/>
  <c r="S750" i="2" s="1"/>
  <c r="S751" i="2" a="1"/>
  <c r="S751" i="2" s="1"/>
  <c r="S752" i="2" a="1"/>
  <c r="S752" i="2" s="1"/>
  <c r="S753" i="2" a="1"/>
  <c r="S753" i="2" s="1"/>
  <c r="S754" i="2" a="1"/>
  <c r="S754" i="2" s="1"/>
  <c r="S755" i="2" a="1"/>
  <c r="S755" i="2" s="1"/>
  <c r="S756" i="2" a="1"/>
  <c r="S756" i="2" s="1"/>
  <c r="S757" i="2" a="1"/>
  <c r="S757" i="2" s="1"/>
  <c r="S758" i="2" a="1"/>
  <c r="S758" i="2" s="1"/>
  <c r="S759" i="2" a="1"/>
  <c r="S759" i="2" s="1"/>
  <c r="S760" i="2" a="1"/>
  <c r="S760" i="2" s="1"/>
  <c r="S761" i="2" a="1"/>
  <c r="S761" i="2" s="1"/>
  <c r="S762" i="2" a="1"/>
  <c r="S762" i="2" s="1"/>
  <c r="S763" i="2" a="1"/>
  <c r="S763" i="2" s="1"/>
  <c r="S764" i="2" a="1"/>
  <c r="S764" i="2" s="1"/>
  <c r="S765" i="2" a="1"/>
  <c r="S765" i="2" s="1"/>
  <c r="S766" i="2" a="1"/>
  <c r="S766" i="2" s="1"/>
  <c r="S767" i="2" a="1"/>
  <c r="S767" i="2" s="1"/>
  <c r="S768" i="2" a="1"/>
  <c r="S768" i="2" s="1"/>
  <c r="S769" i="2" a="1"/>
  <c r="S769" i="2" s="1"/>
  <c r="S770" i="2" a="1"/>
  <c r="S770" i="2" s="1"/>
  <c r="S771" i="2" a="1"/>
  <c r="S771" i="2" s="1"/>
  <c r="S772" i="2" a="1"/>
  <c r="S772" i="2" s="1"/>
  <c r="S773" i="2" a="1"/>
  <c r="S773" i="2" s="1"/>
  <c r="S774" i="2" a="1"/>
  <c r="S774" i="2" s="1"/>
  <c r="S775" i="2" a="1"/>
  <c r="S775" i="2" s="1"/>
  <c r="S776" i="2" a="1"/>
  <c r="S776" i="2" s="1"/>
  <c r="S777" i="2" a="1"/>
  <c r="S777" i="2" s="1"/>
  <c r="S778" i="2" a="1"/>
  <c r="S778" i="2" s="1"/>
  <c r="S779" i="2" a="1"/>
  <c r="S779" i="2" s="1"/>
  <c r="S780" i="2" a="1"/>
  <c r="S780" i="2" s="1"/>
  <c r="S781" i="2" a="1"/>
  <c r="S781" i="2" s="1"/>
  <c r="S782" i="2" a="1"/>
  <c r="S782" i="2" s="1"/>
  <c r="S783" i="2" a="1"/>
  <c r="S783" i="2" s="1"/>
  <c r="S784" i="2" a="1"/>
  <c r="S784" i="2" s="1"/>
  <c r="S785" i="2" a="1"/>
  <c r="S785" i="2" s="1"/>
  <c r="S786" i="2" a="1"/>
  <c r="S786" i="2" s="1"/>
  <c r="S787" i="2" a="1"/>
  <c r="S787" i="2" s="1"/>
  <c r="S788" i="2" a="1"/>
  <c r="S788" i="2" s="1"/>
  <c r="S789" i="2" a="1"/>
  <c r="S789" i="2" s="1"/>
  <c r="S790" i="2" a="1"/>
  <c r="S790" i="2" s="1"/>
  <c r="S791" i="2" a="1"/>
  <c r="S791" i="2" s="1"/>
  <c r="S792" i="2" a="1"/>
  <c r="S792" i="2" s="1"/>
  <c r="S793" i="2" a="1"/>
  <c r="S793" i="2" s="1"/>
  <c r="S794" i="2" a="1"/>
  <c r="S794" i="2" s="1"/>
  <c r="S795" i="2" a="1"/>
  <c r="S795" i="2" s="1"/>
  <c r="S796" i="2" a="1"/>
  <c r="S796" i="2" s="1"/>
  <c r="S797" i="2" a="1"/>
  <c r="S797" i="2" s="1"/>
  <c r="S798" i="2" a="1"/>
  <c r="S798" i="2" s="1"/>
  <c r="S799" i="2" a="1"/>
  <c r="S799" i="2" s="1"/>
  <c r="S800" i="2" a="1"/>
  <c r="S800" i="2" s="1"/>
  <c r="S801" i="2" a="1"/>
  <c r="S801" i="2" s="1"/>
  <c r="S802" i="2" a="1"/>
  <c r="S802" i="2" s="1"/>
  <c r="S803" i="2" a="1"/>
  <c r="S803" i="2" s="1"/>
  <c r="S804" i="2" a="1"/>
  <c r="S804" i="2" s="1"/>
  <c r="S805" i="2" a="1"/>
  <c r="S805" i="2" s="1"/>
  <c r="S806" i="2" a="1"/>
  <c r="S806" i="2" s="1"/>
  <c r="S807" i="2" a="1"/>
  <c r="S807" i="2" s="1"/>
  <c r="S808" i="2" a="1"/>
  <c r="S808" i="2" s="1"/>
  <c r="S809" i="2" a="1"/>
  <c r="S809" i="2" s="1"/>
  <c r="S810" i="2" a="1"/>
  <c r="S810" i="2" s="1"/>
  <c r="S811" i="2" a="1"/>
  <c r="S811" i="2" s="1"/>
  <c r="S812" i="2" a="1"/>
  <c r="S812" i="2" s="1"/>
  <c r="S813" i="2" a="1"/>
  <c r="S813" i="2" s="1"/>
  <c r="S814" i="2" a="1"/>
  <c r="S814" i="2" s="1"/>
  <c r="S815" i="2" a="1"/>
  <c r="S815" i="2" s="1"/>
  <c r="S816" i="2" a="1"/>
  <c r="S816" i="2" s="1"/>
  <c r="S817" i="2" a="1"/>
  <c r="S817" i="2" s="1"/>
  <c r="S818" i="2" a="1"/>
  <c r="S818" i="2" s="1"/>
  <c r="S819" i="2" a="1"/>
  <c r="S819" i="2" s="1"/>
  <c r="S820" i="2" a="1"/>
  <c r="S820" i="2" s="1"/>
  <c r="S821" i="2" a="1"/>
  <c r="S821" i="2" s="1"/>
  <c r="S822" i="2" a="1"/>
  <c r="S822" i="2" s="1"/>
  <c r="S823" i="2" a="1"/>
  <c r="S823" i="2" s="1"/>
  <c r="S824" i="2" a="1"/>
  <c r="S824" i="2" s="1"/>
  <c r="S825" i="2" a="1"/>
  <c r="S825" i="2" s="1"/>
  <c r="S826" i="2" a="1"/>
  <c r="S826" i="2" s="1"/>
  <c r="S827" i="2" a="1"/>
  <c r="S827" i="2" s="1"/>
  <c r="S828" i="2" a="1"/>
  <c r="S828" i="2" s="1"/>
  <c r="S829" i="2" a="1"/>
  <c r="S829" i="2" s="1"/>
  <c r="S830" i="2" a="1"/>
  <c r="S830" i="2" s="1"/>
  <c r="S831" i="2" a="1"/>
  <c r="S831" i="2" s="1"/>
  <c r="S832" i="2" a="1"/>
  <c r="S832" i="2" s="1"/>
  <c r="S833" i="2" a="1"/>
  <c r="S833" i="2" s="1"/>
  <c r="S834" i="2" a="1"/>
  <c r="S834" i="2" s="1"/>
  <c r="S835" i="2" a="1"/>
  <c r="S835" i="2" s="1"/>
  <c r="S836" i="2" a="1"/>
  <c r="S836" i="2" s="1"/>
  <c r="S837" i="2" a="1"/>
  <c r="S837" i="2" s="1"/>
  <c r="S838" i="2" a="1"/>
  <c r="S838" i="2" s="1"/>
  <c r="S839" i="2" a="1"/>
  <c r="S839" i="2" s="1"/>
  <c r="S840" i="2" a="1"/>
  <c r="S840" i="2" s="1"/>
  <c r="S841" i="2" a="1"/>
  <c r="S841" i="2" s="1"/>
  <c r="S842" i="2" a="1"/>
  <c r="S842" i="2" s="1"/>
  <c r="S843" i="2" a="1"/>
  <c r="S843" i="2" s="1"/>
  <c r="S844" i="2" a="1"/>
  <c r="S844" i="2" s="1"/>
  <c r="S845" i="2" a="1"/>
  <c r="S845" i="2" s="1"/>
  <c r="S846" i="2" a="1"/>
  <c r="S846" i="2" s="1"/>
  <c r="S847" i="2" a="1"/>
  <c r="S847" i="2" s="1"/>
  <c r="S848" i="2" a="1"/>
  <c r="S848" i="2" s="1"/>
  <c r="S849" i="2" a="1"/>
  <c r="S849" i="2" s="1"/>
  <c r="S850" i="2" a="1"/>
  <c r="S850" i="2" s="1"/>
  <c r="S851" i="2" a="1"/>
  <c r="S851" i="2" s="1"/>
  <c r="S852" i="2" a="1"/>
  <c r="S852" i="2" s="1"/>
  <c r="S853" i="2" a="1"/>
  <c r="S853" i="2" s="1"/>
  <c r="S854" i="2" a="1"/>
  <c r="S854" i="2" s="1"/>
  <c r="S855" i="2" a="1"/>
  <c r="S855" i="2" s="1"/>
  <c r="S856" i="2" a="1"/>
  <c r="S856" i="2" s="1"/>
  <c r="S857" i="2" a="1"/>
  <c r="S857" i="2" s="1"/>
  <c r="S858" i="2" a="1"/>
  <c r="S858" i="2" s="1"/>
  <c r="S859" i="2" a="1"/>
  <c r="S859" i="2" s="1"/>
  <c r="S860" i="2" a="1"/>
  <c r="S860" i="2" s="1"/>
  <c r="S861" i="2" a="1"/>
  <c r="S861" i="2" s="1"/>
  <c r="S862" i="2" a="1"/>
  <c r="S862" i="2" s="1"/>
  <c r="S863" i="2" a="1"/>
  <c r="S863" i="2" s="1"/>
  <c r="S864" i="2" a="1"/>
  <c r="S864" i="2" s="1"/>
  <c r="S865" i="2" a="1"/>
  <c r="S865" i="2" s="1"/>
  <c r="S866" i="2" a="1"/>
  <c r="S866" i="2" s="1"/>
  <c r="S867" i="2" a="1"/>
  <c r="S867" i="2" s="1"/>
  <c r="S868" i="2" a="1"/>
  <c r="S868" i="2" s="1"/>
  <c r="S869" i="2" a="1"/>
  <c r="S869" i="2" s="1"/>
  <c r="S870" i="2" a="1"/>
  <c r="S870" i="2" s="1"/>
  <c r="S871" i="2" a="1"/>
  <c r="S871" i="2" s="1"/>
  <c r="S872" i="2" a="1"/>
  <c r="S872" i="2" s="1"/>
  <c r="S873" i="2" a="1"/>
  <c r="S873" i="2" s="1"/>
  <c r="S874" i="2" a="1"/>
  <c r="S874" i="2" s="1"/>
  <c r="S875" i="2" a="1"/>
  <c r="S875" i="2" s="1"/>
  <c r="S876" i="2" a="1"/>
  <c r="S876" i="2" s="1"/>
  <c r="S877" i="2" a="1"/>
  <c r="S877" i="2" s="1"/>
  <c r="S878" i="2" a="1"/>
  <c r="S878" i="2" s="1"/>
  <c r="S879" i="2" a="1"/>
  <c r="S879" i="2" s="1"/>
  <c r="S880" i="2" a="1"/>
  <c r="S880" i="2" s="1"/>
  <c r="S881" i="2" a="1"/>
  <c r="S881" i="2" s="1"/>
  <c r="S882" i="2" a="1"/>
  <c r="S882" i="2" s="1"/>
  <c r="S883" i="2" a="1"/>
  <c r="S883" i="2" s="1"/>
  <c r="S884" i="2" a="1"/>
  <c r="S884" i="2" s="1"/>
  <c r="S885" i="2" a="1"/>
  <c r="S885" i="2" s="1"/>
  <c r="S886" i="2" a="1"/>
  <c r="S886" i="2" s="1"/>
  <c r="S887" i="2" a="1"/>
  <c r="S887" i="2" s="1"/>
  <c r="S888" i="2" a="1"/>
  <c r="S888" i="2" s="1"/>
  <c r="S889" i="2" a="1"/>
  <c r="S889" i="2" s="1"/>
  <c r="S890" i="2" a="1"/>
  <c r="S890" i="2" s="1"/>
  <c r="S891" i="2" a="1"/>
  <c r="S891" i="2" s="1"/>
  <c r="S892" i="2" a="1"/>
  <c r="S892" i="2" s="1"/>
  <c r="S893" i="2" a="1"/>
  <c r="S893" i="2" s="1"/>
  <c r="S894" i="2" a="1"/>
  <c r="S894" i="2" s="1"/>
  <c r="S895" i="2" a="1"/>
  <c r="S895" i="2" s="1"/>
  <c r="S896" i="2" a="1"/>
  <c r="S896" i="2" s="1"/>
  <c r="S897" i="2" a="1"/>
  <c r="S897" i="2" s="1"/>
  <c r="S898" i="2" a="1"/>
  <c r="S898" i="2" s="1"/>
  <c r="S899" i="2" a="1"/>
  <c r="S899" i="2" s="1"/>
  <c r="S900" i="2" a="1"/>
  <c r="S900" i="2" s="1"/>
  <c r="S901" i="2" a="1"/>
  <c r="S901" i="2" s="1"/>
  <c r="S902" i="2" a="1"/>
  <c r="S902" i="2" s="1"/>
  <c r="S903" i="2" a="1"/>
  <c r="S903" i="2" s="1"/>
  <c r="S904" i="2" a="1"/>
  <c r="S904" i="2" s="1"/>
  <c r="S905" i="2" a="1"/>
  <c r="S905" i="2" s="1"/>
  <c r="S906" i="2" a="1"/>
  <c r="S906" i="2" s="1"/>
  <c r="S907" i="2" a="1"/>
  <c r="S907" i="2" s="1"/>
  <c r="S908" i="2" a="1"/>
  <c r="S908" i="2" s="1"/>
  <c r="S909" i="2" a="1"/>
  <c r="S909" i="2" s="1"/>
  <c r="S910" i="2" a="1"/>
  <c r="S910" i="2" s="1"/>
  <c r="S911" i="2" a="1"/>
  <c r="S911" i="2" s="1"/>
  <c r="S912" i="2" a="1"/>
  <c r="S912" i="2" s="1"/>
  <c r="S913" i="2" a="1"/>
  <c r="S913" i="2" s="1"/>
  <c r="S914" i="2" a="1"/>
  <c r="S914" i="2" s="1"/>
  <c r="S915" i="2" a="1"/>
  <c r="S915" i="2" s="1"/>
  <c r="S916" i="2" a="1"/>
  <c r="S916" i="2" s="1"/>
  <c r="S917" i="2" a="1"/>
  <c r="S917" i="2" s="1"/>
  <c r="S918" i="2" a="1"/>
  <c r="S918" i="2" s="1"/>
  <c r="S919" i="2" a="1"/>
  <c r="S919" i="2" s="1"/>
  <c r="S920" i="2" a="1"/>
  <c r="S920" i="2" s="1"/>
  <c r="S921" i="2" a="1"/>
  <c r="S921" i="2" s="1"/>
  <c r="S922" i="2" a="1"/>
  <c r="S922" i="2" s="1"/>
  <c r="S923" i="2" a="1"/>
  <c r="S923" i="2" s="1"/>
  <c r="S924" i="2" a="1"/>
  <c r="S924" i="2" s="1"/>
  <c r="S925" i="2" a="1"/>
  <c r="S925" i="2" s="1"/>
  <c r="S926" i="2" a="1"/>
  <c r="S926" i="2" s="1"/>
  <c r="S927" i="2" a="1"/>
  <c r="S927" i="2" s="1"/>
  <c r="S928" i="2" a="1"/>
  <c r="S928" i="2" s="1"/>
  <c r="S929" i="2" a="1"/>
  <c r="S929" i="2" s="1"/>
  <c r="S930" i="2" a="1"/>
  <c r="S930" i="2" s="1"/>
  <c r="S931" i="2" a="1"/>
  <c r="S931" i="2" s="1"/>
  <c r="S932" i="2" a="1"/>
  <c r="S932" i="2" s="1"/>
  <c r="S933" i="2" a="1"/>
  <c r="S933" i="2" s="1"/>
  <c r="S934" i="2" a="1"/>
  <c r="S934" i="2" s="1"/>
  <c r="S935" i="2" a="1"/>
  <c r="S935" i="2" s="1"/>
  <c r="S936" i="2" a="1"/>
  <c r="S936" i="2" s="1"/>
  <c r="S937" i="2" a="1"/>
  <c r="S937" i="2" s="1"/>
  <c r="S938" i="2" a="1"/>
  <c r="S938" i="2" s="1"/>
  <c r="S939" i="2" a="1"/>
  <c r="S939" i="2" s="1"/>
  <c r="S940" i="2" a="1"/>
  <c r="S940" i="2" s="1"/>
  <c r="S941" i="2" a="1"/>
  <c r="S941" i="2" s="1"/>
  <c r="S942" i="2" a="1"/>
  <c r="S942" i="2" s="1"/>
  <c r="S943" i="2" a="1"/>
  <c r="S943" i="2" s="1"/>
  <c r="S944" i="2" a="1"/>
  <c r="S944" i="2" s="1"/>
  <c r="S945" i="2" a="1"/>
  <c r="S945" i="2" s="1"/>
  <c r="S946" i="2" a="1"/>
  <c r="S946" i="2" s="1"/>
  <c r="S947" i="2" a="1"/>
  <c r="S947" i="2" s="1"/>
  <c r="S948" i="2" a="1"/>
  <c r="S948" i="2" s="1"/>
  <c r="S949" i="2" a="1"/>
  <c r="S949" i="2" s="1"/>
  <c r="S950" i="2" a="1"/>
  <c r="S950" i="2" s="1"/>
  <c r="S951" i="2" a="1"/>
  <c r="S951" i="2" s="1"/>
  <c r="S952" i="2" a="1"/>
  <c r="S952" i="2" s="1"/>
  <c r="S953" i="2" a="1"/>
  <c r="S953" i="2" s="1"/>
  <c r="S954" i="2" a="1"/>
  <c r="S954" i="2" s="1"/>
  <c r="S955" i="2" a="1"/>
  <c r="S955" i="2" s="1"/>
  <c r="S956" i="2" a="1"/>
  <c r="S956" i="2" s="1"/>
  <c r="S957" i="2" a="1"/>
  <c r="S957" i="2" s="1"/>
  <c r="S958" i="2" a="1"/>
  <c r="S958" i="2" s="1"/>
  <c r="S959" i="2" a="1"/>
  <c r="S959" i="2" s="1"/>
  <c r="S960" i="2" a="1"/>
  <c r="S960" i="2" s="1"/>
  <c r="S961" i="2" a="1"/>
  <c r="S961" i="2" s="1"/>
  <c r="S962" i="2" a="1"/>
  <c r="S962" i="2" s="1"/>
  <c r="S963" i="2" a="1"/>
  <c r="S963" i="2" s="1"/>
  <c r="S964" i="2" a="1"/>
  <c r="S964" i="2" s="1"/>
  <c r="S965" i="2" a="1"/>
  <c r="S965" i="2" s="1"/>
  <c r="S966" i="2" a="1"/>
  <c r="S966" i="2" s="1"/>
  <c r="S967" i="2" a="1"/>
  <c r="S967" i="2" s="1"/>
  <c r="S968" i="2" a="1"/>
  <c r="S968" i="2" s="1"/>
  <c r="S969" i="2" a="1"/>
  <c r="S969" i="2" s="1"/>
  <c r="S970" i="2" a="1"/>
  <c r="S970" i="2" s="1"/>
  <c r="S971" i="2" a="1"/>
  <c r="S971" i="2" s="1"/>
  <c r="S972" i="2" a="1"/>
  <c r="S972" i="2" s="1"/>
  <c r="S973" i="2" a="1"/>
  <c r="S973" i="2" s="1"/>
  <c r="S974" i="2" a="1"/>
  <c r="S974" i="2" s="1"/>
  <c r="S975" i="2" a="1"/>
  <c r="S975" i="2" s="1"/>
  <c r="S976" i="2" a="1"/>
  <c r="S976" i="2" s="1"/>
  <c r="S977" i="2" a="1"/>
  <c r="S977" i="2" s="1"/>
  <c r="S978" i="2" a="1"/>
  <c r="S978" i="2" s="1"/>
  <c r="S979" i="2" a="1"/>
  <c r="S979" i="2" s="1"/>
  <c r="S980" i="2" a="1"/>
  <c r="S980" i="2" s="1"/>
  <c r="S981" i="2" a="1"/>
  <c r="S981" i="2" s="1"/>
  <c r="S982" i="2" a="1"/>
  <c r="S982" i="2" s="1"/>
  <c r="S983" i="2" a="1"/>
  <c r="S983" i="2" s="1"/>
  <c r="S984" i="2" a="1"/>
  <c r="S984" i="2" s="1"/>
  <c r="S985" i="2" a="1"/>
  <c r="S985" i="2" s="1"/>
  <c r="S986" i="2" a="1"/>
  <c r="S986" i="2" s="1"/>
  <c r="S987" i="2" a="1"/>
  <c r="S987" i="2" s="1"/>
  <c r="S988" i="2" a="1"/>
  <c r="S988" i="2" s="1"/>
  <c r="S989" i="2" a="1"/>
  <c r="S989" i="2" s="1"/>
  <c r="S990" i="2" a="1"/>
  <c r="S990" i="2" s="1"/>
  <c r="S991" i="2" a="1"/>
  <c r="S991" i="2" s="1"/>
  <c r="S992" i="2" a="1"/>
  <c r="S992" i="2" s="1"/>
  <c r="S993" i="2" a="1"/>
  <c r="S993" i="2" s="1"/>
  <c r="S994" i="2" a="1"/>
  <c r="S994" i="2" s="1"/>
  <c r="S995" i="2" a="1"/>
  <c r="S995" i="2" s="1"/>
  <c r="S996" i="2" a="1"/>
  <c r="S996" i="2" s="1"/>
  <c r="S997" i="2" a="1"/>
  <c r="S997" i="2" s="1"/>
  <c r="S998" i="2" a="1"/>
  <c r="S998" i="2" s="1"/>
  <c r="S999" i="2" a="1"/>
  <c r="S999" i="2" s="1"/>
  <c r="S1000" i="2" a="1"/>
  <c r="S1000" i="2" s="1"/>
  <c r="S1001" i="2" a="1"/>
  <c r="S1001" i="2" s="1"/>
  <c r="S1002" i="2" a="1"/>
  <c r="S1002" i="2" s="1"/>
  <c r="S1003" i="2" a="1"/>
  <c r="S1003" i="2" s="1"/>
  <c r="S1004" i="2" a="1"/>
  <c r="S1004" i="2" s="1"/>
  <c r="S1005" i="2" a="1"/>
  <c r="S1005" i="2" s="1"/>
  <c r="S1006" i="2" a="1"/>
  <c r="S1006" i="2" s="1"/>
  <c r="S1007" i="2" a="1"/>
  <c r="S1007" i="2" s="1"/>
  <c r="S1008" i="2" a="1"/>
  <c r="S1008" i="2" s="1"/>
  <c r="S1009" i="2" a="1"/>
  <c r="S1009" i="2" s="1"/>
  <c r="S1010" i="2" a="1"/>
  <c r="S1010" i="2" s="1"/>
  <c r="S1011" i="2" a="1"/>
  <c r="S1011" i="2" s="1"/>
  <c r="S1012" i="2" a="1"/>
  <c r="S1012" i="2" s="1"/>
  <c r="S1013" i="2" a="1"/>
  <c r="S1013" i="2" s="1"/>
  <c r="S1014" i="2" a="1"/>
  <c r="S1014" i="2" s="1"/>
  <c r="S1015" i="2" a="1"/>
  <c r="S1015" i="2" s="1"/>
  <c r="S1016" i="2" a="1"/>
  <c r="S1016" i="2" s="1"/>
  <c r="S1017" i="2" a="1"/>
  <c r="S1017" i="2" s="1"/>
  <c r="S1018" i="2" a="1"/>
  <c r="S1018" i="2" s="1"/>
  <c r="S1019" i="2" a="1"/>
  <c r="S1019" i="2" s="1"/>
  <c r="S1020" i="2" a="1"/>
  <c r="S1020" i="2" s="1"/>
  <c r="S1021" i="2" a="1"/>
  <c r="S1021" i="2" s="1"/>
  <c r="S1022" i="2" a="1"/>
  <c r="S1022" i="2" s="1"/>
  <c r="S1023" i="2" a="1"/>
  <c r="S1023" i="2" s="1"/>
  <c r="S1024" i="2" a="1"/>
  <c r="S1024" i="2" s="1"/>
  <c r="S1025" i="2" a="1"/>
  <c r="S1025" i="2" s="1"/>
  <c r="S1026" i="2" a="1"/>
  <c r="S1026" i="2" s="1"/>
  <c r="S1027" i="2" a="1"/>
  <c r="S1027" i="2" s="1"/>
  <c r="S1028" i="2" a="1"/>
  <c r="S1028" i="2" s="1"/>
  <c r="S1029" i="2" a="1"/>
  <c r="S1029" i="2" s="1"/>
  <c r="S1030" i="2" a="1"/>
  <c r="S1030" i="2" s="1"/>
  <c r="S1031" i="2" a="1"/>
  <c r="S1031" i="2" s="1"/>
  <c r="S1032" i="2" a="1"/>
  <c r="S1032" i="2" s="1"/>
  <c r="S1033" i="2" a="1"/>
  <c r="S1033" i="2" s="1"/>
  <c r="S1034" i="2" a="1"/>
  <c r="S1034" i="2" s="1"/>
  <c r="S1035" i="2" a="1"/>
  <c r="S1035" i="2" s="1"/>
  <c r="S1036" i="2" a="1"/>
  <c r="S1036" i="2" s="1"/>
  <c r="S1037" i="2" a="1"/>
  <c r="S1037" i="2" s="1"/>
  <c r="S1038" i="2" a="1"/>
  <c r="S1038" i="2" s="1"/>
  <c r="S1039" i="2" a="1"/>
  <c r="S1039" i="2" s="1"/>
  <c r="S1040" i="2" a="1"/>
  <c r="S1040" i="2" s="1"/>
  <c r="S1041" i="2" a="1"/>
  <c r="S1041" i="2" s="1"/>
  <c r="S1042" i="2" a="1"/>
  <c r="S1042" i="2" s="1"/>
  <c r="S1043" i="2" a="1"/>
  <c r="S1043" i="2" s="1"/>
  <c r="S1044" i="2" a="1"/>
  <c r="S1044" i="2" s="1"/>
  <c r="S1045" i="2" a="1"/>
  <c r="S1045" i="2" s="1"/>
  <c r="S1046" i="2" a="1"/>
  <c r="S1046" i="2" s="1"/>
  <c r="S1047" i="2" a="1"/>
  <c r="S1047" i="2" s="1"/>
  <c r="S1048" i="2" a="1"/>
  <c r="S1048" i="2" s="1"/>
  <c r="S1049" i="2" a="1"/>
  <c r="S1049" i="2" s="1"/>
  <c r="S1050" i="2" a="1"/>
  <c r="S1050" i="2" s="1"/>
  <c r="S1051" i="2" a="1"/>
  <c r="S1051" i="2" s="1"/>
  <c r="S1052" i="2" a="1"/>
  <c r="S1052" i="2" s="1"/>
  <c r="S1053" i="2" a="1"/>
  <c r="S1053" i="2" s="1"/>
  <c r="S1054" i="2" a="1"/>
  <c r="S1054" i="2" s="1"/>
  <c r="S1055" i="2" a="1"/>
  <c r="S1055" i="2" s="1"/>
  <c r="S1056" i="2" a="1"/>
  <c r="S1056" i="2" s="1"/>
  <c r="S1057" i="2" a="1"/>
  <c r="S1057" i="2" s="1"/>
  <c r="S1058" i="2" a="1"/>
  <c r="S1058" i="2" s="1"/>
  <c r="S1059" i="2" a="1"/>
  <c r="S1059" i="2" s="1"/>
  <c r="S1060" i="2" a="1"/>
  <c r="S1060" i="2" s="1"/>
  <c r="S1061" i="2" a="1"/>
  <c r="S1061" i="2" s="1"/>
  <c r="S1062" i="2" a="1"/>
  <c r="S1062" i="2" s="1"/>
  <c r="S1063" i="2" a="1"/>
  <c r="S1063" i="2" s="1"/>
  <c r="S1064" i="2" a="1"/>
  <c r="S1064" i="2" s="1"/>
  <c r="S1065" i="2" a="1"/>
  <c r="S1065" i="2" s="1"/>
  <c r="S1066" i="2" a="1"/>
  <c r="S1066" i="2" s="1"/>
  <c r="S1067" i="2" a="1"/>
  <c r="S1067" i="2" s="1"/>
  <c r="S1068" i="2" a="1"/>
  <c r="S1068" i="2" s="1"/>
  <c r="S1069" i="2" a="1"/>
  <c r="S1069" i="2" s="1"/>
  <c r="S1070" i="2" a="1"/>
  <c r="S1070" i="2" s="1"/>
  <c r="S1071" i="2" a="1"/>
  <c r="S1071" i="2" s="1"/>
  <c r="S1072" i="2" a="1"/>
  <c r="S1072" i="2" s="1"/>
  <c r="S1073" i="2" a="1"/>
  <c r="S1073" i="2" s="1"/>
  <c r="S1074" i="2" a="1"/>
  <c r="S1074" i="2" s="1"/>
  <c r="S1075" i="2" a="1"/>
  <c r="S1075" i="2" s="1"/>
  <c r="S1076" i="2" a="1"/>
  <c r="S1076" i="2" s="1"/>
  <c r="S1077" i="2" a="1"/>
  <c r="S1077" i="2" s="1"/>
  <c r="S1078" i="2" a="1"/>
  <c r="S1078" i="2" s="1"/>
  <c r="S1079" i="2" a="1"/>
  <c r="S1079" i="2" s="1"/>
  <c r="S1080" i="2" a="1"/>
  <c r="S1080" i="2" s="1"/>
  <c r="S1081" i="2" a="1"/>
  <c r="S1081" i="2" s="1"/>
  <c r="S1082" i="2" a="1"/>
  <c r="S1082" i="2" s="1"/>
  <c r="S1083" i="2" a="1"/>
  <c r="S1083" i="2" s="1"/>
  <c r="S1084" i="2" a="1"/>
  <c r="S1084" i="2" s="1"/>
  <c r="S1085" i="2" a="1"/>
  <c r="S1085" i="2" s="1"/>
  <c r="S1086" i="2" a="1"/>
  <c r="S1086" i="2" s="1"/>
  <c r="S1087" i="2" a="1"/>
  <c r="S1087" i="2" s="1"/>
  <c r="S1088" i="2" a="1"/>
  <c r="S1088" i="2" s="1"/>
  <c r="S1089" i="2" a="1"/>
  <c r="S1089" i="2" s="1"/>
  <c r="S1090" i="2" a="1"/>
  <c r="S1090" i="2" s="1"/>
  <c r="S1091" i="2" a="1"/>
  <c r="S1091" i="2" s="1"/>
  <c r="S1092" i="2" a="1"/>
  <c r="S1092" i="2" s="1"/>
  <c r="S1093" i="2" a="1"/>
  <c r="S1093" i="2" s="1"/>
  <c r="S1094" i="2" a="1"/>
  <c r="S1094" i="2" s="1"/>
  <c r="S1095" i="2" a="1"/>
  <c r="S1095" i="2" s="1"/>
  <c r="S1096" i="2" a="1"/>
  <c r="S1096" i="2" s="1"/>
  <c r="S1097" i="2" a="1"/>
  <c r="S1097" i="2" s="1"/>
  <c r="S1098" i="2" a="1"/>
  <c r="S1098" i="2" s="1"/>
  <c r="S1099" i="2" a="1"/>
  <c r="S1099" i="2" s="1"/>
  <c r="S1100" i="2" a="1"/>
  <c r="S1100" i="2" s="1"/>
  <c r="S1101" i="2" a="1"/>
  <c r="S1101" i="2" s="1"/>
  <c r="S1102" i="2" a="1"/>
  <c r="S1102" i="2" s="1"/>
  <c r="S1103" i="2" a="1"/>
  <c r="S1103" i="2" s="1"/>
  <c r="S1104" i="2" a="1"/>
  <c r="S1104" i="2" s="1"/>
  <c r="S1105" i="2" a="1"/>
  <c r="S1105" i="2" s="1"/>
  <c r="S1106" i="2" a="1"/>
  <c r="S1106" i="2" s="1"/>
  <c r="S1107" i="2" a="1"/>
  <c r="S1107" i="2" s="1"/>
  <c r="S1108" i="2" a="1"/>
  <c r="S1108" i="2" s="1"/>
  <c r="S1109" i="2" a="1"/>
  <c r="S1109" i="2" s="1"/>
  <c r="S1110" i="2" a="1"/>
  <c r="S1110" i="2" s="1"/>
  <c r="S1111" i="2" a="1"/>
  <c r="S1111" i="2" s="1"/>
  <c r="S1112" i="2" a="1"/>
  <c r="S1112" i="2" s="1"/>
  <c r="S1113" i="2" a="1"/>
  <c r="S1113" i="2" s="1"/>
  <c r="S1114" i="2" a="1"/>
  <c r="S1114" i="2" s="1"/>
  <c r="S1115" i="2" a="1"/>
  <c r="S1115" i="2" s="1"/>
  <c r="S1116" i="2" a="1"/>
  <c r="S1116" i="2" s="1"/>
  <c r="S1117" i="2" a="1"/>
  <c r="S1117" i="2" s="1"/>
  <c r="S1118" i="2" a="1"/>
  <c r="S1118" i="2" s="1"/>
  <c r="S1119" i="2" a="1"/>
  <c r="S1119" i="2" s="1"/>
  <c r="S1120" i="2" a="1"/>
  <c r="S1120" i="2" s="1"/>
  <c r="S1121" i="2" a="1"/>
  <c r="S1121" i="2" s="1"/>
  <c r="S1122" i="2" a="1"/>
  <c r="S1122" i="2" s="1"/>
  <c r="S1123" i="2" a="1"/>
  <c r="S1123" i="2" s="1"/>
  <c r="S1124" i="2" a="1"/>
  <c r="S1124" i="2" s="1"/>
  <c r="S1125" i="2" a="1"/>
  <c r="S1125" i="2" s="1"/>
  <c r="S1126" i="2" a="1"/>
  <c r="S1126" i="2" s="1"/>
  <c r="S1127" i="2" a="1"/>
  <c r="S1127" i="2" s="1"/>
  <c r="S1128" i="2" a="1"/>
  <c r="S1128" i="2" s="1"/>
  <c r="S1129" i="2" a="1"/>
  <c r="S1129" i="2" s="1"/>
  <c r="S1130" i="2" a="1"/>
  <c r="S1130" i="2" s="1"/>
  <c r="S1131" i="2" a="1"/>
  <c r="S1131" i="2" s="1"/>
  <c r="S1132" i="2" a="1"/>
  <c r="S1132" i="2" s="1"/>
  <c r="S1133" i="2" a="1"/>
  <c r="S1133" i="2" s="1"/>
  <c r="S1134" i="2" a="1"/>
  <c r="S1134" i="2" s="1"/>
  <c r="S1135" i="2" a="1"/>
  <c r="S1135" i="2" s="1"/>
  <c r="S1136" i="2" a="1"/>
  <c r="S1136" i="2" s="1"/>
  <c r="S1137" i="2" a="1"/>
  <c r="S1137" i="2" s="1"/>
  <c r="S1138" i="2" a="1"/>
  <c r="S1138" i="2" s="1"/>
  <c r="S1139" i="2" a="1"/>
  <c r="S1139" i="2" s="1"/>
  <c r="S1140" i="2" a="1"/>
  <c r="S1140" i="2" s="1"/>
  <c r="S1141" i="2" a="1"/>
  <c r="S1141" i="2" s="1"/>
  <c r="S1142" i="2" a="1"/>
  <c r="S1142" i="2" s="1"/>
  <c r="S1143" i="2" a="1"/>
  <c r="S1143" i="2" s="1"/>
  <c r="S1144" i="2" a="1"/>
  <c r="S1144" i="2" s="1"/>
  <c r="S1145" i="2" a="1"/>
  <c r="S1145" i="2" s="1"/>
  <c r="S1146" i="2" a="1"/>
  <c r="S1146" i="2" s="1"/>
  <c r="S1147" i="2" a="1"/>
  <c r="S1147" i="2" s="1"/>
  <c r="S1148" i="2" a="1"/>
  <c r="S1148" i="2" s="1"/>
  <c r="S1149" i="2" a="1"/>
  <c r="S1149" i="2" s="1"/>
  <c r="S1150" i="2" a="1"/>
  <c r="S1150" i="2" s="1"/>
  <c r="S1151" i="2" a="1"/>
  <c r="S1151" i="2" s="1"/>
  <c r="S1152" i="2" a="1"/>
  <c r="S1152" i="2" s="1"/>
  <c r="S1153" i="2" a="1"/>
  <c r="S1153" i="2" s="1"/>
  <c r="S1154" i="2" a="1"/>
  <c r="S1154" i="2" s="1"/>
  <c r="S1155" i="2" a="1"/>
  <c r="S1155" i="2" s="1"/>
  <c r="S1156" i="2" a="1"/>
  <c r="S1156" i="2" s="1"/>
  <c r="S1157" i="2" a="1"/>
  <c r="S1157" i="2" s="1"/>
  <c r="S1158" i="2" a="1"/>
  <c r="S1158" i="2" s="1"/>
  <c r="S1159" i="2" a="1"/>
  <c r="S1159" i="2" s="1"/>
  <c r="S1160" i="2" a="1"/>
  <c r="S1160" i="2" s="1"/>
  <c r="S1161" i="2" a="1"/>
  <c r="S1161" i="2" s="1"/>
  <c r="S1162" i="2" a="1"/>
  <c r="S1162" i="2" s="1"/>
  <c r="S1163" i="2" a="1"/>
  <c r="S1163" i="2" s="1"/>
  <c r="S1164" i="2" a="1"/>
  <c r="S1164" i="2" s="1"/>
  <c r="S1165" i="2" a="1"/>
  <c r="S1165" i="2" s="1"/>
  <c r="S1166" i="2" a="1"/>
  <c r="S1166" i="2" s="1"/>
  <c r="S1167" i="2" a="1"/>
  <c r="S1167" i="2" s="1"/>
  <c r="S1168" i="2" a="1"/>
  <c r="S1168" i="2" s="1"/>
  <c r="S1169" i="2" a="1"/>
  <c r="S1169" i="2" s="1"/>
  <c r="S1170" i="2" a="1"/>
  <c r="S1170" i="2" s="1"/>
  <c r="S1171" i="2" a="1"/>
  <c r="S1171" i="2" s="1"/>
  <c r="S1172" i="2" a="1"/>
  <c r="S1172" i="2" s="1"/>
  <c r="S1173" i="2" a="1"/>
  <c r="S1173" i="2" s="1"/>
  <c r="S1174" i="2" a="1"/>
  <c r="S1174" i="2" s="1"/>
  <c r="S1175" i="2" a="1"/>
  <c r="S1175" i="2" s="1"/>
  <c r="S1176" i="2" a="1"/>
  <c r="S1176" i="2" s="1"/>
  <c r="S1177" i="2" a="1"/>
  <c r="S1177" i="2" s="1"/>
  <c r="S1178" i="2" a="1"/>
  <c r="S1178" i="2" s="1"/>
  <c r="S1179" i="2" a="1"/>
  <c r="S1179" i="2" s="1"/>
  <c r="S1180" i="2" a="1"/>
  <c r="S1180" i="2" s="1"/>
  <c r="S1181" i="2" a="1"/>
  <c r="S1181" i="2" s="1"/>
  <c r="S1182" i="2" a="1"/>
  <c r="S1182" i="2" s="1"/>
  <c r="S1183" i="2" a="1"/>
  <c r="S1183" i="2" s="1"/>
  <c r="S1184" i="2" a="1"/>
  <c r="S1184" i="2" s="1"/>
  <c r="S1185" i="2" a="1"/>
  <c r="S1185" i="2" s="1"/>
  <c r="S1186" i="2" a="1"/>
  <c r="S1186" i="2" s="1"/>
  <c r="S1187" i="2" a="1"/>
  <c r="S1187" i="2" s="1"/>
  <c r="S1188" i="2" a="1"/>
  <c r="S1188" i="2" s="1"/>
  <c r="S1189" i="2" a="1"/>
  <c r="S1189" i="2" s="1"/>
  <c r="S1190" i="2" a="1"/>
  <c r="S1190" i="2" s="1"/>
  <c r="S1191" i="2" a="1"/>
  <c r="S1191" i="2" s="1"/>
  <c r="S1192" i="2" a="1"/>
  <c r="S1192" i="2" s="1"/>
  <c r="S1193" i="2" a="1"/>
  <c r="S1193" i="2" s="1"/>
  <c r="S1194" i="2" a="1"/>
  <c r="S1194" i="2" s="1"/>
  <c r="S1195" i="2" a="1"/>
  <c r="S1195" i="2" s="1"/>
  <c r="S1196" i="2" a="1"/>
  <c r="S1196" i="2" s="1"/>
  <c r="S1197" i="2" a="1"/>
  <c r="S1197" i="2" s="1"/>
  <c r="S1198" i="2" a="1"/>
  <c r="S1198" i="2" s="1"/>
  <c r="S1199" i="2" a="1"/>
  <c r="S1199" i="2" s="1"/>
  <c r="S1200" i="2" a="1"/>
  <c r="S1200" i="2" s="1"/>
  <c r="S1201" i="2" a="1"/>
  <c r="S1201" i="2" s="1"/>
  <c r="S1202" i="2" a="1"/>
  <c r="S1202" i="2" s="1"/>
  <c r="S1203" i="2" a="1"/>
  <c r="S1203" i="2" s="1"/>
  <c r="S1204" i="2" a="1"/>
  <c r="S1204" i="2" s="1"/>
  <c r="S1205" i="2" a="1"/>
  <c r="S1205" i="2" s="1"/>
  <c r="S1206" i="2" a="1"/>
  <c r="S1206" i="2" s="1"/>
  <c r="S1207" i="2" a="1"/>
  <c r="S1207" i="2" s="1"/>
  <c r="S1208" i="2" a="1"/>
  <c r="S1208" i="2" s="1"/>
  <c r="S1209" i="2" a="1"/>
  <c r="S1209" i="2" s="1"/>
  <c r="S1210" i="2" a="1"/>
  <c r="S1210" i="2" s="1"/>
  <c r="S1211" i="2" a="1"/>
  <c r="S1211" i="2" s="1"/>
  <c r="S1212" i="2" a="1"/>
  <c r="S1212" i="2" s="1"/>
  <c r="S1213" i="2" a="1"/>
  <c r="S1213" i="2" s="1"/>
  <c r="S1214" i="2" a="1"/>
  <c r="S1214" i="2" s="1"/>
  <c r="S1215" i="2" a="1"/>
  <c r="S1215" i="2" s="1"/>
  <c r="S1216" i="2" a="1"/>
  <c r="S1216" i="2" s="1"/>
  <c r="S1217" i="2" a="1"/>
  <c r="S1217" i="2" s="1"/>
  <c r="S1218" i="2" a="1"/>
  <c r="S1218" i="2" s="1"/>
  <c r="S1219" i="2" a="1"/>
  <c r="S1219" i="2" s="1"/>
  <c r="S1220" i="2" a="1"/>
  <c r="S1220" i="2" s="1"/>
  <c r="S1221" i="2" a="1"/>
  <c r="S1221" i="2" s="1"/>
  <c r="S1222" i="2" a="1"/>
  <c r="S1222" i="2" s="1"/>
  <c r="S1223" i="2" a="1"/>
  <c r="S1223" i="2" s="1"/>
  <c r="S1224" i="2" a="1"/>
  <c r="S1224" i="2" s="1"/>
  <c r="S1225" i="2" a="1"/>
  <c r="S1225" i="2" s="1"/>
  <c r="S1226" i="2" a="1"/>
  <c r="S1226" i="2" s="1"/>
  <c r="S1227" i="2" a="1"/>
  <c r="S1227" i="2" s="1"/>
  <c r="S1228" i="2" a="1"/>
  <c r="S1228" i="2" s="1"/>
  <c r="S1229" i="2" a="1"/>
  <c r="S1229" i="2" s="1"/>
  <c r="S1230" i="2" a="1"/>
  <c r="S1230" i="2" s="1"/>
  <c r="S1231" i="2" a="1"/>
  <c r="S1231" i="2" s="1"/>
  <c r="S1232" i="2" a="1"/>
  <c r="S1232" i="2" s="1"/>
  <c r="S1233" i="2" a="1"/>
  <c r="S1233" i="2" s="1"/>
  <c r="S1234" i="2" a="1"/>
  <c r="S1234" i="2" s="1"/>
  <c r="S1235" i="2" a="1"/>
  <c r="S1235" i="2" s="1"/>
  <c r="S1236" i="2" a="1"/>
  <c r="S1236" i="2" s="1"/>
  <c r="S1237" i="2" a="1"/>
  <c r="S1237" i="2" s="1"/>
  <c r="S1238" i="2" a="1"/>
  <c r="S1238" i="2" s="1"/>
  <c r="S1239" i="2" a="1"/>
  <c r="S1239" i="2" s="1"/>
  <c r="S1240" i="2" a="1"/>
  <c r="S1240" i="2" s="1"/>
  <c r="S1241" i="2" a="1"/>
  <c r="S1241" i="2" s="1"/>
  <c r="S1242" i="2" a="1"/>
  <c r="S1242" i="2" s="1"/>
  <c r="S1243" i="2" a="1"/>
  <c r="S1243" i="2" s="1"/>
  <c r="S1244" i="2" a="1"/>
  <c r="S1244" i="2" s="1"/>
  <c r="S1245" i="2" a="1"/>
  <c r="S1245" i="2" s="1"/>
  <c r="S1246" i="2" a="1"/>
  <c r="S1246" i="2" s="1"/>
  <c r="S1247" i="2" a="1"/>
  <c r="S1247" i="2" s="1"/>
  <c r="S1248" i="2" a="1"/>
  <c r="S1248" i="2" s="1"/>
  <c r="S1249" i="2" a="1"/>
  <c r="S1249" i="2" s="1"/>
  <c r="S1250" i="2" a="1"/>
  <c r="S1250" i="2" s="1"/>
  <c r="S1251" i="2" a="1"/>
  <c r="S1251" i="2" s="1"/>
  <c r="S1252" i="2" a="1"/>
  <c r="S1252" i="2" s="1"/>
  <c r="S1253" i="2" a="1"/>
  <c r="S1253" i="2" s="1"/>
  <c r="S1254" i="2" a="1"/>
  <c r="S1254" i="2" s="1"/>
  <c r="S1255" i="2" a="1"/>
  <c r="S1255" i="2" s="1"/>
  <c r="S1256" i="2" a="1"/>
  <c r="S1256" i="2" s="1"/>
  <c r="S1257" i="2" a="1"/>
  <c r="S1257" i="2" s="1"/>
  <c r="S1258" i="2" a="1"/>
  <c r="S1258" i="2" s="1"/>
  <c r="S1259" i="2" a="1"/>
  <c r="S1259" i="2" s="1"/>
  <c r="S1260" i="2" a="1"/>
  <c r="S1260" i="2" s="1"/>
  <c r="S1261" i="2" a="1"/>
  <c r="S1261" i="2" s="1"/>
  <c r="S1262" i="2" a="1"/>
  <c r="S1262" i="2" s="1"/>
  <c r="S1263" i="2" a="1"/>
  <c r="S1263" i="2" s="1"/>
  <c r="S1264" i="2" a="1"/>
  <c r="S1264" i="2" s="1"/>
  <c r="S1265" i="2" a="1"/>
  <c r="S1265" i="2" s="1"/>
  <c r="S1266" i="2" a="1"/>
  <c r="S1266" i="2" s="1"/>
  <c r="S1267" i="2" a="1"/>
  <c r="S1267" i="2" s="1"/>
  <c r="S1268" i="2" a="1"/>
  <c r="S1268" i="2" s="1"/>
  <c r="S1269" i="2" a="1"/>
  <c r="S1269" i="2" s="1"/>
  <c r="S1270" i="2" a="1"/>
  <c r="S1270" i="2" s="1"/>
  <c r="S1271" i="2" a="1"/>
  <c r="S1271" i="2" s="1"/>
  <c r="S1272" i="2" a="1"/>
  <c r="S1272" i="2" s="1"/>
  <c r="S1273" i="2" a="1"/>
  <c r="S1273" i="2" s="1"/>
  <c r="S1274" i="2" a="1"/>
  <c r="S1274" i="2" s="1"/>
  <c r="S1275" i="2" a="1"/>
  <c r="S1275" i="2" s="1"/>
  <c r="S1276" i="2" a="1"/>
  <c r="S1276" i="2" s="1"/>
  <c r="S1277" i="2" a="1"/>
  <c r="S1277" i="2" s="1"/>
  <c r="S1278" i="2" a="1"/>
  <c r="S1278" i="2" s="1"/>
  <c r="S1279" i="2" a="1"/>
  <c r="S1279" i="2" s="1"/>
  <c r="S1280" i="2" a="1"/>
  <c r="S1280" i="2" s="1"/>
  <c r="S1281" i="2" a="1"/>
  <c r="S1281" i="2" s="1"/>
  <c r="S1282" i="2" a="1"/>
  <c r="S1282" i="2" s="1"/>
  <c r="S1283" i="2" a="1"/>
  <c r="S1283" i="2" s="1"/>
  <c r="S1284" i="2" a="1"/>
  <c r="S1284" i="2" s="1"/>
  <c r="S1285" i="2" a="1"/>
  <c r="S1285" i="2" s="1"/>
  <c r="S1286" i="2" a="1"/>
  <c r="S1286" i="2" s="1"/>
  <c r="S1287" i="2" a="1"/>
  <c r="S1287" i="2" s="1"/>
  <c r="S1288" i="2" a="1"/>
  <c r="S1288" i="2" s="1"/>
  <c r="S1289" i="2" a="1"/>
  <c r="S1289" i="2" s="1"/>
  <c r="S1290" i="2" a="1"/>
  <c r="S1290" i="2" s="1"/>
  <c r="S1291" i="2" a="1"/>
  <c r="S1291" i="2" s="1"/>
  <c r="S1292" i="2" a="1"/>
  <c r="S1292" i="2" s="1"/>
  <c r="S1293" i="2" a="1"/>
  <c r="S1293" i="2" s="1"/>
  <c r="S1294" i="2" a="1"/>
  <c r="S1294" i="2" s="1"/>
  <c r="S1295" i="2" a="1"/>
  <c r="S1295" i="2" s="1"/>
  <c r="S1296" i="2" a="1"/>
  <c r="S1296" i="2" s="1"/>
  <c r="S1297" i="2" a="1"/>
  <c r="S1297" i="2" s="1"/>
  <c r="S1298" i="2" a="1"/>
  <c r="S1298" i="2" s="1"/>
  <c r="S1299" i="2" a="1"/>
  <c r="S1299" i="2" s="1"/>
  <c r="S1300" i="2" a="1"/>
  <c r="S1300" i="2" s="1"/>
  <c r="S1301" i="2" a="1"/>
  <c r="S1301" i="2" s="1"/>
  <c r="S1302" i="2" a="1"/>
  <c r="S1302" i="2" s="1"/>
  <c r="S1303" i="2" a="1"/>
  <c r="S1303" i="2" s="1"/>
  <c r="S1304" i="2" a="1"/>
  <c r="S1304" i="2" s="1"/>
  <c r="S1305" i="2" a="1"/>
  <c r="S1305" i="2" s="1"/>
  <c r="S1306" i="2" a="1"/>
  <c r="S1306" i="2" s="1"/>
  <c r="S1307" i="2" a="1"/>
  <c r="S1307" i="2" s="1"/>
  <c r="S1308" i="2" a="1"/>
  <c r="S1308" i="2" s="1"/>
  <c r="S1309" i="2" a="1"/>
  <c r="S1309" i="2" s="1"/>
  <c r="S1310" i="2" a="1"/>
  <c r="S1310" i="2" s="1"/>
  <c r="S2" i="2" a="1"/>
  <c r="S2" i="2" s="1"/>
  <c r="N3" i="2"/>
  <c r="O3" i="2" s="1"/>
  <c r="N4" i="2"/>
  <c r="O4" i="2" s="1"/>
  <c r="N5" i="2"/>
  <c r="O5" i="2" s="1"/>
  <c r="N6" i="2"/>
  <c r="O6" i="2" s="1"/>
  <c r="N7" i="2"/>
  <c r="O7" i="2" s="1"/>
  <c r="N8" i="2"/>
  <c r="O8" i="2" s="1"/>
  <c r="N9" i="2"/>
  <c r="O9" i="2" s="1"/>
  <c r="N10" i="2"/>
  <c r="O10" i="2" s="1"/>
  <c r="N11" i="2"/>
  <c r="O11" i="2" s="1"/>
  <c r="N12" i="2"/>
  <c r="O12" i="2" s="1"/>
  <c r="N13" i="2"/>
  <c r="O13" i="2" s="1"/>
  <c r="N14" i="2"/>
  <c r="O14" i="2" s="1"/>
  <c r="N15" i="2"/>
  <c r="O15" i="2" s="1"/>
  <c r="N16" i="2"/>
  <c r="O16" i="2" s="1"/>
  <c r="N17" i="2"/>
  <c r="O17" i="2" s="1"/>
  <c r="N18" i="2"/>
  <c r="O18" i="2" s="1"/>
  <c r="N19" i="2"/>
  <c r="O19" i="2" s="1"/>
  <c r="N20" i="2"/>
  <c r="O20" i="2" s="1"/>
  <c r="N21" i="2"/>
  <c r="O21" i="2" s="1"/>
  <c r="N22" i="2"/>
  <c r="O22" i="2" s="1"/>
  <c r="N23" i="2"/>
  <c r="O23" i="2" s="1"/>
  <c r="N24" i="2"/>
  <c r="O24" i="2" s="1"/>
  <c r="N25" i="2"/>
  <c r="O25" i="2" s="1"/>
  <c r="N26" i="2"/>
  <c r="O26" i="2" s="1"/>
  <c r="N27" i="2"/>
  <c r="O27" i="2" s="1"/>
  <c r="N28" i="2"/>
  <c r="O28" i="2" s="1"/>
  <c r="N29" i="2"/>
  <c r="O29" i="2" s="1"/>
  <c r="N30" i="2"/>
  <c r="O30" i="2" s="1"/>
  <c r="N31" i="2"/>
  <c r="O31" i="2" s="1"/>
  <c r="N32" i="2"/>
  <c r="O32" i="2" s="1"/>
  <c r="N33" i="2"/>
  <c r="O33" i="2" s="1"/>
  <c r="N34" i="2"/>
  <c r="O34" i="2" s="1"/>
  <c r="N35" i="2"/>
  <c r="O35" i="2" s="1"/>
  <c r="N36" i="2"/>
  <c r="O36" i="2" s="1"/>
  <c r="N37" i="2"/>
  <c r="O37" i="2" s="1"/>
  <c r="N38" i="2"/>
  <c r="O38" i="2" s="1"/>
  <c r="N39" i="2"/>
  <c r="O39" i="2" s="1"/>
  <c r="N40" i="2"/>
  <c r="O40" i="2" s="1"/>
  <c r="N41" i="2"/>
  <c r="O41" i="2" s="1"/>
  <c r="N42" i="2"/>
  <c r="O42" i="2" s="1"/>
  <c r="N43" i="2"/>
  <c r="O43" i="2" s="1"/>
  <c r="N44" i="2"/>
  <c r="O44" i="2" s="1"/>
  <c r="N45" i="2"/>
  <c r="O45" i="2" s="1"/>
  <c r="N46" i="2"/>
  <c r="O46" i="2" s="1"/>
  <c r="N47" i="2"/>
  <c r="O47" i="2" s="1"/>
  <c r="N48" i="2"/>
  <c r="O48" i="2" s="1"/>
  <c r="N49" i="2"/>
  <c r="O49" i="2" s="1"/>
  <c r="N50" i="2"/>
  <c r="O50" i="2" s="1"/>
  <c r="N51" i="2"/>
  <c r="O51" i="2" s="1"/>
  <c r="N52" i="2"/>
  <c r="O52" i="2" s="1"/>
  <c r="N53" i="2"/>
  <c r="O53" i="2" s="1"/>
  <c r="N54" i="2"/>
  <c r="O54" i="2" s="1"/>
  <c r="N55" i="2"/>
  <c r="O55" i="2" s="1"/>
  <c r="N56" i="2"/>
  <c r="O56" i="2" s="1"/>
  <c r="N57" i="2"/>
  <c r="O57" i="2" s="1"/>
  <c r="N58" i="2"/>
  <c r="O58" i="2" s="1"/>
  <c r="N59" i="2"/>
  <c r="O59" i="2" s="1"/>
  <c r="N60" i="2"/>
  <c r="O60" i="2" s="1"/>
  <c r="N61" i="2"/>
  <c r="O61" i="2" s="1"/>
  <c r="N62" i="2"/>
  <c r="O62" i="2" s="1"/>
  <c r="N63" i="2"/>
  <c r="O63" i="2" s="1"/>
  <c r="N64" i="2"/>
  <c r="O64" i="2" s="1"/>
  <c r="N65" i="2"/>
  <c r="O65" i="2" s="1"/>
  <c r="N66" i="2"/>
  <c r="O66" i="2" s="1"/>
  <c r="N67" i="2"/>
  <c r="O67" i="2" s="1"/>
  <c r="N68" i="2"/>
  <c r="O68" i="2" s="1"/>
  <c r="N69" i="2"/>
  <c r="O69" i="2" s="1"/>
  <c r="N70" i="2"/>
  <c r="O70" i="2" s="1"/>
  <c r="N71" i="2"/>
  <c r="O71" i="2" s="1"/>
  <c r="N72" i="2"/>
  <c r="O72" i="2" s="1"/>
  <c r="N73" i="2"/>
  <c r="O73" i="2" s="1"/>
  <c r="N74" i="2"/>
  <c r="O74" i="2" s="1"/>
  <c r="N75" i="2"/>
  <c r="O75" i="2" s="1"/>
  <c r="N76" i="2"/>
  <c r="O76" i="2" s="1"/>
  <c r="N77" i="2"/>
  <c r="O77" i="2" s="1"/>
  <c r="N78" i="2"/>
  <c r="O78" i="2" s="1"/>
  <c r="N79" i="2"/>
  <c r="O79" i="2" s="1"/>
  <c r="N80" i="2"/>
  <c r="O80" i="2" s="1"/>
  <c r="N81" i="2"/>
  <c r="O81" i="2" s="1"/>
  <c r="N82" i="2"/>
  <c r="O82" i="2" s="1"/>
  <c r="N83" i="2"/>
  <c r="O83" i="2" s="1"/>
  <c r="N84" i="2"/>
  <c r="O84" i="2" s="1"/>
  <c r="N85" i="2"/>
  <c r="O85" i="2" s="1"/>
  <c r="N86" i="2"/>
  <c r="O86" i="2" s="1"/>
  <c r="N87" i="2"/>
  <c r="O87" i="2" s="1"/>
  <c r="N88" i="2"/>
  <c r="O88" i="2" s="1"/>
  <c r="N89" i="2"/>
  <c r="O89" i="2" s="1"/>
  <c r="N90" i="2"/>
  <c r="O90" i="2" s="1"/>
  <c r="N91" i="2"/>
  <c r="O91" i="2" s="1"/>
  <c r="N92" i="2"/>
  <c r="O92" i="2" s="1"/>
  <c r="N93" i="2"/>
  <c r="O93" i="2" s="1"/>
  <c r="N94" i="2"/>
  <c r="O94" i="2" s="1"/>
  <c r="N95" i="2"/>
  <c r="O95" i="2" s="1"/>
  <c r="N96" i="2"/>
  <c r="O96" i="2" s="1"/>
  <c r="N97" i="2"/>
  <c r="O97" i="2" s="1"/>
  <c r="N98" i="2"/>
  <c r="O98" i="2" s="1"/>
  <c r="N99" i="2"/>
  <c r="O99" i="2" s="1"/>
  <c r="N100" i="2"/>
  <c r="O100" i="2" s="1"/>
  <c r="N101" i="2"/>
  <c r="O101" i="2" s="1"/>
  <c r="N102" i="2"/>
  <c r="O102" i="2" s="1"/>
  <c r="N103" i="2"/>
  <c r="O103" i="2" s="1"/>
  <c r="N104" i="2"/>
  <c r="O104" i="2" s="1"/>
  <c r="N105" i="2"/>
  <c r="O105" i="2" s="1"/>
  <c r="N106" i="2"/>
  <c r="O106" i="2" s="1"/>
  <c r="N107" i="2"/>
  <c r="O107" i="2" s="1"/>
  <c r="N108" i="2"/>
  <c r="O108" i="2" s="1"/>
  <c r="N109" i="2"/>
  <c r="O109" i="2" s="1"/>
  <c r="N110" i="2"/>
  <c r="O110" i="2" s="1"/>
  <c r="N111" i="2"/>
  <c r="O111" i="2" s="1"/>
  <c r="N112" i="2"/>
  <c r="O112" i="2" s="1"/>
  <c r="N113" i="2"/>
  <c r="O113" i="2" s="1"/>
  <c r="N114" i="2"/>
  <c r="O114" i="2" s="1"/>
  <c r="N115" i="2"/>
  <c r="O115" i="2" s="1"/>
  <c r="N116" i="2"/>
  <c r="O116" i="2" s="1"/>
  <c r="N117" i="2"/>
  <c r="O117" i="2" s="1"/>
  <c r="N118" i="2"/>
  <c r="O118" i="2" s="1"/>
  <c r="N119" i="2"/>
  <c r="O119" i="2" s="1"/>
  <c r="N120" i="2"/>
  <c r="O120" i="2" s="1"/>
  <c r="N121" i="2"/>
  <c r="O121" i="2" s="1"/>
  <c r="N122" i="2"/>
  <c r="O122" i="2" s="1"/>
  <c r="N123" i="2"/>
  <c r="O123" i="2" s="1"/>
  <c r="N124" i="2"/>
  <c r="O124" i="2" s="1"/>
  <c r="N125" i="2"/>
  <c r="O125" i="2" s="1"/>
  <c r="N126" i="2"/>
  <c r="O126" i="2" s="1"/>
  <c r="N127" i="2"/>
  <c r="O127" i="2" s="1"/>
  <c r="N128" i="2"/>
  <c r="O128" i="2" s="1"/>
  <c r="N129" i="2"/>
  <c r="O129" i="2" s="1"/>
  <c r="N130" i="2"/>
  <c r="O130" i="2" s="1"/>
  <c r="N131" i="2"/>
  <c r="O131" i="2" s="1"/>
  <c r="N132" i="2"/>
  <c r="O132" i="2" s="1"/>
  <c r="N133" i="2"/>
  <c r="O133" i="2" s="1"/>
  <c r="N134" i="2"/>
  <c r="O134" i="2" s="1"/>
  <c r="N135" i="2"/>
  <c r="O135" i="2" s="1"/>
  <c r="N136" i="2"/>
  <c r="O136" i="2" s="1"/>
  <c r="N137" i="2"/>
  <c r="O137" i="2" s="1"/>
  <c r="N138" i="2"/>
  <c r="O138" i="2" s="1"/>
  <c r="N139" i="2"/>
  <c r="O139" i="2" s="1"/>
  <c r="N140" i="2"/>
  <c r="O140" i="2" s="1"/>
  <c r="N141" i="2"/>
  <c r="O141" i="2" s="1"/>
  <c r="N142" i="2"/>
  <c r="O142" i="2" s="1"/>
  <c r="N143" i="2"/>
  <c r="O143" i="2" s="1"/>
  <c r="N144" i="2"/>
  <c r="O144" i="2" s="1"/>
  <c r="N145" i="2"/>
  <c r="O145" i="2" s="1"/>
  <c r="N146" i="2"/>
  <c r="O146" i="2" s="1"/>
  <c r="N147" i="2"/>
  <c r="O147" i="2" s="1"/>
  <c r="N148" i="2"/>
  <c r="O148" i="2" s="1"/>
  <c r="N149" i="2"/>
  <c r="O149" i="2" s="1"/>
  <c r="N150" i="2"/>
  <c r="O150" i="2" s="1"/>
  <c r="N151" i="2"/>
  <c r="O151" i="2" s="1"/>
  <c r="N152" i="2"/>
  <c r="O152" i="2" s="1"/>
  <c r="N153" i="2"/>
  <c r="O153" i="2" s="1"/>
  <c r="N154" i="2"/>
  <c r="O154" i="2" s="1"/>
  <c r="N155" i="2"/>
  <c r="O155" i="2" s="1"/>
  <c r="N156" i="2"/>
  <c r="O156" i="2" s="1"/>
  <c r="N157" i="2"/>
  <c r="O157" i="2" s="1"/>
  <c r="N158" i="2"/>
  <c r="O158" i="2" s="1"/>
  <c r="N159" i="2"/>
  <c r="O159" i="2" s="1"/>
  <c r="N160" i="2"/>
  <c r="O160" i="2" s="1"/>
  <c r="N161" i="2"/>
  <c r="O161" i="2" s="1"/>
  <c r="N162" i="2"/>
  <c r="O162" i="2" s="1"/>
  <c r="N163" i="2"/>
  <c r="O163" i="2" s="1"/>
  <c r="N164" i="2"/>
  <c r="O164" i="2" s="1"/>
  <c r="N165" i="2"/>
  <c r="O165" i="2" s="1"/>
  <c r="N166" i="2"/>
  <c r="O166" i="2" s="1"/>
  <c r="N167" i="2"/>
  <c r="O167" i="2" s="1"/>
  <c r="N168" i="2"/>
  <c r="O168" i="2" s="1"/>
  <c r="N169" i="2"/>
  <c r="O169" i="2" s="1"/>
  <c r="N170" i="2"/>
  <c r="O170" i="2" s="1"/>
  <c r="N171" i="2"/>
  <c r="O171" i="2" s="1"/>
  <c r="N172" i="2"/>
  <c r="O172" i="2" s="1"/>
  <c r="N173" i="2"/>
  <c r="O173" i="2" s="1"/>
  <c r="N174" i="2"/>
  <c r="O174" i="2" s="1"/>
  <c r="N175" i="2"/>
  <c r="O175" i="2" s="1"/>
  <c r="N176" i="2"/>
  <c r="O176" i="2" s="1"/>
  <c r="N177" i="2"/>
  <c r="O177" i="2" s="1"/>
  <c r="N178" i="2"/>
  <c r="O178" i="2" s="1"/>
  <c r="N179" i="2"/>
  <c r="O179" i="2" s="1"/>
  <c r="N180" i="2"/>
  <c r="O180" i="2" s="1"/>
  <c r="N181" i="2"/>
  <c r="O181" i="2" s="1"/>
  <c r="N182" i="2"/>
  <c r="O182" i="2" s="1"/>
  <c r="N183" i="2"/>
  <c r="O183" i="2" s="1"/>
  <c r="N184" i="2"/>
  <c r="O184" i="2" s="1"/>
  <c r="N185" i="2"/>
  <c r="O185" i="2" s="1"/>
  <c r="N186" i="2"/>
  <c r="O186" i="2" s="1"/>
  <c r="N187" i="2"/>
  <c r="O187" i="2" s="1"/>
  <c r="N188" i="2"/>
  <c r="O188" i="2" s="1"/>
  <c r="N189" i="2"/>
  <c r="O189" i="2" s="1"/>
  <c r="N190" i="2"/>
  <c r="O190" i="2" s="1"/>
  <c r="N191" i="2"/>
  <c r="O191" i="2" s="1"/>
  <c r="N192" i="2"/>
  <c r="O192" i="2" s="1"/>
  <c r="N193" i="2"/>
  <c r="O193" i="2" s="1"/>
  <c r="N194" i="2"/>
  <c r="O194" i="2" s="1"/>
  <c r="N195" i="2"/>
  <c r="O195" i="2" s="1"/>
  <c r="N196" i="2"/>
  <c r="O196" i="2" s="1"/>
  <c r="N197" i="2"/>
  <c r="O197" i="2" s="1"/>
  <c r="N198" i="2"/>
  <c r="O198" i="2" s="1"/>
  <c r="N199" i="2"/>
  <c r="O199" i="2" s="1"/>
  <c r="N200" i="2"/>
  <c r="O200" i="2" s="1"/>
  <c r="N201" i="2"/>
  <c r="O201" i="2" s="1"/>
  <c r="N202" i="2"/>
  <c r="O202" i="2" s="1"/>
  <c r="N203" i="2"/>
  <c r="O203" i="2" s="1"/>
  <c r="N204" i="2"/>
  <c r="O204" i="2" s="1"/>
  <c r="N205" i="2"/>
  <c r="O205" i="2" s="1"/>
  <c r="N206" i="2"/>
  <c r="O206" i="2" s="1"/>
  <c r="N207" i="2"/>
  <c r="O207" i="2" s="1"/>
  <c r="N208" i="2"/>
  <c r="O208" i="2" s="1"/>
  <c r="N209" i="2"/>
  <c r="O209" i="2" s="1"/>
  <c r="N210" i="2"/>
  <c r="O210" i="2" s="1"/>
  <c r="N211" i="2"/>
  <c r="O211" i="2" s="1"/>
  <c r="N212" i="2"/>
  <c r="O212" i="2" s="1"/>
  <c r="N213" i="2"/>
  <c r="O213" i="2" s="1"/>
  <c r="N214" i="2"/>
  <c r="O214" i="2" s="1"/>
  <c r="N215" i="2"/>
  <c r="O215" i="2" s="1"/>
  <c r="N216" i="2"/>
  <c r="O216" i="2" s="1"/>
  <c r="N217" i="2"/>
  <c r="O217" i="2" s="1"/>
  <c r="N218" i="2"/>
  <c r="O218" i="2" s="1"/>
  <c r="N219" i="2"/>
  <c r="O219" i="2" s="1"/>
  <c r="N220" i="2"/>
  <c r="O220" i="2" s="1"/>
  <c r="N221" i="2"/>
  <c r="O221" i="2" s="1"/>
  <c r="N222" i="2"/>
  <c r="O222" i="2" s="1"/>
  <c r="N223" i="2"/>
  <c r="O223" i="2" s="1"/>
  <c r="N224" i="2"/>
  <c r="O224" i="2" s="1"/>
  <c r="N225" i="2"/>
  <c r="O225" i="2" s="1"/>
  <c r="N226" i="2"/>
  <c r="O226" i="2" s="1"/>
  <c r="N227" i="2"/>
  <c r="O227" i="2" s="1"/>
  <c r="N228" i="2"/>
  <c r="O228" i="2" s="1"/>
  <c r="N229" i="2"/>
  <c r="O229" i="2" s="1"/>
  <c r="N230" i="2"/>
  <c r="O230" i="2" s="1"/>
  <c r="N231" i="2"/>
  <c r="O231" i="2" s="1"/>
  <c r="N232" i="2"/>
  <c r="O232" i="2" s="1"/>
  <c r="N233" i="2"/>
  <c r="O233" i="2" s="1"/>
  <c r="N234" i="2"/>
  <c r="O234" i="2" s="1"/>
  <c r="N235" i="2"/>
  <c r="O235" i="2" s="1"/>
  <c r="N236" i="2"/>
  <c r="O236" i="2" s="1"/>
  <c r="N237" i="2"/>
  <c r="O237" i="2" s="1"/>
  <c r="N238" i="2"/>
  <c r="O238" i="2" s="1"/>
  <c r="N239" i="2"/>
  <c r="O239" i="2" s="1"/>
  <c r="N240" i="2"/>
  <c r="O240" i="2" s="1"/>
  <c r="N241" i="2"/>
  <c r="O241" i="2" s="1"/>
  <c r="N242" i="2"/>
  <c r="O242" i="2" s="1"/>
  <c r="N243" i="2"/>
  <c r="O243" i="2" s="1"/>
  <c r="N244" i="2"/>
  <c r="O244" i="2" s="1"/>
  <c r="N245" i="2"/>
  <c r="O245" i="2" s="1"/>
  <c r="N246" i="2"/>
  <c r="O246" i="2" s="1"/>
  <c r="N247" i="2"/>
  <c r="O247" i="2" s="1"/>
  <c r="N248" i="2"/>
  <c r="O248" i="2" s="1"/>
  <c r="N249" i="2"/>
  <c r="O249" i="2" s="1"/>
  <c r="N250" i="2"/>
  <c r="O250" i="2" s="1"/>
  <c r="N251" i="2"/>
  <c r="O251" i="2" s="1"/>
  <c r="N252" i="2"/>
  <c r="O252" i="2" s="1"/>
  <c r="N253" i="2"/>
  <c r="O253" i="2" s="1"/>
  <c r="N254" i="2"/>
  <c r="O254" i="2" s="1"/>
  <c r="N255" i="2"/>
  <c r="O255" i="2" s="1"/>
  <c r="N256" i="2"/>
  <c r="O256" i="2" s="1"/>
  <c r="N257" i="2"/>
  <c r="O257" i="2" s="1"/>
  <c r="N258" i="2"/>
  <c r="O258" i="2" s="1"/>
  <c r="N259" i="2"/>
  <c r="O259" i="2" s="1"/>
  <c r="N260" i="2"/>
  <c r="O260" i="2" s="1"/>
  <c r="N261" i="2"/>
  <c r="O261" i="2" s="1"/>
  <c r="N262" i="2"/>
  <c r="O262" i="2" s="1"/>
  <c r="N263" i="2"/>
  <c r="O263" i="2" s="1"/>
  <c r="N264" i="2"/>
  <c r="O264" i="2" s="1"/>
  <c r="N265" i="2"/>
  <c r="O265" i="2" s="1"/>
  <c r="N266" i="2"/>
  <c r="O266" i="2" s="1"/>
  <c r="N267" i="2"/>
  <c r="O267" i="2" s="1"/>
  <c r="N268" i="2"/>
  <c r="O268" i="2" s="1"/>
  <c r="N269" i="2"/>
  <c r="O269" i="2" s="1"/>
  <c r="N270" i="2"/>
  <c r="O270" i="2" s="1"/>
  <c r="N271" i="2"/>
  <c r="O271" i="2" s="1"/>
  <c r="N272" i="2"/>
  <c r="O272" i="2" s="1"/>
  <c r="N273" i="2"/>
  <c r="O273" i="2" s="1"/>
  <c r="N274" i="2"/>
  <c r="O274" i="2" s="1"/>
  <c r="N275" i="2"/>
  <c r="O275" i="2" s="1"/>
  <c r="N276" i="2"/>
  <c r="O276" i="2" s="1"/>
  <c r="N277" i="2"/>
  <c r="O277" i="2" s="1"/>
  <c r="N278" i="2"/>
  <c r="O278" i="2" s="1"/>
  <c r="N279" i="2"/>
  <c r="O279" i="2" s="1"/>
  <c r="N280" i="2"/>
  <c r="O280" i="2" s="1"/>
  <c r="N281" i="2"/>
  <c r="O281" i="2" s="1"/>
  <c r="N282" i="2"/>
  <c r="O282" i="2" s="1"/>
  <c r="N283" i="2"/>
  <c r="O283" i="2" s="1"/>
  <c r="N284" i="2"/>
  <c r="O284" i="2" s="1"/>
  <c r="N285" i="2"/>
  <c r="O285" i="2" s="1"/>
  <c r="N286" i="2"/>
  <c r="O286" i="2" s="1"/>
  <c r="N287" i="2"/>
  <c r="O287" i="2" s="1"/>
  <c r="N288" i="2"/>
  <c r="O288" i="2" s="1"/>
  <c r="N289" i="2"/>
  <c r="O289" i="2" s="1"/>
  <c r="N290" i="2"/>
  <c r="O290" i="2" s="1"/>
  <c r="N291" i="2"/>
  <c r="O291" i="2" s="1"/>
  <c r="N292" i="2"/>
  <c r="O292" i="2" s="1"/>
  <c r="N293" i="2"/>
  <c r="O293" i="2" s="1"/>
  <c r="N294" i="2"/>
  <c r="O294" i="2" s="1"/>
  <c r="N295" i="2"/>
  <c r="O295" i="2" s="1"/>
  <c r="N296" i="2"/>
  <c r="O296" i="2" s="1"/>
  <c r="N297" i="2"/>
  <c r="O297" i="2" s="1"/>
  <c r="N298" i="2"/>
  <c r="O298" i="2" s="1"/>
  <c r="N299" i="2"/>
  <c r="O299" i="2" s="1"/>
  <c r="N300" i="2"/>
  <c r="O300" i="2" s="1"/>
  <c r="N301" i="2"/>
  <c r="O301" i="2" s="1"/>
  <c r="N302" i="2"/>
  <c r="O302" i="2" s="1"/>
  <c r="N303" i="2"/>
  <c r="O303" i="2" s="1"/>
  <c r="N304" i="2"/>
  <c r="O304" i="2" s="1"/>
  <c r="N305" i="2"/>
  <c r="O305" i="2" s="1"/>
  <c r="N306" i="2"/>
  <c r="O306" i="2" s="1"/>
  <c r="N307" i="2"/>
  <c r="O307" i="2" s="1"/>
  <c r="N308" i="2"/>
  <c r="O308" i="2" s="1"/>
  <c r="N309" i="2"/>
  <c r="O309" i="2" s="1"/>
  <c r="N310" i="2"/>
  <c r="O310" i="2" s="1"/>
  <c r="N311" i="2"/>
  <c r="O311" i="2" s="1"/>
  <c r="N312" i="2"/>
  <c r="O312" i="2" s="1"/>
  <c r="N313" i="2"/>
  <c r="O313" i="2" s="1"/>
  <c r="N314" i="2"/>
  <c r="O314" i="2" s="1"/>
  <c r="N315" i="2"/>
  <c r="O315" i="2" s="1"/>
  <c r="N316" i="2"/>
  <c r="O316" i="2" s="1"/>
  <c r="N317" i="2"/>
  <c r="O317" i="2" s="1"/>
  <c r="N318" i="2"/>
  <c r="O318" i="2" s="1"/>
  <c r="N319" i="2"/>
  <c r="O319" i="2" s="1"/>
  <c r="N320" i="2"/>
  <c r="O320" i="2" s="1"/>
  <c r="N321" i="2"/>
  <c r="O321" i="2" s="1"/>
  <c r="N322" i="2"/>
  <c r="O322" i="2" s="1"/>
  <c r="N323" i="2"/>
  <c r="O323" i="2" s="1"/>
  <c r="N324" i="2"/>
  <c r="O324" i="2" s="1"/>
  <c r="N325" i="2"/>
  <c r="O325" i="2" s="1"/>
  <c r="N326" i="2"/>
  <c r="O326" i="2" s="1"/>
  <c r="N327" i="2"/>
  <c r="O327" i="2" s="1"/>
  <c r="N328" i="2"/>
  <c r="O328" i="2" s="1"/>
  <c r="N329" i="2"/>
  <c r="O329" i="2" s="1"/>
  <c r="N330" i="2"/>
  <c r="O330" i="2" s="1"/>
  <c r="N331" i="2"/>
  <c r="O331" i="2" s="1"/>
  <c r="N332" i="2"/>
  <c r="O332" i="2" s="1"/>
  <c r="N333" i="2"/>
  <c r="O333" i="2" s="1"/>
  <c r="N334" i="2"/>
  <c r="O334" i="2" s="1"/>
  <c r="N335" i="2"/>
  <c r="O335" i="2" s="1"/>
  <c r="N336" i="2"/>
  <c r="O336" i="2" s="1"/>
  <c r="N337" i="2"/>
  <c r="O337" i="2" s="1"/>
  <c r="N338" i="2"/>
  <c r="O338" i="2" s="1"/>
  <c r="N339" i="2"/>
  <c r="O339" i="2" s="1"/>
  <c r="N340" i="2"/>
  <c r="O340" i="2" s="1"/>
  <c r="N341" i="2"/>
  <c r="O341" i="2" s="1"/>
  <c r="N342" i="2"/>
  <c r="O342" i="2" s="1"/>
  <c r="N343" i="2"/>
  <c r="O343" i="2" s="1"/>
  <c r="N344" i="2"/>
  <c r="O344" i="2" s="1"/>
  <c r="N345" i="2"/>
  <c r="O345" i="2" s="1"/>
  <c r="N346" i="2"/>
  <c r="O346" i="2" s="1"/>
  <c r="N347" i="2"/>
  <c r="O347" i="2" s="1"/>
  <c r="N348" i="2"/>
  <c r="O348" i="2" s="1"/>
  <c r="N349" i="2"/>
  <c r="O349" i="2" s="1"/>
  <c r="N350" i="2"/>
  <c r="O350" i="2" s="1"/>
  <c r="N351" i="2"/>
  <c r="O351" i="2" s="1"/>
  <c r="N352" i="2"/>
  <c r="O352" i="2" s="1"/>
  <c r="N353" i="2"/>
  <c r="O353" i="2" s="1"/>
  <c r="N354" i="2"/>
  <c r="O354" i="2" s="1"/>
  <c r="N355" i="2"/>
  <c r="O355" i="2" s="1"/>
  <c r="N356" i="2"/>
  <c r="O356" i="2" s="1"/>
  <c r="N357" i="2"/>
  <c r="O357" i="2" s="1"/>
  <c r="N358" i="2"/>
  <c r="O358" i="2" s="1"/>
  <c r="N359" i="2"/>
  <c r="O359" i="2" s="1"/>
  <c r="N360" i="2"/>
  <c r="O360" i="2" s="1"/>
  <c r="N361" i="2"/>
  <c r="O361" i="2" s="1"/>
  <c r="N362" i="2"/>
  <c r="O362" i="2" s="1"/>
  <c r="N363" i="2"/>
  <c r="O363" i="2" s="1"/>
  <c r="N364" i="2"/>
  <c r="O364" i="2" s="1"/>
  <c r="N365" i="2"/>
  <c r="O365" i="2" s="1"/>
  <c r="N366" i="2"/>
  <c r="O366" i="2" s="1"/>
  <c r="N367" i="2"/>
  <c r="O367" i="2" s="1"/>
  <c r="N368" i="2"/>
  <c r="O368" i="2" s="1"/>
  <c r="N369" i="2"/>
  <c r="O369" i="2" s="1"/>
  <c r="N370" i="2"/>
  <c r="O370" i="2" s="1"/>
  <c r="N371" i="2"/>
  <c r="O371" i="2" s="1"/>
  <c r="N372" i="2"/>
  <c r="O372" i="2" s="1"/>
  <c r="N373" i="2"/>
  <c r="O373" i="2" s="1"/>
  <c r="N374" i="2"/>
  <c r="O374" i="2" s="1"/>
  <c r="N375" i="2"/>
  <c r="O375" i="2" s="1"/>
  <c r="N376" i="2"/>
  <c r="O376" i="2" s="1"/>
  <c r="N377" i="2"/>
  <c r="O377" i="2" s="1"/>
  <c r="N378" i="2"/>
  <c r="O378" i="2" s="1"/>
  <c r="N379" i="2"/>
  <c r="O379" i="2" s="1"/>
  <c r="N380" i="2"/>
  <c r="O380" i="2" s="1"/>
  <c r="N381" i="2"/>
  <c r="O381" i="2" s="1"/>
  <c r="N382" i="2"/>
  <c r="O382" i="2" s="1"/>
  <c r="N383" i="2"/>
  <c r="O383" i="2" s="1"/>
  <c r="N384" i="2"/>
  <c r="O384" i="2" s="1"/>
  <c r="N385" i="2"/>
  <c r="O385" i="2" s="1"/>
  <c r="N386" i="2"/>
  <c r="O386" i="2" s="1"/>
  <c r="N387" i="2"/>
  <c r="O387" i="2" s="1"/>
  <c r="N388" i="2"/>
  <c r="O388" i="2" s="1"/>
  <c r="N389" i="2"/>
  <c r="O389" i="2" s="1"/>
  <c r="N390" i="2"/>
  <c r="O390" i="2" s="1"/>
  <c r="N391" i="2"/>
  <c r="O391" i="2" s="1"/>
  <c r="N392" i="2"/>
  <c r="O392" i="2" s="1"/>
  <c r="N393" i="2"/>
  <c r="O393" i="2" s="1"/>
  <c r="N394" i="2"/>
  <c r="O394" i="2" s="1"/>
  <c r="N395" i="2"/>
  <c r="O395" i="2" s="1"/>
  <c r="N396" i="2"/>
  <c r="O396" i="2" s="1"/>
  <c r="N397" i="2"/>
  <c r="O397" i="2" s="1"/>
  <c r="N398" i="2"/>
  <c r="O398" i="2" s="1"/>
  <c r="N399" i="2"/>
  <c r="O399" i="2" s="1"/>
  <c r="N400" i="2"/>
  <c r="O400" i="2" s="1"/>
  <c r="N401" i="2"/>
  <c r="O401" i="2" s="1"/>
  <c r="N402" i="2"/>
  <c r="O402" i="2" s="1"/>
  <c r="N403" i="2"/>
  <c r="O403" i="2" s="1"/>
  <c r="N404" i="2"/>
  <c r="O404" i="2" s="1"/>
  <c r="N405" i="2"/>
  <c r="O405" i="2" s="1"/>
  <c r="N406" i="2"/>
  <c r="O406" i="2" s="1"/>
  <c r="N407" i="2"/>
  <c r="O407" i="2" s="1"/>
  <c r="N408" i="2"/>
  <c r="O408" i="2" s="1"/>
  <c r="N409" i="2"/>
  <c r="O409" i="2" s="1"/>
  <c r="N410" i="2"/>
  <c r="O410" i="2" s="1"/>
  <c r="N411" i="2"/>
  <c r="O411" i="2" s="1"/>
  <c r="N412" i="2"/>
  <c r="O412" i="2" s="1"/>
  <c r="N413" i="2"/>
  <c r="O413" i="2" s="1"/>
  <c r="N414" i="2"/>
  <c r="O414" i="2" s="1"/>
  <c r="N415" i="2"/>
  <c r="O415" i="2" s="1"/>
  <c r="N416" i="2"/>
  <c r="O416" i="2" s="1"/>
  <c r="N417" i="2"/>
  <c r="O417" i="2" s="1"/>
  <c r="N418" i="2"/>
  <c r="O418" i="2" s="1"/>
  <c r="N419" i="2"/>
  <c r="O419" i="2" s="1"/>
  <c r="N420" i="2"/>
  <c r="O420" i="2" s="1"/>
  <c r="N421" i="2"/>
  <c r="O421" i="2" s="1"/>
  <c r="N422" i="2"/>
  <c r="O422" i="2" s="1"/>
  <c r="N423" i="2"/>
  <c r="O423" i="2" s="1"/>
  <c r="N424" i="2"/>
  <c r="O424" i="2" s="1"/>
  <c r="N425" i="2"/>
  <c r="O425" i="2" s="1"/>
  <c r="N426" i="2"/>
  <c r="O426" i="2" s="1"/>
  <c r="N427" i="2"/>
  <c r="O427" i="2" s="1"/>
  <c r="N428" i="2"/>
  <c r="O428" i="2" s="1"/>
  <c r="N429" i="2"/>
  <c r="O429" i="2" s="1"/>
  <c r="N430" i="2"/>
  <c r="O430" i="2" s="1"/>
  <c r="N431" i="2"/>
  <c r="O431" i="2" s="1"/>
  <c r="N432" i="2"/>
  <c r="O432" i="2" s="1"/>
  <c r="N433" i="2"/>
  <c r="O433" i="2" s="1"/>
  <c r="N434" i="2"/>
  <c r="O434" i="2" s="1"/>
  <c r="N435" i="2"/>
  <c r="O435" i="2" s="1"/>
  <c r="N436" i="2"/>
  <c r="O436" i="2" s="1"/>
  <c r="N437" i="2"/>
  <c r="O437" i="2" s="1"/>
  <c r="N438" i="2"/>
  <c r="O438" i="2" s="1"/>
  <c r="N439" i="2"/>
  <c r="O439" i="2" s="1"/>
  <c r="N440" i="2"/>
  <c r="O440" i="2" s="1"/>
  <c r="N441" i="2"/>
  <c r="O441" i="2" s="1"/>
  <c r="N442" i="2"/>
  <c r="O442" i="2" s="1"/>
  <c r="N443" i="2"/>
  <c r="O443" i="2" s="1"/>
  <c r="N444" i="2"/>
  <c r="O444" i="2" s="1"/>
  <c r="N445" i="2"/>
  <c r="O445" i="2" s="1"/>
  <c r="N446" i="2"/>
  <c r="O446" i="2" s="1"/>
  <c r="N447" i="2"/>
  <c r="O447" i="2" s="1"/>
  <c r="N448" i="2"/>
  <c r="O448" i="2" s="1"/>
  <c r="N449" i="2"/>
  <c r="O449" i="2" s="1"/>
  <c r="N450" i="2"/>
  <c r="O450" i="2" s="1"/>
  <c r="N451" i="2"/>
  <c r="O451" i="2" s="1"/>
  <c r="N452" i="2"/>
  <c r="O452" i="2" s="1"/>
  <c r="N453" i="2"/>
  <c r="O453" i="2" s="1"/>
  <c r="N454" i="2"/>
  <c r="O454" i="2" s="1"/>
  <c r="N455" i="2"/>
  <c r="O455" i="2" s="1"/>
  <c r="N456" i="2"/>
  <c r="O456" i="2" s="1"/>
  <c r="N457" i="2"/>
  <c r="O457" i="2" s="1"/>
  <c r="N458" i="2"/>
  <c r="O458" i="2" s="1"/>
  <c r="N459" i="2"/>
  <c r="O459" i="2" s="1"/>
  <c r="N460" i="2"/>
  <c r="O460" i="2" s="1"/>
  <c r="N461" i="2"/>
  <c r="O461" i="2" s="1"/>
  <c r="N462" i="2"/>
  <c r="O462" i="2" s="1"/>
  <c r="N463" i="2"/>
  <c r="O463" i="2" s="1"/>
  <c r="N464" i="2"/>
  <c r="O464" i="2" s="1"/>
  <c r="N465" i="2"/>
  <c r="O465" i="2" s="1"/>
  <c r="N466" i="2"/>
  <c r="O466" i="2" s="1"/>
  <c r="N467" i="2"/>
  <c r="O467" i="2" s="1"/>
  <c r="N468" i="2"/>
  <c r="O468" i="2" s="1"/>
  <c r="N469" i="2"/>
  <c r="O469" i="2" s="1"/>
  <c r="N470" i="2"/>
  <c r="O470" i="2" s="1"/>
  <c r="N471" i="2"/>
  <c r="O471" i="2" s="1"/>
  <c r="N472" i="2"/>
  <c r="O472" i="2" s="1"/>
  <c r="N473" i="2"/>
  <c r="O473" i="2" s="1"/>
  <c r="N474" i="2"/>
  <c r="O474" i="2" s="1"/>
  <c r="N475" i="2"/>
  <c r="O475" i="2" s="1"/>
  <c r="N476" i="2"/>
  <c r="O476" i="2" s="1"/>
  <c r="N477" i="2"/>
  <c r="O477" i="2" s="1"/>
  <c r="N478" i="2"/>
  <c r="O478" i="2" s="1"/>
  <c r="N479" i="2"/>
  <c r="O479" i="2" s="1"/>
  <c r="N480" i="2"/>
  <c r="O480" i="2" s="1"/>
  <c r="N481" i="2"/>
  <c r="O481" i="2" s="1"/>
  <c r="N482" i="2"/>
  <c r="O482" i="2" s="1"/>
  <c r="N483" i="2"/>
  <c r="O483" i="2" s="1"/>
  <c r="N484" i="2"/>
  <c r="O484" i="2" s="1"/>
  <c r="N485" i="2"/>
  <c r="O485" i="2" s="1"/>
  <c r="N486" i="2"/>
  <c r="O486" i="2" s="1"/>
  <c r="N487" i="2"/>
  <c r="O487" i="2" s="1"/>
  <c r="N488" i="2"/>
  <c r="O488" i="2" s="1"/>
  <c r="N489" i="2"/>
  <c r="O489" i="2" s="1"/>
  <c r="N490" i="2"/>
  <c r="O490" i="2" s="1"/>
  <c r="N491" i="2"/>
  <c r="O491" i="2" s="1"/>
  <c r="N492" i="2"/>
  <c r="O492" i="2" s="1"/>
  <c r="N493" i="2"/>
  <c r="O493" i="2" s="1"/>
  <c r="N494" i="2"/>
  <c r="O494" i="2" s="1"/>
  <c r="N495" i="2"/>
  <c r="O495" i="2" s="1"/>
  <c r="N496" i="2"/>
  <c r="O496" i="2" s="1"/>
  <c r="N497" i="2"/>
  <c r="O497" i="2" s="1"/>
  <c r="N498" i="2"/>
  <c r="O498" i="2" s="1"/>
  <c r="N499" i="2"/>
  <c r="O499" i="2" s="1"/>
  <c r="N500" i="2"/>
  <c r="O500" i="2" s="1"/>
  <c r="N501" i="2"/>
  <c r="O501" i="2" s="1"/>
  <c r="N502" i="2"/>
  <c r="O502" i="2" s="1"/>
  <c r="N503" i="2"/>
  <c r="O503" i="2" s="1"/>
  <c r="N504" i="2"/>
  <c r="O504" i="2" s="1"/>
  <c r="N505" i="2"/>
  <c r="O505" i="2" s="1"/>
  <c r="N506" i="2"/>
  <c r="O506" i="2" s="1"/>
  <c r="N507" i="2"/>
  <c r="O507" i="2" s="1"/>
  <c r="N508" i="2"/>
  <c r="O508" i="2" s="1"/>
  <c r="N509" i="2"/>
  <c r="O509" i="2" s="1"/>
  <c r="N510" i="2"/>
  <c r="O510" i="2" s="1"/>
  <c r="N511" i="2"/>
  <c r="O511" i="2" s="1"/>
  <c r="N512" i="2"/>
  <c r="O512" i="2" s="1"/>
  <c r="N513" i="2"/>
  <c r="O513" i="2" s="1"/>
  <c r="N514" i="2"/>
  <c r="O514" i="2" s="1"/>
  <c r="N515" i="2"/>
  <c r="O515" i="2" s="1"/>
  <c r="N516" i="2"/>
  <c r="O516" i="2" s="1"/>
  <c r="N517" i="2"/>
  <c r="O517" i="2" s="1"/>
  <c r="N518" i="2"/>
  <c r="O518" i="2" s="1"/>
  <c r="N519" i="2"/>
  <c r="O519" i="2" s="1"/>
  <c r="N520" i="2"/>
  <c r="O520" i="2" s="1"/>
  <c r="N521" i="2"/>
  <c r="O521" i="2" s="1"/>
  <c r="N522" i="2"/>
  <c r="O522" i="2" s="1"/>
  <c r="N523" i="2"/>
  <c r="O523" i="2" s="1"/>
  <c r="N524" i="2"/>
  <c r="O524" i="2" s="1"/>
  <c r="N525" i="2"/>
  <c r="O525" i="2" s="1"/>
  <c r="N526" i="2"/>
  <c r="O526" i="2" s="1"/>
  <c r="N527" i="2"/>
  <c r="O527" i="2" s="1"/>
  <c r="N528" i="2"/>
  <c r="O528" i="2" s="1"/>
  <c r="N529" i="2"/>
  <c r="O529" i="2" s="1"/>
  <c r="N530" i="2"/>
  <c r="O530" i="2" s="1"/>
  <c r="N531" i="2"/>
  <c r="O531" i="2" s="1"/>
  <c r="N532" i="2"/>
  <c r="O532" i="2" s="1"/>
  <c r="N533" i="2"/>
  <c r="O533" i="2" s="1"/>
  <c r="N534" i="2"/>
  <c r="O534" i="2" s="1"/>
  <c r="N535" i="2"/>
  <c r="O535" i="2" s="1"/>
  <c r="N536" i="2"/>
  <c r="O536" i="2" s="1"/>
  <c r="N537" i="2"/>
  <c r="O537" i="2" s="1"/>
  <c r="N538" i="2"/>
  <c r="O538" i="2" s="1"/>
  <c r="N539" i="2"/>
  <c r="O539" i="2" s="1"/>
  <c r="N540" i="2"/>
  <c r="O540" i="2" s="1"/>
  <c r="N541" i="2"/>
  <c r="O541" i="2" s="1"/>
  <c r="N542" i="2"/>
  <c r="O542" i="2" s="1"/>
  <c r="N543" i="2"/>
  <c r="O543" i="2" s="1"/>
  <c r="N544" i="2"/>
  <c r="O544" i="2" s="1"/>
  <c r="N545" i="2"/>
  <c r="O545" i="2" s="1"/>
  <c r="N546" i="2"/>
  <c r="O546" i="2" s="1"/>
  <c r="N547" i="2"/>
  <c r="O547" i="2" s="1"/>
  <c r="N548" i="2"/>
  <c r="O548" i="2" s="1"/>
  <c r="N549" i="2"/>
  <c r="O549" i="2" s="1"/>
  <c r="N550" i="2"/>
  <c r="O550" i="2" s="1"/>
  <c r="N551" i="2"/>
  <c r="O551" i="2" s="1"/>
  <c r="N552" i="2"/>
  <c r="O552" i="2" s="1"/>
  <c r="N553" i="2"/>
  <c r="O553" i="2" s="1"/>
  <c r="N554" i="2"/>
  <c r="O554" i="2" s="1"/>
  <c r="N555" i="2"/>
  <c r="O555" i="2" s="1"/>
  <c r="N556" i="2"/>
  <c r="O556" i="2" s="1"/>
  <c r="N557" i="2"/>
  <c r="O557" i="2" s="1"/>
  <c r="N558" i="2"/>
  <c r="O558" i="2" s="1"/>
  <c r="N559" i="2"/>
  <c r="O559" i="2" s="1"/>
  <c r="N560" i="2"/>
  <c r="O560" i="2" s="1"/>
  <c r="N561" i="2"/>
  <c r="O561" i="2" s="1"/>
  <c r="N562" i="2"/>
  <c r="O562" i="2" s="1"/>
  <c r="N563" i="2"/>
  <c r="O563" i="2" s="1"/>
  <c r="N564" i="2"/>
  <c r="O564" i="2" s="1"/>
  <c r="N565" i="2"/>
  <c r="O565" i="2" s="1"/>
  <c r="N566" i="2"/>
  <c r="O566" i="2" s="1"/>
  <c r="N567" i="2"/>
  <c r="O567" i="2" s="1"/>
  <c r="N568" i="2"/>
  <c r="O568" i="2" s="1"/>
  <c r="N569" i="2"/>
  <c r="O569" i="2" s="1"/>
  <c r="N570" i="2"/>
  <c r="O570" i="2" s="1"/>
  <c r="N571" i="2"/>
  <c r="O571" i="2" s="1"/>
  <c r="N572" i="2"/>
  <c r="O572" i="2" s="1"/>
  <c r="N573" i="2"/>
  <c r="O573" i="2" s="1"/>
  <c r="N574" i="2"/>
  <c r="O574" i="2" s="1"/>
  <c r="N575" i="2"/>
  <c r="O575" i="2" s="1"/>
  <c r="N576" i="2"/>
  <c r="O576" i="2" s="1"/>
  <c r="N577" i="2"/>
  <c r="O577" i="2" s="1"/>
  <c r="N578" i="2"/>
  <c r="O578" i="2" s="1"/>
  <c r="N579" i="2"/>
  <c r="O579" i="2" s="1"/>
  <c r="N580" i="2"/>
  <c r="O580" i="2" s="1"/>
  <c r="N581" i="2"/>
  <c r="O581" i="2" s="1"/>
  <c r="N582" i="2"/>
  <c r="O582" i="2" s="1"/>
  <c r="N583" i="2"/>
  <c r="O583" i="2" s="1"/>
  <c r="N584" i="2"/>
  <c r="O584" i="2" s="1"/>
  <c r="N585" i="2"/>
  <c r="O585" i="2" s="1"/>
  <c r="N586" i="2"/>
  <c r="O586" i="2" s="1"/>
  <c r="N587" i="2"/>
  <c r="O587" i="2" s="1"/>
  <c r="N588" i="2"/>
  <c r="O588" i="2" s="1"/>
  <c r="N589" i="2"/>
  <c r="O589" i="2" s="1"/>
  <c r="N590" i="2"/>
  <c r="O590" i="2" s="1"/>
  <c r="N591" i="2"/>
  <c r="O591" i="2" s="1"/>
  <c r="N592" i="2"/>
  <c r="O592" i="2" s="1"/>
  <c r="N593" i="2"/>
  <c r="O593" i="2" s="1"/>
  <c r="N594" i="2"/>
  <c r="O594" i="2" s="1"/>
  <c r="N595" i="2"/>
  <c r="O595" i="2" s="1"/>
  <c r="N596" i="2"/>
  <c r="O596" i="2" s="1"/>
  <c r="N597" i="2"/>
  <c r="O597" i="2" s="1"/>
  <c r="N598" i="2"/>
  <c r="O598" i="2" s="1"/>
  <c r="N599" i="2"/>
  <c r="O599" i="2" s="1"/>
  <c r="N600" i="2"/>
  <c r="O600" i="2" s="1"/>
  <c r="N601" i="2"/>
  <c r="O601" i="2" s="1"/>
  <c r="N602" i="2"/>
  <c r="O602" i="2" s="1"/>
  <c r="N603" i="2"/>
  <c r="O603" i="2" s="1"/>
  <c r="N604" i="2"/>
  <c r="O604" i="2" s="1"/>
  <c r="N605" i="2"/>
  <c r="O605" i="2" s="1"/>
  <c r="N606" i="2"/>
  <c r="O606" i="2" s="1"/>
  <c r="N607" i="2"/>
  <c r="O607" i="2" s="1"/>
  <c r="N608" i="2"/>
  <c r="O608" i="2" s="1"/>
  <c r="N609" i="2"/>
  <c r="O609" i="2" s="1"/>
  <c r="N610" i="2"/>
  <c r="O610" i="2" s="1"/>
  <c r="N611" i="2"/>
  <c r="O611" i="2" s="1"/>
  <c r="N612" i="2"/>
  <c r="O612" i="2" s="1"/>
  <c r="N613" i="2"/>
  <c r="O613" i="2" s="1"/>
  <c r="N614" i="2"/>
  <c r="O614" i="2" s="1"/>
  <c r="N615" i="2"/>
  <c r="O615" i="2" s="1"/>
  <c r="N616" i="2"/>
  <c r="O616" i="2" s="1"/>
  <c r="N617" i="2"/>
  <c r="O617" i="2" s="1"/>
  <c r="N618" i="2"/>
  <c r="O618" i="2" s="1"/>
  <c r="N619" i="2"/>
  <c r="O619" i="2" s="1"/>
  <c r="N620" i="2"/>
  <c r="O620" i="2" s="1"/>
  <c r="N621" i="2"/>
  <c r="O621" i="2" s="1"/>
  <c r="N622" i="2"/>
  <c r="O622" i="2" s="1"/>
  <c r="N623" i="2"/>
  <c r="O623" i="2" s="1"/>
  <c r="N624" i="2"/>
  <c r="O624" i="2" s="1"/>
  <c r="N625" i="2"/>
  <c r="O625" i="2" s="1"/>
  <c r="N626" i="2"/>
  <c r="O626" i="2" s="1"/>
  <c r="N627" i="2"/>
  <c r="O627" i="2" s="1"/>
  <c r="N628" i="2"/>
  <c r="O628" i="2" s="1"/>
  <c r="N629" i="2"/>
  <c r="O629" i="2" s="1"/>
  <c r="N630" i="2"/>
  <c r="O630" i="2" s="1"/>
  <c r="N631" i="2"/>
  <c r="O631" i="2" s="1"/>
  <c r="N632" i="2"/>
  <c r="O632" i="2" s="1"/>
  <c r="N633" i="2"/>
  <c r="O633" i="2" s="1"/>
  <c r="N634" i="2"/>
  <c r="O634" i="2" s="1"/>
  <c r="N635" i="2"/>
  <c r="O635" i="2" s="1"/>
  <c r="N636" i="2"/>
  <c r="O636" i="2" s="1"/>
  <c r="N637" i="2"/>
  <c r="O637" i="2" s="1"/>
  <c r="N638" i="2"/>
  <c r="O638" i="2" s="1"/>
  <c r="N639" i="2"/>
  <c r="O639" i="2" s="1"/>
  <c r="N640" i="2"/>
  <c r="O640" i="2" s="1"/>
  <c r="N641" i="2"/>
  <c r="O641" i="2" s="1"/>
  <c r="N642" i="2"/>
  <c r="O642" i="2" s="1"/>
  <c r="N643" i="2"/>
  <c r="O643" i="2" s="1"/>
  <c r="N644" i="2"/>
  <c r="O644" i="2" s="1"/>
  <c r="N645" i="2"/>
  <c r="O645" i="2" s="1"/>
  <c r="N646" i="2"/>
  <c r="O646" i="2" s="1"/>
  <c r="N647" i="2"/>
  <c r="O647" i="2" s="1"/>
  <c r="N648" i="2"/>
  <c r="O648" i="2" s="1"/>
  <c r="N649" i="2"/>
  <c r="O649" i="2" s="1"/>
  <c r="N650" i="2"/>
  <c r="O650" i="2" s="1"/>
  <c r="N651" i="2"/>
  <c r="O651" i="2" s="1"/>
  <c r="N652" i="2"/>
  <c r="O652" i="2" s="1"/>
  <c r="N653" i="2"/>
  <c r="O653" i="2" s="1"/>
  <c r="N654" i="2"/>
  <c r="O654" i="2" s="1"/>
  <c r="N655" i="2"/>
  <c r="O655" i="2" s="1"/>
  <c r="N656" i="2"/>
  <c r="O656" i="2" s="1"/>
  <c r="N657" i="2"/>
  <c r="O657" i="2" s="1"/>
  <c r="N658" i="2"/>
  <c r="O658" i="2" s="1"/>
  <c r="N659" i="2"/>
  <c r="O659" i="2" s="1"/>
  <c r="N660" i="2"/>
  <c r="O660" i="2" s="1"/>
  <c r="N661" i="2"/>
  <c r="O661" i="2" s="1"/>
  <c r="N662" i="2"/>
  <c r="O662" i="2" s="1"/>
  <c r="N663" i="2"/>
  <c r="O663" i="2" s="1"/>
  <c r="N664" i="2"/>
  <c r="O664" i="2" s="1"/>
  <c r="N665" i="2"/>
  <c r="O665" i="2" s="1"/>
  <c r="N666" i="2"/>
  <c r="O666" i="2" s="1"/>
  <c r="N667" i="2"/>
  <c r="O667" i="2" s="1"/>
  <c r="N668" i="2"/>
  <c r="O668" i="2" s="1"/>
  <c r="N669" i="2"/>
  <c r="O669" i="2" s="1"/>
  <c r="N670" i="2"/>
  <c r="O670" i="2" s="1"/>
  <c r="N671" i="2"/>
  <c r="O671" i="2" s="1"/>
  <c r="N672" i="2"/>
  <c r="O672" i="2" s="1"/>
  <c r="N673" i="2"/>
  <c r="O673" i="2" s="1"/>
  <c r="N674" i="2"/>
  <c r="O674" i="2" s="1"/>
  <c r="N675" i="2"/>
  <c r="O675" i="2" s="1"/>
  <c r="N676" i="2"/>
  <c r="O676" i="2" s="1"/>
  <c r="N677" i="2"/>
  <c r="O677" i="2" s="1"/>
  <c r="N678" i="2"/>
  <c r="O678" i="2" s="1"/>
  <c r="N679" i="2"/>
  <c r="O679" i="2" s="1"/>
  <c r="N680" i="2"/>
  <c r="O680" i="2" s="1"/>
  <c r="N681" i="2"/>
  <c r="O681" i="2" s="1"/>
  <c r="N682" i="2"/>
  <c r="O682" i="2" s="1"/>
  <c r="N683" i="2"/>
  <c r="O683" i="2" s="1"/>
  <c r="N684" i="2"/>
  <c r="O684" i="2" s="1"/>
  <c r="N685" i="2"/>
  <c r="O685" i="2" s="1"/>
  <c r="N686" i="2"/>
  <c r="O686" i="2" s="1"/>
  <c r="N687" i="2"/>
  <c r="O687" i="2" s="1"/>
  <c r="N688" i="2"/>
  <c r="O688" i="2" s="1"/>
  <c r="N689" i="2"/>
  <c r="O689" i="2" s="1"/>
  <c r="N690" i="2"/>
  <c r="O690" i="2" s="1"/>
  <c r="N691" i="2"/>
  <c r="O691" i="2" s="1"/>
  <c r="N692" i="2"/>
  <c r="O692" i="2" s="1"/>
  <c r="N693" i="2"/>
  <c r="O693" i="2" s="1"/>
  <c r="N694" i="2"/>
  <c r="O694" i="2" s="1"/>
  <c r="N695" i="2"/>
  <c r="O695" i="2" s="1"/>
  <c r="N696" i="2"/>
  <c r="O696" i="2" s="1"/>
  <c r="N697" i="2"/>
  <c r="O697" i="2" s="1"/>
  <c r="N698" i="2"/>
  <c r="O698" i="2" s="1"/>
  <c r="N699" i="2"/>
  <c r="O699" i="2" s="1"/>
  <c r="N700" i="2"/>
  <c r="O700" i="2" s="1"/>
  <c r="N701" i="2"/>
  <c r="O701" i="2" s="1"/>
  <c r="N702" i="2"/>
  <c r="O702" i="2" s="1"/>
  <c r="N703" i="2"/>
  <c r="O703" i="2" s="1"/>
  <c r="N704" i="2"/>
  <c r="O704" i="2" s="1"/>
  <c r="N705" i="2"/>
  <c r="O705" i="2" s="1"/>
  <c r="N706" i="2"/>
  <c r="O706" i="2" s="1"/>
  <c r="N707" i="2"/>
  <c r="O707" i="2" s="1"/>
  <c r="N708" i="2"/>
  <c r="O708" i="2" s="1"/>
  <c r="N709" i="2"/>
  <c r="O709" i="2" s="1"/>
  <c r="N710" i="2"/>
  <c r="O710" i="2" s="1"/>
  <c r="N711" i="2"/>
  <c r="O711" i="2" s="1"/>
  <c r="N712" i="2"/>
  <c r="O712" i="2" s="1"/>
  <c r="N713" i="2"/>
  <c r="O713" i="2" s="1"/>
  <c r="N714" i="2"/>
  <c r="O714" i="2" s="1"/>
  <c r="N715" i="2"/>
  <c r="O715" i="2" s="1"/>
  <c r="N716" i="2"/>
  <c r="O716" i="2" s="1"/>
  <c r="N717" i="2"/>
  <c r="O717" i="2" s="1"/>
  <c r="N718" i="2"/>
  <c r="O718" i="2" s="1"/>
  <c r="N719" i="2"/>
  <c r="O719" i="2" s="1"/>
  <c r="N720" i="2"/>
  <c r="O720" i="2" s="1"/>
  <c r="N721" i="2"/>
  <c r="O721" i="2" s="1"/>
  <c r="N722" i="2"/>
  <c r="O722" i="2" s="1"/>
  <c r="N723" i="2"/>
  <c r="O723" i="2" s="1"/>
  <c r="N724" i="2"/>
  <c r="O724" i="2" s="1"/>
  <c r="N725" i="2"/>
  <c r="O725" i="2" s="1"/>
  <c r="N726" i="2"/>
  <c r="O726" i="2" s="1"/>
  <c r="N727" i="2"/>
  <c r="O727" i="2" s="1"/>
  <c r="N728" i="2"/>
  <c r="O728" i="2" s="1"/>
  <c r="N729" i="2"/>
  <c r="O729" i="2" s="1"/>
  <c r="N730" i="2"/>
  <c r="O730" i="2" s="1"/>
  <c r="N731" i="2"/>
  <c r="O731" i="2" s="1"/>
  <c r="N732" i="2"/>
  <c r="O732" i="2" s="1"/>
  <c r="N733" i="2"/>
  <c r="O733" i="2" s="1"/>
  <c r="N734" i="2"/>
  <c r="O734" i="2" s="1"/>
  <c r="N735" i="2"/>
  <c r="O735" i="2" s="1"/>
  <c r="N736" i="2"/>
  <c r="O736" i="2" s="1"/>
  <c r="N737" i="2"/>
  <c r="O737" i="2" s="1"/>
  <c r="N738" i="2"/>
  <c r="O738" i="2" s="1"/>
  <c r="N739" i="2"/>
  <c r="O739" i="2" s="1"/>
  <c r="N740" i="2"/>
  <c r="O740" i="2" s="1"/>
  <c r="N741" i="2"/>
  <c r="O741" i="2" s="1"/>
  <c r="N742" i="2"/>
  <c r="O742" i="2" s="1"/>
  <c r="N743" i="2"/>
  <c r="O743" i="2" s="1"/>
  <c r="N744" i="2"/>
  <c r="O744" i="2" s="1"/>
  <c r="N745" i="2"/>
  <c r="O745" i="2" s="1"/>
  <c r="N746" i="2"/>
  <c r="O746" i="2" s="1"/>
  <c r="N747" i="2"/>
  <c r="O747" i="2" s="1"/>
  <c r="N748" i="2"/>
  <c r="O748" i="2" s="1"/>
  <c r="N749" i="2"/>
  <c r="O749" i="2" s="1"/>
  <c r="N750" i="2"/>
  <c r="O750" i="2" s="1"/>
  <c r="N751" i="2"/>
  <c r="O751" i="2" s="1"/>
  <c r="N752" i="2"/>
  <c r="O752" i="2" s="1"/>
  <c r="N753" i="2"/>
  <c r="O753" i="2" s="1"/>
  <c r="N754" i="2"/>
  <c r="O754" i="2" s="1"/>
  <c r="N755" i="2"/>
  <c r="O755" i="2" s="1"/>
  <c r="N756" i="2"/>
  <c r="O756" i="2" s="1"/>
  <c r="N757" i="2"/>
  <c r="O757" i="2" s="1"/>
  <c r="N758" i="2"/>
  <c r="O758" i="2" s="1"/>
  <c r="N759" i="2"/>
  <c r="O759" i="2" s="1"/>
  <c r="N760" i="2"/>
  <c r="O760" i="2" s="1"/>
  <c r="N761" i="2"/>
  <c r="O761" i="2" s="1"/>
  <c r="N762" i="2"/>
  <c r="O762" i="2" s="1"/>
  <c r="N763" i="2"/>
  <c r="O763" i="2" s="1"/>
  <c r="N764" i="2"/>
  <c r="O764" i="2" s="1"/>
  <c r="N765" i="2"/>
  <c r="O765" i="2" s="1"/>
  <c r="N766" i="2"/>
  <c r="O766" i="2" s="1"/>
  <c r="N767" i="2"/>
  <c r="O767" i="2" s="1"/>
  <c r="N768" i="2"/>
  <c r="O768" i="2" s="1"/>
  <c r="N769" i="2"/>
  <c r="O769" i="2" s="1"/>
  <c r="N770" i="2"/>
  <c r="O770" i="2" s="1"/>
  <c r="N771" i="2"/>
  <c r="O771" i="2" s="1"/>
  <c r="N772" i="2"/>
  <c r="O772" i="2" s="1"/>
  <c r="N773" i="2"/>
  <c r="O773" i="2" s="1"/>
  <c r="N774" i="2"/>
  <c r="O774" i="2" s="1"/>
  <c r="N775" i="2"/>
  <c r="O775" i="2" s="1"/>
  <c r="N776" i="2"/>
  <c r="O776" i="2" s="1"/>
  <c r="N777" i="2"/>
  <c r="O777" i="2" s="1"/>
  <c r="N778" i="2"/>
  <c r="O778" i="2" s="1"/>
  <c r="N779" i="2"/>
  <c r="O779" i="2" s="1"/>
  <c r="N780" i="2"/>
  <c r="O780" i="2" s="1"/>
  <c r="N781" i="2"/>
  <c r="O781" i="2" s="1"/>
  <c r="N782" i="2"/>
  <c r="O782" i="2" s="1"/>
  <c r="N783" i="2"/>
  <c r="O783" i="2" s="1"/>
  <c r="N784" i="2"/>
  <c r="O784" i="2" s="1"/>
  <c r="N785" i="2"/>
  <c r="O785" i="2" s="1"/>
  <c r="N786" i="2"/>
  <c r="O786" i="2" s="1"/>
  <c r="N787" i="2"/>
  <c r="O787" i="2" s="1"/>
  <c r="N788" i="2"/>
  <c r="O788" i="2" s="1"/>
  <c r="N789" i="2"/>
  <c r="O789" i="2" s="1"/>
  <c r="N790" i="2"/>
  <c r="O790" i="2" s="1"/>
  <c r="N791" i="2"/>
  <c r="O791" i="2" s="1"/>
  <c r="N792" i="2"/>
  <c r="O792" i="2" s="1"/>
  <c r="N793" i="2"/>
  <c r="O793" i="2" s="1"/>
  <c r="N794" i="2"/>
  <c r="O794" i="2" s="1"/>
  <c r="N795" i="2"/>
  <c r="O795" i="2" s="1"/>
  <c r="N796" i="2"/>
  <c r="O796" i="2" s="1"/>
  <c r="N797" i="2"/>
  <c r="O797" i="2" s="1"/>
  <c r="N798" i="2"/>
  <c r="O798" i="2" s="1"/>
  <c r="N799" i="2"/>
  <c r="O799" i="2" s="1"/>
  <c r="N800" i="2"/>
  <c r="O800" i="2" s="1"/>
  <c r="N801" i="2"/>
  <c r="O801" i="2" s="1"/>
  <c r="N802" i="2"/>
  <c r="O802" i="2" s="1"/>
  <c r="N803" i="2"/>
  <c r="O803" i="2" s="1"/>
  <c r="N804" i="2"/>
  <c r="O804" i="2" s="1"/>
  <c r="N805" i="2"/>
  <c r="O805" i="2" s="1"/>
  <c r="N806" i="2"/>
  <c r="O806" i="2" s="1"/>
  <c r="N807" i="2"/>
  <c r="O807" i="2" s="1"/>
  <c r="N808" i="2"/>
  <c r="O808" i="2" s="1"/>
  <c r="N809" i="2"/>
  <c r="O809" i="2" s="1"/>
  <c r="N810" i="2"/>
  <c r="O810" i="2" s="1"/>
  <c r="N811" i="2"/>
  <c r="O811" i="2" s="1"/>
  <c r="N812" i="2"/>
  <c r="O812" i="2" s="1"/>
  <c r="N813" i="2"/>
  <c r="O813" i="2" s="1"/>
  <c r="N814" i="2"/>
  <c r="O814" i="2" s="1"/>
  <c r="N815" i="2"/>
  <c r="O815" i="2" s="1"/>
  <c r="N816" i="2"/>
  <c r="O816" i="2" s="1"/>
  <c r="N817" i="2"/>
  <c r="O817" i="2" s="1"/>
  <c r="N818" i="2"/>
  <c r="O818" i="2" s="1"/>
  <c r="N819" i="2"/>
  <c r="O819" i="2" s="1"/>
  <c r="N820" i="2"/>
  <c r="O820" i="2" s="1"/>
  <c r="N821" i="2"/>
  <c r="O821" i="2" s="1"/>
  <c r="N822" i="2"/>
  <c r="O822" i="2" s="1"/>
  <c r="N823" i="2"/>
  <c r="O823" i="2" s="1"/>
  <c r="N824" i="2"/>
  <c r="O824" i="2" s="1"/>
  <c r="N825" i="2"/>
  <c r="O825" i="2" s="1"/>
  <c r="N826" i="2"/>
  <c r="O826" i="2" s="1"/>
  <c r="N827" i="2"/>
  <c r="O827" i="2" s="1"/>
  <c r="N828" i="2"/>
  <c r="O828" i="2" s="1"/>
  <c r="N829" i="2"/>
  <c r="O829" i="2" s="1"/>
  <c r="N830" i="2"/>
  <c r="O830" i="2" s="1"/>
  <c r="N831" i="2"/>
  <c r="O831" i="2" s="1"/>
  <c r="N832" i="2"/>
  <c r="O832" i="2" s="1"/>
  <c r="N833" i="2"/>
  <c r="O833" i="2" s="1"/>
  <c r="N834" i="2"/>
  <c r="O834" i="2" s="1"/>
  <c r="N835" i="2"/>
  <c r="O835" i="2" s="1"/>
  <c r="N836" i="2"/>
  <c r="O836" i="2" s="1"/>
  <c r="N837" i="2"/>
  <c r="O837" i="2" s="1"/>
  <c r="N838" i="2"/>
  <c r="O838" i="2" s="1"/>
  <c r="N839" i="2"/>
  <c r="O839" i="2" s="1"/>
  <c r="N840" i="2"/>
  <c r="O840" i="2" s="1"/>
  <c r="N841" i="2"/>
  <c r="O841" i="2" s="1"/>
  <c r="N842" i="2"/>
  <c r="O842" i="2" s="1"/>
  <c r="N843" i="2"/>
  <c r="O843" i="2" s="1"/>
  <c r="N844" i="2"/>
  <c r="O844" i="2" s="1"/>
  <c r="N845" i="2"/>
  <c r="O845" i="2" s="1"/>
  <c r="N846" i="2"/>
  <c r="O846" i="2" s="1"/>
  <c r="N847" i="2"/>
  <c r="O847" i="2" s="1"/>
  <c r="N848" i="2"/>
  <c r="O848" i="2" s="1"/>
  <c r="N849" i="2"/>
  <c r="O849" i="2" s="1"/>
  <c r="N850" i="2"/>
  <c r="O850" i="2" s="1"/>
  <c r="N851" i="2"/>
  <c r="O851" i="2" s="1"/>
  <c r="N852" i="2"/>
  <c r="O852" i="2" s="1"/>
  <c r="N853" i="2"/>
  <c r="O853" i="2" s="1"/>
  <c r="N854" i="2"/>
  <c r="O854" i="2" s="1"/>
  <c r="N855" i="2"/>
  <c r="O855" i="2" s="1"/>
  <c r="N856" i="2"/>
  <c r="O856" i="2" s="1"/>
  <c r="N857" i="2"/>
  <c r="O857" i="2" s="1"/>
  <c r="N858" i="2"/>
  <c r="O858" i="2" s="1"/>
  <c r="N859" i="2"/>
  <c r="O859" i="2" s="1"/>
  <c r="N860" i="2"/>
  <c r="O860" i="2" s="1"/>
  <c r="N861" i="2"/>
  <c r="O861" i="2" s="1"/>
  <c r="N862" i="2"/>
  <c r="O862" i="2" s="1"/>
  <c r="N863" i="2"/>
  <c r="O863" i="2" s="1"/>
  <c r="N864" i="2"/>
  <c r="O864" i="2" s="1"/>
  <c r="N865" i="2"/>
  <c r="O865" i="2" s="1"/>
  <c r="N866" i="2"/>
  <c r="O866" i="2" s="1"/>
  <c r="N867" i="2"/>
  <c r="O867" i="2" s="1"/>
  <c r="N868" i="2"/>
  <c r="O868" i="2" s="1"/>
  <c r="N869" i="2"/>
  <c r="O869" i="2" s="1"/>
  <c r="N870" i="2"/>
  <c r="O870" i="2" s="1"/>
  <c r="N871" i="2"/>
  <c r="O871" i="2" s="1"/>
  <c r="N872" i="2"/>
  <c r="O872" i="2" s="1"/>
  <c r="N873" i="2"/>
  <c r="O873" i="2" s="1"/>
  <c r="N874" i="2"/>
  <c r="O874" i="2" s="1"/>
  <c r="N875" i="2"/>
  <c r="O875" i="2" s="1"/>
  <c r="N876" i="2"/>
  <c r="O876" i="2" s="1"/>
  <c r="N877" i="2"/>
  <c r="O877" i="2" s="1"/>
  <c r="N878" i="2"/>
  <c r="O878" i="2" s="1"/>
  <c r="N879" i="2"/>
  <c r="O879" i="2" s="1"/>
  <c r="N880" i="2"/>
  <c r="O880" i="2" s="1"/>
  <c r="N881" i="2"/>
  <c r="O881" i="2" s="1"/>
  <c r="N882" i="2"/>
  <c r="O882" i="2" s="1"/>
  <c r="N883" i="2"/>
  <c r="O883" i="2" s="1"/>
  <c r="N884" i="2"/>
  <c r="O884" i="2" s="1"/>
  <c r="N885" i="2"/>
  <c r="O885" i="2" s="1"/>
  <c r="N886" i="2"/>
  <c r="O886" i="2" s="1"/>
  <c r="N887" i="2"/>
  <c r="O887" i="2" s="1"/>
  <c r="N888" i="2"/>
  <c r="O888" i="2" s="1"/>
  <c r="N889" i="2"/>
  <c r="O889" i="2" s="1"/>
  <c r="N890" i="2"/>
  <c r="O890" i="2" s="1"/>
  <c r="N891" i="2"/>
  <c r="O891" i="2" s="1"/>
  <c r="N892" i="2"/>
  <c r="O892" i="2" s="1"/>
  <c r="N893" i="2"/>
  <c r="O893" i="2" s="1"/>
  <c r="N894" i="2"/>
  <c r="O894" i="2" s="1"/>
  <c r="N895" i="2"/>
  <c r="O895" i="2" s="1"/>
  <c r="N896" i="2"/>
  <c r="O896" i="2" s="1"/>
  <c r="N897" i="2"/>
  <c r="O897" i="2" s="1"/>
  <c r="N898" i="2"/>
  <c r="O898" i="2" s="1"/>
  <c r="N899" i="2"/>
  <c r="O899" i="2" s="1"/>
  <c r="N900" i="2"/>
  <c r="O900" i="2" s="1"/>
  <c r="N901" i="2"/>
  <c r="O901" i="2" s="1"/>
  <c r="N902" i="2"/>
  <c r="O902" i="2" s="1"/>
  <c r="N903" i="2"/>
  <c r="O903" i="2" s="1"/>
  <c r="N904" i="2"/>
  <c r="O904" i="2" s="1"/>
  <c r="N905" i="2"/>
  <c r="O905" i="2" s="1"/>
  <c r="N906" i="2"/>
  <c r="O906" i="2" s="1"/>
  <c r="N907" i="2"/>
  <c r="O907" i="2" s="1"/>
  <c r="N908" i="2"/>
  <c r="O908" i="2" s="1"/>
  <c r="N909" i="2"/>
  <c r="O909" i="2" s="1"/>
  <c r="N910" i="2"/>
  <c r="O910" i="2" s="1"/>
  <c r="N911" i="2"/>
  <c r="O911" i="2" s="1"/>
  <c r="N912" i="2"/>
  <c r="O912" i="2" s="1"/>
  <c r="N913" i="2"/>
  <c r="O913" i="2" s="1"/>
  <c r="N914" i="2"/>
  <c r="O914" i="2" s="1"/>
  <c r="N915" i="2"/>
  <c r="O915" i="2" s="1"/>
  <c r="N916" i="2"/>
  <c r="O916" i="2" s="1"/>
  <c r="N917" i="2"/>
  <c r="O917" i="2" s="1"/>
  <c r="N918" i="2"/>
  <c r="O918" i="2" s="1"/>
  <c r="N919" i="2"/>
  <c r="O919" i="2" s="1"/>
  <c r="N920" i="2"/>
  <c r="O920" i="2" s="1"/>
  <c r="N921" i="2"/>
  <c r="O921" i="2" s="1"/>
  <c r="N922" i="2"/>
  <c r="O922" i="2" s="1"/>
  <c r="N923" i="2"/>
  <c r="O923" i="2" s="1"/>
  <c r="N924" i="2"/>
  <c r="O924" i="2" s="1"/>
  <c r="N925" i="2"/>
  <c r="O925" i="2" s="1"/>
  <c r="N926" i="2"/>
  <c r="O926" i="2" s="1"/>
  <c r="N927" i="2"/>
  <c r="O927" i="2" s="1"/>
  <c r="N928" i="2"/>
  <c r="O928" i="2" s="1"/>
  <c r="N929" i="2"/>
  <c r="O929" i="2" s="1"/>
  <c r="N930" i="2"/>
  <c r="O930" i="2" s="1"/>
  <c r="N931" i="2"/>
  <c r="O931" i="2" s="1"/>
  <c r="N932" i="2"/>
  <c r="O932" i="2" s="1"/>
  <c r="N933" i="2"/>
  <c r="O933" i="2" s="1"/>
  <c r="N934" i="2"/>
  <c r="O934" i="2" s="1"/>
  <c r="N935" i="2"/>
  <c r="O935" i="2" s="1"/>
  <c r="N936" i="2"/>
  <c r="O936" i="2" s="1"/>
  <c r="N937" i="2"/>
  <c r="O937" i="2" s="1"/>
  <c r="N938" i="2"/>
  <c r="O938" i="2" s="1"/>
  <c r="N939" i="2"/>
  <c r="O939" i="2" s="1"/>
  <c r="N940" i="2"/>
  <c r="O940" i="2" s="1"/>
  <c r="N941" i="2"/>
  <c r="O941" i="2" s="1"/>
  <c r="N942" i="2"/>
  <c r="O942" i="2" s="1"/>
  <c r="N943" i="2"/>
  <c r="O943" i="2" s="1"/>
  <c r="N944" i="2"/>
  <c r="O944" i="2" s="1"/>
  <c r="N945" i="2"/>
  <c r="O945" i="2" s="1"/>
  <c r="N946" i="2"/>
  <c r="O946" i="2" s="1"/>
  <c r="N947" i="2"/>
  <c r="O947" i="2" s="1"/>
  <c r="N948" i="2"/>
  <c r="O948" i="2" s="1"/>
  <c r="N949" i="2"/>
  <c r="O949" i="2" s="1"/>
  <c r="N950" i="2"/>
  <c r="O950" i="2" s="1"/>
  <c r="N951" i="2"/>
  <c r="O951" i="2" s="1"/>
  <c r="N952" i="2"/>
  <c r="O952" i="2" s="1"/>
  <c r="N953" i="2"/>
  <c r="O953" i="2" s="1"/>
  <c r="N954" i="2"/>
  <c r="O954" i="2" s="1"/>
  <c r="N955" i="2"/>
  <c r="O955" i="2" s="1"/>
  <c r="N956" i="2"/>
  <c r="O956" i="2" s="1"/>
  <c r="N957" i="2"/>
  <c r="O957" i="2" s="1"/>
  <c r="N958" i="2"/>
  <c r="O958" i="2" s="1"/>
  <c r="N959" i="2"/>
  <c r="O959" i="2" s="1"/>
  <c r="N960" i="2"/>
  <c r="O960" i="2" s="1"/>
  <c r="N961" i="2"/>
  <c r="O961" i="2" s="1"/>
  <c r="N962" i="2"/>
  <c r="O962" i="2" s="1"/>
  <c r="N963" i="2"/>
  <c r="O963" i="2" s="1"/>
  <c r="N964" i="2"/>
  <c r="O964" i="2" s="1"/>
  <c r="N965" i="2"/>
  <c r="O965" i="2" s="1"/>
  <c r="N966" i="2"/>
  <c r="O966" i="2" s="1"/>
  <c r="N967" i="2"/>
  <c r="O967" i="2" s="1"/>
  <c r="N968" i="2"/>
  <c r="O968" i="2" s="1"/>
  <c r="N969" i="2"/>
  <c r="O969" i="2" s="1"/>
  <c r="N970" i="2"/>
  <c r="O970" i="2" s="1"/>
  <c r="N971" i="2"/>
  <c r="O971" i="2" s="1"/>
  <c r="N972" i="2"/>
  <c r="O972" i="2" s="1"/>
  <c r="N973" i="2"/>
  <c r="O973" i="2" s="1"/>
  <c r="N974" i="2"/>
  <c r="O974" i="2" s="1"/>
  <c r="N975" i="2"/>
  <c r="O975" i="2" s="1"/>
  <c r="N976" i="2"/>
  <c r="O976" i="2" s="1"/>
  <c r="N977" i="2"/>
  <c r="O977" i="2" s="1"/>
  <c r="N978" i="2"/>
  <c r="O978" i="2" s="1"/>
  <c r="N979" i="2"/>
  <c r="O979" i="2" s="1"/>
  <c r="N980" i="2"/>
  <c r="O980" i="2" s="1"/>
  <c r="N981" i="2"/>
  <c r="O981" i="2" s="1"/>
  <c r="N982" i="2"/>
  <c r="O982" i="2" s="1"/>
  <c r="N983" i="2"/>
  <c r="O983" i="2" s="1"/>
  <c r="N984" i="2"/>
  <c r="O984" i="2" s="1"/>
  <c r="N985" i="2"/>
  <c r="O985" i="2" s="1"/>
  <c r="N986" i="2"/>
  <c r="O986" i="2" s="1"/>
  <c r="N987" i="2"/>
  <c r="O987" i="2" s="1"/>
  <c r="N988" i="2"/>
  <c r="O988" i="2" s="1"/>
  <c r="N989" i="2"/>
  <c r="O989" i="2" s="1"/>
  <c r="N990" i="2"/>
  <c r="O990" i="2" s="1"/>
  <c r="N991" i="2"/>
  <c r="O991" i="2" s="1"/>
  <c r="N992" i="2"/>
  <c r="O992" i="2" s="1"/>
  <c r="N993" i="2"/>
  <c r="O993" i="2" s="1"/>
  <c r="N994" i="2"/>
  <c r="O994" i="2" s="1"/>
  <c r="N995" i="2"/>
  <c r="O995" i="2" s="1"/>
  <c r="N996" i="2"/>
  <c r="O996" i="2" s="1"/>
  <c r="N997" i="2"/>
  <c r="O997" i="2" s="1"/>
  <c r="N998" i="2"/>
  <c r="O998" i="2" s="1"/>
  <c r="N999" i="2"/>
  <c r="O999" i="2" s="1"/>
  <c r="N1000" i="2"/>
  <c r="O1000" i="2" s="1"/>
  <c r="N1001" i="2"/>
  <c r="O1001" i="2" s="1"/>
  <c r="N1002" i="2"/>
  <c r="O1002" i="2" s="1"/>
  <c r="N1003" i="2"/>
  <c r="O1003" i="2" s="1"/>
  <c r="N1004" i="2"/>
  <c r="O1004" i="2" s="1"/>
  <c r="N1005" i="2"/>
  <c r="O1005" i="2" s="1"/>
  <c r="N1006" i="2"/>
  <c r="O1006" i="2" s="1"/>
  <c r="N1007" i="2"/>
  <c r="O1007" i="2" s="1"/>
  <c r="N1008" i="2"/>
  <c r="O1008" i="2" s="1"/>
  <c r="N1009" i="2"/>
  <c r="O1009" i="2" s="1"/>
  <c r="N1010" i="2"/>
  <c r="O1010" i="2" s="1"/>
  <c r="N1011" i="2"/>
  <c r="O1011" i="2" s="1"/>
  <c r="N1012" i="2"/>
  <c r="O1012" i="2" s="1"/>
  <c r="N1013" i="2"/>
  <c r="O1013" i="2" s="1"/>
  <c r="N1014" i="2"/>
  <c r="O1014" i="2" s="1"/>
  <c r="N1015" i="2"/>
  <c r="O1015" i="2" s="1"/>
  <c r="N1016" i="2"/>
  <c r="O1016" i="2" s="1"/>
  <c r="N1017" i="2"/>
  <c r="O1017" i="2" s="1"/>
  <c r="N1018" i="2"/>
  <c r="O1018" i="2" s="1"/>
  <c r="N1019" i="2"/>
  <c r="O1019" i="2" s="1"/>
  <c r="N1020" i="2"/>
  <c r="O1020" i="2" s="1"/>
  <c r="N1021" i="2"/>
  <c r="O1021" i="2" s="1"/>
  <c r="N1022" i="2"/>
  <c r="O1022" i="2" s="1"/>
  <c r="N1023" i="2"/>
  <c r="O1023" i="2" s="1"/>
  <c r="N1024" i="2"/>
  <c r="O1024" i="2" s="1"/>
  <c r="N1025" i="2"/>
  <c r="O1025" i="2" s="1"/>
  <c r="N1026" i="2"/>
  <c r="O1026" i="2" s="1"/>
  <c r="N1027" i="2"/>
  <c r="O1027" i="2" s="1"/>
  <c r="N1028" i="2"/>
  <c r="O1028" i="2" s="1"/>
  <c r="N1029" i="2"/>
  <c r="O1029" i="2" s="1"/>
  <c r="N1030" i="2"/>
  <c r="O1030" i="2" s="1"/>
  <c r="N1031" i="2"/>
  <c r="O1031" i="2" s="1"/>
  <c r="N1032" i="2"/>
  <c r="O1032" i="2" s="1"/>
  <c r="N1033" i="2"/>
  <c r="O1033" i="2" s="1"/>
  <c r="N1034" i="2"/>
  <c r="O1034" i="2" s="1"/>
  <c r="N1035" i="2"/>
  <c r="O1035" i="2" s="1"/>
  <c r="N1036" i="2"/>
  <c r="O1036" i="2" s="1"/>
  <c r="N1037" i="2"/>
  <c r="O1037" i="2" s="1"/>
  <c r="N1038" i="2"/>
  <c r="O1038" i="2" s="1"/>
  <c r="N1039" i="2"/>
  <c r="O1039" i="2" s="1"/>
  <c r="N1040" i="2"/>
  <c r="O1040" i="2" s="1"/>
  <c r="N1041" i="2"/>
  <c r="O1041" i="2" s="1"/>
  <c r="N1042" i="2"/>
  <c r="O1042" i="2" s="1"/>
  <c r="N1043" i="2"/>
  <c r="O1043" i="2" s="1"/>
  <c r="N1044" i="2"/>
  <c r="O1044" i="2" s="1"/>
  <c r="N1045" i="2"/>
  <c r="O1045" i="2" s="1"/>
  <c r="N1046" i="2"/>
  <c r="O1046" i="2" s="1"/>
  <c r="N1047" i="2"/>
  <c r="O1047" i="2" s="1"/>
  <c r="N1048" i="2"/>
  <c r="O1048" i="2" s="1"/>
  <c r="N1049" i="2"/>
  <c r="O1049" i="2" s="1"/>
  <c r="N1050" i="2"/>
  <c r="O1050" i="2" s="1"/>
  <c r="N1051" i="2"/>
  <c r="O1051" i="2" s="1"/>
  <c r="N1052" i="2"/>
  <c r="O1052" i="2" s="1"/>
  <c r="N1053" i="2"/>
  <c r="O1053" i="2" s="1"/>
  <c r="N1054" i="2"/>
  <c r="O1054" i="2" s="1"/>
  <c r="N1055" i="2"/>
  <c r="O1055" i="2" s="1"/>
  <c r="N1056" i="2"/>
  <c r="O1056" i="2" s="1"/>
  <c r="N1057" i="2"/>
  <c r="O1057" i="2" s="1"/>
  <c r="N1058" i="2"/>
  <c r="O1058" i="2" s="1"/>
  <c r="N1059" i="2"/>
  <c r="O1059" i="2" s="1"/>
  <c r="N1060" i="2"/>
  <c r="O1060" i="2" s="1"/>
  <c r="N1061" i="2"/>
  <c r="O1061" i="2" s="1"/>
  <c r="N1062" i="2"/>
  <c r="O1062" i="2" s="1"/>
  <c r="N1063" i="2"/>
  <c r="O1063" i="2" s="1"/>
  <c r="N1064" i="2"/>
  <c r="O1064" i="2" s="1"/>
  <c r="N1065" i="2"/>
  <c r="O1065" i="2" s="1"/>
  <c r="N1066" i="2"/>
  <c r="O1066" i="2" s="1"/>
  <c r="N1067" i="2"/>
  <c r="O1067" i="2" s="1"/>
  <c r="N1068" i="2"/>
  <c r="O1068" i="2" s="1"/>
  <c r="N1069" i="2"/>
  <c r="O1069" i="2" s="1"/>
  <c r="N1070" i="2"/>
  <c r="O1070" i="2" s="1"/>
  <c r="N1071" i="2"/>
  <c r="O1071" i="2" s="1"/>
  <c r="N1072" i="2"/>
  <c r="O1072" i="2" s="1"/>
  <c r="N1073" i="2"/>
  <c r="O1073" i="2" s="1"/>
  <c r="N1074" i="2"/>
  <c r="O1074" i="2" s="1"/>
  <c r="N1075" i="2"/>
  <c r="O1075" i="2" s="1"/>
  <c r="N1076" i="2"/>
  <c r="O1076" i="2" s="1"/>
  <c r="N1077" i="2"/>
  <c r="O1077" i="2" s="1"/>
  <c r="N1078" i="2"/>
  <c r="O1078" i="2" s="1"/>
  <c r="N1079" i="2"/>
  <c r="O1079" i="2" s="1"/>
  <c r="N1080" i="2"/>
  <c r="O1080" i="2" s="1"/>
  <c r="N1081" i="2"/>
  <c r="O1081" i="2" s="1"/>
  <c r="N1082" i="2"/>
  <c r="O1082" i="2" s="1"/>
  <c r="N1083" i="2"/>
  <c r="O1083" i="2" s="1"/>
  <c r="N1084" i="2"/>
  <c r="O1084" i="2" s="1"/>
  <c r="N1085" i="2"/>
  <c r="O1085" i="2" s="1"/>
  <c r="N1086" i="2"/>
  <c r="O1086" i="2" s="1"/>
  <c r="N1087" i="2"/>
  <c r="O1087" i="2" s="1"/>
  <c r="N1088" i="2"/>
  <c r="O1088" i="2" s="1"/>
  <c r="N1089" i="2"/>
  <c r="O1089" i="2" s="1"/>
  <c r="N1090" i="2"/>
  <c r="O1090" i="2" s="1"/>
  <c r="N1091" i="2"/>
  <c r="O1091" i="2" s="1"/>
  <c r="N1092" i="2"/>
  <c r="O1092" i="2" s="1"/>
  <c r="N1093" i="2"/>
  <c r="O1093" i="2" s="1"/>
  <c r="N1094" i="2"/>
  <c r="O1094" i="2" s="1"/>
  <c r="N1095" i="2"/>
  <c r="O1095" i="2" s="1"/>
  <c r="N1096" i="2"/>
  <c r="O1096" i="2" s="1"/>
  <c r="N1097" i="2"/>
  <c r="O1097" i="2" s="1"/>
  <c r="N1098" i="2"/>
  <c r="O1098" i="2" s="1"/>
  <c r="N1099" i="2"/>
  <c r="O1099" i="2" s="1"/>
  <c r="N1100" i="2"/>
  <c r="O1100" i="2" s="1"/>
  <c r="N1101" i="2"/>
  <c r="O1101" i="2" s="1"/>
  <c r="N1102" i="2"/>
  <c r="O1102" i="2" s="1"/>
  <c r="N1103" i="2"/>
  <c r="O1103" i="2" s="1"/>
  <c r="N1104" i="2"/>
  <c r="O1104" i="2" s="1"/>
  <c r="N1105" i="2"/>
  <c r="O1105" i="2" s="1"/>
  <c r="N1106" i="2"/>
  <c r="O1106" i="2" s="1"/>
  <c r="N1107" i="2"/>
  <c r="O1107" i="2" s="1"/>
  <c r="N1108" i="2"/>
  <c r="O1108" i="2" s="1"/>
  <c r="N1109" i="2"/>
  <c r="O1109" i="2" s="1"/>
  <c r="N1110" i="2"/>
  <c r="O1110" i="2" s="1"/>
  <c r="N1111" i="2"/>
  <c r="O1111" i="2" s="1"/>
  <c r="N1112" i="2"/>
  <c r="O1112" i="2" s="1"/>
  <c r="N1113" i="2"/>
  <c r="O1113" i="2" s="1"/>
  <c r="N1114" i="2"/>
  <c r="O1114" i="2" s="1"/>
  <c r="N1115" i="2"/>
  <c r="O1115" i="2" s="1"/>
  <c r="N1116" i="2"/>
  <c r="O1116" i="2" s="1"/>
  <c r="N1117" i="2"/>
  <c r="O1117" i="2" s="1"/>
  <c r="N1118" i="2"/>
  <c r="O1118" i="2" s="1"/>
  <c r="N1119" i="2"/>
  <c r="O1119" i="2" s="1"/>
  <c r="N1120" i="2"/>
  <c r="O1120" i="2" s="1"/>
  <c r="N1121" i="2"/>
  <c r="O1121" i="2" s="1"/>
  <c r="N1122" i="2"/>
  <c r="O1122" i="2" s="1"/>
  <c r="N1123" i="2"/>
  <c r="O1123" i="2" s="1"/>
  <c r="N1124" i="2"/>
  <c r="O1124" i="2" s="1"/>
  <c r="N1125" i="2"/>
  <c r="O1125" i="2" s="1"/>
  <c r="N1126" i="2"/>
  <c r="O1126" i="2" s="1"/>
  <c r="N1127" i="2"/>
  <c r="O1127" i="2" s="1"/>
  <c r="N1128" i="2"/>
  <c r="O1128" i="2" s="1"/>
  <c r="N1129" i="2"/>
  <c r="O1129" i="2" s="1"/>
  <c r="N1130" i="2"/>
  <c r="O1130" i="2" s="1"/>
  <c r="N1131" i="2"/>
  <c r="O1131" i="2" s="1"/>
  <c r="N1132" i="2"/>
  <c r="O1132" i="2" s="1"/>
  <c r="N1133" i="2"/>
  <c r="O1133" i="2" s="1"/>
  <c r="N1134" i="2"/>
  <c r="O1134" i="2" s="1"/>
  <c r="N1135" i="2"/>
  <c r="O1135" i="2" s="1"/>
  <c r="N1136" i="2"/>
  <c r="O1136" i="2" s="1"/>
  <c r="N1137" i="2"/>
  <c r="O1137" i="2" s="1"/>
  <c r="N1138" i="2"/>
  <c r="O1138" i="2" s="1"/>
  <c r="N1139" i="2"/>
  <c r="O1139" i="2" s="1"/>
  <c r="N1140" i="2"/>
  <c r="O1140" i="2" s="1"/>
  <c r="N1141" i="2"/>
  <c r="O1141" i="2" s="1"/>
  <c r="N1142" i="2"/>
  <c r="O1142" i="2" s="1"/>
  <c r="N1143" i="2"/>
  <c r="O1143" i="2" s="1"/>
  <c r="N1144" i="2"/>
  <c r="O1144" i="2" s="1"/>
  <c r="N1145" i="2"/>
  <c r="O1145" i="2" s="1"/>
  <c r="N1146" i="2"/>
  <c r="O1146" i="2" s="1"/>
  <c r="N1147" i="2"/>
  <c r="O1147" i="2" s="1"/>
  <c r="N1148" i="2"/>
  <c r="O1148" i="2" s="1"/>
  <c r="N1149" i="2"/>
  <c r="O1149" i="2" s="1"/>
  <c r="N1150" i="2"/>
  <c r="O1150" i="2" s="1"/>
  <c r="N1151" i="2"/>
  <c r="O1151" i="2" s="1"/>
  <c r="N1152" i="2"/>
  <c r="O1152" i="2" s="1"/>
  <c r="N1153" i="2"/>
  <c r="O1153" i="2" s="1"/>
  <c r="N1154" i="2"/>
  <c r="O1154" i="2" s="1"/>
  <c r="N1155" i="2"/>
  <c r="O1155" i="2" s="1"/>
  <c r="N1156" i="2"/>
  <c r="O1156" i="2" s="1"/>
  <c r="N1157" i="2"/>
  <c r="O1157" i="2" s="1"/>
  <c r="N1158" i="2"/>
  <c r="O1158" i="2" s="1"/>
  <c r="N1159" i="2"/>
  <c r="O1159" i="2" s="1"/>
  <c r="N1160" i="2"/>
  <c r="O1160" i="2" s="1"/>
  <c r="N1161" i="2"/>
  <c r="O1161" i="2" s="1"/>
  <c r="N1162" i="2"/>
  <c r="O1162" i="2" s="1"/>
  <c r="N1163" i="2"/>
  <c r="O1163" i="2" s="1"/>
  <c r="N1164" i="2"/>
  <c r="O1164" i="2" s="1"/>
  <c r="N1165" i="2"/>
  <c r="O1165" i="2" s="1"/>
  <c r="N1166" i="2"/>
  <c r="O1166" i="2" s="1"/>
  <c r="N1167" i="2"/>
  <c r="O1167" i="2" s="1"/>
  <c r="N1168" i="2"/>
  <c r="O1168" i="2" s="1"/>
  <c r="N1169" i="2"/>
  <c r="O1169" i="2" s="1"/>
  <c r="N1170" i="2"/>
  <c r="O1170" i="2" s="1"/>
  <c r="N1171" i="2"/>
  <c r="O1171" i="2" s="1"/>
  <c r="N1172" i="2"/>
  <c r="O1172" i="2" s="1"/>
  <c r="N1173" i="2"/>
  <c r="O1173" i="2" s="1"/>
  <c r="N1174" i="2"/>
  <c r="O1174" i="2" s="1"/>
  <c r="N1175" i="2"/>
  <c r="O1175" i="2" s="1"/>
  <c r="N1176" i="2"/>
  <c r="O1176" i="2" s="1"/>
  <c r="N1177" i="2"/>
  <c r="O1177" i="2" s="1"/>
  <c r="N1178" i="2"/>
  <c r="O1178" i="2" s="1"/>
  <c r="N1179" i="2"/>
  <c r="O1179" i="2" s="1"/>
  <c r="N1180" i="2"/>
  <c r="O1180" i="2" s="1"/>
  <c r="N1181" i="2"/>
  <c r="O1181" i="2" s="1"/>
  <c r="N1182" i="2"/>
  <c r="O1182" i="2" s="1"/>
  <c r="N1183" i="2"/>
  <c r="O1183" i="2" s="1"/>
  <c r="N1184" i="2"/>
  <c r="O1184" i="2" s="1"/>
  <c r="N1185" i="2"/>
  <c r="O1185" i="2" s="1"/>
  <c r="N1186" i="2"/>
  <c r="O1186" i="2" s="1"/>
  <c r="N1187" i="2"/>
  <c r="O1187" i="2" s="1"/>
  <c r="N1188" i="2"/>
  <c r="O1188" i="2" s="1"/>
  <c r="N1189" i="2"/>
  <c r="O1189" i="2" s="1"/>
  <c r="N1190" i="2"/>
  <c r="O1190" i="2" s="1"/>
  <c r="N1191" i="2"/>
  <c r="O1191" i="2" s="1"/>
  <c r="N1192" i="2"/>
  <c r="O1192" i="2" s="1"/>
  <c r="N1193" i="2"/>
  <c r="O1193" i="2" s="1"/>
  <c r="N1194" i="2"/>
  <c r="O1194" i="2" s="1"/>
  <c r="N1195" i="2"/>
  <c r="O1195" i="2" s="1"/>
  <c r="N1196" i="2"/>
  <c r="O1196" i="2" s="1"/>
  <c r="N1197" i="2"/>
  <c r="O1197" i="2" s="1"/>
  <c r="N1198" i="2"/>
  <c r="O1198" i="2" s="1"/>
  <c r="N1199" i="2"/>
  <c r="O1199" i="2" s="1"/>
  <c r="N1200" i="2"/>
  <c r="O1200" i="2" s="1"/>
  <c r="N1201" i="2"/>
  <c r="O1201" i="2" s="1"/>
  <c r="N1202" i="2"/>
  <c r="O1202" i="2" s="1"/>
  <c r="N1203" i="2"/>
  <c r="O1203" i="2" s="1"/>
  <c r="N1204" i="2"/>
  <c r="O1204" i="2" s="1"/>
  <c r="N1205" i="2"/>
  <c r="O1205" i="2" s="1"/>
  <c r="N1206" i="2"/>
  <c r="O1206" i="2" s="1"/>
  <c r="N1207" i="2"/>
  <c r="O1207" i="2" s="1"/>
  <c r="N1208" i="2"/>
  <c r="O1208" i="2" s="1"/>
  <c r="N1209" i="2"/>
  <c r="O1209" i="2" s="1"/>
  <c r="N1210" i="2"/>
  <c r="O1210" i="2" s="1"/>
  <c r="N1211" i="2"/>
  <c r="O1211" i="2" s="1"/>
  <c r="N1212" i="2"/>
  <c r="O1212" i="2" s="1"/>
  <c r="N1213" i="2"/>
  <c r="O1213" i="2" s="1"/>
  <c r="N1214" i="2"/>
  <c r="O1214" i="2" s="1"/>
  <c r="N1215" i="2"/>
  <c r="O1215" i="2" s="1"/>
  <c r="N1216" i="2"/>
  <c r="O1216" i="2" s="1"/>
  <c r="N1217" i="2"/>
  <c r="O1217" i="2" s="1"/>
  <c r="N1218" i="2"/>
  <c r="O1218" i="2" s="1"/>
  <c r="N1219" i="2"/>
  <c r="O1219" i="2" s="1"/>
  <c r="N1220" i="2"/>
  <c r="O1220" i="2" s="1"/>
  <c r="N1221" i="2"/>
  <c r="O1221" i="2" s="1"/>
  <c r="N1222" i="2"/>
  <c r="O1222" i="2" s="1"/>
  <c r="N1223" i="2"/>
  <c r="O1223" i="2" s="1"/>
  <c r="N1224" i="2"/>
  <c r="O1224" i="2" s="1"/>
  <c r="N1225" i="2"/>
  <c r="O1225" i="2" s="1"/>
  <c r="N1226" i="2"/>
  <c r="O1226" i="2" s="1"/>
  <c r="N1227" i="2"/>
  <c r="O1227" i="2" s="1"/>
  <c r="N1228" i="2"/>
  <c r="O1228" i="2" s="1"/>
  <c r="N1229" i="2"/>
  <c r="O1229" i="2" s="1"/>
  <c r="N1230" i="2"/>
  <c r="O1230" i="2" s="1"/>
  <c r="N1231" i="2"/>
  <c r="O1231" i="2" s="1"/>
  <c r="N1232" i="2"/>
  <c r="O1232" i="2" s="1"/>
  <c r="N1233" i="2"/>
  <c r="O1233" i="2" s="1"/>
  <c r="N1234" i="2"/>
  <c r="O1234" i="2" s="1"/>
  <c r="N1235" i="2"/>
  <c r="O1235" i="2" s="1"/>
  <c r="N1236" i="2"/>
  <c r="O1236" i="2" s="1"/>
  <c r="N1237" i="2"/>
  <c r="O1237" i="2" s="1"/>
  <c r="N1238" i="2"/>
  <c r="O1238" i="2" s="1"/>
  <c r="N1239" i="2"/>
  <c r="O1239" i="2" s="1"/>
  <c r="N1240" i="2"/>
  <c r="O1240" i="2" s="1"/>
  <c r="N1241" i="2"/>
  <c r="O1241" i="2" s="1"/>
  <c r="N1242" i="2"/>
  <c r="O1242" i="2" s="1"/>
  <c r="N1243" i="2"/>
  <c r="O1243" i="2" s="1"/>
  <c r="N1244" i="2"/>
  <c r="O1244" i="2" s="1"/>
  <c r="N1245" i="2"/>
  <c r="O1245" i="2" s="1"/>
  <c r="N1246" i="2"/>
  <c r="O1246" i="2" s="1"/>
  <c r="N1247" i="2"/>
  <c r="O1247" i="2" s="1"/>
  <c r="N1248" i="2"/>
  <c r="O1248" i="2" s="1"/>
  <c r="N1249" i="2"/>
  <c r="O1249" i="2" s="1"/>
  <c r="N1250" i="2"/>
  <c r="O1250" i="2" s="1"/>
  <c r="N1251" i="2"/>
  <c r="O1251" i="2" s="1"/>
  <c r="N1252" i="2"/>
  <c r="O1252" i="2" s="1"/>
  <c r="N1253" i="2"/>
  <c r="O1253" i="2" s="1"/>
  <c r="N1254" i="2"/>
  <c r="O1254" i="2" s="1"/>
  <c r="N1255" i="2"/>
  <c r="O1255" i="2" s="1"/>
  <c r="N1256" i="2"/>
  <c r="O1256" i="2" s="1"/>
  <c r="N1257" i="2"/>
  <c r="O1257" i="2" s="1"/>
  <c r="N1258" i="2"/>
  <c r="O1258" i="2" s="1"/>
  <c r="N1259" i="2"/>
  <c r="O1259" i="2" s="1"/>
  <c r="N1260" i="2"/>
  <c r="O1260" i="2" s="1"/>
  <c r="N1261" i="2"/>
  <c r="O1261" i="2" s="1"/>
  <c r="N1262" i="2"/>
  <c r="O1262" i="2" s="1"/>
  <c r="N1263" i="2"/>
  <c r="O1263" i="2" s="1"/>
  <c r="N1264" i="2"/>
  <c r="O1264" i="2" s="1"/>
  <c r="N1265" i="2"/>
  <c r="O1265" i="2" s="1"/>
  <c r="N1266" i="2"/>
  <c r="O1266" i="2" s="1"/>
  <c r="N1267" i="2"/>
  <c r="O1267" i="2" s="1"/>
  <c r="N1268" i="2"/>
  <c r="O1268" i="2" s="1"/>
  <c r="N1269" i="2"/>
  <c r="O1269" i="2" s="1"/>
  <c r="N1270" i="2"/>
  <c r="O1270" i="2" s="1"/>
  <c r="N1271" i="2"/>
  <c r="O1271" i="2" s="1"/>
  <c r="N1272" i="2"/>
  <c r="O1272" i="2" s="1"/>
  <c r="N1273" i="2"/>
  <c r="O1273" i="2" s="1"/>
  <c r="N1274" i="2"/>
  <c r="O1274" i="2" s="1"/>
  <c r="N1275" i="2"/>
  <c r="O1275" i="2" s="1"/>
  <c r="N1276" i="2"/>
  <c r="O1276" i="2" s="1"/>
  <c r="N1277" i="2"/>
  <c r="O1277" i="2" s="1"/>
  <c r="N1278" i="2"/>
  <c r="O1278" i="2" s="1"/>
  <c r="N1279" i="2"/>
  <c r="O1279" i="2" s="1"/>
  <c r="N1280" i="2"/>
  <c r="O1280" i="2" s="1"/>
  <c r="N1281" i="2"/>
  <c r="O1281" i="2" s="1"/>
  <c r="N1282" i="2"/>
  <c r="O1282" i="2" s="1"/>
  <c r="N1283" i="2"/>
  <c r="O1283" i="2" s="1"/>
  <c r="N1284" i="2"/>
  <c r="O1284" i="2" s="1"/>
  <c r="N1285" i="2"/>
  <c r="O1285" i="2" s="1"/>
  <c r="N1286" i="2"/>
  <c r="O1286" i="2" s="1"/>
  <c r="N1287" i="2"/>
  <c r="O1287" i="2" s="1"/>
  <c r="N1288" i="2"/>
  <c r="O1288" i="2" s="1"/>
  <c r="N1289" i="2"/>
  <c r="O1289" i="2" s="1"/>
  <c r="N1290" i="2"/>
  <c r="O1290" i="2" s="1"/>
  <c r="N1291" i="2"/>
  <c r="O1291" i="2" s="1"/>
  <c r="N1292" i="2"/>
  <c r="O1292" i="2" s="1"/>
  <c r="N1293" i="2"/>
  <c r="O1293" i="2" s="1"/>
  <c r="N1294" i="2"/>
  <c r="O1294" i="2" s="1"/>
  <c r="N1295" i="2"/>
  <c r="O1295" i="2" s="1"/>
  <c r="N1296" i="2"/>
  <c r="O1296" i="2" s="1"/>
  <c r="N1297" i="2"/>
  <c r="O1297" i="2" s="1"/>
  <c r="N1298" i="2"/>
  <c r="O1298" i="2" s="1"/>
  <c r="N1299" i="2"/>
  <c r="O1299" i="2" s="1"/>
  <c r="N1300" i="2"/>
  <c r="O1300" i="2" s="1"/>
  <c r="N1301" i="2"/>
  <c r="O1301" i="2" s="1"/>
  <c r="N1302" i="2"/>
  <c r="O1302" i="2" s="1"/>
  <c r="N1303" i="2"/>
  <c r="O1303" i="2" s="1"/>
  <c r="N1304" i="2"/>
  <c r="O1304" i="2" s="1"/>
  <c r="N1305" i="2"/>
  <c r="O1305" i="2" s="1"/>
  <c r="N1306" i="2"/>
  <c r="O1306" i="2" s="1"/>
  <c r="N1307" i="2"/>
  <c r="O1307" i="2" s="1"/>
  <c r="N1308" i="2"/>
  <c r="O1308" i="2" s="1"/>
  <c r="N1309" i="2"/>
  <c r="O1309" i="2" s="1"/>
  <c r="N1310" i="2"/>
  <c r="O1310" i="2" s="1"/>
  <c r="N2" i="2"/>
  <c r="O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34862A-18EF-48E5-ABC9-69FB3F54A4EA}"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B331DCD0-0D84-4F4C-A4D5-B74B42EDCDB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23E8C3B-3D9D-4A3A-80F9-DFB2F1178CA6}" name="WorksheetConnection_Titanic Dataset.xlsx!Table1_2" type="102" refreshedVersion="7" minRefreshableVersion="5">
    <extLst>
      <ext xmlns:x15="http://schemas.microsoft.com/office/spreadsheetml/2010/11/main" uri="{DE250136-89BD-433C-8126-D09CA5730AF9}">
        <x15:connection id="Table1_2" autoDelete="1">
          <x15:rangePr sourceName="_xlcn.WorksheetConnection_TitanicDataset.xlsxTable1_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<sst xmlns="http://schemas.openxmlformats.org/spreadsheetml/2006/main" count="42615" uniqueCount="4202">
  <si>
    <t>pclass</t>
  </si>
  <si>
    <t>survived</t>
  </si>
  <si>
    <t>name</t>
  </si>
  <si>
    <t>sex</t>
  </si>
  <si>
    <t>age</t>
  </si>
  <si>
    <t>sibsp</t>
  </si>
  <si>
    <t>parch</t>
  </si>
  <si>
    <t>ticket</t>
  </si>
  <si>
    <t>fare</t>
  </si>
  <si>
    <t>cabin</t>
  </si>
  <si>
    <t>embarked</t>
  </si>
  <si>
    <t>boat</t>
  </si>
  <si>
    <t>body</t>
  </si>
  <si>
    <t>home.dest</t>
  </si>
  <si>
    <t>Allen, Miss. Elisabeth Walton</t>
  </si>
  <si>
    <t>female</t>
  </si>
  <si>
    <t>B5</t>
  </si>
  <si>
    <t>S</t>
  </si>
  <si>
    <t>St Louis, MO</t>
  </si>
  <si>
    <t>Allison, Master. Hudson Trevor</t>
  </si>
  <si>
    <t>male</t>
  </si>
  <si>
    <t>C22 C26</t>
  </si>
  <si>
    <t>Montreal, PQ / Chesterville, ON</t>
  </si>
  <si>
    <t>Allison, Miss. Helen Loraine</t>
  </si>
  <si>
    <t>Allison, Mr. Hudson Joshua Creighton</t>
  </si>
  <si>
    <t>Allison, Mrs. Hudson J C (Bessie Waldo Daniels)</t>
  </si>
  <si>
    <t>Anderson, Mr. Harry</t>
  </si>
  <si>
    <t>E12</t>
  </si>
  <si>
    <t>New York, NY</t>
  </si>
  <si>
    <t>Andrews, Miss. Kornelia Theodosia</t>
  </si>
  <si>
    <t>D7</t>
  </si>
  <si>
    <t>Hudson, NY</t>
  </si>
  <si>
    <t>Andrews, Mr. Thomas Jr</t>
  </si>
  <si>
    <t>A36</t>
  </si>
  <si>
    <t>Belfast, NI</t>
  </si>
  <si>
    <t>Appleton, Mrs. Edward Dale (Charlotte Lamson)</t>
  </si>
  <si>
    <t>C101</t>
  </si>
  <si>
    <t>D</t>
  </si>
  <si>
    <t>Bayside, Queens, NY</t>
  </si>
  <si>
    <t>Artagaveytia, Mr. Ramon</t>
  </si>
  <si>
    <t>PC 17609</t>
  </si>
  <si>
    <t>C</t>
  </si>
  <si>
    <t>Montevideo, Uruguay</t>
  </si>
  <si>
    <t>Astor, Col. John Jacob</t>
  </si>
  <si>
    <t>PC 17757</t>
  </si>
  <si>
    <t>C62 C64</t>
  </si>
  <si>
    <t>Astor, Mrs. John Jacob (Madeleine Talmadge Force)</t>
  </si>
  <si>
    <t>Aubart, Mme. Leontine Pauline</t>
  </si>
  <si>
    <t>PC 17477</t>
  </si>
  <si>
    <t>B35</t>
  </si>
  <si>
    <t>Paris, France</t>
  </si>
  <si>
    <t>Barber, Miss. Ellen "Nellie"</t>
  </si>
  <si>
    <t>Barkworth, Mr. Algernon Henry Wilson</t>
  </si>
  <si>
    <t>A23</t>
  </si>
  <si>
    <t>B</t>
  </si>
  <si>
    <t>Hessle, Yorks</t>
  </si>
  <si>
    <t>Baumann, Mr. John D</t>
  </si>
  <si>
    <t>PC 17318</t>
  </si>
  <si>
    <t>Baxter, Mr. Quigg Edmond</t>
  </si>
  <si>
    <t>PC 17558</t>
  </si>
  <si>
    <t>B58 B60</t>
  </si>
  <si>
    <t>Montreal, PQ</t>
  </si>
  <si>
    <t>Baxter, Mrs. James (Helene DeLaudeniere Chaput)</t>
  </si>
  <si>
    <t>Bazzani, Miss. Albina</t>
  </si>
  <si>
    <t>D15</t>
  </si>
  <si>
    <t>Beattie, Mr. Thomson</t>
  </si>
  <si>
    <t>C6</t>
  </si>
  <si>
    <t>A</t>
  </si>
  <si>
    <t>Winnipeg, MN</t>
  </si>
  <si>
    <t>Beckwith, Mr. Richard Leonard</t>
  </si>
  <si>
    <t>D35</t>
  </si>
  <si>
    <t>Beckwith, Mrs. Richard Leonard (Sallie Monypeny)</t>
  </si>
  <si>
    <t>Behr, Mr. Karl Howell</t>
  </si>
  <si>
    <t>C148</t>
  </si>
  <si>
    <t>Bidois, Miss. Rosalie</t>
  </si>
  <si>
    <t>Bird, Miss. Ellen</t>
  </si>
  <si>
    <t>PC 17483</t>
  </si>
  <si>
    <t>C97</t>
  </si>
  <si>
    <t>Birnbaum, Mr. Jakob</t>
  </si>
  <si>
    <t>San Francisco, CA</t>
  </si>
  <si>
    <t>Bishop, Mr. Dickinson H</t>
  </si>
  <si>
    <t>B49</t>
  </si>
  <si>
    <t>Dowagiac, MI</t>
  </si>
  <si>
    <t>Bishop, Mrs. Dickinson H (Helen Walton)</t>
  </si>
  <si>
    <t>Bissette, Miss. Amelia</t>
  </si>
  <si>
    <t>PC 17760</t>
  </si>
  <si>
    <t>C99</t>
  </si>
  <si>
    <t>Bjornstrom-Steffansson, Mr. Mauritz Hakan</t>
  </si>
  <si>
    <t>C52</t>
  </si>
  <si>
    <t>Stockholm, Sweden / Washington, DC</t>
  </si>
  <si>
    <t>Blackwell, Mr. Stephen Weart</t>
  </si>
  <si>
    <t>T</t>
  </si>
  <si>
    <t>Trenton, NJ</t>
  </si>
  <si>
    <t>Blank, Mr. Henry</t>
  </si>
  <si>
    <t>A31</t>
  </si>
  <si>
    <t>Glen Ridge, NJ</t>
  </si>
  <si>
    <t>Bonnell, Miss. Caroline</t>
  </si>
  <si>
    <t>C7</t>
  </si>
  <si>
    <t>Youngstown, OH</t>
  </si>
  <si>
    <t>Bonnell, Miss. Elizabeth</t>
  </si>
  <si>
    <t>C103</t>
  </si>
  <si>
    <t>Birkdale, England Cleveland, Ohio</t>
  </si>
  <si>
    <t>Borebank, Mr. John James</t>
  </si>
  <si>
    <t>D22</t>
  </si>
  <si>
    <t>London / Winnipeg, MB</t>
  </si>
  <si>
    <t>Bowen, Miss. Grace Scott</t>
  </si>
  <si>
    <t>PC 17608</t>
  </si>
  <si>
    <t>Cooperstown, NY</t>
  </si>
  <si>
    <t>Bowerman, Miss. Elsie Edith</t>
  </si>
  <si>
    <t>E33</t>
  </si>
  <si>
    <t>St Leonards-on-Sea, England Ohio</t>
  </si>
  <si>
    <t>Bradley, Mr. George ("George Arthur Brayton")</t>
  </si>
  <si>
    <t>Los Angeles, CA</t>
  </si>
  <si>
    <t>Brady, Mr. John Bertram</t>
  </si>
  <si>
    <t>A21</t>
  </si>
  <si>
    <t>Pomeroy, WA</t>
  </si>
  <si>
    <t>Brandeis, Mr. Emil</t>
  </si>
  <si>
    <t>PC 17591</t>
  </si>
  <si>
    <t>B10</t>
  </si>
  <si>
    <t>Omaha, NE</t>
  </si>
  <si>
    <t>Brewe, Dr. Arthur Jackson</t>
  </si>
  <si>
    <t>Philadelphia, PA</t>
  </si>
  <si>
    <t>Brown, Mrs. James Joseph (Margaret Tobin)</t>
  </si>
  <si>
    <t>PC 17610</t>
  </si>
  <si>
    <t>B4</t>
  </si>
  <si>
    <t>Denver, CO</t>
  </si>
  <si>
    <t>Brown, Mrs. John Murray (Caroline Lane Lamson)</t>
  </si>
  <si>
    <t>Belmont, MA</t>
  </si>
  <si>
    <t>Bucknell, Mrs. William Robert (Emma Eliza Ward)</t>
  </si>
  <si>
    <t>Burns, Miss. Elizabeth Margaret</t>
  </si>
  <si>
    <t>E40</t>
  </si>
  <si>
    <t>Butt, Major. Archibald Willingham</t>
  </si>
  <si>
    <t>B38</t>
  </si>
  <si>
    <t>Washington, DC</t>
  </si>
  <si>
    <t>Cairns, Mr. Alexander</t>
  </si>
  <si>
    <t>Calderhead, Mr. Edward Pennington</t>
  </si>
  <si>
    <t>PC 17476</t>
  </si>
  <si>
    <t>E24</t>
  </si>
  <si>
    <t>Candee, Mrs. Edward (Helen Churchill Hungerford)</t>
  </si>
  <si>
    <t>PC 17606</t>
  </si>
  <si>
    <t>Cardeza, Mr. Thomas Drake Martinez</t>
  </si>
  <si>
    <t>PC 17755</t>
  </si>
  <si>
    <t>B51 B53 B55</t>
  </si>
  <si>
    <t>Austria-Hungary / Germantown, Philadelphia, PA</t>
  </si>
  <si>
    <t>Cardeza, Mrs. James Warburton Martinez (Charlotte Wardle Drake)</t>
  </si>
  <si>
    <t>Germantown, Philadelphia, PA</t>
  </si>
  <si>
    <t>Carlsson, Mr. Frans Olof</t>
  </si>
  <si>
    <t>Carrau, Mr. Francisco M</t>
  </si>
  <si>
    <t>Carrau, Mr. Jose Pedro</t>
  </si>
  <si>
    <t>Carter, Master. William Thornton II</t>
  </si>
  <si>
    <t>B96 B98</t>
  </si>
  <si>
    <t>Bryn Mawr, PA</t>
  </si>
  <si>
    <t>Carter, Miss. Lucile Polk</t>
  </si>
  <si>
    <t>Carter, Mr. William Ernest</t>
  </si>
  <si>
    <t>Carter, Mrs. William Ernest (Lucile Polk)</t>
  </si>
  <si>
    <t>Case, Mr. Howard Brown</t>
  </si>
  <si>
    <t>Ascot, Berkshire / Rochester, NY</t>
  </si>
  <si>
    <t>Cassebeer, Mrs. Henry Arthur Jr (Eleanor Genevieve Fosdick)</t>
  </si>
  <si>
    <t>Cavendish, Mr. Tyrell William</t>
  </si>
  <si>
    <t>C46</t>
  </si>
  <si>
    <t>Little Onn Hall, Staffs</t>
  </si>
  <si>
    <t>Cavendish, Mrs. Tyrell William (Julia Florence Siegel)</t>
  </si>
  <si>
    <t>Chaffee, Mr. Herbert Fuller</t>
  </si>
  <si>
    <t>W.E.P. 5734</t>
  </si>
  <si>
    <t>E31</t>
  </si>
  <si>
    <t>Amenia, ND</t>
  </si>
  <si>
    <t>Chaffee, Mrs. Herbert Fuller (Carrie Constance Toogood)</t>
  </si>
  <si>
    <t>Chambers, Mr. Norman Campbell</t>
  </si>
  <si>
    <t>E8</t>
  </si>
  <si>
    <t>New York, NY / Ithaca, NY</t>
  </si>
  <si>
    <t>Chambers, Mrs. Norman Campbell (Bertha Griggs)</t>
  </si>
  <si>
    <t>Chaudanson, Miss. Victorine</t>
  </si>
  <si>
    <t>B61</t>
  </si>
  <si>
    <t>Cherry, Miss. Gladys</t>
  </si>
  <si>
    <t>B77</t>
  </si>
  <si>
    <t>London, England</t>
  </si>
  <si>
    <t>Chevre, Mr. Paul Romaine</t>
  </si>
  <si>
    <t>PC 17594</t>
  </si>
  <si>
    <t>A9</t>
  </si>
  <si>
    <t>Chibnall, Mrs. (Edith Martha Bowerman)</t>
  </si>
  <si>
    <t>Chisholm, Mr. Roderick Robert Crispin</t>
  </si>
  <si>
    <t>Liverpool, England / Belfast</t>
  </si>
  <si>
    <t>Clark, Mr. Walter Miller</t>
  </si>
  <si>
    <t>C89</t>
  </si>
  <si>
    <t>Clark, Mrs. Walter Miller (Virginia McDowell)</t>
  </si>
  <si>
    <t>Cleaver, Miss. Alice</t>
  </si>
  <si>
    <t>Clifford, Mr. George Quincy</t>
  </si>
  <si>
    <t>A14</t>
  </si>
  <si>
    <t>Stoughton, MA</t>
  </si>
  <si>
    <t>Colley, Mr. Edward Pomeroy</t>
  </si>
  <si>
    <t>E58</t>
  </si>
  <si>
    <t>Victoria, BC</t>
  </si>
  <si>
    <t>Compton, Miss. Sara Rebecca</t>
  </si>
  <si>
    <t>PC 17756</t>
  </si>
  <si>
    <t>E49</t>
  </si>
  <si>
    <t>Lakewood, NJ</t>
  </si>
  <si>
    <t>Compton, Mr. Alexander Taylor Jr</t>
  </si>
  <si>
    <t>E52</t>
  </si>
  <si>
    <t>Compton, Mrs. Alexander Taylor (Mary Eliza Ingersoll)</t>
  </si>
  <si>
    <t>E45</t>
  </si>
  <si>
    <t>Cornell, Mrs. Robert Clifford (Malvina Helen Lamson)</t>
  </si>
  <si>
    <t>Crafton, Mr. John Bertram</t>
  </si>
  <si>
    <t>Roachdale, IN</t>
  </si>
  <si>
    <t>Crosby, Capt. Edward Gifford</t>
  </si>
  <si>
    <t>WE/P 5735</t>
  </si>
  <si>
    <t>B22</t>
  </si>
  <si>
    <t>Milwaukee, WI</t>
  </si>
  <si>
    <t>Crosby, Miss. Harriet R</t>
  </si>
  <si>
    <t>Crosby, Mrs. Edward Gifford (Catherine Elizabeth Halstead)</t>
  </si>
  <si>
    <t>B26</t>
  </si>
  <si>
    <t>Cumings, Mr. John Bradley</t>
  </si>
  <si>
    <t>PC 17599</t>
  </si>
  <si>
    <t>C85</t>
  </si>
  <si>
    <t>Cumings, Mrs. John Bradley (Florence Briggs Thayer)</t>
  </si>
  <si>
    <t xml:space="preserve">Daly, Mr. Peter Denis </t>
  </si>
  <si>
    <t>E17</t>
  </si>
  <si>
    <t>5 9</t>
  </si>
  <si>
    <t>Lima, Peru</t>
  </si>
  <si>
    <t>Daniel, Mr. Robert Williams</t>
  </si>
  <si>
    <t>Daniels, Miss. Sarah</t>
  </si>
  <si>
    <t>Davidson, Mr. Thornton</t>
  </si>
  <si>
    <t>F.C. 12750</t>
  </si>
  <si>
    <t>B71</t>
  </si>
  <si>
    <t>Davidson, Mrs. Thornton (Orian Hays)</t>
  </si>
  <si>
    <t>Dick, Mr. Albert Adrian</t>
  </si>
  <si>
    <t>B20</t>
  </si>
  <si>
    <t>Calgary, AB</t>
  </si>
  <si>
    <t>Dick, Mrs. Albert Adrian (Vera Gillespie)</t>
  </si>
  <si>
    <t>Dodge, Dr. Washington</t>
  </si>
  <si>
    <t>A34</t>
  </si>
  <si>
    <t>Dodge, Master. Washington</t>
  </si>
  <si>
    <t>Dodge, Mrs. Washington (Ruth Vidaver)</t>
  </si>
  <si>
    <t>Douglas, Mr. Walter Donald</t>
  </si>
  <si>
    <t>PC 17761</t>
  </si>
  <si>
    <t>C86</t>
  </si>
  <si>
    <t>Deephaven, MN / Cedar Rapids, IA</t>
  </si>
  <si>
    <t>Douglas, Mrs. Frederick Charles (Mary Helene Baxter)</t>
  </si>
  <si>
    <t>Douglas, Mrs. Walter Donald (Mahala Dutton)</t>
  </si>
  <si>
    <t>Duff Gordon, Lady. (Lucille Christiana Sutherland) ("Mrs Morgan")</t>
  </si>
  <si>
    <t>A16</t>
  </si>
  <si>
    <t>London / Paris</t>
  </si>
  <si>
    <t>Duff Gordon, Sir. Cosmo Edmund ("Mr Morgan")</t>
  </si>
  <si>
    <t>PC 17485</t>
  </si>
  <si>
    <t>A20</t>
  </si>
  <si>
    <t>Dulles, Mr. William Crothers</t>
  </si>
  <si>
    <t>PC 17580</t>
  </si>
  <si>
    <t>A18</t>
  </si>
  <si>
    <t>Earnshaw, Mrs. Boulton (Olive Potter)</t>
  </si>
  <si>
    <t>C54</t>
  </si>
  <si>
    <t>Mt Airy, Philadelphia, PA</t>
  </si>
  <si>
    <t>Endres, Miss. Caroline Louise</t>
  </si>
  <si>
    <t>C45</t>
  </si>
  <si>
    <t>Eustis, Miss. Elizabeth Mussey</t>
  </si>
  <si>
    <t>D20</t>
  </si>
  <si>
    <t>Brookline, MA</t>
  </si>
  <si>
    <t>Evans, Miss. Edith Corse</t>
  </si>
  <si>
    <t>PC 17531</t>
  </si>
  <si>
    <t>A29</t>
  </si>
  <si>
    <t>Farthing, Mr. John</t>
  </si>
  <si>
    <t>C95</t>
  </si>
  <si>
    <t>Flegenheim, Mrs. Alfred (Antoinette)</t>
  </si>
  <si>
    <t>PC 17598</t>
  </si>
  <si>
    <t>Fleming, Miss. Margaret</t>
  </si>
  <si>
    <t>Flynn, Mr. John Irwin ("Irving")</t>
  </si>
  <si>
    <t>PC 17474</t>
  </si>
  <si>
    <t>E25</t>
  </si>
  <si>
    <t>Brooklyn, NY</t>
  </si>
  <si>
    <t>Foreman, Mr. Benjamin Laventall</t>
  </si>
  <si>
    <t>C111</t>
  </si>
  <si>
    <t>Fortune, Miss. Alice Elizabeth</t>
  </si>
  <si>
    <t>C23 C25 C27</t>
  </si>
  <si>
    <t>Winnipeg, MB</t>
  </si>
  <si>
    <t>Fortune, Miss. Ethel Flora</t>
  </si>
  <si>
    <t>Fortune, Miss. Mabel Helen</t>
  </si>
  <si>
    <t>Fortune, Mr. Charles Alexander</t>
  </si>
  <si>
    <t>Fortune, Mr. Mark</t>
  </si>
  <si>
    <t>Fortune, Mrs. Mark (Mary McDougald)</t>
  </si>
  <si>
    <t>Francatelli, Miss. Laura Mabel</t>
  </si>
  <si>
    <t>E36</t>
  </si>
  <si>
    <t>Franklin, Mr. Thomas Parham</t>
  </si>
  <si>
    <t>D34</t>
  </si>
  <si>
    <t>Westcliff-on-Sea, Essex</t>
  </si>
  <si>
    <t>Frauenthal, Dr. Henry William</t>
  </si>
  <si>
    <t>PC 17611</t>
  </si>
  <si>
    <t>Frauenthal, Mr. Isaac Gerald</t>
  </si>
  <si>
    <t>D40</t>
  </si>
  <si>
    <t>Frauenthal, Mrs. Henry William (Clara Heinsheimer)</t>
  </si>
  <si>
    <t>Frolicher, Miss. Hedwig Margaritha</t>
  </si>
  <si>
    <t>B39</t>
  </si>
  <si>
    <t>Zurich, Switzerland</t>
  </si>
  <si>
    <t>Frolicher-Stehli, Mr. Maxmillian</t>
  </si>
  <si>
    <t>B41</t>
  </si>
  <si>
    <t>Frolicher-Stehli, Mrs. Maxmillian (Margaretha Emerentia Stehli)</t>
  </si>
  <si>
    <t>Fry, Mr. Richard</t>
  </si>
  <si>
    <t>B102</t>
  </si>
  <si>
    <t>Futrelle, Mr. Jacques Heath</t>
  </si>
  <si>
    <t>C123</t>
  </si>
  <si>
    <t>Scituate, MA</t>
  </si>
  <si>
    <t>Futrelle, Mrs. Jacques Heath (Lily May Peel)</t>
  </si>
  <si>
    <t>Gee, Mr. Arthur H</t>
  </si>
  <si>
    <t>E63</t>
  </si>
  <si>
    <t>St Anne's-on-Sea, Lancashire</t>
  </si>
  <si>
    <t>Geiger, Miss. Amalie</t>
  </si>
  <si>
    <t>C130</t>
  </si>
  <si>
    <t>Gibson, Miss. Dorothy Winifred</t>
  </si>
  <si>
    <t>Gibson, Mrs. Leonard (Pauline C Boeson)</t>
  </si>
  <si>
    <t>Giglio, Mr. Victor</t>
  </si>
  <si>
    <t>PC 17593</t>
  </si>
  <si>
    <t>B86</t>
  </si>
  <si>
    <t>Goldenberg, Mr. Samuel L</t>
  </si>
  <si>
    <t>C92</t>
  </si>
  <si>
    <t>Paris, France / New York, NY</t>
  </si>
  <si>
    <t>Goldenberg, Mrs. Samuel L (Edwiga Grabowska)</t>
  </si>
  <si>
    <t>Goldschmidt, Mr. George B</t>
  </si>
  <si>
    <t>PC 17754</t>
  </si>
  <si>
    <t>A5</t>
  </si>
  <si>
    <t>Gracie, Col. Archibald IV</t>
  </si>
  <si>
    <t>C51</t>
  </si>
  <si>
    <t>Graham, Miss. Margaret Edith</t>
  </si>
  <si>
    <t>B42</t>
  </si>
  <si>
    <t>Greenwich, CT</t>
  </si>
  <si>
    <t>Graham, Mr. George Edward</t>
  </si>
  <si>
    <t>PC 17582</t>
  </si>
  <si>
    <t>C91</t>
  </si>
  <si>
    <t>Graham, Mrs. William Thompson (Edith Junkins)</t>
  </si>
  <si>
    <t>C125</t>
  </si>
  <si>
    <t>Greenfield, Mr. William Bertram</t>
  </si>
  <si>
    <t>PC 17759</t>
  </si>
  <si>
    <t>D10 D12</t>
  </si>
  <si>
    <t>Greenfield, Mrs. Leo David (Blanche Strouse)</t>
  </si>
  <si>
    <t>Guggenheim, Mr. Benjamin</t>
  </si>
  <si>
    <t>B82 B84</t>
  </si>
  <si>
    <t>Harder, Mr. George Achilles</t>
  </si>
  <si>
    <t>E50</t>
  </si>
  <si>
    <t>Harder, Mrs. George Achilles (Dorothy Annan)</t>
  </si>
  <si>
    <t>Harper, Mr. Henry Sleeper</t>
  </si>
  <si>
    <t>PC 17572</t>
  </si>
  <si>
    <t>D33</t>
  </si>
  <si>
    <t>Harper, Mrs. Henry Sleeper (Myna Haxtun)</t>
  </si>
  <si>
    <t>Harrington, Mr. Charles H</t>
  </si>
  <si>
    <t>Harris, Mr. Henry Birkhardt</t>
  </si>
  <si>
    <t>C83</t>
  </si>
  <si>
    <t>Harris, Mrs. Henry Birkhardt (Irene Wallach)</t>
  </si>
  <si>
    <t>Harrison, Mr. William</t>
  </si>
  <si>
    <t>B94</t>
  </si>
  <si>
    <t>Hassab, Mr. Hammad</t>
  </si>
  <si>
    <t>D49</t>
  </si>
  <si>
    <t>Hawksford, Mr. Walter James</t>
  </si>
  <si>
    <t>D45</t>
  </si>
  <si>
    <t>Kingston, Surrey</t>
  </si>
  <si>
    <t>Hays, Miss. Margaret Bechstein</t>
  </si>
  <si>
    <t>Hays, Mr. Charles Melville</t>
  </si>
  <si>
    <t>B69</t>
  </si>
  <si>
    <t>Hays, Mrs. Charles Melville (Clara Jennings Gregg)</t>
  </si>
  <si>
    <t>Head, Mr. Christopher</t>
  </si>
  <si>
    <t>B11</t>
  </si>
  <si>
    <t>London / Middlesex</t>
  </si>
  <si>
    <t>Hilliard, Mr. Herbert Henry</t>
  </si>
  <si>
    <t>E46</t>
  </si>
  <si>
    <t>Brighton, MA</t>
  </si>
  <si>
    <t>Hipkins, Mr. William Edward</t>
  </si>
  <si>
    <t>C39</t>
  </si>
  <si>
    <t>London / Birmingham</t>
  </si>
  <si>
    <t>Hippach, Miss. Jean Gertrude</t>
  </si>
  <si>
    <t>B18</t>
  </si>
  <si>
    <t>Chicago, IL</t>
  </si>
  <si>
    <t>Hippach, Mrs. Louis Albert (Ida Sophia Fischer)</t>
  </si>
  <si>
    <t>Hogeboom, Mrs. John C (Anna Andrews)</t>
  </si>
  <si>
    <t>D11</t>
  </si>
  <si>
    <t>Holverson, Mr. Alexander Oskar</t>
  </si>
  <si>
    <t>Holverson, Mrs. Alexander Oskar (Mary Aline Towner)</t>
  </si>
  <si>
    <t>Homer, Mr. Harry ("Mr E Haven")</t>
  </si>
  <si>
    <t>Indianapolis, IN</t>
  </si>
  <si>
    <t>Hoyt, Mr. Frederick Maxfield</t>
  </si>
  <si>
    <t>C93</t>
  </si>
  <si>
    <t>New York, NY /  Stamford CT</t>
  </si>
  <si>
    <t>Hoyt, Mr. William Fisher</t>
  </si>
  <si>
    <t>PC 17600</t>
  </si>
  <si>
    <t>Hoyt, Mrs. Frederick Maxfield (Jane Anne Forby)</t>
  </si>
  <si>
    <t>Icard, Miss. Amelie</t>
  </si>
  <si>
    <t>B28</t>
  </si>
  <si>
    <t>Isham, Miss. Ann Elizabeth</t>
  </si>
  <si>
    <t>PC 17595</t>
  </si>
  <si>
    <t>C49</t>
  </si>
  <si>
    <t>Paris, France New York, NY</t>
  </si>
  <si>
    <t>Ismay, Mr. Joseph Bruce</t>
  </si>
  <si>
    <t>B52 B54 B56</t>
  </si>
  <si>
    <t>Liverpool</t>
  </si>
  <si>
    <t>Jones, Mr. Charles Cresson</t>
  </si>
  <si>
    <t>Bennington, VT</t>
  </si>
  <si>
    <t>Julian, Mr. Henry Forbes</t>
  </si>
  <si>
    <t>E60</t>
  </si>
  <si>
    <t>London</t>
  </si>
  <si>
    <t>Keeping, Mr. Edwin</t>
  </si>
  <si>
    <t>C132</t>
  </si>
  <si>
    <t>Kent, Mr. Edward Austin</t>
  </si>
  <si>
    <t>B37</t>
  </si>
  <si>
    <t>Buffalo, NY</t>
  </si>
  <si>
    <t>Kenyon, Mr. Frederick R</t>
  </si>
  <si>
    <t>D21</t>
  </si>
  <si>
    <t>Southington / Noank, CT</t>
  </si>
  <si>
    <t>Kenyon, Mrs. Frederick R (Marion)</t>
  </si>
  <si>
    <t>Kimball, Mr. Edwin Nelson Jr</t>
  </si>
  <si>
    <t>D19</t>
  </si>
  <si>
    <t>Boston, MA</t>
  </si>
  <si>
    <t>Kimball, Mrs. Edwin Nelson Jr (Gertrude Parsons)</t>
  </si>
  <si>
    <t>Klaber, Mr. Herman</t>
  </si>
  <si>
    <t>C124</t>
  </si>
  <si>
    <t>Portland, OR</t>
  </si>
  <si>
    <t>Kreuchen, Miss. Emilie</t>
  </si>
  <si>
    <t>Leader, Dr. Alice (Farnham)</t>
  </si>
  <si>
    <t>D17</t>
  </si>
  <si>
    <t>LeRoy, Miss. Bertha</t>
  </si>
  <si>
    <t>Lesurer, Mr. Gustave J</t>
  </si>
  <si>
    <t>B101</t>
  </si>
  <si>
    <t>Lewy, Mr. Ervin G</t>
  </si>
  <si>
    <t>PC 17612</t>
  </si>
  <si>
    <t>Lindeberg-Lind, Mr. Erik Gustaf ("Mr Edward Lingrey")</t>
  </si>
  <si>
    <t>Stockholm, Sweden</t>
  </si>
  <si>
    <t>Lindstrom, Mrs. Carl Johan (Sigrid Posse)</t>
  </si>
  <si>
    <t>Lines, Miss. Mary Conover</t>
  </si>
  <si>
    <t>PC 17592</t>
  </si>
  <si>
    <t>D28</t>
  </si>
  <si>
    <t>Lines, Mrs. Ernest H (Elizabeth Lindsey James)</t>
  </si>
  <si>
    <t>Long, Mr. Milton Clyde</t>
  </si>
  <si>
    <t>D6</t>
  </si>
  <si>
    <t>Springfield, MA</t>
  </si>
  <si>
    <t>Longley, Miss. Gretchen Fiske</t>
  </si>
  <si>
    <t>D9</t>
  </si>
  <si>
    <t>Loring, Mr. Joseph Holland</t>
  </si>
  <si>
    <t>London / New York, NY</t>
  </si>
  <si>
    <t>Lurette, Miss. Elise</t>
  </si>
  <si>
    <t>PC 17569</t>
  </si>
  <si>
    <t>B80</t>
  </si>
  <si>
    <t>Madill, Miss. Georgette Alexandra</t>
  </si>
  <si>
    <t>Maguire, Mr. John Edward</t>
  </si>
  <si>
    <t>C106</t>
  </si>
  <si>
    <t>Brockton, MA</t>
  </si>
  <si>
    <t>Maioni, Miss. Roberta</t>
  </si>
  <si>
    <t>B79</t>
  </si>
  <si>
    <t>Marechal, Mr. Pierre</t>
  </si>
  <si>
    <t>C47</t>
  </si>
  <si>
    <t>Marvin, Mr. Daniel Warner</t>
  </si>
  <si>
    <t>D30</t>
  </si>
  <si>
    <t>Marvin, Mrs. Daniel Warner (Mary Graham Carmichael Farquarson)</t>
  </si>
  <si>
    <t>Mayne, Mlle. Berthe Antonine ("Mrs de Villiers")</t>
  </si>
  <si>
    <t>PC 17482</t>
  </si>
  <si>
    <t>C90</t>
  </si>
  <si>
    <t>Belgium  Montreal, PQ</t>
  </si>
  <si>
    <t>McCaffry, Mr. Thomas Francis</t>
  </si>
  <si>
    <t>Vancouver, BC</t>
  </si>
  <si>
    <t>McCarthy, Mr. Timothy J</t>
  </si>
  <si>
    <t>Dorchester, MA</t>
  </si>
  <si>
    <t>McGough, Mr. James Robert</t>
  </si>
  <si>
    <t>PC 17473</t>
  </si>
  <si>
    <t>Meyer, Mr. Edgar Joseph</t>
  </si>
  <si>
    <t>PC 17604</t>
  </si>
  <si>
    <t>Meyer, Mrs. Edgar Joseph (Leila Saks)</t>
  </si>
  <si>
    <t>Millet, Mr. Francis Davis</t>
  </si>
  <si>
    <t>E38</t>
  </si>
  <si>
    <t>East Bridgewater, MA</t>
  </si>
  <si>
    <t>Minahan, Dr. William Edward</t>
  </si>
  <si>
    <t>C78</t>
  </si>
  <si>
    <t>Q</t>
  </si>
  <si>
    <t>Fond du Lac, WI</t>
  </si>
  <si>
    <t>Minahan, Miss. Daisy E</t>
  </si>
  <si>
    <t>Green Bay, WI</t>
  </si>
  <si>
    <t>Minahan, Mrs. William Edward (Lillian E Thorpe)</t>
  </si>
  <si>
    <t>Mock, Mr. Philipp Edmund</t>
  </si>
  <si>
    <t>Molson, Mr. Harry Markland</t>
  </si>
  <si>
    <t>C30</t>
  </si>
  <si>
    <t>Moore, Mr. Clarence Bloomfield</t>
  </si>
  <si>
    <t>Natsch, Mr. Charles H</t>
  </si>
  <si>
    <t>PC 17596</t>
  </si>
  <si>
    <t>C118</t>
  </si>
  <si>
    <t>Newell, Miss. Madeleine</t>
  </si>
  <si>
    <t>D36</t>
  </si>
  <si>
    <t>Lexington, MA</t>
  </si>
  <si>
    <t>Newell, Miss. Marjorie</t>
  </si>
  <si>
    <t>Newell, Mr. Arthur Webster</t>
  </si>
  <si>
    <t>D48</t>
  </si>
  <si>
    <t>Newsom, Miss. Helen Monypeny</t>
  </si>
  <si>
    <t>D47</t>
  </si>
  <si>
    <t>Nicholson, Mr. Arthur Ernest</t>
  </si>
  <si>
    <t>Isle of Wight, England</t>
  </si>
  <si>
    <t>Oliva y Ocana, Dona. Fermina</t>
  </si>
  <si>
    <t>PC 17758</t>
  </si>
  <si>
    <t>C105</t>
  </si>
  <si>
    <t>Omont, Mr. Alfred Fernand</t>
  </si>
  <si>
    <t>F.C. 12998</t>
  </si>
  <si>
    <t>Ostby, Miss. Helene Ragnhild</t>
  </si>
  <si>
    <t>B36</t>
  </si>
  <si>
    <t>Providence, RI</t>
  </si>
  <si>
    <t>Ostby, Mr. Engelhart Cornelius</t>
  </si>
  <si>
    <t>B30</t>
  </si>
  <si>
    <t>Ovies y Rodriguez, Mr. Servando</t>
  </si>
  <si>
    <t>PC 17562</t>
  </si>
  <si>
    <t>D43</t>
  </si>
  <si>
    <t>?Havana, Cuba</t>
  </si>
  <si>
    <t>Parr, Mr. William Henry Marsh</t>
  </si>
  <si>
    <t>Belfast</t>
  </si>
  <si>
    <t>Partner, Mr. Austen</t>
  </si>
  <si>
    <t>Surbiton Hill, Surrey</t>
  </si>
  <si>
    <t>Payne, Mr. Vivian Ponsonby</t>
  </si>
  <si>
    <t>B24</t>
  </si>
  <si>
    <t>Pears, Mr. Thomas Clinton</t>
  </si>
  <si>
    <t>C2</t>
  </si>
  <si>
    <t>Isleworth, England</t>
  </si>
  <si>
    <t>Pears, Mrs. Thomas (Edith Wearne)</t>
  </si>
  <si>
    <t>Penasco y Castellana, Mr. Victor de Satode</t>
  </si>
  <si>
    <t>C65</t>
  </si>
  <si>
    <t>Madrid, Spain</t>
  </si>
  <si>
    <t>Penasco y Castellana, Mrs. Victor de Satode (Maria Josefa Perez de Soto y Vallejo)</t>
  </si>
  <si>
    <t>Perreault, Miss. Anne</t>
  </si>
  <si>
    <t>B73</t>
  </si>
  <si>
    <t>Peuchen, Major. Arthur Godfrey</t>
  </si>
  <si>
    <t>C104</t>
  </si>
  <si>
    <t>Toronto, ON</t>
  </si>
  <si>
    <t>Porter, Mr. Walter Chamberlain</t>
  </si>
  <si>
    <t>C110</t>
  </si>
  <si>
    <t>Worcester, MA</t>
  </si>
  <si>
    <t>Potter, Mrs. Thomas Jr (Lily Alexenia Wilson)</t>
  </si>
  <si>
    <t>C50</t>
  </si>
  <si>
    <t>Reuchlin, Jonkheer. John George</t>
  </si>
  <si>
    <t>Rotterdam, Netherlands</t>
  </si>
  <si>
    <t>Rheims, Mr. George Alexander Lucien</t>
  </si>
  <si>
    <t>PC 17607</t>
  </si>
  <si>
    <t>Paris /  New York, NY</t>
  </si>
  <si>
    <t>Ringhini, Mr. Sante</t>
  </si>
  <si>
    <t>Robbins, Mr. Victor</t>
  </si>
  <si>
    <t>Robert, Mrs. Edward Scott (Elisabeth Walton McMillan)</t>
  </si>
  <si>
    <t>B3</t>
  </si>
  <si>
    <t>Roebling, Mr. Washington Augustus II</t>
  </si>
  <si>
    <t>PC 17590</t>
  </si>
  <si>
    <t>A24</t>
  </si>
  <si>
    <t>Romaine, Mr. Charles Hallace ("Mr C Rolmane")</t>
  </si>
  <si>
    <t>Rood, Mr. Hugh Roscoe</t>
  </si>
  <si>
    <t>A32</t>
  </si>
  <si>
    <t>Seattle, WA</t>
  </si>
  <si>
    <t>Rosenbaum, Miss. Edith Louise</t>
  </si>
  <si>
    <t>PC 17613</t>
  </si>
  <si>
    <t>A11</t>
  </si>
  <si>
    <t>Rosenshine, Mr. George ("Mr George Thorne")</t>
  </si>
  <si>
    <t>PC 17585</t>
  </si>
  <si>
    <t>Ross, Mr. John Hugo</t>
  </si>
  <si>
    <t>A10</t>
  </si>
  <si>
    <t>Rothes, the Countess. of (Lucy Noel Martha Dyer-Edwards)</t>
  </si>
  <si>
    <t>London  Vancouver, BC</t>
  </si>
  <si>
    <t>Rothschild, Mr. Martin</t>
  </si>
  <si>
    <t>PC 17603</t>
  </si>
  <si>
    <t>Rothschild, Mrs. Martin (Elizabeth L. Barrett)</t>
  </si>
  <si>
    <t>Rowe, Mr. Alfred G</t>
  </si>
  <si>
    <t>Ryerson, Master. John Borie</t>
  </si>
  <si>
    <t>B57 B59 B63 B66</t>
  </si>
  <si>
    <t>Haverford, PA / Cooperstown, NY</t>
  </si>
  <si>
    <t>Ryerson, Miss. Emily Borie</t>
  </si>
  <si>
    <t>Ryerson, Miss. Susan Parker "Suzette"</t>
  </si>
  <si>
    <t>Ryerson, Mr. Arthur Larned</t>
  </si>
  <si>
    <t>Ryerson, Mrs. Arthur Larned (Emily Maria Borie)</t>
  </si>
  <si>
    <t>Saalfeld, Mr. Adolphe</t>
  </si>
  <si>
    <t>Manchester, England</t>
  </si>
  <si>
    <t>Sagesser, Mlle. Emma</t>
  </si>
  <si>
    <t>Salomon, Mr. Abraham L</t>
  </si>
  <si>
    <t>Schabert, Mrs. Paul (Emma Mock)</t>
  </si>
  <si>
    <t>C28</t>
  </si>
  <si>
    <t>Serepeca, Miss. Augusta</t>
  </si>
  <si>
    <t>Seward, Mr. Frederic Kimber</t>
  </si>
  <si>
    <t>Shutes, Miss. Elizabeth W</t>
  </si>
  <si>
    <t>New York, NY / Greenwich CT</t>
  </si>
  <si>
    <t>Silverthorne, Mr. Spencer Victor</t>
  </si>
  <si>
    <t>PC 17475</t>
  </si>
  <si>
    <t>Silvey, Mr. William Baird</t>
  </si>
  <si>
    <t>E44</t>
  </si>
  <si>
    <t>Duluth, MN</t>
  </si>
  <si>
    <t>Silvey, Mrs. William Baird (Alice Munger)</t>
  </si>
  <si>
    <t>Simonius-Blumer, Col. Oberst Alfons</t>
  </si>
  <si>
    <t>A26</t>
  </si>
  <si>
    <t>Basel, Switzerland</t>
  </si>
  <si>
    <t>Sloper, Mr. William Thompson</t>
  </si>
  <si>
    <t>A6</t>
  </si>
  <si>
    <t>New Britain, CT</t>
  </si>
  <si>
    <t>Smart, Mr. John Montgomery</t>
  </si>
  <si>
    <t>Smith, Mr. James Clinch</t>
  </si>
  <si>
    <t>A7</t>
  </si>
  <si>
    <t>St James, Long Island, NY</t>
  </si>
  <si>
    <t>Smith, Mr. Lucien Philip</t>
  </si>
  <si>
    <t>C31</t>
  </si>
  <si>
    <t>Huntington, WV</t>
  </si>
  <si>
    <t>Smith, Mr. Richard William</t>
  </si>
  <si>
    <t>A19</t>
  </si>
  <si>
    <t>Streatham, Surrey</t>
  </si>
  <si>
    <t>Smith, Mrs. Lucien Philip (Mary Eloise Hughes)</t>
  </si>
  <si>
    <t>Snyder, Mr. John Pillsbury</t>
  </si>
  <si>
    <t>B45</t>
  </si>
  <si>
    <t>Minneapolis, MN</t>
  </si>
  <si>
    <t>Snyder, Mrs. John Pillsbury (Nelle Stevenson)</t>
  </si>
  <si>
    <t>Spedden, Master. Robert Douglas</t>
  </si>
  <si>
    <t>E34</t>
  </si>
  <si>
    <t>Tuxedo Park, NY</t>
  </si>
  <si>
    <t>Spedden, Mr. Frederic Oakley</t>
  </si>
  <si>
    <t>Spedden, Mrs. Frederic Oakley (Margaretta Corning Stone)</t>
  </si>
  <si>
    <t>Spencer, Mr. William Augustus</t>
  </si>
  <si>
    <t>B78</t>
  </si>
  <si>
    <t>Spencer, Mrs. William Augustus (Marie Eugenie)</t>
  </si>
  <si>
    <t>Stahelin-Maeglin, Dr. Max</t>
  </si>
  <si>
    <t>B50</t>
  </si>
  <si>
    <t>Stead, Mr. William Thomas</t>
  </si>
  <si>
    <t>C87</t>
  </si>
  <si>
    <t>Wimbledon Park, London / Hayling Island, Hants</t>
  </si>
  <si>
    <t>Stengel, Mr. Charles Emil Henry</t>
  </si>
  <si>
    <t>C116</t>
  </si>
  <si>
    <t>Newark, NJ</t>
  </si>
  <si>
    <t>Stengel, Mrs. Charles Emil Henry (Annie May Morris)</t>
  </si>
  <si>
    <t>Stephenson, Mrs. Walter Bertram (Martha Eustis)</t>
  </si>
  <si>
    <t>Haverford, PA</t>
  </si>
  <si>
    <t>Stewart, Mr. Albert A</t>
  </si>
  <si>
    <t>PC 17605</t>
  </si>
  <si>
    <t>Gallipolis, Ohio / ? Paris / New York</t>
  </si>
  <si>
    <t>Stone, Mrs. George Nelson (Martha Evelyn)</t>
  </si>
  <si>
    <t>Cincinatti, OH</t>
  </si>
  <si>
    <t>Straus, Mr. Isidor</t>
  </si>
  <si>
    <t>C55 C57</t>
  </si>
  <si>
    <t>Straus, Mrs. Isidor (Rosalie Ida Blun)</t>
  </si>
  <si>
    <t>Sutton, Mr. Frederick</t>
  </si>
  <si>
    <t>D50</t>
  </si>
  <si>
    <t>Haddenfield, NJ</t>
  </si>
  <si>
    <t>Swift, Mrs. Frederick Joel (Margaret Welles Barron)</t>
  </si>
  <si>
    <t>Taussig, Miss. Ruth</t>
  </si>
  <si>
    <t>E68</t>
  </si>
  <si>
    <t>Taussig, Mr. Emil</t>
  </si>
  <si>
    <t>E67</t>
  </si>
  <si>
    <t>Taussig, Mrs. Emil (Tillie Mandelbaum)</t>
  </si>
  <si>
    <t>Taylor, Mr. Elmer Zebley</t>
  </si>
  <si>
    <t>C126</t>
  </si>
  <si>
    <t>5 7</t>
  </si>
  <si>
    <t>London /  East Orange, NJ</t>
  </si>
  <si>
    <t>Taylor, Mrs. Elmer Zebley (Juliet Cummins Wright)</t>
  </si>
  <si>
    <t>Thayer, Mr. John Borland</t>
  </si>
  <si>
    <t>C68</t>
  </si>
  <si>
    <t>Thayer, Mr. John Borland Jr</t>
  </si>
  <si>
    <t>C70</t>
  </si>
  <si>
    <t>Thayer, Mrs. John Borland (Marian Longstreth Morris)</t>
  </si>
  <si>
    <t>Thorne, Mrs. Gertrude Maybelle</t>
  </si>
  <si>
    <t>Tucker, Mr. Gilbert Milligan Jr</t>
  </si>
  <si>
    <t>C53</t>
  </si>
  <si>
    <t>Albany, NY</t>
  </si>
  <si>
    <t>Uruchurtu, Don. Manuel E</t>
  </si>
  <si>
    <t>PC 17601</t>
  </si>
  <si>
    <t>Mexico City, Mexico</t>
  </si>
  <si>
    <t>Van der hoef, Mr. Wyckoff</t>
  </si>
  <si>
    <t>B19</t>
  </si>
  <si>
    <t>Walker, Mr. William Anderson</t>
  </si>
  <si>
    <t>D46</t>
  </si>
  <si>
    <t>East Orange, NJ</t>
  </si>
  <si>
    <t>Ward, Miss. Anna</t>
  </si>
  <si>
    <t>Warren, Mr. Frank Manley</t>
  </si>
  <si>
    <t>D37</t>
  </si>
  <si>
    <t>Warren, Mrs. Frank Manley (Anna Sophia Atkinson)</t>
  </si>
  <si>
    <t>Weir, Col. John</t>
  </si>
  <si>
    <t>England Salt Lake City, Utah</t>
  </si>
  <si>
    <t>White, Mr. Percival Wayland</t>
  </si>
  <si>
    <t>D26</t>
  </si>
  <si>
    <t>Brunswick, ME</t>
  </si>
  <si>
    <t>White, Mr. Richard Frasar</t>
  </si>
  <si>
    <t>White, Mrs. John Stuart (Ella Holmes)</t>
  </si>
  <si>
    <t>C32</t>
  </si>
  <si>
    <t>New York, NY / Briarcliff Manor NY</t>
  </si>
  <si>
    <t>Wick, Miss. Mary Natalie</t>
  </si>
  <si>
    <t>Wick, Mr. George Dennick</t>
  </si>
  <si>
    <t>Wick, Mrs. George Dennick (Mary Hitchcock)</t>
  </si>
  <si>
    <t>Widener, Mr. George Dunton</t>
  </si>
  <si>
    <t>C80</t>
  </si>
  <si>
    <t>Elkins Park, PA</t>
  </si>
  <si>
    <t>Widener, Mr. Harry Elkins</t>
  </si>
  <si>
    <t>C82</t>
  </si>
  <si>
    <t>Widener, Mrs. George Dunton (Eleanor Elkins)</t>
  </si>
  <si>
    <t>Willard, Miss. Constance</t>
  </si>
  <si>
    <t>8 10</t>
  </si>
  <si>
    <t>Williams, Mr. Charles Duane</t>
  </si>
  <si>
    <t>PC 17597</t>
  </si>
  <si>
    <t>Geneva, Switzerland / Radnor, PA</t>
  </si>
  <si>
    <t>Williams, Mr. Richard Norris II</t>
  </si>
  <si>
    <t>Williams-Lambert, Mr. Fletcher Fellows</t>
  </si>
  <si>
    <t>C128</t>
  </si>
  <si>
    <t>Wilson, Miss. Helen Alice</t>
  </si>
  <si>
    <t>E39 E41</t>
  </si>
  <si>
    <t>Woolner, Mr. Hugh</t>
  </si>
  <si>
    <t>Wright, Mr. George</t>
  </si>
  <si>
    <t>Halifax, NS</t>
  </si>
  <si>
    <t>Young, Miss. Marie Grice</t>
  </si>
  <si>
    <t>New York, NY / Washington, DC</t>
  </si>
  <si>
    <t>Abelson, Mr. Samuel</t>
  </si>
  <si>
    <t>P/PP 3381</t>
  </si>
  <si>
    <t>Russia New York, NY</t>
  </si>
  <si>
    <t>Abelson, Mrs. Samuel (Hannah Wizosky)</t>
  </si>
  <si>
    <t>Aldworth, Mr. Charles Augustus</t>
  </si>
  <si>
    <t>Bryn Mawr, PA, USA</t>
  </si>
  <si>
    <t>Andrew, Mr. Edgardo Samuel</t>
  </si>
  <si>
    <t>Buenos Aires, Argentina / New Jersey, NJ</t>
  </si>
  <si>
    <t>Andrew, Mr. Frank Thomas</t>
  </si>
  <si>
    <t>C.A. 34050</t>
  </si>
  <si>
    <t>Cornwall, England Houghton, MI</t>
  </si>
  <si>
    <t>Angle, Mr. William A</t>
  </si>
  <si>
    <t>Warwick, England</t>
  </si>
  <si>
    <t>Angle, Mrs. William A (Florence "Mary" Agnes Hughes)</t>
  </si>
  <si>
    <t>Ashby, Mr. John</t>
  </si>
  <si>
    <t>West Hoboken, NJ</t>
  </si>
  <si>
    <t>Bailey, Mr. Percy Andrew</t>
  </si>
  <si>
    <t>Penzance, Cornwall / Akron, OH</t>
  </si>
  <si>
    <t>Baimbrigge, Mr. Charles Robert</t>
  </si>
  <si>
    <t>C.A. 31030</t>
  </si>
  <si>
    <t>Guernsey</t>
  </si>
  <si>
    <t>Ball, Mrs. (Ada E Hall)</t>
  </si>
  <si>
    <t>Bristol, Avon / Jacksonville, FL</t>
  </si>
  <si>
    <t>Banfield, Mr. Frederick James</t>
  </si>
  <si>
    <t>C.A./SOTON 34068</t>
  </si>
  <si>
    <t>Plymouth, Dorset / Houghton, MI</t>
  </si>
  <si>
    <t>Bateman, Rev. Robert James</t>
  </si>
  <si>
    <t>S.O.P. 1166</t>
  </si>
  <si>
    <t>Jacksonville, FL</t>
  </si>
  <si>
    <t>Beane, Mr. Edward</t>
  </si>
  <si>
    <t>Norwich / New York, NY</t>
  </si>
  <si>
    <t>Beane, Mrs. Edward (Ethel Clarke)</t>
  </si>
  <si>
    <t>Beauchamp, Mr. Henry James</t>
  </si>
  <si>
    <t>England</t>
  </si>
  <si>
    <t>Becker, Master. Richard F</t>
  </si>
  <si>
    <t>F4</t>
  </si>
  <si>
    <t>Guntur, India / Benton Harbour, MI</t>
  </si>
  <si>
    <t>Becker, Miss. Marion Louise</t>
  </si>
  <si>
    <t>Becker, Miss. Ruth Elizabeth</t>
  </si>
  <si>
    <t>Becker, Mrs. Allen Oliver (Nellie E Baumgardner)</t>
  </si>
  <si>
    <t>Beesley, Mr. Lawrence</t>
  </si>
  <si>
    <t>D56</t>
  </si>
  <si>
    <t>Bentham, Miss. Lilian W</t>
  </si>
  <si>
    <t>Rochester, NY</t>
  </si>
  <si>
    <t>Berriman, Mr. William John</t>
  </si>
  <si>
    <t>St Ives, Cornwall / Calumet, MI</t>
  </si>
  <si>
    <t>Botsford, Mr. William Hull</t>
  </si>
  <si>
    <t>Elmira, NY / Orange, NJ</t>
  </si>
  <si>
    <t>Bowenur, Mr. Solomon</t>
  </si>
  <si>
    <t>Bracken, Mr. James H</t>
  </si>
  <si>
    <t>Lake Arthur, Chavez County, NM</t>
  </si>
  <si>
    <t>Brown, Miss. Amelia "Mildred"</t>
  </si>
  <si>
    <t>F33</t>
  </si>
  <si>
    <t>London / Montreal, PQ</t>
  </si>
  <si>
    <t>Brown, Miss. Edith Eileen</t>
  </si>
  <si>
    <t>Cape Town, South Africa / Seattle, WA</t>
  </si>
  <si>
    <t>Brown, Mr. Thomas William Solomon</t>
  </si>
  <si>
    <t>Brown, Mrs. Thomas William Solomon (Elizabeth Catherine Ford)</t>
  </si>
  <si>
    <t xml:space="preserve">Bryhl, Miss. Dagmar Jenny Ingeborg </t>
  </si>
  <si>
    <t>Skara, Sweden / Rockford, IL</t>
  </si>
  <si>
    <t>Bryhl, Mr. Kurt Arnold Gottfrid</t>
  </si>
  <si>
    <t>Buss, Miss. Kate</t>
  </si>
  <si>
    <t>Sittingbourne, England / San Diego, CA</t>
  </si>
  <si>
    <t>Butler, Mr. Reginald Fenton</t>
  </si>
  <si>
    <t>Southsea, Hants</t>
  </si>
  <si>
    <t>Byles, Rev. Thomas Roussel Davids</t>
  </si>
  <si>
    <t>Bystrom, Mrs. (Karolina)</t>
  </si>
  <si>
    <t>Caldwell, Master. Alden Gates</t>
  </si>
  <si>
    <t>Bangkok, Thailand / Roseville, IL</t>
  </si>
  <si>
    <t>Caldwell, Mr. Albert Francis</t>
  </si>
  <si>
    <t>Caldwell, Mrs. Albert Francis (Sylvia Mae Harbaugh)</t>
  </si>
  <si>
    <t>Cameron, Miss. Clear Annie</t>
  </si>
  <si>
    <t>F.C.C. 13528</t>
  </si>
  <si>
    <t>Mamaroneck, NY</t>
  </si>
  <si>
    <t>Campbell, Mr. William</t>
  </si>
  <si>
    <t>Carbines, Mr. William</t>
  </si>
  <si>
    <t>Carter, Mrs. Ernest Courtenay (Lilian Hughes)</t>
  </si>
  <si>
    <t>Carter, Rev. Ernest Courtenay</t>
  </si>
  <si>
    <t>Chapman, Mr. Charles Henry</t>
  </si>
  <si>
    <t>Bronx, NY</t>
  </si>
  <si>
    <t>Chapman, Mr. John Henry</t>
  </si>
  <si>
    <t>SC/AH 29037</t>
  </si>
  <si>
    <t>Cornwall / Spokane, WA</t>
  </si>
  <si>
    <t>Chapman, Mrs. John Henry (Sara Elizabeth Lawry)</t>
  </si>
  <si>
    <t>Christy, Miss. Julie Rachel</t>
  </si>
  <si>
    <t>Christy, Mrs. (Alice Frances)</t>
  </si>
  <si>
    <t>Clarke, Mr. Charles Valentine</t>
  </si>
  <si>
    <t>England / San Francisco, CA</t>
  </si>
  <si>
    <t>Clarke, Mrs. Charles V (Ada Maria Winfield)</t>
  </si>
  <si>
    <t>Coleridge, Mr. Reginald Charles</t>
  </si>
  <si>
    <t>W./C. 14263</t>
  </si>
  <si>
    <t>Hartford, Huntingdonshire</t>
  </si>
  <si>
    <t>Collander, Mr. Erik Gustaf</t>
  </si>
  <si>
    <t>Helsinki, Finland Ashtabula, Ohio</t>
  </si>
  <si>
    <t>Collett, Mr. Sidney C Stuart</t>
  </si>
  <si>
    <t>London / Fort Byron, NY</t>
  </si>
  <si>
    <t>Collyer, Miss. Marjorie "Lottie"</t>
  </si>
  <si>
    <t>C.A. 31921</t>
  </si>
  <si>
    <t>Bishopstoke, Hants / Fayette Valley, ID</t>
  </si>
  <si>
    <t>Collyer, Mr. Harvey</t>
  </si>
  <si>
    <t>Collyer, Mrs. Harvey (Charlotte Annie Tate)</t>
  </si>
  <si>
    <t>Cook, Mrs. (Selena Rogers)</t>
  </si>
  <si>
    <t>W./C. 14266</t>
  </si>
  <si>
    <t>Pennsylvania</t>
  </si>
  <si>
    <t>Corbett, Mrs. Walter H (Irene Colvin)</t>
  </si>
  <si>
    <t>Provo, UT</t>
  </si>
  <si>
    <t>Corey, Mrs. Percy C (Mary Phyllis Elizabeth Miller)</t>
  </si>
  <si>
    <t>F.C.C. 13534</t>
  </si>
  <si>
    <t>Upper Burma, India Pittsburgh, PA</t>
  </si>
  <si>
    <t>Cotterill, Mr. Henry "Harry"</t>
  </si>
  <si>
    <t>Cunningham, Mr. Alfred Fleming</t>
  </si>
  <si>
    <t>Davies, Master. John Morgan Jr</t>
  </si>
  <si>
    <t>C.A. 33112</t>
  </si>
  <si>
    <t>St Ives, Cornwall / Hancock, MI</t>
  </si>
  <si>
    <t>Davies, Mr. Charles Henry</t>
  </si>
  <si>
    <t>S.O.C. 14879</t>
  </si>
  <si>
    <t>Lyndhurst, England</t>
  </si>
  <si>
    <t xml:space="preserve">Davies, Mrs. John Morgan (Elizabeth Agnes Mary White) </t>
  </si>
  <si>
    <t>Davis, Miss. Mary</t>
  </si>
  <si>
    <t>London / Staten Island, NY</t>
  </si>
  <si>
    <t>de Brito, Mr. Jose Joaquim</t>
  </si>
  <si>
    <t>Portugal / Sau Paulo, Brazil</t>
  </si>
  <si>
    <t>Deacon, Mr. Percy William</t>
  </si>
  <si>
    <t>del Carlo, Mr. Sebastiano</t>
  </si>
  <si>
    <t>SC/PARIS 2167</t>
  </si>
  <si>
    <t>Lucca, Italy / California</t>
  </si>
  <si>
    <t>del Carlo, Mrs. Sebastiano (Argenia Genovesi)</t>
  </si>
  <si>
    <t>Denbury, Mr. Herbert</t>
  </si>
  <si>
    <t>C.A. 31029</t>
  </si>
  <si>
    <t>Guernsey / Elizabeth, NJ</t>
  </si>
  <si>
    <t>Dibden, Mr. William</t>
  </si>
  <si>
    <t>New Forest, England</t>
  </si>
  <si>
    <t>Doling, Miss. Elsie</t>
  </si>
  <si>
    <t>Southampton</t>
  </si>
  <si>
    <t>Doling, Mrs. John T (Ada Julia Bone)</t>
  </si>
  <si>
    <t>Downton, Mr. William James</t>
  </si>
  <si>
    <t>Holley, NY</t>
  </si>
  <si>
    <t>Drew, Master. Marshall Brines</t>
  </si>
  <si>
    <t>Greenport, NY</t>
  </si>
  <si>
    <t>Drew, Mr. James Vivian</t>
  </si>
  <si>
    <t>Drew, Mrs. James Vivian (Lulu Thorne Christian)</t>
  </si>
  <si>
    <t>Duran y More, Miss. Asuncion</t>
  </si>
  <si>
    <t>SC/PARIS 2149</t>
  </si>
  <si>
    <t>Barcelona, Spain / Havana, Cuba</t>
  </si>
  <si>
    <t>Duran y More, Miss. Florentina</t>
  </si>
  <si>
    <t>SC/PARIS 2148</t>
  </si>
  <si>
    <t>Eitemiller, Mr. George Floyd</t>
  </si>
  <si>
    <t>England / Detroit, MI</t>
  </si>
  <si>
    <t>Enander, Mr. Ingvar</t>
  </si>
  <si>
    <t>Goteborg, Sweden / Rockford, IL</t>
  </si>
  <si>
    <t>Fahlstrom, Mr. Arne Jonas</t>
  </si>
  <si>
    <t>Oslo, Norway Bayonne, NJ</t>
  </si>
  <si>
    <t>Faunthorpe, Mr. Harry</t>
  </si>
  <si>
    <t>England / Philadelphia, PA</t>
  </si>
  <si>
    <t>Faunthorpe, Mrs. Lizzie (Elizabeth Anne Wilkinson)</t>
  </si>
  <si>
    <t>Fillbrook, Mr. Joseph Charles</t>
  </si>
  <si>
    <t>C.A. 15185</t>
  </si>
  <si>
    <t>Cornwall / Houghton, MI</t>
  </si>
  <si>
    <t>Fox, Mr. Stanley Hubert</t>
  </si>
  <si>
    <t>Frost, Mr. Anthony Wood "Archie"</t>
  </si>
  <si>
    <t>Funk, Miss. Annie Clemmer</t>
  </si>
  <si>
    <t>Janjgir, India / Pennsylvania</t>
  </si>
  <si>
    <t>Fynney, Mr. Joseph J</t>
  </si>
  <si>
    <t>Liverpool / Montreal, PQ</t>
  </si>
  <si>
    <t>Gale, Mr. Harry</t>
  </si>
  <si>
    <t>Cornwall / Clear Creek, CO</t>
  </si>
  <si>
    <t>Gale, Mr. Shadrach</t>
  </si>
  <si>
    <t>Garside, Miss. Ethel</t>
  </si>
  <si>
    <t>Gaskell, Mr. Alfred</t>
  </si>
  <si>
    <t>Gavey, Mr. Lawrence</t>
  </si>
  <si>
    <t>Gilbert, Mr. William</t>
  </si>
  <si>
    <t>C.A. 30769</t>
  </si>
  <si>
    <t>Cornwall</t>
  </si>
  <si>
    <t>Giles, Mr. Edgar</t>
  </si>
  <si>
    <t>Cornwall / Camden, NJ</t>
  </si>
  <si>
    <t>Giles, Mr. Frederick Edward</t>
  </si>
  <si>
    <t>Giles, Mr. Ralph</t>
  </si>
  <si>
    <t>West Kensington, London</t>
  </si>
  <si>
    <t>Gill, Mr. John William</t>
  </si>
  <si>
    <t>Clevedon, England</t>
  </si>
  <si>
    <t>Gillespie, Mr. William Henry</t>
  </si>
  <si>
    <t>Givard, Mr. Hans Kristensen</t>
  </si>
  <si>
    <t>Greenberg, Mr. Samuel</t>
  </si>
  <si>
    <t>Hale, Mr. Reginald</t>
  </si>
  <si>
    <t>Auburn, NY</t>
  </si>
  <si>
    <t>Hamalainen, Master. Viljo</t>
  </si>
  <si>
    <t>Detroit, MI</t>
  </si>
  <si>
    <t>Hamalainen, Mrs. William (Anna)</t>
  </si>
  <si>
    <t>Harbeck, Mr. William H</t>
  </si>
  <si>
    <t>Seattle, WA / Toledo, OH</t>
  </si>
  <si>
    <t>Harper, Miss. Annie Jessie "Nina"</t>
  </si>
  <si>
    <t>Denmark Hill, Surrey / Chicago</t>
  </si>
  <si>
    <t>Harper, Rev. John</t>
  </si>
  <si>
    <t>Harris, Mr. George</t>
  </si>
  <si>
    <t>S.W./PP 752</t>
  </si>
  <si>
    <t>Harris, Mr. Walter</t>
  </si>
  <si>
    <t>W/C 14208</t>
  </si>
  <si>
    <t>Walthamstow, England</t>
  </si>
  <si>
    <t>Hart, Miss. Eva Miriam</t>
  </si>
  <si>
    <t>F.C.C. 13529</t>
  </si>
  <si>
    <t>Ilford, Essex / Winnipeg, MB</t>
  </si>
  <si>
    <t>Hart, Mr. Benjamin</t>
  </si>
  <si>
    <t>Hart, Mrs. Benjamin (Esther Ada Bloomfield)</t>
  </si>
  <si>
    <t>Herman, Miss. Alice</t>
  </si>
  <si>
    <t>Somerset / Bernardsville, NJ</t>
  </si>
  <si>
    <t>Herman, Miss. Kate</t>
  </si>
  <si>
    <t>Herman, Mr. Samuel</t>
  </si>
  <si>
    <t>Herman, Mrs. Samuel (Jane Laver)</t>
  </si>
  <si>
    <t xml:space="preserve">Hewlett, Mrs. (Mary D Kingcome) </t>
  </si>
  <si>
    <t>India / Rapid City, SD</t>
  </si>
  <si>
    <t>Hickman, Mr. Leonard Mark</t>
  </si>
  <si>
    <t>West Hampstead, London / Neepawa, MB</t>
  </si>
  <si>
    <t>Hickman, Mr. Lewis</t>
  </si>
  <si>
    <t>Hickman, Mr. Stanley George</t>
  </si>
  <si>
    <t>Hiltunen, Miss. Marta</t>
  </si>
  <si>
    <t>Kontiolahti, Finland / Detroit, MI</t>
  </si>
  <si>
    <t>Hocking, Miss. Ellen "Nellie"</t>
  </si>
  <si>
    <t>Cornwall / Akron, OH</t>
  </si>
  <si>
    <t>Hocking, Mr. Richard George</t>
  </si>
  <si>
    <t>Hocking, Mr. Samuel James Metcalfe</t>
  </si>
  <si>
    <t>Devonport, England</t>
  </si>
  <si>
    <t>Hocking, Mrs. Elizabeth (Eliza Needs)</t>
  </si>
  <si>
    <t>Hodges, Mr. Henry Price</t>
  </si>
  <si>
    <t>Hold, Mr. Stephen</t>
  </si>
  <si>
    <t>England / Sacramento, CA</t>
  </si>
  <si>
    <t>Hold, Mrs. Stephen (Annie Margaret Hill)</t>
  </si>
  <si>
    <t>Hood, Mr. Ambrose Jr</t>
  </si>
  <si>
    <t>Hosono, Mr. Masabumi</t>
  </si>
  <si>
    <t>Tokyo, Japan</t>
  </si>
  <si>
    <t>Howard, Mr. Benjamin</t>
  </si>
  <si>
    <t>Swindon, England</t>
  </si>
  <si>
    <t>Howard, Mrs. Benjamin (Ellen Truelove Arman)</t>
  </si>
  <si>
    <t>Hunt, Mr. George Henry</t>
  </si>
  <si>
    <t>SCO/W 1585</t>
  </si>
  <si>
    <t>Ilett, Miss. Bertha</t>
  </si>
  <si>
    <t>SO/C 14885</t>
  </si>
  <si>
    <t>Jacobsohn, Mr. Sidney Samuel</t>
  </si>
  <si>
    <t>Jacobsohn, Mrs. Sidney Samuel (Amy Frances Christy)</t>
  </si>
  <si>
    <t>Jarvis, Mr. John Denzil</t>
  </si>
  <si>
    <t>North Evington, England</t>
  </si>
  <si>
    <t>Jefferys, Mr. Clifford Thomas</t>
  </si>
  <si>
    <t>Jefferys, Mr. Ernest Wilfred</t>
  </si>
  <si>
    <t>Jenkin, Mr. Stephen Curnow</t>
  </si>
  <si>
    <t>C.A. 33111</t>
  </si>
  <si>
    <t>St Ives, Cornwall / Houghton, MI</t>
  </si>
  <si>
    <t>Jerwan, Mrs. Amin S (Marie Marthe Thuillard)</t>
  </si>
  <si>
    <t>SC/AH Basle 541</t>
  </si>
  <si>
    <t>Kantor, Mr. Sinai</t>
  </si>
  <si>
    <t>Moscow / Bronx, NY</t>
  </si>
  <si>
    <t>Kantor, Mrs. Sinai (Miriam Sternin)</t>
  </si>
  <si>
    <t>Karnes, Mrs. J Frank (Claire Bennett)</t>
  </si>
  <si>
    <t>India / Pittsburgh, PA</t>
  </si>
  <si>
    <t>Keane, Miss. Nora A</t>
  </si>
  <si>
    <t>E101</t>
  </si>
  <si>
    <t>Harrisburg, PA</t>
  </si>
  <si>
    <t>Keane, Mr. Daniel</t>
  </si>
  <si>
    <t>Kelly, Mrs. Florence "Fannie"</t>
  </si>
  <si>
    <t>Kirkland, Rev. Charles Leonard</t>
  </si>
  <si>
    <t>Glasgow / Bangor, ME</t>
  </si>
  <si>
    <t>Knight, Mr. Robert J</t>
  </si>
  <si>
    <t>Kvillner, Mr. Johan Henrik Johannesson</t>
  </si>
  <si>
    <t>C.A. 18723</t>
  </si>
  <si>
    <t>Sweden / Arlington, NJ</t>
  </si>
  <si>
    <t>Lahtinen, Mrs. William (Anna Sylfven)</t>
  </si>
  <si>
    <t>Lahtinen, Rev. William</t>
  </si>
  <si>
    <t>Lamb, Mr. John Joseph</t>
  </si>
  <si>
    <t>Laroche, Miss. Louise</t>
  </si>
  <si>
    <t>SC/Paris 2123</t>
  </si>
  <si>
    <t>Paris / Haiti</t>
  </si>
  <si>
    <t>Laroche, Miss. Simonne Marie Anne Andree</t>
  </si>
  <si>
    <t>Laroche, Mr. Joseph Philippe Lemercier</t>
  </si>
  <si>
    <t>Laroche, Mrs. Joseph (Juliette Marie Louise Lafargue)</t>
  </si>
  <si>
    <t>Lehmann, Miss. Bertha</t>
  </si>
  <si>
    <t>SC 1748</t>
  </si>
  <si>
    <t>Berne, Switzerland / Central City, IA</t>
  </si>
  <si>
    <t>Leitch, Miss. Jessie Wills</t>
  </si>
  <si>
    <t>London / Chicago, IL</t>
  </si>
  <si>
    <t>Lemore, Mrs. (Amelia Milley)</t>
  </si>
  <si>
    <t>C.A. 34260</t>
  </si>
  <si>
    <t>Levy, Mr. Rene Jacques</t>
  </si>
  <si>
    <t>SC/Paris 2163</t>
  </si>
  <si>
    <t>Leyson, Mr. Robert William Norman</t>
  </si>
  <si>
    <t>C.A. 29566</t>
  </si>
  <si>
    <t>Lingane, Mr. John</t>
  </si>
  <si>
    <t>Louch, Mr. Charles Alexander</t>
  </si>
  <si>
    <t>SC/AH 3085</t>
  </si>
  <si>
    <t>Weston-Super-Mare, Somerset</t>
  </si>
  <si>
    <t>Louch, Mrs. Charles Alexander (Alice Adelaide Slow)</t>
  </si>
  <si>
    <t>Mack, Mrs. (Mary)</t>
  </si>
  <si>
    <t>S.O./P.P. 3</t>
  </si>
  <si>
    <t>E77</t>
  </si>
  <si>
    <t>Southampton / New York, NY</t>
  </si>
  <si>
    <t>Malachard, Mr. Noel</t>
  </si>
  <si>
    <t>Paris</t>
  </si>
  <si>
    <t>Mallet, Master. Andre</t>
  </si>
  <si>
    <t>S.C./PARIS 2079</t>
  </si>
  <si>
    <t>Paris / Montreal, PQ</t>
  </si>
  <si>
    <t>Mallet, Mr. Albert</t>
  </si>
  <si>
    <t>Mallet, Mrs. Albert (Antoinette Magnin)</t>
  </si>
  <si>
    <t>Mangiavacchi, Mr. Serafino Emilio</t>
  </si>
  <si>
    <t>SC/A.3 2861</t>
  </si>
  <si>
    <t>Matthews, Mr. William John</t>
  </si>
  <si>
    <t>St Austall, Cornwall</t>
  </si>
  <si>
    <t>Maybery, Mr. Frank Hubert</t>
  </si>
  <si>
    <t>Weston-Super-Mare / Moose Jaw, SK</t>
  </si>
  <si>
    <t>McCrae, Mr. Arthur Gordon</t>
  </si>
  <si>
    <t>Sydney, Australia</t>
  </si>
  <si>
    <t>McCrie, Mr. James Matthew</t>
  </si>
  <si>
    <t>Sarnia, ON</t>
  </si>
  <si>
    <t>McKane, Mr. Peter David</t>
  </si>
  <si>
    <t>Mellinger, Miss. Madeleine Violet</t>
  </si>
  <si>
    <t>England / Bennington, VT</t>
  </si>
  <si>
    <t>Mellinger, Mrs. (Elizabeth Anne Maidment)</t>
  </si>
  <si>
    <t>Mellors, Mr. William John</t>
  </si>
  <si>
    <t>SW/PP 751</t>
  </si>
  <si>
    <t>Chelsea, London</t>
  </si>
  <si>
    <t>Meyer, Mr. August</t>
  </si>
  <si>
    <t>Harrow-on-the-Hill, Middlesex</t>
  </si>
  <si>
    <t>Milling, Mr. Jacob Christian</t>
  </si>
  <si>
    <t>Copenhagen, Denmark</t>
  </si>
  <si>
    <t>Mitchell, Mr. Henry Michael</t>
  </si>
  <si>
    <t>C.A. 24580</t>
  </si>
  <si>
    <t>Guernsey / Montclair, NJ and/or Toledo, Ohio</t>
  </si>
  <si>
    <t>Montvila, Rev. Juozas</t>
  </si>
  <si>
    <t>Moraweck, Dr. Ernest</t>
  </si>
  <si>
    <t>Frankfort, KY</t>
  </si>
  <si>
    <t>Morley, Mr. Henry Samuel ("Mr Henry Marshall")</t>
  </si>
  <si>
    <t>Mudd, Mr. Thomas Charles</t>
  </si>
  <si>
    <t>Halesworth, England</t>
  </si>
  <si>
    <t>Myles, Mr. Thomas Francis</t>
  </si>
  <si>
    <t>Cambridge, MA</t>
  </si>
  <si>
    <t>Nasser, Mr. Nicholas</t>
  </si>
  <si>
    <t>Nasser, Mrs. Nicholas (Adele Achem)</t>
  </si>
  <si>
    <t>Navratil, Master. Edmond Roger</t>
  </si>
  <si>
    <t>F2</t>
  </si>
  <si>
    <t>Nice, France</t>
  </si>
  <si>
    <t>Navratil, Master. Michel M</t>
  </si>
  <si>
    <t>Navratil, Mr. Michel ("Louis M Hoffman")</t>
  </si>
  <si>
    <t>Nesson, Mr. Israel</t>
  </si>
  <si>
    <t>Nicholls, Mr. Joseph Charles</t>
  </si>
  <si>
    <t>Cornwall / Hancock, MI</t>
  </si>
  <si>
    <t>Norman, Mr. Robert Douglas</t>
  </si>
  <si>
    <t>Glasgow</t>
  </si>
  <si>
    <t>Nourney, Mr. Alfred ("Baron von Drachstedt")</t>
  </si>
  <si>
    <t>SC/PARIS 2166</t>
  </si>
  <si>
    <t>D38</t>
  </si>
  <si>
    <t>Cologne, Germany</t>
  </si>
  <si>
    <t>Nye, Mrs. (Elizabeth Ramell)</t>
  </si>
  <si>
    <t>C.A. 29395</t>
  </si>
  <si>
    <t>Folkstone, Kent / New York, NY</t>
  </si>
  <si>
    <t>Otter, Mr. Richard</t>
  </si>
  <si>
    <t>Middleburg Heights, OH</t>
  </si>
  <si>
    <t>Oxenham, Mr. Percy Thomas</t>
  </si>
  <si>
    <t>W./C. 14260</t>
  </si>
  <si>
    <t>Pondersend, England / New Durham, NJ</t>
  </si>
  <si>
    <t>Padro y Manent, Mr. Julian</t>
  </si>
  <si>
    <t>SC/PARIS 2146</t>
  </si>
  <si>
    <t>Spain / Havana, Cuba</t>
  </si>
  <si>
    <t>Pain, Dr. Alfred</t>
  </si>
  <si>
    <t>Hamilton, ON</t>
  </si>
  <si>
    <t>Pallas y Castello, Mr. Emilio</t>
  </si>
  <si>
    <t>SC/PARIS 2147</t>
  </si>
  <si>
    <t>Parker, Mr. Clifford Richard</t>
  </si>
  <si>
    <t>SC 14888</t>
  </si>
  <si>
    <t>St Andrews, Guernsey</t>
  </si>
  <si>
    <t>Parkes, Mr. Francis "Frank"</t>
  </si>
  <si>
    <t>Parrish, Mrs. (Lutie Davis)</t>
  </si>
  <si>
    <t>Woodford County, KY</t>
  </si>
  <si>
    <t>Pengelly, Mr. Frederick William</t>
  </si>
  <si>
    <t>Gunnislake, England / Butte, MT</t>
  </si>
  <si>
    <t>Pernot, Mr. Rene</t>
  </si>
  <si>
    <t>SC/PARIS 2131</t>
  </si>
  <si>
    <t>Peruschitz, Rev. Joseph Maria</t>
  </si>
  <si>
    <t>Phillips, Miss. Alice Frances Louisa</t>
  </si>
  <si>
    <t>S.O./P.P. 2</t>
  </si>
  <si>
    <t>Ilfracombe, Devon</t>
  </si>
  <si>
    <t>Phillips, Miss. Kate Florence ("Mrs Kate Louise Phillips Marshall")</t>
  </si>
  <si>
    <t>Worcester, England</t>
  </si>
  <si>
    <t>Phillips, Mr. Escott Robert</t>
  </si>
  <si>
    <t>Pinsky, Mrs. (Rosa)</t>
  </si>
  <si>
    <t>Russia</t>
  </si>
  <si>
    <t>Ponesell, Mr. Martin</t>
  </si>
  <si>
    <t>Denmark / New York, NY</t>
  </si>
  <si>
    <t>Portaluppi, Mr. Emilio Ilario Giuseppe</t>
  </si>
  <si>
    <t>C.A. 34644</t>
  </si>
  <si>
    <t>Milford, NH</t>
  </si>
  <si>
    <t>Pulbaum, Mr. Franz</t>
  </si>
  <si>
    <t>SC/PARIS 2168</t>
  </si>
  <si>
    <t>Quick, Miss. Phyllis May</t>
  </si>
  <si>
    <t>Plymouth, Devon / Detroit, MI</t>
  </si>
  <si>
    <t>Quick, Miss. Winifred Vera</t>
  </si>
  <si>
    <t>Quick, Mrs. Frederick Charles (Jane Richards)</t>
  </si>
  <si>
    <t>Reeves, Mr. David</t>
  </si>
  <si>
    <t>C.A. 17248</t>
  </si>
  <si>
    <t>Brighton, Sussex</t>
  </si>
  <si>
    <t>Renouf, Mr. Peter Henry</t>
  </si>
  <si>
    <t>Elizabeth, NJ</t>
  </si>
  <si>
    <t>Renouf, Mrs. Peter Henry (Lillian Jefferys)</t>
  </si>
  <si>
    <t>Reynaldo, Ms. Encarnacion</t>
  </si>
  <si>
    <t>Spain</t>
  </si>
  <si>
    <t>Richard, Mr. Emile</t>
  </si>
  <si>
    <t>SC/PARIS 2133</t>
  </si>
  <si>
    <t>Richards, Master. George Sibley</t>
  </si>
  <si>
    <t>Richards, Master. William Rowe</t>
  </si>
  <si>
    <t>Richards, Mrs. Sidney (Emily Hocking)</t>
  </si>
  <si>
    <t>Ridsdale, Miss. Lucy</t>
  </si>
  <si>
    <t>W./C. 14258</t>
  </si>
  <si>
    <t>London, England / Marietta, Ohio and Milwaukee, WI</t>
  </si>
  <si>
    <t>Rogers, Mr. Reginald Harry</t>
  </si>
  <si>
    <t>Rugg, Miss. Emily</t>
  </si>
  <si>
    <t>C.A. 31026</t>
  </si>
  <si>
    <t>Guernsey / Wilmington, DE</t>
  </si>
  <si>
    <t>Schmidt, Mr. August</t>
  </si>
  <si>
    <t>Sedgwick, Mr. Charles Frederick Waddington</t>
  </si>
  <si>
    <t>Sharp, Mr. Percival James R</t>
  </si>
  <si>
    <t>Hornsey, England</t>
  </si>
  <si>
    <t>Shelley, Mrs. William (Imanita Parrish Hall)</t>
  </si>
  <si>
    <t>Deer Lodge, MT</t>
  </si>
  <si>
    <t>Silven, Miss. Lyyli Karoliina</t>
  </si>
  <si>
    <t>Finland / Minneapolis, MN</t>
  </si>
  <si>
    <t>Sincock, Miss. Maude</t>
  </si>
  <si>
    <t>Sinkkonen, Miss. Anna</t>
  </si>
  <si>
    <t>Finland / Washington, DC</t>
  </si>
  <si>
    <t>Sjostedt, Mr. Ernst Adolf</t>
  </si>
  <si>
    <t>Sault St Marie, ON</t>
  </si>
  <si>
    <t>Slayter, Miss. Hilda Mary</t>
  </si>
  <si>
    <t>Slemen, Mr. Richard James</t>
  </si>
  <si>
    <t>Smith, Miss. Marion Elsie</t>
  </si>
  <si>
    <t>Sobey, Mr. Samuel James Hayden</t>
  </si>
  <si>
    <t>C.A. 29178</t>
  </si>
  <si>
    <t>Stanton, Mr. Samuel Ward</t>
  </si>
  <si>
    <t>Stokes, Mr. Philip Joseph</t>
  </si>
  <si>
    <t>F.C.C. 13540</t>
  </si>
  <si>
    <t>Catford, Kent / Detroit, MI</t>
  </si>
  <si>
    <t>Swane, Mr. George</t>
  </si>
  <si>
    <t>F</t>
  </si>
  <si>
    <t>Sweet, Mr. George Frederick</t>
  </si>
  <si>
    <t>Toomey, Miss. Ellen</t>
  </si>
  <si>
    <t>F.C.C. 13531</t>
  </si>
  <si>
    <t>Troupiansky, Mr. Moses Aaron</t>
  </si>
  <si>
    <t>Trout, Mrs. William H (Jessie L)</t>
  </si>
  <si>
    <t>Columbus, OH</t>
  </si>
  <si>
    <t>Troutt, Miss. Edwina Celia "Winnie"</t>
  </si>
  <si>
    <t>Bath, England / Massachusetts</t>
  </si>
  <si>
    <t>Turpin, Mr. William John Robert</t>
  </si>
  <si>
    <t>Plymouth, England</t>
  </si>
  <si>
    <t>Turpin, Mrs. William John Robert (Dorothy Ann Wonnacott)</t>
  </si>
  <si>
    <t>Veal, Mr. James</t>
  </si>
  <si>
    <t>Barre, Co Washington, VT</t>
  </si>
  <si>
    <t>Walcroft, Miss. Nellie</t>
  </si>
  <si>
    <t>Ware, Mr. John James</t>
  </si>
  <si>
    <t>CA 31352</t>
  </si>
  <si>
    <t>Bristol, England / New Britain, CT</t>
  </si>
  <si>
    <t>Ware, Mr. William Jeffery</t>
  </si>
  <si>
    <t>Ware, Mrs. John James (Florence Louise Long)</t>
  </si>
  <si>
    <t>Watson, Mr. Ennis Hastings</t>
  </si>
  <si>
    <t>Watt, Miss. Bertha J</t>
  </si>
  <si>
    <t>C.A. 33595</t>
  </si>
  <si>
    <t>Aberdeen / Portland, OR</t>
  </si>
  <si>
    <t>Watt, Mrs. James (Elizabeth "Bessie" Inglis Milne)</t>
  </si>
  <si>
    <t>Webber, Miss. Susan</t>
  </si>
  <si>
    <t>England / Hartford, CT</t>
  </si>
  <si>
    <t>Weisz, Mr. Leopold</t>
  </si>
  <si>
    <t>Bromsgrove, England / Montreal, PQ</t>
  </si>
  <si>
    <t>Weisz, Mrs. Leopold (Mathilde Francoise Pede)</t>
  </si>
  <si>
    <t>Wells, Master. Ralph Lester</t>
  </si>
  <si>
    <t>Wells, Miss. Joan</t>
  </si>
  <si>
    <t>Wells, Mrs. Arthur Henry ("Addie" Dart Trevaskis)</t>
  </si>
  <si>
    <t>West, Miss. Barbara J</t>
  </si>
  <si>
    <t>C.A. 34651</t>
  </si>
  <si>
    <t>Bournmouth, England</t>
  </si>
  <si>
    <t>West, Miss. Constance Mirium</t>
  </si>
  <si>
    <t>West, Mr. Edwy Arthur</t>
  </si>
  <si>
    <t>West, Mrs. Edwy Arthur (Ada Mary Worth)</t>
  </si>
  <si>
    <t>Wheadon, Mr. Edward H</t>
  </si>
  <si>
    <t>C.A. 24579</t>
  </si>
  <si>
    <t>Guernsey, England / Edgewood, RI</t>
  </si>
  <si>
    <t>Wheeler, Mr. Edwin "Frederick"</t>
  </si>
  <si>
    <t>SC/PARIS 2159</t>
  </si>
  <si>
    <t>Wilhelms, Mr. Charles</t>
  </si>
  <si>
    <t>Williams, Mr. Charles Eugene</t>
  </si>
  <si>
    <t>Harrow, England</t>
  </si>
  <si>
    <t>Wright, Miss. Marion</t>
  </si>
  <si>
    <t>Yoevil, England / Cottage Grove, OR</t>
  </si>
  <si>
    <t>Yrois, Miss. Henriette ("Mrs Harbeck")</t>
  </si>
  <si>
    <t>Abbing, Mr. Anthony</t>
  </si>
  <si>
    <t>C.A. 5547</t>
  </si>
  <si>
    <t>Abbott, Master. Eugene Joseph</t>
  </si>
  <si>
    <t>C.A. 2673</t>
  </si>
  <si>
    <t>East Providence, RI</t>
  </si>
  <si>
    <t>Abbott, Mr. Rossmore Edward</t>
  </si>
  <si>
    <t>Abbott, Mrs. Stanton (Rosa Hunt)</t>
  </si>
  <si>
    <t>Abelseth, Miss. Karen Marie</t>
  </si>
  <si>
    <t>Norway Los Angeles, CA</t>
  </si>
  <si>
    <t>Abelseth, Mr. Olaus Jorgensen</t>
  </si>
  <si>
    <t>F G63</t>
  </si>
  <si>
    <t>Perkins County, SD</t>
  </si>
  <si>
    <t>Abrahamsson, Mr. Abraham August Johannes</t>
  </si>
  <si>
    <t>SOTON/O2 3101284</t>
  </si>
  <si>
    <t>Taalintehdas, Finland Hoboken, NJ</t>
  </si>
  <si>
    <t>Abrahim, Mrs. Joseph (Sophie Halaut Easu)</t>
  </si>
  <si>
    <t>Greensburg, PA</t>
  </si>
  <si>
    <t>Adahl, Mr. Mauritz Nils Martin</t>
  </si>
  <si>
    <t>C 7076</t>
  </si>
  <si>
    <t>Asarum, Sweden Brooklyn, NY</t>
  </si>
  <si>
    <t>Adams, Mr. John</t>
  </si>
  <si>
    <t>Bournemouth, England</t>
  </si>
  <si>
    <t>Ahlin, Mrs. Johan (Johanna Persdotter Larsson)</t>
  </si>
  <si>
    <t>Sweden Akeley, MN</t>
  </si>
  <si>
    <t>Aks, Master. Philip Frank</t>
  </si>
  <si>
    <t>London, England Norfolk, VA</t>
  </si>
  <si>
    <t>Aks, Mrs. Sam (Leah Rosen)</t>
  </si>
  <si>
    <t>Albimona, Mr. Nassef Cassem</t>
  </si>
  <si>
    <t>Syria Fredericksburg, VA</t>
  </si>
  <si>
    <t>Alexander, Mr. William</t>
  </si>
  <si>
    <t>England Albion, NY</t>
  </si>
  <si>
    <t>Alhomaki, Mr. Ilmari Rudolf</t>
  </si>
  <si>
    <t>SOTON/O2 3101287</t>
  </si>
  <si>
    <t>Salo, Finland Astoria, OR</t>
  </si>
  <si>
    <t>Ali, Mr. Ahmed</t>
  </si>
  <si>
    <t>SOTON/O.Q. 3101311</t>
  </si>
  <si>
    <t>Ali, Mr. William</t>
  </si>
  <si>
    <t>SOTON/O.Q. 3101312</t>
  </si>
  <si>
    <t>Argentina</t>
  </si>
  <si>
    <t>Allen, Mr. William Henry</t>
  </si>
  <si>
    <t>Lower Clapton, Middlesex or Erdington, Birmingham</t>
  </si>
  <si>
    <t>Allum, Mr. Owen George</t>
  </si>
  <si>
    <t>Windsor, England New York, NY</t>
  </si>
  <si>
    <t>Andersen, Mr. Albert Karvin</t>
  </si>
  <si>
    <t>C 4001</t>
  </si>
  <si>
    <t>Bergen, Norway</t>
  </si>
  <si>
    <t>Andersen-Jensen, Miss. Carla Christine Nielsine</t>
  </si>
  <si>
    <t>Andersson, Master. Sigvard Harald Elias</t>
  </si>
  <si>
    <t>Sweden Winnipeg, MN</t>
  </si>
  <si>
    <t>Andersson, Miss. Ebba Iris Alfrida</t>
  </si>
  <si>
    <t>Andersson, Miss. Ellis Anna Maria</t>
  </si>
  <si>
    <t>Andersson, Miss. Erna Alexandra</t>
  </si>
  <si>
    <t>Ruotsinphyhtaa, Finland New York, NY</t>
  </si>
  <si>
    <t>Andersson, Miss. Ida Augusta Margareta</t>
  </si>
  <si>
    <t>Vadsbro, Sweden Ministee, MI</t>
  </si>
  <si>
    <t>Andersson, Miss. Ingeborg Constanzia</t>
  </si>
  <si>
    <t>Andersson, Miss. Sigrid Elisabeth</t>
  </si>
  <si>
    <t>Andersson, Mr. Anders Johan</t>
  </si>
  <si>
    <t>Andersson, Mr. August Edvard ("Wennerstrom")</t>
  </si>
  <si>
    <t>Andersson, Mr. Johan Samuel</t>
  </si>
  <si>
    <t>Hartford, CT</t>
  </si>
  <si>
    <t>Andersson, Mrs. Anders Johan (Alfrida Konstantia Brogren)</t>
  </si>
  <si>
    <t>Andreasson, Mr. Paul Edvin</t>
  </si>
  <si>
    <t>Sweden Chicago, IL</t>
  </si>
  <si>
    <t>Angheloff, Mr. Minko</t>
  </si>
  <si>
    <t>Bulgaria Chicago, IL</t>
  </si>
  <si>
    <t>Arnold-Franchi, Mr. Josef</t>
  </si>
  <si>
    <t>Altdorf, Switzerland</t>
  </si>
  <si>
    <t>Arnold-Franchi, Mrs. Josef (Josefine Franchi)</t>
  </si>
  <si>
    <t>Aronsson, Mr. Ernst Axel Algot</t>
  </si>
  <si>
    <t>Sweden Joliet, IL</t>
  </si>
  <si>
    <t>Asim, Mr. Adola</t>
  </si>
  <si>
    <t>SOTON/O.Q. 3101310</t>
  </si>
  <si>
    <t>Asplund, Master. Carl Edgar</t>
  </si>
  <si>
    <t>Sweden  Worcester, MA</t>
  </si>
  <si>
    <t>Asplund, Master. Clarence Gustaf Hugo</t>
  </si>
  <si>
    <t>Sweden Worcester, MA</t>
  </si>
  <si>
    <t>Asplund, Master. Edvin Rojj Felix</t>
  </si>
  <si>
    <t>Asplund, Master. Filip Oscar</t>
  </si>
  <si>
    <t>Asplund, Miss. Lillian Gertrud</t>
  </si>
  <si>
    <t>Asplund, Mr. Carl Oscar Vilhelm Gustafsson</t>
  </si>
  <si>
    <t>Asplund, Mr. Johan Charles</t>
  </si>
  <si>
    <t>Oskarshamn, Sweden Minneapolis, MN</t>
  </si>
  <si>
    <t>Asplund, Mrs. Carl Oscar (Selma Augusta Emilia Johansson)</t>
  </si>
  <si>
    <t>Assaf Khalil, Mrs. Mariana ("Miriam")</t>
  </si>
  <si>
    <t>Ottawa, ON</t>
  </si>
  <si>
    <t>Assaf, Mr. Gerios</t>
  </si>
  <si>
    <t>Assam, Mr. Ali</t>
  </si>
  <si>
    <t>SOTON/O.Q. 3101309</t>
  </si>
  <si>
    <t>Attalah, Miss. Malake</t>
  </si>
  <si>
    <t>Attalah, Mr. Sleiman</t>
  </si>
  <si>
    <t>Augustsson, Mr. Albert</t>
  </si>
  <si>
    <t>Krakoryd, Sweden Bloomington, IL</t>
  </si>
  <si>
    <t>Ayoub, Miss. Banoura</t>
  </si>
  <si>
    <t>Syria Youngstown, OH</t>
  </si>
  <si>
    <t>Baccos, Mr. Raffull</t>
  </si>
  <si>
    <t>Backstrom, Mr. Karl Alfred</t>
  </si>
  <si>
    <t>Ruotsinphytaa, Finland New York, NY</t>
  </si>
  <si>
    <t>Backstrom, Mrs. Karl Alfred (Maria Mathilda Gustafsson)</t>
  </si>
  <si>
    <t>Baclini, Miss. Eugenie</t>
  </si>
  <si>
    <t>Syria New York, NY</t>
  </si>
  <si>
    <t>Baclini, Miss. Helene Barbara</t>
  </si>
  <si>
    <t>Baclini, Miss. Marie Catherine</t>
  </si>
  <si>
    <t>Baclini, Mrs. Solomon (Latifa Qurban)</t>
  </si>
  <si>
    <t>Badman, Miss. Emily Louisa</t>
  </si>
  <si>
    <t>A/4 31416</t>
  </si>
  <si>
    <t>London Skanteales, NY</t>
  </si>
  <si>
    <t>Badt, Mr. Mohamed</t>
  </si>
  <si>
    <t>Balkic, Mr. Cerin</t>
  </si>
  <si>
    <t>Barah, Mr. Hanna Assi</t>
  </si>
  <si>
    <t>Barbara, Miss. Saiide</t>
  </si>
  <si>
    <t>Syria Ottawa, ON</t>
  </si>
  <si>
    <t>Barbara, Mrs. (Catherine David)</t>
  </si>
  <si>
    <t>Barry, Miss. Julia</t>
  </si>
  <si>
    <t>Barton, Mr. David John</t>
  </si>
  <si>
    <t>England New York, NY</t>
  </si>
  <si>
    <t>Beavan, Mr. William Thomas</t>
  </si>
  <si>
    <t>Bengtsson, Mr. John Viktor</t>
  </si>
  <si>
    <t>Krakudden, Sweden Moune, IL</t>
  </si>
  <si>
    <t>Berglund, Mr. Karl Ivar Sven</t>
  </si>
  <si>
    <t>PP 4348</t>
  </si>
  <si>
    <t>Tranvik, Finland New York</t>
  </si>
  <si>
    <t>Betros, Master. Seman</t>
  </si>
  <si>
    <t>Betros, Mr. Tannous</t>
  </si>
  <si>
    <t>Syria</t>
  </si>
  <si>
    <t>Bing, Mr. Lee</t>
  </si>
  <si>
    <t>Hong Kong New York, NY</t>
  </si>
  <si>
    <t>Birkeland, Mr. Hans Martin Monsen</t>
  </si>
  <si>
    <t>Brennes, Norway New York</t>
  </si>
  <si>
    <t>Bjorklund, Mr. Ernst Herbert</t>
  </si>
  <si>
    <t>Stockholm, Sweden New York</t>
  </si>
  <si>
    <t>Bostandyeff, Mr. Guentcho</t>
  </si>
  <si>
    <t>Boulos, Master. Akar</t>
  </si>
  <si>
    <t>Syria Kent, ON</t>
  </si>
  <si>
    <t>Boulos, Miss. Nourelain</t>
  </si>
  <si>
    <t>Boulos, Mr. Hanna</t>
  </si>
  <si>
    <t>Boulos, Mrs. Joseph (Sultana)</t>
  </si>
  <si>
    <t>Bourke, Miss. Mary</t>
  </si>
  <si>
    <t>Ireland Chicago, IL</t>
  </si>
  <si>
    <t>Bourke, Mr. John</t>
  </si>
  <si>
    <t>Bourke, Mrs. John (Catherine)</t>
  </si>
  <si>
    <t>Bowen, Mr. David John "Dai"</t>
  </si>
  <si>
    <t>Treherbert, Cardiff, Wales</t>
  </si>
  <si>
    <t>Bradley, Miss. Bridget Delia</t>
  </si>
  <si>
    <t>Kingwilliamstown, Co Cork, Ireland Glens Falls, NY</t>
  </si>
  <si>
    <t>Braf, Miss. Elin Ester Maria</t>
  </si>
  <si>
    <t>Medeltorp, Sweden Chicago, IL</t>
  </si>
  <si>
    <t>Braund, Mr. Lewis Richard</t>
  </si>
  <si>
    <t>Bridgerule, Devon</t>
  </si>
  <si>
    <t>Braund, Mr. Owen Harris</t>
  </si>
  <si>
    <t>A/5 21171</t>
  </si>
  <si>
    <t>Brobeck, Mr. Karl Rudolf</t>
  </si>
  <si>
    <t>Brocklebank, Mr. William Alfred</t>
  </si>
  <si>
    <t>Broomfield, Chelmsford, England</t>
  </si>
  <si>
    <t>Buckley, Miss. Katherine</t>
  </si>
  <si>
    <t>Co Cork, Ireland Roxbury, MA</t>
  </si>
  <si>
    <t>Buckley, Mr. Daniel</t>
  </si>
  <si>
    <t>Kingwilliamstown, Co Cork, Ireland New York, NY</t>
  </si>
  <si>
    <t>Burke, Mr. Jeremiah</t>
  </si>
  <si>
    <t>Co Cork, Ireland Charlestown, MA</t>
  </si>
  <si>
    <t>Burns, Miss. Mary Delia</t>
  </si>
  <si>
    <t>Co Sligo, Ireland New York, NY</t>
  </si>
  <si>
    <t>Cacic, Miss. Manda</t>
  </si>
  <si>
    <t>Cacic, Miss. Marija</t>
  </si>
  <si>
    <t>Cacic, Mr. Jego Grga</t>
  </si>
  <si>
    <t>Cacic, Mr. Luka</t>
  </si>
  <si>
    <t>Croatia</t>
  </si>
  <si>
    <t>Calic, Mr. Jovo</t>
  </si>
  <si>
    <t>Calic, Mr. Petar</t>
  </si>
  <si>
    <t>Canavan, Miss. Mary</t>
  </si>
  <si>
    <t>Canavan, Mr. Patrick</t>
  </si>
  <si>
    <t>Ireland Philadelphia, PA</t>
  </si>
  <si>
    <t>Cann, Mr. Ernest Charles</t>
  </si>
  <si>
    <t>A./5. 2152</t>
  </si>
  <si>
    <t>Caram, Mr. Joseph</t>
  </si>
  <si>
    <t>Caram, Mrs. Joseph (Maria Elias)</t>
  </si>
  <si>
    <t>Carlsson, Mr. August Sigfrid</t>
  </si>
  <si>
    <t>Dagsas, Sweden Fower, MN</t>
  </si>
  <si>
    <t>Carlsson, Mr. Carl Robert</t>
  </si>
  <si>
    <t>Goteborg, Sweden Huntley, IL</t>
  </si>
  <si>
    <t>Carr, Miss. Helen "Ellen"</t>
  </si>
  <si>
    <t>Co Longford, Ireland New York, NY</t>
  </si>
  <si>
    <t>Carr, Miss. Jeannie</t>
  </si>
  <si>
    <t>Co Sligo, Ireland Hartford, CT</t>
  </si>
  <si>
    <t>Carver, Mr. Alfred John</t>
  </si>
  <si>
    <t>St Denys, Southampton, Hants</t>
  </si>
  <si>
    <t>Celotti, Mr. Francesco</t>
  </si>
  <si>
    <t>Charters, Mr. David</t>
  </si>
  <si>
    <t>A/5. 13032</t>
  </si>
  <si>
    <t>Ireland New York, NY</t>
  </si>
  <si>
    <t>Chip, Mr. Chang</t>
  </si>
  <si>
    <t>Christmann, Mr. Emil</t>
  </si>
  <si>
    <t>Chronopoulos, Mr. Apostolos</t>
  </si>
  <si>
    <t>Greece</t>
  </si>
  <si>
    <t>Chronopoulos, Mr. Demetrios</t>
  </si>
  <si>
    <t>Coelho, Mr. Domingos Fernandeo</t>
  </si>
  <si>
    <t>SOTON/O.Q. 3101307</t>
  </si>
  <si>
    <t>Portugal</t>
  </si>
  <si>
    <t>Cohen, Mr. Gurshon "Gus"</t>
  </si>
  <si>
    <t>A/5 3540</t>
  </si>
  <si>
    <t>London Brooklyn, NY</t>
  </si>
  <si>
    <t>Colbert, Mr. Patrick</t>
  </si>
  <si>
    <t>Co Limerick, Ireland Sherbrooke, PQ</t>
  </si>
  <si>
    <t>Coleff, Mr. Peju</t>
  </si>
  <si>
    <t>Coleff, Mr. Satio</t>
  </si>
  <si>
    <t>Conlon, Mr. Thomas Henry</t>
  </si>
  <si>
    <t>Connaghton, Mr. Michael</t>
  </si>
  <si>
    <t>Ireland Brooklyn, NY</t>
  </si>
  <si>
    <t>Connolly, Miss. Kate</t>
  </si>
  <si>
    <t>Ireland</t>
  </si>
  <si>
    <t>Connors, Mr. Patrick</t>
  </si>
  <si>
    <t>Cook, Mr. Jacob</t>
  </si>
  <si>
    <t>A/5 3536</t>
  </si>
  <si>
    <t>Cor, Mr. Bartol</t>
  </si>
  <si>
    <t>Austria</t>
  </si>
  <si>
    <t>Cor, Mr. Ivan</t>
  </si>
  <si>
    <t>Cor, Mr. Liudevit</t>
  </si>
  <si>
    <t>Corn, Mr. Harry</t>
  </si>
  <si>
    <t>SOTON/OQ 392090</t>
  </si>
  <si>
    <t>Coutts, Master. Eden Leslie "Neville"</t>
  </si>
  <si>
    <t>C.A. 37671</t>
  </si>
  <si>
    <t>England Brooklyn, NY</t>
  </si>
  <si>
    <t>Coutts, Master. William Loch "William"</t>
  </si>
  <si>
    <t>Coutts, Mrs. William (Winnie "Minnie" Treanor)</t>
  </si>
  <si>
    <t>Coxon, Mr. Daniel</t>
  </si>
  <si>
    <t>Merrill, WI</t>
  </si>
  <si>
    <t>Crease, Mr. Ernest James</t>
  </si>
  <si>
    <t>S.P. 3464</t>
  </si>
  <si>
    <t>Bristol, England Cleveland, OH</t>
  </si>
  <si>
    <t>Cribb, Miss. Laura Alice</t>
  </si>
  <si>
    <t>Bournemouth, England Newark, NJ</t>
  </si>
  <si>
    <t>Cribb, Mr. John Hatfield</t>
  </si>
  <si>
    <t>Culumovic, Mr. Jeso</t>
  </si>
  <si>
    <t>Austria-Hungary</t>
  </si>
  <si>
    <t>Daher, Mr. Shedid</t>
  </si>
  <si>
    <t>Dahl, Mr. Karl Edwart</t>
  </si>
  <si>
    <t>Australia Fingal, ND</t>
  </si>
  <si>
    <t>Dahlberg, Miss. Gerda Ulrika</t>
  </si>
  <si>
    <t>Norrlot, Sweden Chicago, IL</t>
  </si>
  <si>
    <t>Dakic, Mr. Branko</t>
  </si>
  <si>
    <t>Daly, Miss. Margaret Marcella "Maggie"</t>
  </si>
  <si>
    <t>Co Athlone, Ireland New York, NY</t>
  </si>
  <si>
    <t>Daly, Mr. Eugene Patrick</t>
  </si>
  <si>
    <t>13 15 B</t>
  </si>
  <si>
    <t>Danbom, Master. Gilbert Sigvard Emanuel</t>
  </si>
  <si>
    <t>Stanton, IA</t>
  </si>
  <si>
    <t>Danbom, Mr. Ernst Gilbert</t>
  </si>
  <si>
    <t>Danbom, Mrs. Ernst Gilbert (Anna Sigrid Maria Brogren)</t>
  </si>
  <si>
    <t>Danoff, Mr. Yoto</t>
  </si>
  <si>
    <t>Dantcheff, Mr. Ristiu</t>
  </si>
  <si>
    <t>Davies, Mr. Alfred J</t>
  </si>
  <si>
    <t>A/4 48871</t>
  </si>
  <si>
    <t>West Bromwich, England Pontiac, MI</t>
  </si>
  <si>
    <t>Davies, Mr. Evan</t>
  </si>
  <si>
    <t>SC/A4 23568</t>
  </si>
  <si>
    <t>Davies, Mr. John Samuel</t>
  </si>
  <si>
    <t>Davies, Mr. Joseph</t>
  </si>
  <si>
    <t>A/4 48873</t>
  </si>
  <si>
    <t>Davison, Mr. Thomas Henry</t>
  </si>
  <si>
    <t>Liverpool, England Bedford, OH</t>
  </si>
  <si>
    <t>Davison, Mrs. Thomas Henry (Mary E Finck)</t>
  </si>
  <si>
    <t>de Messemaeker, Mr. Guillaume Joseph</t>
  </si>
  <si>
    <t>Tampico, MT</t>
  </si>
  <si>
    <t>de Messemaeker, Mrs. Guillaume Joseph (Emma)</t>
  </si>
  <si>
    <t>de Mulder, Mr. Theodore</t>
  </si>
  <si>
    <t>Belgium Detroit, MI</t>
  </si>
  <si>
    <t>de Pelsmaeker, Mr. Alfons</t>
  </si>
  <si>
    <t>Dean, Master. Bertram Vere</t>
  </si>
  <si>
    <t>C.A. 2315</t>
  </si>
  <si>
    <t>Devon, England Wichita, KS</t>
  </si>
  <si>
    <t>Dean, Miss. Elizabeth Gladys "Millvina"</t>
  </si>
  <si>
    <t>Dean, Mr. Bertram Frank</t>
  </si>
  <si>
    <t>Dean, Mrs. Bertram (Eva Georgetta Light)</t>
  </si>
  <si>
    <t>Delalic, Mr. Redjo</t>
  </si>
  <si>
    <t>Demetri, Mr. Marinko</t>
  </si>
  <si>
    <t>Denkoff, Mr. Mitto</t>
  </si>
  <si>
    <t>Bulgaria Coon Rapids, IA</t>
  </si>
  <si>
    <t>Dennis, Mr. Samuel</t>
  </si>
  <si>
    <t>A/5 21172</t>
  </si>
  <si>
    <t>Dennis, Mr. William</t>
  </si>
  <si>
    <t>A/5 21175</t>
  </si>
  <si>
    <t>Devaney, Miss. Margaret Delia</t>
  </si>
  <si>
    <t>Kilmacowen, Co Sligo, Ireland New York, NY</t>
  </si>
  <si>
    <t>Dika, Mr. Mirko</t>
  </si>
  <si>
    <t>Dimic, Mr. Jovan</t>
  </si>
  <si>
    <t>Dintcheff, Mr. Valtcho</t>
  </si>
  <si>
    <t>Doharr, Mr. Tannous</t>
  </si>
  <si>
    <t>Dooley, Mr. Patrick</t>
  </si>
  <si>
    <t>Dorking, Mr. Edward Arthur</t>
  </si>
  <si>
    <t>A/5. 10482</t>
  </si>
  <si>
    <t>England Oglesby, IL</t>
  </si>
  <si>
    <t>Dowdell, Miss. Elizabeth</t>
  </si>
  <si>
    <t>Union Hill, NJ</t>
  </si>
  <si>
    <t>Doyle, Miss. Elizabeth</t>
  </si>
  <si>
    <t>Drapkin, Miss. Jennie</t>
  </si>
  <si>
    <t>SOTON/OQ 392083</t>
  </si>
  <si>
    <t>London New York, NY</t>
  </si>
  <si>
    <t>Drazenoic, Mr. Jozef</t>
  </si>
  <si>
    <t>Austria Niagara Falls, NY</t>
  </si>
  <si>
    <t>Duane, Mr. Frank</t>
  </si>
  <si>
    <t>Duquemin, Mr. Joseph</t>
  </si>
  <si>
    <t>S.O./P.P. 752</t>
  </si>
  <si>
    <t>Dyker, Mr. Adolf Fredrik</t>
  </si>
  <si>
    <t>West Haven, CT</t>
  </si>
  <si>
    <t>Dyker, Mrs. Adolf Fredrik (Anna Elisabeth Judith Andersson)</t>
  </si>
  <si>
    <t>Edvardsson, Mr. Gustaf Hjalmar</t>
  </si>
  <si>
    <t>Tofta, Sweden Joliet, IL</t>
  </si>
  <si>
    <t>Eklund, Mr. Hans Linus</t>
  </si>
  <si>
    <t>Karberg, Sweden Jerome Junction, AZ</t>
  </si>
  <si>
    <t>Ekstrom, Mr. Johan</t>
  </si>
  <si>
    <t>Effington Rut, SD</t>
  </si>
  <si>
    <t>Elias, Mr. Dibo</t>
  </si>
  <si>
    <t>Elias, Mr. Joseph</t>
  </si>
  <si>
    <t>Elias, Mr. Joseph Jr</t>
  </si>
  <si>
    <t>Elias, Mr. Tannous</t>
  </si>
  <si>
    <t>Elsbury, Mr. William James</t>
  </si>
  <si>
    <t>A/5 3902</t>
  </si>
  <si>
    <t>Illinois, USA</t>
  </si>
  <si>
    <t>Emanuel, Miss. Virginia Ethel</t>
  </si>
  <si>
    <t>Emir, Mr. Farred Chehab</t>
  </si>
  <si>
    <t>Everett, Mr. Thomas James</t>
  </si>
  <si>
    <t>C.A. 6212</t>
  </si>
  <si>
    <t>Farrell, Mr. James</t>
  </si>
  <si>
    <t>Aughnacliff, Co Longford, Ireland New York, NY</t>
  </si>
  <si>
    <t>Finoli, Mr. Luigi</t>
  </si>
  <si>
    <t>SOTON/O.Q. 3101308</t>
  </si>
  <si>
    <t>Italy Philadelphia, PA</t>
  </si>
  <si>
    <t>Fischer, Mr. Eberhard Thelander</t>
  </si>
  <si>
    <t>Fleming, Miss. Honora</t>
  </si>
  <si>
    <t>Flynn, Mr. James</t>
  </si>
  <si>
    <t>Flynn, Mr. John</t>
  </si>
  <si>
    <t>Foley, Mr. Joseph</t>
  </si>
  <si>
    <t>Foley, Mr. William</t>
  </si>
  <si>
    <t>Foo, Mr. Choong</t>
  </si>
  <si>
    <t>Ford, Miss. Doolina Margaret "Daisy"</t>
  </si>
  <si>
    <t>W./C. 6608</t>
  </si>
  <si>
    <t>Rotherfield, Sussex, England Essex Co, MA</t>
  </si>
  <si>
    <t>Ford, Miss. Robina Maggie "Ruby"</t>
  </si>
  <si>
    <t>Ford, Mr. Arthur</t>
  </si>
  <si>
    <t>A/5 1478</t>
  </si>
  <si>
    <t>Bridgwater, Somerset, England</t>
  </si>
  <si>
    <t>Ford, Mr. Edward Watson</t>
  </si>
  <si>
    <t>Ford, Mr. William Neal</t>
  </si>
  <si>
    <t>Ford, Mrs. Edward (Margaret Ann Watson)</t>
  </si>
  <si>
    <t>Fox, Mr. Patrick</t>
  </si>
  <si>
    <t>Franklin, Mr. Charles (Charles Fardon)</t>
  </si>
  <si>
    <t>SOTON/O.Q. 3101314</t>
  </si>
  <si>
    <t>Gallagher, Mr. Martin</t>
  </si>
  <si>
    <t>Garfirth, Mr. John</t>
  </si>
  <si>
    <t>Gheorgheff, Mr. Stanio</t>
  </si>
  <si>
    <t>Gilinski, Mr. Eliezer</t>
  </si>
  <si>
    <t>Gilnagh, Miss. Katherine "Katie"</t>
  </si>
  <si>
    <t>Glynn, Miss. Mary Agatha</t>
  </si>
  <si>
    <t>Co Clare, Ireland Washington, DC</t>
  </si>
  <si>
    <t>Goldsmith, Master. Frank John William "Frankie"</t>
  </si>
  <si>
    <t>C D</t>
  </si>
  <si>
    <t>Strood, Kent, England Detroit, MI</t>
  </si>
  <si>
    <t>Goldsmith, Mr. Frank John</t>
  </si>
  <si>
    <t>Goldsmith, Mr. Nathan</t>
  </si>
  <si>
    <t>SOTON/O.Q. 3101263</t>
  </si>
  <si>
    <t>Goldsmith, Mrs. Frank John (Emily Alice Brown)</t>
  </si>
  <si>
    <t>Goncalves, Mr. Manuel Estanslas</t>
  </si>
  <si>
    <t>SOTON/O.Q. 3101306</t>
  </si>
  <si>
    <t>Goodwin, Master. Harold Victor</t>
  </si>
  <si>
    <t>CA 2144</t>
  </si>
  <si>
    <t>Wiltshire, England Niagara Falls, NY</t>
  </si>
  <si>
    <t>Goodwin, Master. Sidney Leonard</t>
  </si>
  <si>
    <t>Goodwin, Master. William Frederick</t>
  </si>
  <si>
    <t>Goodwin, Miss. Jessie Allis</t>
  </si>
  <si>
    <t>Goodwin, Miss. Lillian Amy</t>
  </si>
  <si>
    <t>Goodwin, Mr. Charles Edward</t>
  </si>
  <si>
    <t>Goodwin, Mr. Charles Frederick</t>
  </si>
  <si>
    <t>Goodwin, Mrs. Frederick (Augusta Tyler)</t>
  </si>
  <si>
    <t>Green, Mr. George Henry</t>
  </si>
  <si>
    <t>Dorking, Surrey, England</t>
  </si>
  <si>
    <t>Gronnestad, Mr. Daniel Danielsen</t>
  </si>
  <si>
    <t>Foresvik, Norway Portland, ND</t>
  </si>
  <si>
    <t>Guest, Mr. Robert</t>
  </si>
  <si>
    <t>Gustafsson, Mr. Alfred Ossian</t>
  </si>
  <si>
    <t>Waukegan, Chicago, IL</t>
  </si>
  <si>
    <t>Gustafsson, Mr. Anders Vilhelm</t>
  </si>
  <si>
    <t>Gustafsson, Mr. Johan Birger</t>
  </si>
  <si>
    <t>Gustafsson, Mr. Karl Gideon</t>
  </si>
  <si>
    <t>Myren, Sweden New York, NY</t>
  </si>
  <si>
    <t>Haas, Miss. Aloisia</t>
  </si>
  <si>
    <t>Hagardon, Miss. Kate</t>
  </si>
  <si>
    <t>AQ/3. 30631</t>
  </si>
  <si>
    <t>Hagland, Mr. Ingvald Olai Olsen</t>
  </si>
  <si>
    <t>Hagland, Mr. Konrad Mathias Reiersen</t>
  </si>
  <si>
    <t>Hakkarainen, Mr. Pekka Pietari</t>
  </si>
  <si>
    <t>STON/O2. 3101279</t>
  </si>
  <si>
    <t>Hakkarainen, Mrs. Pekka Pietari (Elin Matilda Dolck)</t>
  </si>
  <si>
    <t>Hampe, Mr. Leon</t>
  </si>
  <si>
    <t>Hanna, Mr. Mansour</t>
  </si>
  <si>
    <t>Hansen, Mr. Claus Peter</t>
  </si>
  <si>
    <t>Hansen, Mr. Henrik Juul</t>
  </si>
  <si>
    <t>Hansen, Mr. Henry Damsgaard</t>
  </si>
  <si>
    <t>Hansen, Mrs. Claus Peter (Jennie L Howard)</t>
  </si>
  <si>
    <t>Harknett, Miss. Alice Phoebe</t>
  </si>
  <si>
    <t>W./C. 6609</t>
  </si>
  <si>
    <t>Harmer, Mr. Abraham (David Lishin)</t>
  </si>
  <si>
    <t>Hart, Mr. Henry</t>
  </si>
  <si>
    <t>Hassan, Mr. Houssein G N</t>
  </si>
  <si>
    <t>Healy, Miss. Hanora "Nora"</t>
  </si>
  <si>
    <t>Hedman, Mr. Oskar Arvid</t>
  </si>
  <si>
    <t>Hee, Mr. Ling</t>
  </si>
  <si>
    <t>Hegarty, Miss. Hanora "Nora"</t>
  </si>
  <si>
    <t>Heikkinen, Miss. Laina</t>
  </si>
  <si>
    <t>STON/O2. 3101282</t>
  </si>
  <si>
    <t>Heininen, Miss. Wendla Maria</t>
  </si>
  <si>
    <t>STON/O2. 3101290</t>
  </si>
  <si>
    <t>Hellstrom, Miss. Hilda Maria</t>
  </si>
  <si>
    <t>Hendekovic, Mr. Ignjac</t>
  </si>
  <si>
    <t>Henriksson, Miss. Jenny Lovisa</t>
  </si>
  <si>
    <t>Henry, Miss. Delia</t>
  </si>
  <si>
    <t>Hirvonen, Miss. Hildur E</t>
  </si>
  <si>
    <t>Hirvonen, Mrs. Alexander (Helga E Lindqvist)</t>
  </si>
  <si>
    <t>Holm, Mr. John Fredrik Alexander</t>
  </si>
  <si>
    <t>C 7075</t>
  </si>
  <si>
    <t>Holthen, Mr. Johan Martin</t>
  </si>
  <si>
    <t>Honkanen, Miss. Eliina</t>
  </si>
  <si>
    <t>STON/O2. 3101283</t>
  </si>
  <si>
    <t>Horgan, Mr. John</t>
  </si>
  <si>
    <t>Howard, Miss. May Elizabeth</t>
  </si>
  <si>
    <t>A. 2. 39186</t>
  </si>
  <si>
    <t>Humblen, Mr. Adolf Mathias Nicolai Olsen</t>
  </si>
  <si>
    <t>Hyman, Mr. Abraham</t>
  </si>
  <si>
    <t>Ibrahim Shawah, Mr. Yousseff</t>
  </si>
  <si>
    <t>Ilieff, Mr. Ylio</t>
  </si>
  <si>
    <t>Ilmakangas, Miss. Ida Livija</t>
  </si>
  <si>
    <t>STON/O2. 3101270</t>
  </si>
  <si>
    <t>Ilmakangas, Miss. Pieta Sofia</t>
  </si>
  <si>
    <t>STON/O2. 3101271</t>
  </si>
  <si>
    <t>Ivanoff, Mr. Kanio</t>
  </si>
  <si>
    <t>Jalsevac, Mr. Ivan</t>
  </si>
  <si>
    <t>Jansson, Mr. Carl Olof</t>
  </si>
  <si>
    <t>Jardin, Mr. Jose Neto</t>
  </si>
  <si>
    <t>SOTON/O.Q. 3101305</t>
  </si>
  <si>
    <t>Jensen, Mr. Hans Peder</t>
  </si>
  <si>
    <t>Jensen, Mr. Niels Peder</t>
  </si>
  <si>
    <t>Jensen, Mr. Svend Lauritz</t>
  </si>
  <si>
    <t>Jermyn, Miss. Annie</t>
  </si>
  <si>
    <t>Johannesen-Bratthammer, Mr. Bernt</t>
  </si>
  <si>
    <t>Johanson, Mr. Jakob Alfred</t>
  </si>
  <si>
    <t>Johansson Palmquist, Mr. Oskar Leander</t>
  </si>
  <si>
    <t>Johansson, Mr. Erik</t>
  </si>
  <si>
    <t>Johansson, Mr. Gustaf Joel</t>
  </si>
  <si>
    <t>Johansson, Mr. Karl Johan</t>
  </si>
  <si>
    <t>Johansson, Mr. Nils</t>
  </si>
  <si>
    <t>Johnson, Master. Harold Theodor</t>
  </si>
  <si>
    <t>Johnson, Miss. Eleanor Ileen</t>
  </si>
  <si>
    <t>Johnson, Mr. Alfred</t>
  </si>
  <si>
    <t>LINE</t>
  </si>
  <si>
    <t>Johnson, Mr. Malkolm Joackim</t>
  </si>
  <si>
    <t>Johnson, Mr. William Cahoone Jr</t>
  </si>
  <si>
    <t>Johnson, Mrs. Oscar W (Elisabeth Vilhelmina Berg)</t>
  </si>
  <si>
    <t>Johnston, Master. William Arthur "Willie"</t>
  </si>
  <si>
    <t>W./C. 6607</t>
  </si>
  <si>
    <t>Johnston, Miss. Catherine Helen "Carrie"</t>
  </si>
  <si>
    <t>Johnston, Mr. Andrew G</t>
  </si>
  <si>
    <t>Johnston, Mrs. Andrew G (Elizabeth "Lily" Watson)</t>
  </si>
  <si>
    <t>Jonkoff, Mr. Lalio</t>
  </si>
  <si>
    <t>Jonsson, Mr. Carl</t>
  </si>
  <si>
    <t>Jonsson, Mr. Nils Hilding</t>
  </si>
  <si>
    <t>Jussila, Miss. Katriina</t>
  </si>
  <si>
    <t>Jussila, Miss. Mari Aina</t>
  </si>
  <si>
    <t>Jussila, Mr. Eiriik</t>
  </si>
  <si>
    <t>STON/O 2. 3101286</t>
  </si>
  <si>
    <t>Kallio, Mr. Nikolai Erland</t>
  </si>
  <si>
    <t>STON/O 2. 3101274</t>
  </si>
  <si>
    <t>Kalvik, Mr. Johannes Halvorsen</t>
  </si>
  <si>
    <t>Karaic, Mr. Milan</t>
  </si>
  <si>
    <t>Karlsson, Mr. Einar Gervasius</t>
  </si>
  <si>
    <t>Karlsson, Mr. Julius Konrad Eugen</t>
  </si>
  <si>
    <t>Karlsson, Mr. Nils August</t>
  </si>
  <si>
    <t>Karun, Miss. Manca</t>
  </si>
  <si>
    <t>Karun, Mr. Franz</t>
  </si>
  <si>
    <t>Kassem, Mr. Fared</t>
  </si>
  <si>
    <t>Katavelas, Mr. Vassilios ("Catavelas Vassilios")</t>
  </si>
  <si>
    <t>Keane, Mr. Andrew "Andy"</t>
  </si>
  <si>
    <t>Keefe, Mr. Arthur</t>
  </si>
  <si>
    <t>Kelly, Miss. Anna Katherine "Annie Kate"</t>
  </si>
  <si>
    <t>Kelly, Miss. Mary</t>
  </si>
  <si>
    <t>Kelly, Mr. James</t>
  </si>
  <si>
    <t>Kennedy, Mr. John</t>
  </si>
  <si>
    <t>Khalil, Mr. Betros</t>
  </si>
  <si>
    <t>Khalil, Mrs. Betros (Zahie "Maria" Elias)</t>
  </si>
  <si>
    <t>Kiernan, Mr. John</t>
  </si>
  <si>
    <t>Kiernan, Mr. Philip</t>
  </si>
  <si>
    <t>Kilgannon, Mr. Thomas J</t>
  </si>
  <si>
    <t>Kink, Miss. Maria</t>
  </si>
  <si>
    <t>Kink, Mr. Vincenz</t>
  </si>
  <si>
    <t>Kink-Heilmann, Miss. Luise Gretchen</t>
  </si>
  <si>
    <t>Kink-Heilmann, Mr. Anton</t>
  </si>
  <si>
    <t>Kink-Heilmann, Mrs. Anton (Luise Heilmann)</t>
  </si>
  <si>
    <t>Klasen, Miss. Gertrud Emilia</t>
  </si>
  <si>
    <t>Klasen, Mr. Klas Albin</t>
  </si>
  <si>
    <t>Klasen, Mrs. (Hulda Kristina Eugenia Lofqvist)</t>
  </si>
  <si>
    <t>Kraeff, Mr. Theodor</t>
  </si>
  <si>
    <t>Krekorian, Mr. Neshan</t>
  </si>
  <si>
    <t>F E57</t>
  </si>
  <si>
    <t>Lahoud, Mr. Sarkis</t>
  </si>
  <si>
    <t>Laitinen, Miss. Kristina Sofia</t>
  </si>
  <si>
    <t>Laleff, Mr. Kristo</t>
  </si>
  <si>
    <t>Lam, Mr. Ali</t>
  </si>
  <si>
    <t>Lam, Mr. Len</t>
  </si>
  <si>
    <t>Landergren, Miss. Aurora Adelia</t>
  </si>
  <si>
    <t>C 7077</t>
  </si>
  <si>
    <t>Lane, Mr. Patrick</t>
  </si>
  <si>
    <t>Lang, Mr. Fang</t>
  </si>
  <si>
    <t>Larsson, Mr. August Viktor</t>
  </si>
  <si>
    <t>Larsson, Mr. Bengt Edvin</t>
  </si>
  <si>
    <t>Larsson-Rondberg, Mr. Edvard A</t>
  </si>
  <si>
    <t>Leeni, Mr. Fahim ("Philip Zenni")</t>
  </si>
  <si>
    <t>Lefebre, Master. Henry Forbes</t>
  </si>
  <si>
    <t>Lefebre, Miss. Ida</t>
  </si>
  <si>
    <t>Lefebre, Miss. Jeannie</t>
  </si>
  <si>
    <t>Lefebre, Miss. Mathilde</t>
  </si>
  <si>
    <t>Lefebre, Mrs. Frank (Frances)</t>
  </si>
  <si>
    <t>Leinonen, Mr. Antti Gustaf</t>
  </si>
  <si>
    <t>STON/O 2. 3101292</t>
  </si>
  <si>
    <t>Lemberopolous, Mr. Peter L</t>
  </si>
  <si>
    <t>Lennon, Miss. Mary</t>
  </si>
  <si>
    <t>Lennon, Mr. Denis</t>
  </si>
  <si>
    <t>Leonard, Mr. Lionel</t>
  </si>
  <si>
    <t>Lester, Mr. James</t>
  </si>
  <si>
    <t>Lievens, Mr. Rene Aime</t>
  </si>
  <si>
    <t>Lindahl, Miss. Agda Thorilda Viktoria</t>
  </si>
  <si>
    <t>Lindblom, Miss. Augusta Charlotta</t>
  </si>
  <si>
    <t>Lindell, Mr. Edvard Bengtsson</t>
  </si>
  <si>
    <t>Lindell, Mrs. Edvard Bengtsson (Elin Gerda Persson)</t>
  </si>
  <si>
    <t>Lindqvist, Mr. Eino William</t>
  </si>
  <si>
    <t>STON/O 2. 3101285</t>
  </si>
  <si>
    <t>Linehan, Mr. Michael</t>
  </si>
  <si>
    <t>Ling, Mr. Lee</t>
  </si>
  <si>
    <t>Lithman, Mr. Simon</t>
  </si>
  <si>
    <t>S.O./P.P. 251</t>
  </si>
  <si>
    <t>Lobb, Mr. William Arthur</t>
  </si>
  <si>
    <t>A/5. 3336</t>
  </si>
  <si>
    <t>Lobb, Mrs. William Arthur (Cordelia K Stanlick)</t>
  </si>
  <si>
    <t>Lockyer, Mr. Edward</t>
  </si>
  <si>
    <t>Lovell, Mr. John Hall ("Henry")</t>
  </si>
  <si>
    <t>A/5 21173</t>
  </si>
  <si>
    <t>Lulic, Mr. Nikola</t>
  </si>
  <si>
    <t>Lundahl, Mr. Johan Svensson</t>
  </si>
  <si>
    <t>Lundin, Miss. Olga Elida</t>
  </si>
  <si>
    <t>Lundstrom, Mr. Thure Edvin</t>
  </si>
  <si>
    <t>Lyntakoff, Mr. Stanko</t>
  </si>
  <si>
    <t>MacKay, Mr. George William</t>
  </si>
  <si>
    <t>C.A. 42795</t>
  </si>
  <si>
    <t>Madigan, Miss. Margaret "Maggie"</t>
  </si>
  <si>
    <t>Madsen, Mr. Fridtjof Arne</t>
  </si>
  <si>
    <t>C 17369</t>
  </si>
  <si>
    <t>Maenpaa, Mr. Matti Alexanteri</t>
  </si>
  <si>
    <t>STON/O 2. 3101275</t>
  </si>
  <si>
    <t>Mahon, Miss. Bridget Delia</t>
  </si>
  <si>
    <t>Mahon, Mr. John</t>
  </si>
  <si>
    <t>AQ/4 3130</t>
  </si>
  <si>
    <t>Maisner, Mr. Simon</t>
  </si>
  <si>
    <t>A/S 2816</t>
  </si>
  <si>
    <t>Makinen, Mr. Kalle Edvard</t>
  </si>
  <si>
    <t>STON/O 2. 3101268</t>
  </si>
  <si>
    <t>Mamee, Mr. Hanna</t>
  </si>
  <si>
    <t>Mangan, Miss. Mary</t>
  </si>
  <si>
    <t>Mannion, Miss. Margareth</t>
  </si>
  <si>
    <t>Mardirosian, Mr. Sarkis</t>
  </si>
  <si>
    <t>F E46</t>
  </si>
  <si>
    <t>Markoff, Mr. Marin</t>
  </si>
  <si>
    <t>Markun, Mr. Johann</t>
  </si>
  <si>
    <t>Masselmani, Mrs. Fatima</t>
  </si>
  <si>
    <t>Matinoff, Mr. Nicola</t>
  </si>
  <si>
    <t>McCarthy, Miss. Catherine "Katie"</t>
  </si>
  <si>
    <t>15 16</t>
  </si>
  <si>
    <t>McCormack, Mr. Thomas Joseph</t>
  </si>
  <si>
    <t>McCoy, Miss. Agnes</t>
  </si>
  <si>
    <t>McCoy, Miss. Alicia</t>
  </si>
  <si>
    <t>McCoy, Mr. Bernard</t>
  </si>
  <si>
    <t>McDermott, Miss. Brigdet Delia</t>
  </si>
  <si>
    <t>McEvoy, Mr. Michael</t>
  </si>
  <si>
    <t>McGovern, Miss. Mary</t>
  </si>
  <si>
    <t>McGowan, Miss. Anna "Annie"</t>
  </si>
  <si>
    <t>McGowan, Miss. Katherine</t>
  </si>
  <si>
    <t>McMahon, Mr. Martin</t>
  </si>
  <si>
    <t>McNamee, Mr. Neal</t>
  </si>
  <si>
    <t>McNamee, Mrs. Neal (Eileen O'Leary)</t>
  </si>
  <si>
    <t>McNeill, Miss. Bridget</t>
  </si>
  <si>
    <t>Meanwell, Miss. (Marion Ogden)</t>
  </si>
  <si>
    <t>SOTON/O.Q. 392087</t>
  </si>
  <si>
    <t>Meek, Mrs. Thomas (Annie Louise Rowley)</t>
  </si>
  <si>
    <t>Meo, Mr. Alfonzo</t>
  </si>
  <si>
    <t>A.5. 11206</t>
  </si>
  <si>
    <t>Mernagh, Mr. Robert</t>
  </si>
  <si>
    <t>Midtsjo, Mr. Karl Albert</t>
  </si>
  <si>
    <t>Miles, Mr. Frank</t>
  </si>
  <si>
    <t>Mineff, Mr. Ivan</t>
  </si>
  <si>
    <t>Minkoff, Mr. Lazar</t>
  </si>
  <si>
    <t>Mionoff, Mr. Stoytcho</t>
  </si>
  <si>
    <t>Mitkoff, Mr. Mito</t>
  </si>
  <si>
    <t>Mockler, Miss. Helen Mary "Ellie"</t>
  </si>
  <si>
    <t>Moen, Mr. Sigurd Hansen</t>
  </si>
  <si>
    <t>F G73</t>
  </si>
  <si>
    <t>Moor, Master. Meier</t>
  </si>
  <si>
    <t>E121</t>
  </si>
  <si>
    <t>Moor, Mrs. (Beila)</t>
  </si>
  <si>
    <t>Moore, Mr. Leonard Charles</t>
  </si>
  <si>
    <t>A4. 54510</t>
  </si>
  <si>
    <t>Moran, Miss. Bertha</t>
  </si>
  <si>
    <t>Moran, Mr. Daniel J</t>
  </si>
  <si>
    <t>Moran, Mr. James</t>
  </si>
  <si>
    <t>Morley, Mr. William</t>
  </si>
  <si>
    <t>Morrow, Mr. Thomas Rowan</t>
  </si>
  <si>
    <t>Moss, Mr. Albert Johan</t>
  </si>
  <si>
    <t>Moubarek, Master. Gerios</t>
  </si>
  <si>
    <t>Moubarek, Master. Halim Gonios ("William George")</t>
  </si>
  <si>
    <t>Moubarek, Mrs. George (Omine "Amenia" Alexander)</t>
  </si>
  <si>
    <t>Moussa, Mrs. (Mantoura Boulos)</t>
  </si>
  <si>
    <t>Moutal, Mr. Rahamin Haim</t>
  </si>
  <si>
    <t>Mullens, Miss. Katherine "Katie"</t>
  </si>
  <si>
    <t>Mulvihill, Miss. Bertha E</t>
  </si>
  <si>
    <t>Murdlin, Mr. Joseph</t>
  </si>
  <si>
    <t>A./5. 3235</t>
  </si>
  <si>
    <t>Murphy, Miss. Katherine "Kate"</t>
  </si>
  <si>
    <t>Murphy, Miss. Margaret Jane</t>
  </si>
  <si>
    <t>Murphy, Miss. Nora</t>
  </si>
  <si>
    <t>Myhrman, Mr. Pehr Fabian Oliver Malkolm</t>
  </si>
  <si>
    <t>Naidenoff, Mr. Penko</t>
  </si>
  <si>
    <t>Najib, Miss. Adele Kiamie "Jane"</t>
  </si>
  <si>
    <t>Nakid, Miss. Maria ("Mary")</t>
  </si>
  <si>
    <t>Nakid, Mr. Sahid</t>
  </si>
  <si>
    <t>Nakid, Mrs. Said (Waika "Mary" Mowad)</t>
  </si>
  <si>
    <t>Nancarrow, Mr. William Henry</t>
  </si>
  <si>
    <t>A./5. 3338</t>
  </si>
  <si>
    <t>Nankoff, Mr. Minko</t>
  </si>
  <si>
    <t>Nasr, Mr. Mustafa</t>
  </si>
  <si>
    <t>Naughton, Miss. Hannah</t>
  </si>
  <si>
    <t>Nenkoff, Mr. Christo</t>
  </si>
  <si>
    <t>Nicola-Yarred, Master. Elias</t>
  </si>
  <si>
    <t>Nicola-Yarred, Miss. Jamila</t>
  </si>
  <si>
    <t>Nieminen, Miss. Manta Josefina</t>
  </si>
  <si>
    <t>Niklasson, Mr. Samuel</t>
  </si>
  <si>
    <t>Nilsson, Miss. Berta Olivia</t>
  </si>
  <si>
    <t>Nilsson, Miss. Helmina Josefina</t>
  </si>
  <si>
    <t>Nilsson, Mr. August Ferdinand</t>
  </si>
  <si>
    <t>Nirva, Mr. Iisakki Antino Aijo</t>
  </si>
  <si>
    <t>SOTON/O2 3101272</t>
  </si>
  <si>
    <t>Finland Sudbury, ON</t>
  </si>
  <si>
    <t>Niskanen, Mr. Juha</t>
  </si>
  <si>
    <t>STON/O 2. 3101289</t>
  </si>
  <si>
    <t>Nosworthy, Mr. Richard Cater</t>
  </si>
  <si>
    <t>A/4. 39886</t>
  </si>
  <si>
    <t>Novel, Mr. Mansouer</t>
  </si>
  <si>
    <t>Nysten, Miss. Anna Sofia</t>
  </si>
  <si>
    <t>Nysveen, Mr. Johan Hansen</t>
  </si>
  <si>
    <t>O'Brien, Mr. Thomas</t>
  </si>
  <si>
    <t>O'Brien, Mr. Timothy</t>
  </si>
  <si>
    <t>O'Brien, Mrs. Thomas (Johanna "Hannah" Godfrey)</t>
  </si>
  <si>
    <t>O'Connell, Mr. Patrick D</t>
  </si>
  <si>
    <t>O'Connor, Mr. Maurice</t>
  </si>
  <si>
    <t>O'Connor, Mr. Patrick</t>
  </si>
  <si>
    <t>Odahl, Mr. Nils Martin</t>
  </si>
  <si>
    <t>O'Donoghue, Ms. Bridget</t>
  </si>
  <si>
    <t>O'Driscoll, Miss. Bridget</t>
  </si>
  <si>
    <t>O'Dwyer, Miss. Ellen "Nellie"</t>
  </si>
  <si>
    <t>Ohman, Miss. Velin</t>
  </si>
  <si>
    <t>O'Keefe, Mr. Patrick</t>
  </si>
  <si>
    <t>O'Leary, Miss. Hanora "Norah"</t>
  </si>
  <si>
    <t>Olsen, Master. Artur Karl</t>
  </si>
  <si>
    <t>C 17368</t>
  </si>
  <si>
    <t>Olsen, Mr. Henry Margido</t>
  </si>
  <si>
    <t>Olsen, Mr. Karl Siegwart Andreas</t>
  </si>
  <si>
    <t>Olsen, Mr. Ole Martin</t>
  </si>
  <si>
    <t>Fa 265302</t>
  </si>
  <si>
    <t>Olsson, Miss. Elina</t>
  </si>
  <si>
    <t>Olsson, Mr. Nils Johan Goransson</t>
  </si>
  <si>
    <t>Olsson, Mr. Oscar Wilhelm</t>
  </si>
  <si>
    <t>Olsvigen, Mr. Thor Anderson</t>
  </si>
  <si>
    <t>Oslo, Norway Cameron, WI</t>
  </si>
  <si>
    <t>Oreskovic, Miss. Jelka</t>
  </si>
  <si>
    <t>Oreskovic, Miss. Marija</t>
  </si>
  <si>
    <t>Oreskovic, Mr. Luka</t>
  </si>
  <si>
    <t>Osen, Mr. Olaf Elon</t>
  </si>
  <si>
    <t>Osman, Mrs. Mara</t>
  </si>
  <si>
    <t>O'Sullivan, Miss. Bridget Mary</t>
  </si>
  <si>
    <t>Palsson, Master. Gosta Leonard</t>
  </si>
  <si>
    <t>Palsson, Master. Paul Folke</t>
  </si>
  <si>
    <t>Palsson, Miss. Stina Viola</t>
  </si>
  <si>
    <t>Palsson, Miss. Torborg Danira</t>
  </si>
  <si>
    <t>Palsson, Mrs. Nils (Alma Cornelia Berglund)</t>
  </si>
  <si>
    <t>Panula, Master. Eino Viljami</t>
  </si>
  <si>
    <t>Panula, Master. Juha Niilo</t>
  </si>
  <si>
    <t>Panula, Master. Urho Abraham</t>
  </si>
  <si>
    <t>Panula, Mr. Ernesti Arvid</t>
  </si>
  <si>
    <t>Panula, Mr. Jaako Arnold</t>
  </si>
  <si>
    <t>Panula, Mrs. Juha (Maria Emilia Ojala)</t>
  </si>
  <si>
    <t>Pasic, Mr. Jakob</t>
  </si>
  <si>
    <t>Patchett, Mr. George</t>
  </si>
  <si>
    <t>Paulner, Mr. Uscher</t>
  </si>
  <si>
    <t>Pavlovic, Mr. Stefo</t>
  </si>
  <si>
    <t>Peacock, Master. Alfred Edward</t>
  </si>
  <si>
    <t>SOTON/O.Q. 3101315</t>
  </si>
  <si>
    <t>Peacock, Miss. Treasteall</t>
  </si>
  <si>
    <t>Peacock, Mrs. Benjamin (Edith Nile)</t>
  </si>
  <si>
    <t>Pearce, Mr. Ernest</t>
  </si>
  <si>
    <t>Pedersen, Mr. Olaf</t>
  </si>
  <si>
    <t>Peduzzi, Mr. Joseph</t>
  </si>
  <si>
    <t>A/5 2817</t>
  </si>
  <si>
    <t>Pekoniemi, Mr. Edvard</t>
  </si>
  <si>
    <t>STON/O 2. 3101294</t>
  </si>
  <si>
    <t>Peltomaki, Mr. Nikolai Johannes</t>
  </si>
  <si>
    <t>STON/O 2. 3101291</t>
  </si>
  <si>
    <t>Perkin, Mr. John Henry</t>
  </si>
  <si>
    <t>A/5 21174</t>
  </si>
  <si>
    <t>Persson, Mr. Ernst Ulrik</t>
  </si>
  <si>
    <t>Peter, Master. Michael J</t>
  </si>
  <si>
    <t>Peter, Miss. Anna</t>
  </si>
  <si>
    <t>F E69</t>
  </si>
  <si>
    <t>Peter, Mrs. Catherine (Catherine Rizk)</t>
  </si>
  <si>
    <t>Peters, Miss. Katie</t>
  </si>
  <si>
    <t>Petersen, Mr. Marius</t>
  </si>
  <si>
    <t>Petranec, Miss. Matilda</t>
  </si>
  <si>
    <t>Petroff, Mr. Nedelio</t>
  </si>
  <si>
    <t>Petroff, Mr. Pastcho ("Pentcho")</t>
  </si>
  <si>
    <t>Petterson, Mr. Johan Emil</t>
  </si>
  <si>
    <t>Pettersson, Miss. Ellen Natalia</t>
  </si>
  <si>
    <t>Pickard, Mr. Berk (Berk Trembisky)</t>
  </si>
  <si>
    <t>SOTON/O.Q. 392078</t>
  </si>
  <si>
    <t>E10</t>
  </si>
  <si>
    <t>Plotcharsky, Mr. Vasil</t>
  </si>
  <si>
    <t>Pokrnic, Mr. Mate</t>
  </si>
  <si>
    <t>Pokrnic, Mr. Tome</t>
  </si>
  <si>
    <t>Radeff, Mr. Alexander</t>
  </si>
  <si>
    <t>Rasmussen, Mrs. (Lena Jacobsen Solvang)</t>
  </si>
  <si>
    <t>Razi, Mr. Raihed</t>
  </si>
  <si>
    <t>Reed, Mr. James George</t>
  </si>
  <si>
    <t>Rekic, Mr. Tido</t>
  </si>
  <si>
    <t>Reynolds, Mr. Harold J</t>
  </si>
  <si>
    <t>Rice, Master. Albert</t>
  </si>
  <si>
    <t>Rice, Master. Arthur</t>
  </si>
  <si>
    <t>Rice, Master. Eric</t>
  </si>
  <si>
    <t>Rice, Master. Eugene</t>
  </si>
  <si>
    <t>Rice, Master. George Hugh</t>
  </si>
  <si>
    <t>Rice, Mrs. William (Margaret Norton)</t>
  </si>
  <si>
    <t>Riihivouri, Miss. Susanna Juhantytar "Sanni"</t>
  </si>
  <si>
    <t>Rintamaki, Mr. Matti</t>
  </si>
  <si>
    <t>STON/O 2. 3101273</t>
  </si>
  <si>
    <t>Riordan, Miss. Johanna "Hannah"</t>
  </si>
  <si>
    <t>Risien, Mr. Samuel Beard</t>
  </si>
  <si>
    <t>Risien, Mrs. Samuel (Emma)</t>
  </si>
  <si>
    <t>Robins, Mr. Alexander A</t>
  </si>
  <si>
    <t>A/5. 3337</t>
  </si>
  <si>
    <t>Robins, Mrs. Alexander A (Grace Charity Laury)</t>
  </si>
  <si>
    <t>Rogers, Mr. William John</t>
  </si>
  <si>
    <t>S.C./A.4. 23567</t>
  </si>
  <si>
    <t>Rommetvedt, Mr. Knud Paust</t>
  </si>
  <si>
    <t>Rosblom, Miss. Salli Helena</t>
  </si>
  <si>
    <t>Rosblom, Mr. Viktor Richard</t>
  </si>
  <si>
    <t>Rosblom, Mrs. Viktor (Helena Wilhelmina)</t>
  </si>
  <si>
    <t>Roth, Miss. Sarah A</t>
  </si>
  <si>
    <t>Rouse, Mr. Richard Henry</t>
  </si>
  <si>
    <t>A/5 3594</t>
  </si>
  <si>
    <t>Rush, Mr. Alfred George John</t>
  </si>
  <si>
    <t>A/4. 20589</t>
  </si>
  <si>
    <t>Ryan, Mr. Edward</t>
  </si>
  <si>
    <t>Ryan, Mr. Patrick</t>
  </si>
  <si>
    <t>Saad, Mr. Amin</t>
  </si>
  <si>
    <t>Saad, Mr. Khalil</t>
  </si>
  <si>
    <t>Saade, Mr. Jean Nassr</t>
  </si>
  <si>
    <t>Sadlier, Mr. Matthew</t>
  </si>
  <si>
    <t>Sadowitz, Mr. Harry</t>
  </si>
  <si>
    <t>LP 1588</t>
  </si>
  <si>
    <t>Saether, Mr. Simon Sivertsen</t>
  </si>
  <si>
    <t>SOTON/O.Q. 3101262</t>
  </si>
  <si>
    <t>Sage, Master. Thomas Henry</t>
  </si>
  <si>
    <t>CA. 2343</t>
  </si>
  <si>
    <t>Sage, Master. William Henry</t>
  </si>
  <si>
    <t>Sage, Miss. Ada</t>
  </si>
  <si>
    <t>Sage, Miss. Constance Gladys</t>
  </si>
  <si>
    <t>Sage, Miss. Dorothy Edith "Dolly"</t>
  </si>
  <si>
    <t>Sage, Miss. Stella Anna</t>
  </si>
  <si>
    <t>Sage, Mr. Douglas Bullen</t>
  </si>
  <si>
    <t>Sage, Mr. Frederick</t>
  </si>
  <si>
    <t>Sage, Mr. George John Jr</t>
  </si>
  <si>
    <t>Sage, Mr. John George</t>
  </si>
  <si>
    <t>Sage, Mrs. John (Annie Bullen)</t>
  </si>
  <si>
    <t>Salander, Mr. Karl Johan</t>
  </si>
  <si>
    <t>Salkjelsvik, Miss. Anna Kristine</t>
  </si>
  <si>
    <t>Salonen, Mr. Johan Werner</t>
  </si>
  <si>
    <t>Samaan, Mr. Elias</t>
  </si>
  <si>
    <t>Samaan, Mr. Hanna</t>
  </si>
  <si>
    <t>Samaan, Mr. Youssef</t>
  </si>
  <si>
    <t>Sandstrom, Miss. Beatrice Irene</t>
  </si>
  <si>
    <t>PP 9549</t>
  </si>
  <si>
    <t>G6</t>
  </si>
  <si>
    <t>Sandstrom, Mrs. Hjalmar (Agnes Charlotta Bengtsson)</t>
  </si>
  <si>
    <t>Sandstrom, Miss. Marguerite Rut</t>
  </si>
  <si>
    <t>Sap, Mr. Julius</t>
  </si>
  <si>
    <t>Saundercock, Mr. William Henry</t>
  </si>
  <si>
    <t>A/5. 2151</t>
  </si>
  <si>
    <t>Sawyer, Mr. Frederick Charles</t>
  </si>
  <si>
    <t>Scanlan, Mr. James</t>
  </si>
  <si>
    <t>Sdycoff, Mr. Todor</t>
  </si>
  <si>
    <t>Shaughnessy, Mr. Patrick</t>
  </si>
  <si>
    <t>Sheerlinck, Mr. Jan Baptist</t>
  </si>
  <si>
    <t>Shellard, Mr. Frederick William</t>
  </si>
  <si>
    <t>Shine, Miss. Ellen Natalia</t>
  </si>
  <si>
    <t>Shorney, Mr. Charles Joseph</t>
  </si>
  <si>
    <t>Simmons, Mr. John</t>
  </si>
  <si>
    <t>SOTON/OQ 392082</t>
  </si>
  <si>
    <t>Sirayanian, Mr. Orsen</t>
  </si>
  <si>
    <t>Sirota, Mr. Maurice</t>
  </si>
  <si>
    <t>Sivic, Mr. Husein</t>
  </si>
  <si>
    <t>Sivola, Mr. Antti Wilhelm</t>
  </si>
  <si>
    <t>STON/O 2. 3101280</t>
  </si>
  <si>
    <t>Sjoblom, Miss. Anna Sofia</t>
  </si>
  <si>
    <t>Skoog, Master. Harald</t>
  </si>
  <si>
    <t>Skoog, Master. Karl Thorsten</t>
  </si>
  <si>
    <t>Skoog, Miss. Mabel</t>
  </si>
  <si>
    <t>Skoog, Miss. Margit Elizabeth</t>
  </si>
  <si>
    <t>Skoog, Mr. Wilhelm</t>
  </si>
  <si>
    <t>Skoog, Mrs. William (Anna Bernhardina Karlsson)</t>
  </si>
  <si>
    <t>Slabenoff, Mr. Petco</t>
  </si>
  <si>
    <t>Slocovski, Mr. Selman Francis</t>
  </si>
  <si>
    <t>SOTON/OQ 392086</t>
  </si>
  <si>
    <t>Smiljanic, Mr. Mile</t>
  </si>
  <si>
    <t>Smith, Mr. Thomas</t>
  </si>
  <si>
    <t>Smyth, Miss. Julia</t>
  </si>
  <si>
    <t>Soholt, Mr. Peter Andreas Lauritz Andersen</t>
  </si>
  <si>
    <t>Somerton, Mr. Francis William</t>
  </si>
  <si>
    <t>A.5. 18509</t>
  </si>
  <si>
    <t>Spector, Mr. Woolf</t>
  </si>
  <si>
    <t>A.5. 3236</t>
  </si>
  <si>
    <t>Spinner, Mr. Henry John</t>
  </si>
  <si>
    <t>STON/OQ. 369943</t>
  </si>
  <si>
    <t>Staneff, Mr. Ivan</t>
  </si>
  <si>
    <t>Stankovic, Mr. Ivan</t>
  </si>
  <si>
    <t>Stanley, Miss. Amy Zillah Elsie</t>
  </si>
  <si>
    <t>CA. 2314</t>
  </si>
  <si>
    <t>Stanley, Mr. Edward Roland</t>
  </si>
  <si>
    <t>A/4 45380</t>
  </si>
  <si>
    <t>Storey, Mr. Thomas</t>
  </si>
  <si>
    <t>Stoytcheff, Mr. Ilia</t>
  </si>
  <si>
    <t>Strandberg, Miss. Ida Sofia</t>
  </si>
  <si>
    <t>Stranden, Mr. Juho</t>
  </si>
  <si>
    <t>STON/O 2. 3101288</t>
  </si>
  <si>
    <t>Strilic, Mr. Ivan</t>
  </si>
  <si>
    <t>Strom, Miss. Telma Matilda</t>
  </si>
  <si>
    <t>Strom, Mrs. Wilhelm (Elna Matilda Persson)</t>
  </si>
  <si>
    <t>Sunderland, Mr. Victor Francis</t>
  </si>
  <si>
    <t>SOTON/OQ 392089</t>
  </si>
  <si>
    <t>Sundman, Mr. Johan Julian</t>
  </si>
  <si>
    <t>STON/O 2. 3101269</t>
  </si>
  <si>
    <t>Sutehall, Mr. Henry Jr</t>
  </si>
  <si>
    <t>SOTON/OQ 392076</t>
  </si>
  <si>
    <t>Svensson, Mr. Johan</t>
  </si>
  <si>
    <t>Svensson, Mr. Johan Cervin</t>
  </si>
  <si>
    <t>Svensson, Mr. Olof</t>
  </si>
  <si>
    <t>Tenglin, Mr. Gunnar Isidor</t>
  </si>
  <si>
    <t>13 15</t>
  </si>
  <si>
    <t>Theobald, Mr. Thomas Leonard</t>
  </si>
  <si>
    <t>Thomas, Master. Assad Alexander</t>
  </si>
  <si>
    <t>Thomas, Mr. Charles P</t>
  </si>
  <si>
    <t>Thomas, Mr. John</t>
  </si>
  <si>
    <t>Thomas, Mr. Tannous</t>
  </si>
  <si>
    <t>Thomas, Mrs. Alexander (Thamine "Thelma")</t>
  </si>
  <si>
    <t>Thomson, Mr. Alexander Morrison</t>
  </si>
  <si>
    <t>Thorneycroft, Mr. Percival</t>
  </si>
  <si>
    <t>Thorneycroft, Mrs. Percival (Florence Kate White)</t>
  </si>
  <si>
    <t>Tikkanen, Mr. Juho</t>
  </si>
  <si>
    <t>STON/O 2. 3101293</t>
  </si>
  <si>
    <t>Tobin, Mr. Roger</t>
  </si>
  <si>
    <t>F38</t>
  </si>
  <si>
    <t>Todoroff, Mr. Lalio</t>
  </si>
  <si>
    <t>Tomlin, Mr. Ernest Portage</t>
  </si>
  <si>
    <t>Torber, Mr. Ernst William</t>
  </si>
  <si>
    <t>Torfa, Mr. Assad</t>
  </si>
  <si>
    <t>Tornquist, Mr. William Henry</t>
  </si>
  <si>
    <t>Toufik, Mr. Nakli</t>
  </si>
  <si>
    <t>Touma, Master. Georges Youssef</t>
  </si>
  <si>
    <t>Touma, Miss. Maria Youssef</t>
  </si>
  <si>
    <t>Touma, Mrs. Darwis (Hanne Youssef Razi)</t>
  </si>
  <si>
    <t>Turcin, Mr. Stjepan</t>
  </si>
  <si>
    <t>Turja, Miss. Anna Sofia</t>
  </si>
  <si>
    <t>Turkula, Mrs. (Hedwig)</t>
  </si>
  <si>
    <t>van Billiard, Master. James William</t>
  </si>
  <si>
    <t>A/5. 851</t>
  </si>
  <si>
    <t>van Billiard, Master. Walter John</t>
  </si>
  <si>
    <t>van Billiard, Mr. Austin Blyler</t>
  </si>
  <si>
    <t>Van Impe, Miss. Catharina</t>
  </si>
  <si>
    <t>Van Impe, Mr. Jean Baptiste</t>
  </si>
  <si>
    <t>Van Impe, Mrs. Jean Baptiste (Rosalie Paula Govaert)</t>
  </si>
  <si>
    <t>van Melkebeke, Mr. Philemon</t>
  </si>
  <si>
    <t>Vande Velde, Mr. Johannes Joseph</t>
  </si>
  <si>
    <t>Vande Walle, Mr. Nestor Cyriel</t>
  </si>
  <si>
    <t>Vanden Steen, Mr. Leo Peter</t>
  </si>
  <si>
    <t>Vander Cruyssen, Mr. Victor</t>
  </si>
  <si>
    <t>Vander Planke, Miss. Augusta Maria</t>
  </si>
  <si>
    <t>Vander Planke, Mr. Julius</t>
  </si>
  <si>
    <t>Vander Planke, Mr. Leo Edmondus</t>
  </si>
  <si>
    <t>Vander Planke, Mrs. Julius (Emelia Maria Vandemoortele)</t>
  </si>
  <si>
    <t>Vartanian, Mr. David</t>
  </si>
  <si>
    <t>Vendel, Mr. Olof Edvin</t>
  </si>
  <si>
    <t>Vestrom, Miss. Hulda Amanda Adolfina</t>
  </si>
  <si>
    <t>Vovk, Mr. Janko</t>
  </si>
  <si>
    <t>Waelens, Mr. Achille</t>
  </si>
  <si>
    <t>Antwerp, Belgium / Stanton, OH</t>
  </si>
  <si>
    <t>Ware, Mr. Frederick</t>
  </si>
  <si>
    <t>Warren, Mr. Charles William</t>
  </si>
  <si>
    <t>C.A. 49867</t>
  </si>
  <si>
    <t>Webber, Mr. James</t>
  </si>
  <si>
    <t>SOTON/OQ 3101316</t>
  </si>
  <si>
    <t>Wenzel, Mr. Linhart</t>
  </si>
  <si>
    <t>Whabee, Mrs. George Joseph (Shawneene Abi-Saab)</t>
  </si>
  <si>
    <t>Widegren, Mr. Carl/Charles Peter</t>
  </si>
  <si>
    <t>Wiklund, Mr. Jakob Alfred</t>
  </si>
  <si>
    <t>Wiklund, Mr. Karl Johan</t>
  </si>
  <si>
    <t>Wilkes, Mrs. James (Ellen Needs)</t>
  </si>
  <si>
    <t>Willer, Mr. Aaron ("Abi Weller")</t>
  </si>
  <si>
    <t>Willey, Mr. Edward</t>
  </si>
  <si>
    <t>S.O./P.P. 751</t>
  </si>
  <si>
    <t>Williams, Mr. Howard Hugh "Harry"</t>
  </si>
  <si>
    <t>A/5 2466</t>
  </si>
  <si>
    <t>Williams, Mr. Leslie</t>
  </si>
  <si>
    <t>Windelov, Mr. Einar</t>
  </si>
  <si>
    <t>SOTON/OQ 3101317</t>
  </si>
  <si>
    <t>Wirz, Mr. Albert</t>
  </si>
  <si>
    <t>Wiseman, Mr. Phillippe</t>
  </si>
  <si>
    <t>A/4. 34244</t>
  </si>
  <si>
    <t>Wittevrongel, Mr. Camille</t>
  </si>
  <si>
    <t>Yasbeck, Mr. Antoni</t>
  </si>
  <si>
    <t>Yasbeck, Mrs. Antoni (Selini Alexander)</t>
  </si>
  <si>
    <t>Youseff, Mr. Gerious</t>
  </si>
  <si>
    <t>Yousif, Mr. Wazli</t>
  </si>
  <si>
    <t>Yousseff, Mr. Gerious</t>
  </si>
  <si>
    <t>Zabour, Miss. Hileni</t>
  </si>
  <si>
    <t>Zabour, Miss. Thamine</t>
  </si>
  <si>
    <t>Zakarian, Mr. Mapriededer</t>
  </si>
  <si>
    <t>Zakarian, Mr. Ortin</t>
  </si>
  <si>
    <t>Zimmerman, Mr. Leo</t>
  </si>
  <si>
    <t>Sno.</t>
  </si>
  <si>
    <t>Survived Category</t>
  </si>
  <si>
    <t>Pclass Category</t>
  </si>
  <si>
    <t>Salutation</t>
  </si>
  <si>
    <t>Allen</t>
  </si>
  <si>
    <t>Allison</t>
  </si>
  <si>
    <t>Anderson</t>
  </si>
  <si>
    <t>Andrews</t>
  </si>
  <si>
    <t>Appleton</t>
  </si>
  <si>
    <t>Artagaveytia</t>
  </si>
  <si>
    <t>Astor</t>
  </si>
  <si>
    <t>Aubart</t>
  </si>
  <si>
    <t>Barber</t>
  </si>
  <si>
    <t>Barkworth</t>
  </si>
  <si>
    <t>Baumann</t>
  </si>
  <si>
    <t>Baxter</t>
  </si>
  <si>
    <t>Bazzani</t>
  </si>
  <si>
    <t>Beattie</t>
  </si>
  <si>
    <t>Beckwith</t>
  </si>
  <si>
    <t>Behr</t>
  </si>
  <si>
    <t>Bidois</t>
  </si>
  <si>
    <t>Bird</t>
  </si>
  <si>
    <t>Birnbaum</t>
  </si>
  <si>
    <t>Bishop</t>
  </si>
  <si>
    <t>Bissette</t>
  </si>
  <si>
    <t>Bjornstrom-Steffansson</t>
  </si>
  <si>
    <t>Blackwell</t>
  </si>
  <si>
    <t>Blank</t>
  </si>
  <si>
    <t>Bonnell</t>
  </si>
  <si>
    <t>Borebank</t>
  </si>
  <si>
    <t>Bowen</t>
  </si>
  <si>
    <t>Bowerman</t>
  </si>
  <si>
    <t>Bradley</t>
  </si>
  <si>
    <t>Brady</t>
  </si>
  <si>
    <t>Brandeis</t>
  </si>
  <si>
    <t>Brewe</t>
  </si>
  <si>
    <t>Brown</t>
  </si>
  <si>
    <t>Bucknell</t>
  </si>
  <si>
    <t>Burns</t>
  </si>
  <si>
    <t>Butt</t>
  </si>
  <si>
    <t>Cairns</t>
  </si>
  <si>
    <t>Calderhead</t>
  </si>
  <si>
    <t>Candee</t>
  </si>
  <si>
    <t>Cardeza</t>
  </si>
  <si>
    <t>Carlsson</t>
  </si>
  <si>
    <t>Carrau</t>
  </si>
  <si>
    <t>Carter</t>
  </si>
  <si>
    <t>Case</t>
  </si>
  <si>
    <t>Cassebeer</t>
  </si>
  <si>
    <t>Cavendish</t>
  </si>
  <si>
    <t>Chaffee</t>
  </si>
  <si>
    <t>Chambers</t>
  </si>
  <si>
    <t>Chaudanson</t>
  </si>
  <si>
    <t>Cherry</t>
  </si>
  <si>
    <t>Chevre</t>
  </si>
  <si>
    <t>Chibnall</t>
  </si>
  <si>
    <t>Chisholm</t>
  </si>
  <si>
    <t>Clark</t>
  </si>
  <si>
    <t>Cleaver</t>
  </si>
  <si>
    <t>Clifford</t>
  </si>
  <si>
    <t>Colley</t>
  </si>
  <si>
    <t>Compton</t>
  </si>
  <si>
    <t>Cornell</t>
  </si>
  <si>
    <t>Crafton</t>
  </si>
  <si>
    <t>Crosby</t>
  </si>
  <si>
    <t>Cumings</t>
  </si>
  <si>
    <t>Daly</t>
  </si>
  <si>
    <t>Daniel</t>
  </si>
  <si>
    <t>Daniels</t>
  </si>
  <si>
    <t>Davidson</t>
  </si>
  <si>
    <t>Dick</t>
  </si>
  <si>
    <t>Dodge</t>
  </si>
  <si>
    <t>Douglas</t>
  </si>
  <si>
    <t>Duff Gordon</t>
  </si>
  <si>
    <t>Dulles</t>
  </si>
  <si>
    <t>Earnshaw</t>
  </si>
  <si>
    <t>Endres</t>
  </si>
  <si>
    <t>Eustis</t>
  </si>
  <si>
    <t>Evans</t>
  </si>
  <si>
    <t>Farthing</t>
  </si>
  <si>
    <t>Flegenheim</t>
  </si>
  <si>
    <t>Fleming</t>
  </si>
  <si>
    <t>Flynn</t>
  </si>
  <si>
    <t>Foreman</t>
  </si>
  <si>
    <t>Fortune</t>
  </si>
  <si>
    <t>Francatelli</t>
  </si>
  <si>
    <t>Franklin</t>
  </si>
  <si>
    <t>Frauenthal</t>
  </si>
  <si>
    <t>Frolicher</t>
  </si>
  <si>
    <t>Frolicher-Stehli</t>
  </si>
  <si>
    <t>Fry</t>
  </si>
  <si>
    <t>Futrelle</t>
  </si>
  <si>
    <t>Gee</t>
  </si>
  <si>
    <t>Geiger</t>
  </si>
  <si>
    <t>Gibson</t>
  </si>
  <si>
    <t>Giglio</t>
  </si>
  <si>
    <t>Goldenberg</t>
  </si>
  <si>
    <t>Goldschmidt</t>
  </si>
  <si>
    <t>Gracie</t>
  </si>
  <si>
    <t>Graham</t>
  </si>
  <si>
    <t>Greenfield</t>
  </si>
  <si>
    <t>Guggenheim</t>
  </si>
  <si>
    <t>Harder</t>
  </si>
  <si>
    <t>Harper</t>
  </si>
  <si>
    <t>Harrington</t>
  </si>
  <si>
    <t>Harris</t>
  </si>
  <si>
    <t>Harrison</t>
  </si>
  <si>
    <t>Hassab</t>
  </si>
  <si>
    <t>Hawksford</t>
  </si>
  <si>
    <t>Hays</t>
  </si>
  <si>
    <t>Head</t>
  </si>
  <si>
    <t>Hilliard</t>
  </si>
  <si>
    <t>Hipkins</t>
  </si>
  <si>
    <t>Hippach</t>
  </si>
  <si>
    <t>Hogeboom</t>
  </si>
  <si>
    <t>Holverson</t>
  </si>
  <si>
    <t>Homer</t>
  </si>
  <si>
    <t>Hoyt</t>
  </si>
  <si>
    <t>Icard</t>
  </si>
  <si>
    <t>Isham</t>
  </si>
  <si>
    <t>Ismay</t>
  </si>
  <si>
    <t>Jones</t>
  </si>
  <si>
    <t>Julian</t>
  </si>
  <si>
    <t>Keeping</t>
  </si>
  <si>
    <t>Kent</t>
  </si>
  <si>
    <t>Kenyon</t>
  </si>
  <si>
    <t>Kimball</t>
  </si>
  <si>
    <t>Klaber</t>
  </si>
  <si>
    <t>Kreuchen</t>
  </si>
  <si>
    <t>Leader</t>
  </si>
  <si>
    <t>LeRoy</t>
  </si>
  <si>
    <t>Lesurer</t>
  </si>
  <si>
    <t>Lewy</t>
  </si>
  <si>
    <t>Lindeberg-Lind</t>
  </si>
  <si>
    <t>Lindstrom</t>
  </si>
  <si>
    <t>Lines</t>
  </si>
  <si>
    <t>Long</t>
  </si>
  <si>
    <t>Longley</t>
  </si>
  <si>
    <t>Loring</t>
  </si>
  <si>
    <t>Lurette</t>
  </si>
  <si>
    <t>Madill</t>
  </si>
  <si>
    <t>Maguire</t>
  </si>
  <si>
    <t>Maioni</t>
  </si>
  <si>
    <t>Marechal</t>
  </si>
  <si>
    <t>Marvin</t>
  </si>
  <si>
    <t>Mayne</t>
  </si>
  <si>
    <t>McCaffry</t>
  </si>
  <si>
    <t>McCarthy</t>
  </si>
  <si>
    <t>McGough</t>
  </si>
  <si>
    <t>Meyer</t>
  </si>
  <si>
    <t>Millet</t>
  </si>
  <si>
    <t>Minahan</t>
  </si>
  <si>
    <t>Mock</t>
  </si>
  <si>
    <t>Molson</t>
  </si>
  <si>
    <t>Moore</t>
  </si>
  <si>
    <t>Natsch</t>
  </si>
  <si>
    <t>Newell</t>
  </si>
  <si>
    <t>Newsom</t>
  </si>
  <si>
    <t>Nicholson</t>
  </si>
  <si>
    <t>Oliva y Ocana</t>
  </si>
  <si>
    <t>Omont</t>
  </si>
  <si>
    <t>Ostby</t>
  </si>
  <si>
    <t>Ovies y Rodriguez</t>
  </si>
  <si>
    <t>Parr</t>
  </si>
  <si>
    <t>Partner</t>
  </si>
  <si>
    <t>Payne</t>
  </si>
  <si>
    <t>Pears</t>
  </si>
  <si>
    <t>Penasco y Castellana</t>
  </si>
  <si>
    <t>Perreault</t>
  </si>
  <si>
    <t>Peuchen</t>
  </si>
  <si>
    <t>Porter</t>
  </si>
  <si>
    <t>Potter</t>
  </si>
  <si>
    <t>Reuchlin</t>
  </si>
  <si>
    <t>Rheims</t>
  </si>
  <si>
    <t>Ringhini</t>
  </si>
  <si>
    <t>Robbins</t>
  </si>
  <si>
    <t>Robert</t>
  </si>
  <si>
    <t>Roebling</t>
  </si>
  <si>
    <t>Romaine</t>
  </si>
  <si>
    <t>Rood</t>
  </si>
  <si>
    <t>Rosenbaum</t>
  </si>
  <si>
    <t>Rosenshine</t>
  </si>
  <si>
    <t>Ross</t>
  </si>
  <si>
    <t>Rothes</t>
  </si>
  <si>
    <t>Rothschild</t>
  </si>
  <si>
    <t>Rowe</t>
  </si>
  <si>
    <t>Ryerson</t>
  </si>
  <si>
    <t>Saalfeld</t>
  </si>
  <si>
    <t>Sagesser</t>
  </si>
  <si>
    <t>Salomon</t>
  </si>
  <si>
    <t>Schabert</t>
  </si>
  <si>
    <t>Serepeca</t>
  </si>
  <si>
    <t>Seward</t>
  </si>
  <si>
    <t>Shutes</t>
  </si>
  <si>
    <t>Silverthorne</t>
  </si>
  <si>
    <t>Silvey</t>
  </si>
  <si>
    <t>Simonius-Blumer</t>
  </si>
  <si>
    <t>Sloper</t>
  </si>
  <si>
    <t>Smart</t>
  </si>
  <si>
    <t>Smith</t>
  </si>
  <si>
    <t>Snyder</t>
  </si>
  <si>
    <t>Spedden</t>
  </si>
  <si>
    <t>Spencer</t>
  </si>
  <si>
    <t>Stahelin-Maeglin</t>
  </si>
  <si>
    <t>Stead</t>
  </si>
  <si>
    <t>Stengel</t>
  </si>
  <si>
    <t>Stephenson</t>
  </si>
  <si>
    <t>Stewart</t>
  </si>
  <si>
    <t>Stone</t>
  </si>
  <si>
    <t>Straus</t>
  </si>
  <si>
    <t>Sutton</t>
  </si>
  <si>
    <t>Swift</t>
  </si>
  <si>
    <t>Taussig</t>
  </si>
  <si>
    <t>Taylor</t>
  </si>
  <si>
    <t>Thayer</t>
  </si>
  <si>
    <t>Thorne</t>
  </si>
  <si>
    <t>Tucker</t>
  </si>
  <si>
    <t>Uruchurtu</t>
  </si>
  <si>
    <t>Van der hoef</t>
  </si>
  <si>
    <t>Walker</t>
  </si>
  <si>
    <t>Ward</t>
  </si>
  <si>
    <t>Warren</t>
  </si>
  <si>
    <t>Weir</t>
  </si>
  <si>
    <t>White</t>
  </si>
  <si>
    <t>Wick</t>
  </si>
  <si>
    <t>Widener</t>
  </si>
  <si>
    <t>Willard</t>
  </si>
  <si>
    <t>Williams</t>
  </si>
  <si>
    <t>Williams-Lambert</t>
  </si>
  <si>
    <t>Wilson</t>
  </si>
  <si>
    <t>Woolner</t>
  </si>
  <si>
    <t>Wright</t>
  </si>
  <si>
    <t>Young</t>
  </si>
  <si>
    <t>Abelson</t>
  </si>
  <si>
    <t>Aldworth</t>
  </si>
  <si>
    <t>Andrew</t>
  </si>
  <si>
    <t>Angle</t>
  </si>
  <si>
    <t>Ashby</t>
  </si>
  <si>
    <t>Bailey</t>
  </si>
  <si>
    <t>Baimbrigge</t>
  </si>
  <si>
    <t>Ball</t>
  </si>
  <si>
    <t>Banfield</t>
  </si>
  <si>
    <t>Bateman</t>
  </si>
  <si>
    <t>Beane</t>
  </si>
  <si>
    <t>Beauchamp</t>
  </si>
  <si>
    <t>Becker</t>
  </si>
  <si>
    <t>Beesley</t>
  </si>
  <si>
    <t>Bentham</t>
  </si>
  <si>
    <t>Berriman</t>
  </si>
  <si>
    <t>Botsford</t>
  </si>
  <si>
    <t>Bowenur</t>
  </si>
  <si>
    <t>Bracken</t>
  </si>
  <si>
    <t>Bryhl</t>
  </si>
  <si>
    <t>Buss</t>
  </si>
  <si>
    <t>Butler</t>
  </si>
  <si>
    <t>Byles</t>
  </si>
  <si>
    <t>Bystrom</t>
  </si>
  <si>
    <t>Caldwell</t>
  </si>
  <si>
    <t>Cameron</t>
  </si>
  <si>
    <t>Campbell</t>
  </si>
  <si>
    <t>Carbines</t>
  </si>
  <si>
    <t>Chapman</t>
  </si>
  <si>
    <t>Christy</t>
  </si>
  <si>
    <t>Clarke</t>
  </si>
  <si>
    <t>Coleridge</t>
  </si>
  <si>
    <t>Collander</t>
  </si>
  <si>
    <t>Collett</t>
  </si>
  <si>
    <t>Collyer</t>
  </si>
  <si>
    <t>Cook</t>
  </si>
  <si>
    <t>Corbett</t>
  </si>
  <si>
    <t>Corey</t>
  </si>
  <si>
    <t>Cotterill</t>
  </si>
  <si>
    <t>Cunningham</t>
  </si>
  <si>
    <t>Davies</t>
  </si>
  <si>
    <t>Davis</t>
  </si>
  <si>
    <t>de Brito</t>
  </si>
  <si>
    <t>Deacon</t>
  </si>
  <si>
    <t>del Carlo</t>
  </si>
  <si>
    <t>Denbury</t>
  </si>
  <si>
    <t>Dibden</t>
  </si>
  <si>
    <t>Doling</t>
  </si>
  <si>
    <t>Downton</t>
  </si>
  <si>
    <t>Drew</t>
  </si>
  <si>
    <t>Duran y More</t>
  </si>
  <si>
    <t>Eitemiller</t>
  </si>
  <si>
    <t>Enander</t>
  </si>
  <si>
    <t>Fahlstrom</t>
  </si>
  <si>
    <t>Faunthorpe</t>
  </si>
  <si>
    <t>Fillbrook</t>
  </si>
  <si>
    <t>Fox</t>
  </si>
  <si>
    <t>Frost</t>
  </si>
  <si>
    <t>Funk</t>
  </si>
  <si>
    <t>Fynney</t>
  </si>
  <si>
    <t>Gale</t>
  </si>
  <si>
    <t>Garside</t>
  </si>
  <si>
    <t>Gaskell</t>
  </si>
  <si>
    <t>Gavey</t>
  </si>
  <si>
    <t>Gilbert</t>
  </si>
  <si>
    <t>Giles</t>
  </si>
  <si>
    <t>Gill</t>
  </si>
  <si>
    <t>Gillespie</t>
  </si>
  <si>
    <t>Givard</t>
  </si>
  <si>
    <t>Greenberg</t>
  </si>
  <si>
    <t>Hale</t>
  </si>
  <si>
    <t>Hamalainen</t>
  </si>
  <si>
    <t>Harbeck</t>
  </si>
  <si>
    <t>Hart</t>
  </si>
  <si>
    <t>Herman</t>
  </si>
  <si>
    <t>Hewlett</t>
  </si>
  <si>
    <t>Hickman</t>
  </si>
  <si>
    <t>Hiltunen</t>
  </si>
  <si>
    <t>Hocking</t>
  </si>
  <si>
    <t>Hodges</t>
  </si>
  <si>
    <t>Hold</t>
  </si>
  <si>
    <t>Hood</t>
  </si>
  <si>
    <t>Hosono</t>
  </si>
  <si>
    <t>Howard</t>
  </si>
  <si>
    <t>Hunt</t>
  </si>
  <si>
    <t>Ilett</t>
  </si>
  <si>
    <t>Jacobsohn</t>
  </si>
  <si>
    <t>Jarvis</t>
  </si>
  <si>
    <t>Jefferys</t>
  </si>
  <si>
    <t>Jenkin</t>
  </si>
  <si>
    <t>Jerwan</t>
  </si>
  <si>
    <t>Kantor</t>
  </si>
  <si>
    <t>Karnes</t>
  </si>
  <si>
    <t>Keane</t>
  </si>
  <si>
    <t>Kelly</t>
  </si>
  <si>
    <t>Kirkland</t>
  </si>
  <si>
    <t>Knight</t>
  </si>
  <si>
    <t>Kvillner</t>
  </si>
  <si>
    <t>Lahtinen</t>
  </si>
  <si>
    <t>Lamb</t>
  </si>
  <si>
    <t>Laroche</t>
  </si>
  <si>
    <t>Lehmann</t>
  </si>
  <si>
    <t>Leitch</t>
  </si>
  <si>
    <t>Lemore</t>
  </si>
  <si>
    <t>Levy</t>
  </si>
  <si>
    <t>Leyson</t>
  </si>
  <si>
    <t>Lingane</t>
  </si>
  <si>
    <t>Louch</t>
  </si>
  <si>
    <t>Mack</t>
  </si>
  <si>
    <t>Malachard</t>
  </si>
  <si>
    <t>Mallet</t>
  </si>
  <si>
    <t>Mangiavacchi</t>
  </si>
  <si>
    <t>Matthews</t>
  </si>
  <si>
    <t>Maybery</t>
  </si>
  <si>
    <t>McCrae</t>
  </si>
  <si>
    <t>McCrie</t>
  </si>
  <si>
    <t>McKane</t>
  </si>
  <si>
    <t>Mellinger</t>
  </si>
  <si>
    <t>Mellors</t>
  </si>
  <si>
    <t>Milling</t>
  </si>
  <si>
    <t>Mitchell</t>
  </si>
  <si>
    <t>Montvila</t>
  </si>
  <si>
    <t>Moraweck</t>
  </si>
  <si>
    <t>Morley</t>
  </si>
  <si>
    <t>Mudd</t>
  </si>
  <si>
    <t>Myles</t>
  </si>
  <si>
    <t>Nasser</t>
  </si>
  <si>
    <t>Navratil</t>
  </si>
  <si>
    <t>Nesson</t>
  </si>
  <si>
    <t>Nicholls</t>
  </si>
  <si>
    <t>Norman</t>
  </si>
  <si>
    <t>Nourney</t>
  </si>
  <si>
    <t>Nye</t>
  </si>
  <si>
    <t>Otter</t>
  </si>
  <si>
    <t>Oxenham</t>
  </si>
  <si>
    <t>Padro y Manent</t>
  </si>
  <si>
    <t>Pain</t>
  </si>
  <si>
    <t>Pallas y Castello</t>
  </si>
  <si>
    <t>Parker</t>
  </si>
  <si>
    <t>Parkes</t>
  </si>
  <si>
    <t>Parrish</t>
  </si>
  <si>
    <t>Pengelly</t>
  </si>
  <si>
    <t>Pernot</t>
  </si>
  <si>
    <t>Peruschitz</t>
  </si>
  <si>
    <t>Phillips</t>
  </si>
  <si>
    <t>Pinsky</t>
  </si>
  <si>
    <t>Ponesell</t>
  </si>
  <si>
    <t>Portaluppi</t>
  </si>
  <si>
    <t>Pulbaum</t>
  </si>
  <si>
    <t>Quick</t>
  </si>
  <si>
    <t>Reeves</t>
  </si>
  <si>
    <t>Renouf</t>
  </si>
  <si>
    <t>Reynaldo</t>
  </si>
  <si>
    <t>Richard</t>
  </si>
  <si>
    <t>Richards</t>
  </si>
  <si>
    <t>Ridsdale</t>
  </si>
  <si>
    <t>Rogers</t>
  </si>
  <si>
    <t>Rugg</t>
  </si>
  <si>
    <t>Schmidt</t>
  </si>
  <si>
    <t>Sedgwick</t>
  </si>
  <si>
    <t>Sharp</t>
  </si>
  <si>
    <t>Shelley</t>
  </si>
  <si>
    <t>Silven</t>
  </si>
  <si>
    <t>Sincock</t>
  </si>
  <si>
    <t>Sinkkonen</t>
  </si>
  <si>
    <t>Sjostedt</t>
  </si>
  <si>
    <t>Slayter</t>
  </si>
  <si>
    <t>Slemen</t>
  </si>
  <si>
    <t>Sobey</t>
  </si>
  <si>
    <t>Stanton</t>
  </si>
  <si>
    <t>Stokes</t>
  </si>
  <si>
    <t>Swane</t>
  </si>
  <si>
    <t>Sweet</t>
  </si>
  <si>
    <t>Toomey</t>
  </si>
  <si>
    <t>Troupiansky</t>
  </si>
  <si>
    <t>Trout</t>
  </si>
  <si>
    <t>Troutt</t>
  </si>
  <si>
    <t>Turpin</t>
  </si>
  <si>
    <t>Veal</t>
  </si>
  <si>
    <t>Walcroft</t>
  </si>
  <si>
    <t>Ware</t>
  </si>
  <si>
    <t>Watson</t>
  </si>
  <si>
    <t>Watt</t>
  </si>
  <si>
    <t>Webber</t>
  </si>
  <si>
    <t>Weisz</t>
  </si>
  <si>
    <t>Wells</t>
  </si>
  <si>
    <t>West</t>
  </si>
  <si>
    <t>Wheadon</t>
  </si>
  <si>
    <t>Wheeler</t>
  </si>
  <si>
    <t>Wilhelms</t>
  </si>
  <si>
    <t>Yrois</t>
  </si>
  <si>
    <t>Abbing</t>
  </si>
  <si>
    <t>Abbott</t>
  </si>
  <si>
    <t>Abelseth</t>
  </si>
  <si>
    <t>Abrahamsson</t>
  </si>
  <si>
    <t>Abrahim</t>
  </si>
  <si>
    <t>Adahl</t>
  </si>
  <si>
    <t>Adams</t>
  </si>
  <si>
    <t>Ahlin</t>
  </si>
  <si>
    <t>Aks</t>
  </si>
  <si>
    <t>Albimona</t>
  </si>
  <si>
    <t>Alexander</t>
  </si>
  <si>
    <t>Alhomaki</t>
  </si>
  <si>
    <t>Ali</t>
  </si>
  <si>
    <t>Allum</t>
  </si>
  <si>
    <t>Andersen</t>
  </si>
  <si>
    <t>Andersen-Jensen</t>
  </si>
  <si>
    <t>Andersson</t>
  </si>
  <si>
    <t>Andreasson</t>
  </si>
  <si>
    <t>Angheloff</t>
  </si>
  <si>
    <t>Arnold-Franchi</t>
  </si>
  <si>
    <t>Aronsson</t>
  </si>
  <si>
    <t>Asim</t>
  </si>
  <si>
    <t>Asplund</t>
  </si>
  <si>
    <t>Assaf Khalil</t>
  </si>
  <si>
    <t>Assaf</t>
  </si>
  <si>
    <t>Assam</t>
  </si>
  <si>
    <t>Attalah</t>
  </si>
  <si>
    <t>Augustsson</t>
  </si>
  <si>
    <t>Ayoub</t>
  </si>
  <si>
    <t>Baccos</t>
  </si>
  <si>
    <t>Backstrom</t>
  </si>
  <si>
    <t>Baclini</t>
  </si>
  <si>
    <t>Badman</t>
  </si>
  <si>
    <t>Badt</t>
  </si>
  <si>
    <t>Balkic</t>
  </si>
  <si>
    <t>Barah</t>
  </si>
  <si>
    <t>Barbara</t>
  </si>
  <si>
    <t>Barry</t>
  </si>
  <si>
    <t>Barton</t>
  </si>
  <si>
    <t>Beavan</t>
  </si>
  <si>
    <t>Bengtsson</t>
  </si>
  <si>
    <t>Berglund</t>
  </si>
  <si>
    <t>Betros</t>
  </si>
  <si>
    <t>Bing</t>
  </si>
  <si>
    <t>Birkeland</t>
  </si>
  <si>
    <t>Bjorklund</t>
  </si>
  <si>
    <t>Bostandyeff</t>
  </si>
  <si>
    <t>Boulos</t>
  </si>
  <si>
    <t>Bourke</t>
  </si>
  <si>
    <t>Braf</t>
  </si>
  <si>
    <t>Braund</t>
  </si>
  <si>
    <t>Brobeck</t>
  </si>
  <si>
    <t>Brocklebank</t>
  </si>
  <si>
    <t>Buckley</t>
  </si>
  <si>
    <t>Burke</t>
  </si>
  <si>
    <t>Cacic</t>
  </si>
  <si>
    <t>Calic</t>
  </si>
  <si>
    <t>Canavan</t>
  </si>
  <si>
    <t>Cann</t>
  </si>
  <si>
    <t>Caram</t>
  </si>
  <si>
    <t>Carr</t>
  </si>
  <si>
    <t>Carver</t>
  </si>
  <si>
    <t>Celotti</t>
  </si>
  <si>
    <t>Charters</t>
  </si>
  <si>
    <t>Chip</t>
  </si>
  <si>
    <t>Christmann</t>
  </si>
  <si>
    <t>Chronopoulos</t>
  </si>
  <si>
    <t>Coelho</t>
  </si>
  <si>
    <t>Cohen</t>
  </si>
  <si>
    <t>Colbert</t>
  </si>
  <si>
    <t>Coleff</t>
  </si>
  <si>
    <t>Conlon</t>
  </si>
  <si>
    <t>Connaghton</t>
  </si>
  <si>
    <t>Connolly</t>
  </si>
  <si>
    <t>Connors</t>
  </si>
  <si>
    <t>Cor</t>
  </si>
  <si>
    <t>Corn</t>
  </si>
  <si>
    <t>Coutts</t>
  </si>
  <si>
    <t>Coxon</t>
  </si>
  <si>
    <t>Crease</t>
  </si>
  <si>
    <t>Cribb</t>
  </si>
  <si>
    <t>Culumovic</t>
  </si>
  <si>
    <t>Daher</t>
  </si>
  <si>
    <t>Dahl</t>
  </si>
  <si>
    <t>Dahlberg</t>
  </si>
  <si>
    <t>Dakic</t>
  </si>
  <si>
    <t>Danbom</t>
  </si>
  <si>
    <t>Danoff</t>
  </si>
  <si>
    <t>Dantcheff</t>
  </si>
  <si>
    <t>Davison</t>
  </si>
  <si>
    <t>de Messemaeker</t>
  </si>
  <si>
    <t>de Mulder</t>
  </si>
  <si>
    <t>de Pelsmaeker</t>
  </si>
  <si>
    <t>Dean</t>
  </si>
  <si>
    <t>Delalic</t>
  </si>
  <si>
    <t>Demetri</t>
  </si>
  <si>
    <t>Denkoff</t>
  </si>
  <si>
    <t>Dennis</t>
  </si>
  <si>
    <t>Devaney</t>
  </si>
  <si>
    <t>Dika</t>
  </si>
  <si>
    <t>Dimic</t>
  </si>
  <si>
    <t>Dintcheff</t>
  </si>
  <si>
    <t>Doharr</t>
  </si>
  <si>
    <t>Dooley</t>
  </si>
  <si>
    <t>Dorking</t>
  </si>
  <si>
    <t>Dowdell</t>
  </si>
  <si>
    <t>Doyle</t>
  </si>
  <si>
    <t>Drapkin</t>
  </si>
  <si>
    <t>Drazenoic</t>
  </si>
  <si>
    <t>Duane</t>
  </si>
  <si>
    <t>Duquemin</t>
  </si>
  <si>
    <t>Dyker</t>
  </si>
  <si>
    <t>Edvardsson</t>
  </si>
  <si>
    <t>Eklund</t>
  </si>
  <si>
    <t>Ekstrom</t>
  </si>
  <si>
    <t>Elias</t>
  </si>
  <si>
    <t>Elsbury</t>
  </si>
  <si>
    <t>Emanuel</t>
  </si>
  <si>
    <t>Emir</t>
  </si>
  <si>
    <t>Everett</t>
  </si>
  <si>
    <t>Farrell</t>
  </si>
  <si>
    <t>Finoli</t>
  </si>
  <si>
    <t>Fischer</t>
  </si>
  <si>
    <t>Foley</t>
  </si>
  <si>
    <t>Foo</t>
  </si>
  <si>
    <t>Ford</t>
  </si>
  <si>
    <t>Gallagher</t>
  </si>
  <si>
    <t>Garfirth</t>
  </si>
  <si>
    <t>Gheorgheff</t>
  </si>
  <si>
    <t>Gilinski</t>
  </si>
  <si>
    <t>Gilnagh</t>
  </si>
  <si>
    <t>Glynn</t>
  </si>
  <si>
    <t>Goldsmith</t>
  </si>
  <si>
    <t>Goncalves</t>
  </si>
  <si>
    <t>Goodwin</t>
  </si>
  <si>
    <t>Green</t>
  </si>
  <si>
    <t>Gronnestad</t>
  </si>
  <si>
    <t>Guest</t>
  </si>
  <si>
    <t>Gustafsson</t>
  </si>
  <si>
    <t>Haas</t>
  </si>
  <si>
    <t>Hagardon</t>
  </si>
  <si>
    <t>Hagland</t>
  </si>
  <si>
    <t>Hakkarainen</t>
  </si>
  <si>
    <t>Hampe</t>
  </si>
  <si>
    <t>Hanna</t>
  </si>
  <si>
    <t>Hansen</t>
  </si>
  <si>
    <t>Harknett</t>
  </si>
  <si>
    <t>Harmer</t>
  </si>
  <si>
    <t>Hassan</t>
  </si>
  <si>
    <t>Healy</t>
  </si>
  <si>
    <t>Hedman</t>
  </si>
  <si>
    <t>Hee</t>
  </si>
  <si>
    <t>Hegarty</t>
  </si>
  <si>
    <t>Heikkinen</t>
  </si>
  <si>
    <t>Heininen</t>
  </si>
  <si>
    <t>Hellstrom</t>
  </si>
  <si>
    <t>Hendekovic</t>
  </si>
  <si>
    <t>Henriksson</t>
  </si>
  <si>
    <t>Henry</t>
  </si>
  <si>
    <t>Hirvonen</t>
  </si>
  <si>
    <t>Holm</t>
  </si>
  <si>
    <t>Holthen</t>
  </si>
  <si>
    <t>Honkanen</t>
  </si>
  <si>
    <t>Horgan</t>
  </si>
  <si>
    <t>Humblen</t>
  </si>
  <si>
    <t>Hyman</t>
  </si>
  <si>
    <t>Ibrahim Shawah</t>
  </si>
  <si>
    <t>Ilieff</t>
  </si>
  <si>
    <t>Ilmakangas</t>
  </si>
  <si>
    <t>Ivanoff</t>
  </si>
  <si>
    <t>Jalsevac</t>
  </si>
  <si>
    <t>Jansson</t>
  </si>
  <si>
    <t>Jardin</t>
  </si>
  <si>
    <t>Jensen</t>
  </si>
  <si>
    <t>Jermyn</t>
  </si>
  <si>
    <t>Johannesen-Bratthammer</t>
  </si>
  <si>
    <t>Johanson</t>
  </si>
  <si>
    <t>Johansson Palmquist</t>
  </si>
  <si>
    <t>Johansson</t>
  </si>
  <si>
    <t>Johnson</t>
  </si>
  <si>
    <t>Johnston</t>
  </si>
  <si>
    <t>Jonkoff</t>
  </si>
  <si>
    <t>Jonsson</t>
  </si>
  <si>
    <t>Jussila</t>
  </si>
  <si>
    <t>Kallio</t>
  </si>
  <si>
    <t>Kalvik</t>
  </si>
  <si>
    <t>Karaic</t>
  </si>
  <si>
    <t>Karlsson</t>
  </si>
  <si>
    <t>Karun</t>
  </si>
  <si>
    <t>Kassem</t>
  </si>
  <si>
    <t>Katavelas</t>
  </si>
  <si>
    <t>Keefe</t>
  </si>
  <si>
    <t>Kennedy</t>
  </si>
  <si>
    <t>Khalil</t>
  </si>
  <si>
    <t>Kiernan</t>
  </si>
  <si>
    <t>Kilgannon</t>
  </si>
  <si>
    <t>Kink</t>
  </si>
  <si>
    <t>Kink-Heilmann</t>
  </si>
  <si>
    <t>Klasen</t>
  </si>
  <si>
    <t>Kraeff</t>
  </si>
  <si>
    <t>Krekorian</t>
  </si>
  <si>
    <t>Lahoud</t>
  </si>
  <si>
    <t>Laitinen</t>
  </si>
  <si>
    <t>Laleff</t>
  </si>
  <si>
    <t>Lam</t>
  </si>
  <si>
    <t>Landergren</t>
  </si>
  <si>
    <t>Lane</t>
  </si>
  <si>
    <t>Lang</t>
  </si>
  <si>
    <t>Larsson</t>
  </si>
  <si>
    <t>Larsson-Rondberg</t>
  </si>
  <si>
    <t>Leeni</t>
  </si>
  <si>
    <t>Lefebre</t>
  </si>
  <si>
    <t>Leinonen</t>
  </si>
  <si>
    <t>Lemberopolous</t>
  </si>
  <si>
    <t>Lennon</t>
  </si>
  <si>
    <t>Leonard</t>
  </si>
  <si>
    <t>Lester</t>
  </si>
  <si>
    <t>Lievens</t>
  </si>
  <si>
    <t>Lindahl</t>
  </si>
  <si>
    <t>Lindblom</t>
  </si>
  <si>
    <t>Lindell</t>
  </si>
  <si>
    <t>Lindqvist</t>
  </si>
  <si>
    <t>Linehan</t>
  </si>
  <si>
    <t>Ling</t>
  </si>
  <si>
    <t>Lithman</t>
  </si>
  <si>
    <t>Lobb</t>
  </si>
  <si>
    <t>Lockyer</t>
  </si>
  <si>
    <t>Lovell</t>
  </si>
  <si>
    <t>Lulic</t>
  </si>
  <si>
    <t>Lundahl</t>
  </si>
  <si>
    <t>Lundin</t>
  </si>
  <si>
    <t>Lundstrom</t>
  </si>
  <si>
    <t>Lyntakoff</t>
  </si>
  <si>
    <t>MacKay</t>
  </si>
  <si>
    <t>Madigan</t>
  </si>
  <si>
    <t>Madsen</t>
  </si>
  <si>
    <t>Maenpaa</t>
  </si>
  <si>
    <t>Mahon</t>
  </si>
  <si>
    <t>Maisner</t>
  </si>
  <si>
    <t>Makinen</t>
  </si>
  <si>
    <t>Mamee</t>
  </si>
  <si>
    <t>Mangan</t>
  </si>
  <si>
    <t>Mannion</t>
  </si>
  <si>
    <t>Mardirosian</t>
  </si>
  <si>
    <t>Markoff</t>
  </si>
  <si>
    <t>Markun</t>
  </si>
  <si>
    <t>Masselmani</t>
  </si>
  <si>
    <t>Matinoff</t>
  </si>
  <si>
    <t>McCormack</t>
  </si>
  <si>
    <t>McCoy</t>
  </si>
  <si>
    <t>McDermott</t>
  </si>
  <si>
    <t>McEvoy</t>
  </si>
  <si>
    <t>McGovern</t>
  </si>
  <si>
    <t>McGowan</t>
  </si>
  <si>
    <t>McMahon</t>
  </si>
  <si>
    <t>McNamee</t>
  </si>
  <si>
    <t>McNeill</t>
  </si>
  <si>
    <t>Meanwell</t>
  </si>
  <si>
    <t>Meek</t>
  </si>
  <si>
    <t>Meo</t>
  </si>
  <si>
    <t>Mernagh</t>
  </si>
  <si>
    <t>Midtsjo</t>
  </si>
  <si>
    <t>Miles</t>
  </si>
  <si>
    <t>Mineff</t>
  </si>
  <si>
    <t>Minkoff</t>
  </si>
  <si>
    <t>Mionoff</t>
  </si>
  <si>
    <t>Mitkoff</t>
  </si>
  <si>
    <t>Mockler</t>
  </si>
  <si>
    <t>Moen</t>
  </si>
  <si>
    <t>Moor</t>
  </si>
  <si>
    <t>Moran</t>
  </si>
  <si>
    <t>Morrow</t>
  </si>
  <si>
    <t>Moss</t>
  </si>
  <si>
    <t>Moubarek</t>
  </si>
  <si>
    <t>Moussa</t>
  </si>
  <si>
    <t>Moutal</t>
  </si>
  <si>
    <t>Mullens</t>
  </si>
  <si>
    <t>Mulvihill</t>
  </si>
  <si>
    <t>Murdlin</t>
  </si>
  <si>
    <t>Murphy</t>
  </si>
  <si>
    <t>Myhrman</t>
  </si>
  <si>
    <t>Naidenoff</t>
  </si>
  <si>
    <t>Najib</t>
  </si>
  <si>
    <t>Nakid</t>
  </si>
  <si>
    <t>Nancarrow</t>
  </si>
  <si>
    <t>Nankoff</t>
  </si>
  <si>
    <t>Nasr</t>
  </si>
  <si>
    <t>Naughton</t>
  </si>
  <si>
    <t>Nenkoff</t>
  </si>
  <si>
    <t>Nicola-Yarred</t>
  </si>
  <si>
    <t>Nieminen</t>
  </si>
  <si>
    <t>Niklasson</t>
  </si>
  <si>
    <t>Nilsson</t>
  </si>
  <si>
    <t>Nirva</t>
  </si>
  <si>
    <t>Niskanen</t>
  </si>
  <si>
    <t>Nosworthy</t>
  </si>
  <si>
    <t>Novel</t>
  </si>
  <si>
    <t>Nysten</t>
  </si>
  <si>
    <t>Nysveen</t>
  </si>
  <si>
    <t>O'Brien</t>
  </si>
  <si>
    <t>O'Connell</t>
  </si>
  <si>
    <t>O'Connor</t>
  </si>
  <si>
    <t>Odahl</t>
  </si>
  <si>
    <t>O'Donoghue</t>
  </si>
  <si>
    <t>O'Driscoll</t>
  </si>
  <si>
    <t>O'Dwyer</t>
  </si>
  <si>
    <t>Ohman</t>
  </si>
  <si>
    <t>O'Keefe</t>
  </si>
  <si>
    <t>O'Leary</t>
  </si>
  <si>
    <t>Olsen</t>
  </si>
  <si>
    <t>Olsson</t>
  </si>
  <si>
    <t>Olsvigen</t>
  </si>
  <si>
    <t>Oreskovic</t>
  </si>
  <si>
    <t>Osen</t>
  </si>
  <si>
    <t>Osman</t>
  </si>
  <si>
    <t>O'Sullivan</t>
  </si>
  <si>
    <t>Palsson</t>
  </si>
  <si>
    <t>Panula</t>
  </si>
  <si>
    <t>Pasic</t>
  </si>
  <si>
    <t>Patchett</t>
  </si>
  <si>
    <t>Paulner</t>
  </si>
  <si>
    <t>Pavlovic</t>
  </si>
  <si>
    <t>Peacock</t>
  </si>
  <si>
    <t>Pearce</t>
  </si>
  <si>
    <t>Pedersen</t>
  </si>
  <si>
    <t>Peduzzi</t>
  </si>
  <si>
    <t>Pekoniemi</t>
  </si>
  <si>
    <t>Peltomaki</t>
  </si>
  <si>
    <t>Perkin</t>
  </si>
  <si>
    <t>Persson</t>
  </si>
  <si>
    <t>Peter</t>
  </si>
  <si>
    <t>Peters</t>
  </si>
  <si>
    <t>Petersen</t>
  </si>
  <si>
    <t>Petranec</t>
  </si>
  <si>
    <t>Petroff</t>
  </si>
  <si>
    <t>Petterson</t>
  </si>
  <si>
    <t>Pettersson</t>
  </si>
  <si>
    <t>Pickard</t>
  </si>
  <si>
    <t>Plotcharsky</t>
  </si>
  <si>
    <t>Pokrnic</t>
  </si>
  <si>
    <t>Radeff</t>
  </si>
  <si>
    <t>Rasmussen</t>
  </si>
  <si>
    <t>Razi</t>
  </si>
  <si>
    <t>Reed</t>
  </si>
  <si>
    <t>Rekic</t>
  </si>
  <si>
    <t>Reynolds</t>
  </si>
  <si>
    <t>Rice</t>
  </si>
  <si>
    <t>Riihivouri</t>
  </si>
  <si>
    <t>Rintamaki</t>
  </si>
  <si>
    <t>Riordan</t>
  </si>
  <si>
    <t>Risien</t>
  </si>
  <si>
    <t>Robins</t>
  </si>
  <si>
    <t>Rommetvedt</t>
  </si>
  <si>
    <t>Rosblom</t>
  </si>
  <si>
    <t>Roth</t>
  </si>
  <si>
    <t>Rouse</t>
  </si>
  <si>
    <t>Rush</t>
  </si>
  <si>
    <t>Ryan</t>
  </si>
  <si>
    <t>Saad</t>
  </si>
  <si>
    <t>Saade</t>
  </si>
  <si>
    <t>Sadlier</t>
  </si>
  <si>
    <t>Sadowitz</t>
  </si>
  <si>
    <t>Saether</t>
  </si>
  <si>
    <t>Sage</t>
  </si>
  <si>
    <t>Salander</t>
  </si>
  <si>
    <t>Salkjelsvik</t>
  </si>
  <si>
    <t>Salonen</t>
  </si>
  <si>
    <t>Samaan</t>
  </si>
  <si>
    <t>Sandstrom</t>
  </si>
  <si>
    <t>Sap</t>
  </si>
  <si>
    <t>Saundercock</t>
  </si>
  <si>
    <t>Sawyer</t>
  </si>
  <si>
    <t>Scanlan</t>
  </si>
  <si>
    <t>Sdycoff</t>
  </si>
  <si>
    <t>Shaughnessy</t>
  </si>
  <si>
    <t>Sheerlinck</t>
  </si>
  <si>
    <t>Shellard</t>
  </si>
  <si>
    <t>Shine</t>
  </si>
  <si>
    <t>Shorney</t>
  </si>
  <si>
    <t>Simmons</t>
  </si>
  <si>
    <t>Sirayanian</t>
  </si>
  <si>
    <t>Sirota</t>
  </si>
  <si>
    <t>Sivic</t>
  </si>
  <si>
    <t>Sivola</t>
  </si>
  <si>
    <t>Sjoblom</t>
  </si>
  <si>
    <t>Skoog</t>
  </si>
  <si>
    <t>Slabenoff</t>
  </si>
  <si>
    <t>Slocovski</t>
  </si>
  <si>
    <t>Smiljanic</t>
  </si>
  <si>
    <t>Smyth</t>
  </si>
  <si>
    <t>Soholt</t>
  </si>
  <si>
    <t>Somerton</t>
  </si>
  <si>
    <t>Spector</t>
  </si>
  <si>
    <t>Spinner</t>
  </si>
  <si>
    <t>Staneff</t>
  </si>
  <si>
    <t>Stankovic</t>
  </si>
  <si>
    <t>Stanley</t>
  </si>
  <si>
    <t>Storey</t>
  </si>
  <si>
    <t>Stoytcheff</t>
  </si>
  <si>
    <t>Strandberg</t>
  </si>
  <si>
    <t>Stranden</t>
  </si>
  <si>
    <t>Strilic</t>
  </si>
  <si>
    <t>Strom</t>
  </si>
  <si>
    <t>Sunderland</t>
  </si>
  <si>
    <t>Sundman</t>
  </si>
  <si>
    <t>Sutehall</t>
  </si>
  <si>
    <t>Svensson</t>
  </si>
  <si>
    <t>Tenglin</t>
  </si>
  <si>
    <t>Theobald</t>
  </si>
  <si>
    <t>Thomas</t>
  </si>
  <si>
    <t>Thomson</t>
  </si>
  <si>
    <t>Thorneycroft</t>
  </si>
  <si>
    <t>Tikkanen</t>
  </si>
  <si>
    <t>Tobin</t>
  </si>
  <si>
    <t>Todoroff</t>
  </si>
  <si>
    <t>Tomlin</t>
  </si>
  <si>
    <t>Torber</t>
  </si>
  <si>
    <t>Torfa</t>
  </si>
  <si>
    <t>Tornquist</t>
  </si>
  <si>
    <t>Toufik</t>
  </si>
  <si>
    <t>Touma</t>
  </si>
  <si>
    <t>Turcin</t>
  </si>
  <si>
    <t>Turja</t>
  </si>
  <si>
    <t>Turkula</t>
  </si>
  <si>
    <t>van Billiard</t>
  </si>
  <si>
    <t>Van Impe</t>
  </si>
  <si>
    <t>van Melkebeke</t>
  </si>
  <si>
    <t>Vande Velde</t>
  </si>
  <si>
    <t>Vande Walle</t>
  </si>
  <si>
    <t>Vanden Steen</t>
  </si>
  <si>
    <t>Vander Cruyssen</t>
  </si>
  <si>
    <t>Vander Planke</t>
  </si>
  <si>
    <t>Vartanian</t>
  </si>
  <si>
    <t>Vendel</t>
  </si>
  <si>
    <t>Vestrom</t>
  </si>
  <si>
    <t>Vovk</t>
  </si>
  <si>
    <t>Waelens</t>
  </si>
  <si>
    <t>Wenzel</t>
  </si>
  <si>
    <t>Whabee</t>
  </si>
  <si>
    <t>Widegren</t>
  </si>
  <si>
    <t>Wiklund</t>
  </si>
  <si>
    <t>Wilkes</t>
  </si>
  <si>
    <t>Willer</t>
  </si>
  <si>
    <t>Willey</t>
  </si>
  <si>
    <t>Windelov</t>
  </si>
  <si>
    <t>Wirz</t>
  </si>
  <si>
    <t>Wiseman</t>
  </si>
  <si>
    <t>Wittevrongel</t>
  </si>
  <si>
    <t>Yasbeck</t>
  </si>
  <si>
    <t>Youseff</t>
  </si>
  <si>
    <t>Yousif</t>
  </si>
  <si>
    <t>Yousseff</t>
  </si>
  <si>
    <t>Zabour</t>
  </si>
  <si>
    <t>Zakarian</t>
  </si>
  <si>
    <t>Zimmerman</t>
  </si>
  <si>
    <t>Last Name</t>
  </si>
  <si>
    <t xml:space="preserve"> Miss</t>
  </si>
  <si>
    <t xml:space="preserve"> Elisabeth Walton</t>
  </si>
  <si>
    <t xml:space="preserve"> Master</t>
  </si>
  <si>
    <t xml:space="preserve"> Hudson Trevor</t>
  </si>
  <si>
    <t xml:space="preserve"> Helen Loraine</t>
  </si>
  <si>
    <t xml:space="preserve"> Mr</t>
  </si>
  <si>
    <t xml:space="preserve"> Hudson Joshua Creighton</t>
  </si>
  <si>
    <t xml:space="preserve"> Mrs</t>
  </si>
  <si>
    <t xml:space="preserve"> Hudson J C (Bessie Waldo Daniels)</t>
  </si>
  <si>
    <t xml:space="preserve"> Harry</t>
  </si>
  <si>
    <t xml:space="preserve"> Kornelia Theodosia</t>
  </si>
  <si>
    <t xml:space="preserve"> Thomas Jr</t>
  </si>
  <si>
    <t xml:space="preserve"> Edward Dale (Charlotte Lamson)</t>
  </si>
  <si>
    <t xml:space="preserve"> Ramon</t>
  </si>
  <si>
    <t xml:space="preserve"> Col</t>
  </si>
  <si>
    <t xml:space="preserve"> John Jacob</t>
  </si>
  <si>
    <t xml:space="preserve"> John Jacob (Madeleine Talmadge Force)</t>
  </si>
  <si>
    <t xml:space="preserve"> Mme</t>
  </si>
  <si>
    <t xml:space="preserve"> Leontine Pauline</t>
  </si>
  <si>
    <t xml:space="preserve"> Ellen "Nellie"</t>
  </si>
  <si>
    <t xml:space="preserve"> Algernon Henry Wilson</t>
  </si>
  <si>
    <t xml:space="preserve"> John D</t>
  </si>
  <si>
    <t xml:space="preserve"> Quigg Edmond</t>
  </si>
  <si>
    <t xml:space="preserve"> James (Helene DeLaudeniere Chaput)</t>
  </si>
  <si>
    <t xml:space="preserve"> Albina</t>
  </si>
  <si>
    <t xml:space="preserve"> Thomson</t>
  </si>
  <si>
    <t xml:space="preserve"> Richard Leonard</t>
  </si>
  <si>
    <t xml:space="preserve"> Richard Leonard (Sallie Monypeny)</t>
  </si>
  <si>
    <t xml:space="preserve"> Karl Howell</t>
  </si>
  <si>
    <t xml:space="preserve"> Rosalie</t>
  </si>
  <si>
    <t xml:space="preserve"> Ellen</t>
  </si>
  <si>
    <t xml:space="preserve"> Jakob</t>
  </si>
  <si>
    <t xml:space="preserve"> Dickinson H</t>
  </si>
  <si>
    <t xml:space="preserve"> Dickinson H (Helen Walton)</t>
  </si>
  <si>
    <t xml:space="preserve"> Amelia</t>
  </si>
  <si>
    <t xml:space="preserve"> Mauritz Hakan</t>
  </si>
  <si>
    <t xml:space="preserve"> Stephen Weart</t>
  </si>
  <si>
    <t xml:space="preserve"> Henry</t>
  </si>
  <si>
    <t xml:space="preserve"> Caroline</t>
  </si>
  <si>
    <t xml:space="preserve"> Elizabeth</t>
  </si>
  <si>
    <t xml:space="preserve"> John James</t>
  </si>
  <si>
    <t xml:space="preserve"> Grace Scott</t>
  </si>
  <si>
    <t xml:space="preserve"> Elsie Edith</t>
  </si>
  <si>
    <t xml:space="preserve"> George ("George Arthur Brayton")</t>
  </si>
  <si>
    <t xml:space="preserve"> John Bertram</t>
  </si>
  <si>
    <t xml:space="preserve"> Emil</t>
  </si>
  <si>
    <t xml:space="preserve"> Dr</t>
  </si>
  <si>
    <t xml:space="preserve"> Arthur Jackson</t>
  </si>
  <si>
    <t xml:space="preserve"> James Joseph (Margaret Tobin)</t>
  </si>
  <si>
    <t xml:space="preserve"> John Murray (Caroline Lane Lamson)</t>
  </si>
  <si>
    <t xml:space="preserve"> William Robert (Emma Eliza Ward)</t>
  </si>
  <si>
    <t xml:space="preserve"> Elizabeth Margaret</t>
  </si>
  <si>
    <t xml:space="preserve"> Major</t>
  </si>
  <si>
    <t xml:space="preserve"> Archibald Willingham</t>
  </si>
  <si>
    <t xml:space="preserve"> Alexander</t>
  </si>
  <si>
    <t xml:space="preserve"> Edward Pennington</t>
  </si>
  <si>
    <t xml:space="preserve"> Edward (Helen Churchill Hungerford)</t>
  </si>
  <si>
    <t xml:space="preserve"> Thomas Drake Martinez</t>
  </si>
  <si>
    <t xml:space="preserve"> James Warburton Martinez (Charlotte Wardle Drake)</t>
  </si>
  <si>
    <t xml:space="preserve"> Frans Olof</t>
  </si>
  <si>
    <t xml:space="preserve"> Francisco M</t>
  </si>
  <si>
    <t xml:space="preserve"> Jose Pedro</t>
  </si>
  <si>
    <t xml:space="preserve"> William Thornton II</t>
  </si>
  <si>
    <t xml:space="preserve"> Lucile Polk</t>
  </si>
  <si>
    <t xml:space="preserve"> William Ernest</t>
  </si>
  <si>
    <t xml:space="preserve"> William Ernest (Lucile Polk)</t>
  </si>
  <si>
    <t xml:space="preserve"> Howard Brown</t>
  </si>
  <si>
    <t xml:space="preserve"> Henry Arthur Jr (Eleanor Genevieve Fosdick)</t>
  </si>
  <si>
    <t xml:space="preserve"> Tyrell William</t>
  </si>
  <si>
    <t xml:space="preserve"> Tyrell William (Julia Florence Siegel)</t>
  </si>
  <si>
    <t xml:space="preserve"> Herbert Fuller</t>
  </si>
  <si>
    <t xml:space="preserve"> Herbert Fuller (Carrie Constance Toogood)</t>
  </si>
  <si>
    <t xml:space="preserve"> Norman Campbell</t>
  </si>
  <si>
    <t xml:space="preserve"> Norman Campbell (Bertha Griggs)</t>
  </si>
  <si>
    <t xml:space="preserve"> Victorine</t>
  </si>
  <si>
    <t xml:space="preserve"> Gladys</t>
  </si>
  <si>
    <t xml:space="preserve"> Paul Romaine</t>
  </si>
  <si>
    <t xml:space="preserve"> (Edith Martha Bowerman)</t>
  </si>
  <si>
    <t xml:space="preserve"> Roderick Robert Crispin</t>
  </si>
  <si>
    <t xml:space="preserve"> Walter Miller</t>
  </si>
  <si>
    <t xml:space="preserve"> Walter Miller (Virginia McDowell)</t>
  </si>
  <si>
    <t xml:space="preserve"> Alice</t>
  </si>
  <si>
    <t xml:space="preserve"> George Quincy</t>
  </si>
  <si>
    <t xml:space="preserve"> Edward Pomeroy</t>
  </si>
  <si>
    <t xml:space="preserve"> Sara Rebecca</t>
  </si>
  <si>
    <t xml:space="preserve"> Alexander Taylor Jr</t>
  </si>
  <si>
    <t xml:space="preserve"> Alexander Taylor (Mary Eliza Ingersoll)</t>
  </si>
  <si>
    <t xml:space="preserve"> Robert Clifford (Malvina Helen Lamson)</t>
  </si>
  <si>
    <t xml:space="preserve"> Capt</t>
  </si>
  <si>
    <t xml:space="preserve"> Edward Gifford</t>
  </si>
  <si>
    <t xml:space="preserve"> Harriet R</t>
  </si>
  <si>
    <t xml:space="preserve"> Edward Gifford (Catherine Elizabeth Halstead)</t>
  </si>
  <si>
    <t xml:space="preserve"> John Bradley</t>
  </si>
  <si>
    <t xml:space="preserve"> John Bradley (Florence Briggs Thayer)</t>
  </si>
  <si>
    <t xml:space="preserve"> Peter Denis </t>
  </si>
  <si>
    <t xml:space="preserve"> Robert Williams</t>
  </si>
  <si>
    <t xml:space="preserve"> Sarah</t>
  </si>
  <si>
    <t xml:space="preserve"> Thornton</t>
  </si>
  <si>
    <t xml:space="preserve"> Thornton (Orian Hays)</t>
  </si>
  <si>
    <t xml:space="preserve"> Albert Adrian</t>
  </si>
  <si>
    <t xml:space="preserve"> Albert Adrian (Vera Gillespie)</t>
  </si>
  <si>
    <t xml:space="preserve"> Washington</t>
  </si>
  <si>
    <t xml:space="preserve"> Washington (Ruth Vidaver)</t>
  </si>
  <si>
    <t xml:space="preserve"> Walter Donald</t>
  </si>
  <si>
    <t xml:space="preserve"> Frederick Charles (Mary Helene Baxter)</t>
  </si>
  <si>
    <t xml:space="preserve"> Walter Donald (Mahala Dutton)</t>
  </si>
  <si>
    <t xml:space="preserve"> Lady</t>
  </si>
  <si>
    <t xml:space="preserve"> (Lucille Christiana Sutherland) ("Mrs Morgan")</t>
  </si>
  <si>
    <t xml:space="preserve"> Sir</t>
  </si>
  <si>
    <t xml:space="preserve"> Cosmo Edmund ("Mr Morgan")</t>
  </si>
  <si>
    <t xml:space="preserve"> William Crothers</t>
  </si>
  <si>
    <t xml:space="preserve"> Boulton (Olive Potter)</t>
  </si>
  <si>
    <t xml:space="preserve"> Caroline Louise</t>
  </si>
  <si>
    <t xml:space="preserve"> Elizabeth Mussey</t>
  </si>
  <si>
    <t xml:space="preserve"> Edith Corse</t>
  </si>
  <si>
    <t xml:space="preserve"> John</t>
  </si>
  <si>
    <t xml:space="preserve"> Alfred (Antoinette)</t>
  </si>
  <si>
    <t xml:space="preserve"> Margaret</t>
  </si>
  <si>
    <t xml:space="preserve"> John Irwin ("Irving")</t>
  </si>
  <si>
    <t xml:space="preserve"> Benjamin Laventall</t>
  </si>
  <si>
    <t xml:space="preserve"> Alice Elizabeth</t>
  </si>
  <si>
    <t xml:space="preserve"> Ethel Flora</t>
  </si>
  <si>
    <t xml:space="preserve"> Mabel Helen</t>
  </si>
  <si>
    <t xml:space="preserve"> Charles Alexander</t>
  </si>
  <si>
    <t xml:space="preserve"> Mark</t>
  </si>
  <si>
    <t xml:space="preserve"> Mark (Mary McDougald)</t>
  </si>
  <si>
    <t xml:space="preserve"> Laura Mabel</t>
  </si>
  <si>
    <t xml:space="preserve"> Thomas Parham</t>
  </si>
  <si>
    <t xml:space="preserve"> Henry William</t>
  </si>
  <si>
    <t xml:space="preserve"> Isaac Gerald</t>
  </si>
  <si>
    <t xml:space="preserve"> Henry William (Clara Heinsheimer)</t>
  </si>
  <si>
    <t xml:space="preserve"> Hedwig Margaritha</t>
  </si>
  <si>
    <t xml:space="preserve"> Maxmillian</t>
  </si>
  <si>
    <t xml:space="preserve"> Maxmillian (Margaretha Emerentia Stehli)</t>
  </si>
  <si>
    <t xml:space="preserve"> Richard</t>
  </si>
  <si>
    <t xml:space="preserve"> Jacques Heath</t>
  </si>
  <si>
    <t xml:space="preserve"> Jacques Heath (Lily May Peel)</t>
  </si>
  <si>
    <t xml:space="preserve"> Arthur H</t>
  </si>
  <si>
    <t xml:space="preserve"> Amalie</t>
  </si>
  <si>
    <t xml:space="preserve"> Dorothy Winifred</t>
  </si>
  <si>
    <t xml:space="preserve"> Leonard (Pauline C Boeson)</t>
  </si>
  <si>
    <t xml:space="preserve"> Victor</t>
  </si>
  <si>
    <t xml:space="preserve"> Samuel L</t>
  </si>
  <si>
    <t xml:space="preserve"> Samuel L (Edwiga Grabowska)</t>
  </si>
  <si>
    <t xml:space="preserve"> George B</t>
  </si>
  <si>
    <t xml:space="preserve"> Archibald IV</t>
  </si>
  <si>
    <t xml:space="preserve"> Margaret Edith</t>
  </si>
  <si>
    <t xml:space="preserve"> George Edward</t>
  </si>
  <si>
    <t xml:space="preserve"> William Thompson (Edith Junkins)</t>
  </si>
  <si>
    <t xml:space="preserve"> William Bertram</t>
  </si>
  <si>
    <t xml:space="preserve"> Leo David (Blanche Strouse)</t>
  </si>
  <si>
    <t xml:space="preserve"> Benjamin</t>
  </si>
  <si>
    <t xml:space="preserve"> George Achilles</t>
  </si>
  <si>
    <t xml:space="preserve"> George Achilles (Dorothy Annan)</t>
  </si>
  <si>
    <t xml:space="preserve"> Henry Sleeper</t>
  </si>
  <si>
    <t xml:space="preserve"> Henry Sleeper (Myna Haxtun)</t>
  </si>
  <si>
    <t xml:space="preserve"> Charles H</t>
  </si>
  <si>
    <t xml:space="preserve"> Henry Birkhardt</t>
  </si>
  <si>
    <t xml:space="preserve"> Henry Birkhardt (Irene Wallach)</t>
  </si>
  <si>
    <t xml:space="preserve"> William</t>
  </si>
  <si>
    <t xml:space="preserve"> Hammad</t>
  </si>
  <si>
    <t xml:space="preserve"> Walter James</t>
  </si>
  <si>
    <t xml:space="preserve"> Margaret Bechstein</t>
  </si>
  <si>
    <t xml:space="preserve"> Charles Melville</t>
  </si>
  <si>
    <t xml:space="preserve"> Charles Melville (Clara Jennings Gregg)</t>
  </si>
  <si>
    <t xml:space="preserve"> Christopher</t>
  </si>
  <si>
    <t xml:space="preserve"> Herbert Henry</t>
  </si>
  <si>
    <t xml:space="preserve"> William Edward</t>
  </si>
  <si>
    <t xml:space="preserve"> Jean Gertrude</t>
  </si>
  <si>
    <t xml:space="preserve"> Louis Albert (Ida Sophia Fischer)</t>
  </si>
  <si>
    <t xml:space="preserve"> John C (Anna Andrews)</t>
  </si>
  <si>
    <t xml:space="preserve"> Alexander Oskar</t>
  </si>
  <si>
    <t xml:space="preserve"> Alexander Oskar (Mary Aline Towner)</t>
  </si>
  <si>
    <t xml:space="preserve"> Harry ("Mr E Haven")</t>
  </si>
  <si>
    <t xml:space="preserve"> Frederick Maxfield</t>
  </si>
  <si>
    <t xml:space="preserve"> William Fisher</t>
  </si>
  <si>
    <t xml:space="preserve"> Frederick Maxfield (Jane Anne Forby)</t>
  </si>
  <si>
    <t xml:space="preserve"> Amelie</t>
  </si>
  <si>
    <t xml:space="preserve"> Ann Elizabeth</t>
  </si>
  <si>
    <t xml:space="preserve"> Joseph Bruce</t>
  </si>
  <si>
    <t xml:space="preserve"> Charles Cresson</t>
  </si>
  <si>
    <t xml:space="preserve"> Henry Forbes</t>
  </si>
  <si>
    <t xml:space="preserve"> Edwin</t>
  </si>
  <si>
    <t xml:space="preserve"> Edward Austin</t>
  </si>
  <si>
    <t xml:space="preserve"> Frederick R</t>
  </si>
  <si>
    <t xml:space="preserve"> Frederick R (Marion)</t>
  </si>
  <si>
    <t xml:space="preserve"> Edwin Nelson Jr</t>
  </si>
  <si>
    <t xml:space="preserve"> Edwin Nelson Jr (Gertrude Parsons)</t>
  </si>
  <si>
    <t xml:space="preserve"> Herman</t>
  </si>
  <si>
    <t xml:space="preserve"> Emilie</t>
  </si>
  <si>
    <t xml:space="preserve"> Alice (Farnham)</t>
  </si>
  <si>
    <t xml:space="preserve"> Bertha</t>
  </si>
  <si>
    <t xml:space="preserve"> Gustave J</t>
  </si>
  <si>
    <t xml:space="preserve"> Ervin G</t>
  </si>
  <si>
    <t xml:space="preserve"> Erik Gustaf ("Mr Edward Lingrey")</t>
  </si>
  <si>
    <t xml:space="preserve"> Carl Johan (Sigrid Posse)</t>
  </si>
  <si>
    <t xml:space="preserve"> Mary Conover</t>
  </si>
  <si>
    <t xml:space="preserve"> Ernest H (Elizabeth Lindsey James)</t>
  </si>
  <si>
    <t xml:space="preserve"> Milton Clyde</t>
  </si>
  <si>
    <t xml:space="preserve"> Gretchen Fiske</t>
  </si>
  <si>
    <t xml:space="preserve"> Joseph Holland</t>
  </si>
  <si>
    <t xml:space="preserve"> Elise</t>
  </si>
  <si>
    <t xml:space="preserve"> Georgette Alexandra</t>
  </si>
  <si>
    <t xml:space="preserve"> John Edward</t>
  </si>
  <si>
    <t xml:space="preserve"> Roberta</t>
  </si>
  <si>
    <t xml:space="preserve"> Pierre</t>
  </si>
  <si>
    <t xml:space="preserve"> Daniel Warner</t>
  </si>
  <si>
    <t xml:space="preserve"> Daniel Warner (Mary Graham Carmichael Farquarson)</t>
  </si>
  <si>
    <t xml:space="preserve"> Mlle</t>
  </si>
  <si>
    <t xml:space="preserve"> Berthe Antonine ("Mrs de Villiers")</t>
  </si>
  <si>
    <t xml:space="preserve"> Thomas Francis</t>
  </si>
  <si>
    <t xml:space="preserve"> Timothy J</t>
  </si>
  <si>
    <t xml:space="preserve"> James Robert</t>
  </si>
  <si>
    <t xml:space="preserve"> Edgar Joseph</t>
  </si>
  <si>
    <t xml:space="preserve"> Edgar Joseph (Leila Saks)</t>
  </si>
  <si>
    <t xml:space="preserve"> Francis Davis</t>
  </si>
  <si>
    <t xml:space="preserve"> Daisy E</t>
  </si>
  <si>
    <t xml:space="preserve"> William Edward (Lillian E Thorpe)</t>
  </si>
  <si>
    <t xml:space="preserve"> Philipp Edmund</t>
  </si>
  <si>
    <t xml:space="preserve"> Harry Markland</t>
  </si>
  <si>
    <t xml:space="preserve"> Clarence Bloomfield</t>
  </si>
  <si>
    <t xml:space="preserve"> Madeleine</t>
  </si>
  <si>
    <t xml:space="preserve"> Marjorie</t>
  </si>
  <si>
    <t xml:space="preserve"> Arthur Webster</t>
  </si>
  <si>
    <t xml:space="preserve"> Helen Monypeny</t>
  </si>
  <si>
    <t xml:space="preserve"> Arthur Ernest</t>
  </si>
  <si>
    <t xml:space="preserve"> Dona</t>
  </si>
  <si>
    <t xml:space="preserve"> Fermina</t>
  </si>
  <si>
    <t xml:space="preserve"> Alfred Fernand</t>
  </si>
  <si>
    <t xml:space="preserve"> Helene Ragnhild</t>
  </si>
  <si>
    <t xml:space="preserve"> Engelhart Cornelius</t>
  </si>
  <si>
    <t xml:space="preserve"> Servando</t>
  </si>
  <si>
    <t xml:space="preserve"> William Henry Marsh</t>
  </si>
  <si>
    <t xml:space="preserve"> Austen</t>
  </si>
  <si>
    <t xml:space="preserve"> Vivian Ponsonby</t>
  </si>
  <si>
    <t xml:space="preserve"> Thomas Clinton</t>
  </si>
  <si>
    <t xml:space="preserve"> Thomas (Edith Wearne)</t>
  </si>
  <si>
    <t xml:space="preserve"> Victor de Satode</t>
  </si>
  <si>
    <t xml:space="preserve"> Victor de Satode (Maria Josefa Perez de Soto y Vallejo)</t>
  </si>
  <si>
    <t xml:space="preserve"> Anne</t>
  </si>
  <si>
    <t xml:space="preserve"> Arthur Godfrey</t>
  </si>
  <si>
    <t xml:space="preserve"> Walter Chamberlain</t>
  </si>
  <si>
    <t xml:space="preserve"> Thomas Jr (Lily Alexenia Wilson)</t>
  </si>
  <si>
    <t xml:space="preserve"> Jonkheer</t>
  </si>
  <si>
    <t xml:space="preserve"> John George</t>
  </si>
  <si>
    <t xml:space="preserve"> George Alexander Lucien</t>
  </si>
  <si>
    <t xml:space="preserve"> Sante</t>
  </si>
  <si>
    <t xml:space="preserve"> Edward Scott (Elisabeth Walton McMillan)</t>
  </si>
  <si>
    <t xml:space="preserve"> Washington Augustus II</t>
  </si>
  <si>
    <t xml:space="preserve"> Charles Hallace ("Mr C Rolmane")</t>
  </si>
  <si>
    <t xml:space="preserve"> Hugh Roscoe</t>
  </si>
  <si>
    <t xml:space="preserve"> Edith Louise</t>
  </si>
  <si>
    <t xml:space="preserve"> George ("Mr George Thorne")</t>
  </si>
  <si>
    <t xml:space="preserve"> John Hugo</t>
  </si>
  <si>
    <t xml:space="preserve"> the Countess</t>
  </si>
  <si>
    <t xml:space="preserve"> of (Lucy Noel Martha Dyer-Edwards)</t>
  </si>
  <si>
    <t xml:space="preserve"> Martin</t>
  </si>
  <si>
    <t xml:space="preserve"> Martin (Elizabeth L</t>
  </si>
  <si>
    <t xml:space="preserve"> Barrett)</t>
  </si>
  <si>
    <t xml:space="preserve"> Alfred G</t>
  </si>
  <si>
    <t xml:space="preserve"> John Borie</t>
  </si>
  <si>
    <t xml:space="preserve"> Emily Borie</t>
  </si>
  <si>
    <t xml:space="preserve"> Susan Parker "Suzette"</t>
  </si>
  <si>
    <t xml:space="preserve"> Arthur Larned</t>
  </si>
  <si>
    <t xml:space="preserve"> Arthur Larned (Emily Maria Borie)</t>
  </si>
  <si>
    <t xml:space="preserve"> Adolphe</t>
  </si>
  <si>
    <t xml:space="preserve"> Emma</t>
  </si>
  <si>
    <t xml:space="preserve"> Abraham L</t>
  </si>
  <si>
    <t xml:space="preserve"> Paul (Emma Mock)</t>
  </si>
  <si>
    <t xml:space="preserve"> Augusta</t>
  </si>
  <si>
    <t xml:space="preserve"> Frederic Kimber</t>
  </si>
  <si>
    <t xml:space="preserve"> Elizabeth W</t>
  </si>
  <si>
    <t xml:space="preserve"> Spencer Victor</t>
  </si>
  <si>
    <t xml:space="preserve"> William Baird</t>
  </si>
  <si>
    <t xml:space="preserve"> William Baird (Alice Munger)</t>
  </si>
  <si>
    <t xml:space="preserve"> Oberst Alfons</t>
  </si>
  <si>
    <t xml:space="preserve"> William Thompson</t>
  </si>
  <si>
    <t xml:space="preserve"> John Montgomery</t>
  </si>
  <si>
    <t xml:space="preserve"> James Clinch</t>
  </si>
  <si>
    <t xml:space="preserve"> Lucien Philip</t>
  </si>
  <si>
    <t xml:space="preserve"> Richard William</t>
  </si>
  <si>
    <t xml:space="preserve"> Lucien Philip (Mary Eloise Hughes)</t>
  </si>
  <si>
    <t xml:space="preserve"> John Pillsbury</t>
  </si>
  <si>
    <t xml:space="preserve"> John Pillsbury (Nelle Stevenson)</t>
  </si>
  <si>
    <t xml:space="preserve"> Robert Douglas</t>
  </si>
  <si>
    <t xml:space="preserve"> Frederic Oakley</t>
  </si>
  <si>
    <t xml:space="preserve"> Frederic Oakley (Margaretta Corning Stone)</t>
  </si>
  <si>
    <t xml:space="preserve"> William Augustus</t>
  </si>
  <si>
    <t xml:space="preserve"> William Augustus (Marie Eugenie)</t>
  </si>
  <si>
    <t xml:space="preserve"> Max</t>
  </si>
  <si>
    <t xml:space="preserve"> William Thomas</t>
  </si>
  <si>
    <t xml:space="preserve"> Charles Emil Henry</t>
  </si>
  <si>
    <t xml:space="preserve"> Charles Emil Henry (Annie May Morris)</t>
  </si>
  <si>
    <t xml:space="preserve"> Walter Bertram (Martha Eustis)</t>
  </si>
  <si>
    <t xml:space="preserve"> Albert A</t>
  </si>
  <si>
    <t xml:space="preserve"> George Nelson (Martha Evelyn)</t>
  </si>
  <si>
    <t xml:space="preserve"> Isidor</t>
  </si>
  <si>
    <t xml:space="preserve"> Isidor (Rosalie Ida Blun)</t>
  </si>
  <si>
    <t xml:space="preserve"> Frederick</t>
  </si>
  <si>
    <t xml:space="preserve"> Frederick Joel (Margaret Welles Barron)</t>
  </si>
  <si>
    <t xml:space="preserve"> Ruth</t>
  </si>
  <si>
    <t xml:space="preserve"> Emil (Tillie Mandelbaum)</t>
  </si>
  <si>
    <t xml:space="preserve"> Elmer Zebley</t>
  </si>
  <si>
    <t xml:space="preserve"> Elmer Zebley (Juliet Cummins Wright)</t>
  </si>
  <si>
    <t xml:space="preserve"> John Borland</t>
  </si>
  <si>
    <t xml:space="preserve"> John Borland Jr</t>
  </si>
  <si>
    <t xml:space="preserve"> John Borland (Marian Longstreth Morris)</t>
  </si>
  <si>
    <t xml:space="preserve"> Gertrude Maybelle</t>
  </si>
  <si>
    <t xml:space="preserve"> Gilbert Milligan Jr</t>
  </si>
  <si>
    <t xml:space="preserve"> Don</t>
  </si>
  <si>
    <t xml:space="preserve"> Manuel E</t>
  </si>
  <si>
    <t xml:space="preserve"> Wyckoff</t>
  </si>
  <si>
    <t xml:space="preserve"> William Anderson</t>
  </si>
  <si>
    <t xml:space="preserve"> Anna</t>
  </si>
  <si>
    <t xml:space="preserve"> Frank Manley</t>
  </si>
  <si>
    <t xml:space="preserve"> Frank Manley (Anna Sophia Atkinson)</t>
  </si>
  <si>
    <t xml:space="preserve"> Percival Wayland</t>
  </si>
  <si>
    <t xml:space="preserve"> Richard Frasar</t>
  </si>
  <si>
    <t xml:space="preserve"> John Stuart (Ella Holmes)</t>
  </si>
  <si>
    <t xml:space="preserve"> Mary Natalie</t>
  </si>
  <si>
    <t xml:space="preserve"> George Dennick</t>
  </si>
  <si>
    <t xml:space="preserve"> George Dennick (Mary Hitchcock)</t>
  </si>
  <si>
    <t xml:space="preserve"> George Dunton</t>
  </si>
  <si>
    <t xml:space="preserve"> Harry Elkins</t>
  </si>
  <si>
    <t xml:space="preserve"> George Dunton (Eleanor Elkins)</t>
  </si>
  <si>
    <t xml:space="preserve"> Constance</t>
  </si>
  <si>
    <t xml:space="preserve"> Charles Duane</t>
  </si>
  <si>
    <t xml:space="preserve"> Richard Norris II</t>
  </si>
  <si>
    <t xml:space="preserve"> Fletcher Fellows</t>
  </si>
  <si>
    <t xml:space="preserve"> Helen Alice</t>
  </si>
  <si>
    <t xml:space="preserve"> Hugh</t>
  </si>
  <si>
    <t xml:space="preserve"> George</t>
  </si>
  <si>
    <t xml:space="preserve"> Marie Grice</t>
  </si>
  <si>
    <t xml:space="preserve"> Samuel</t>
  </si>
  <si>
    <t xml:space="preserve"> Samuel (Hannah Wizosky)</t>
  </si>
  <si>
    <t xml:space="preserve"> Charles Augustus</t>
  </si>
  <si>
    <t xml:space="preserve"> Edgardo Samuel</t>
  </si>
  <si>
    <t xml:space="preserve"> Frank Thomas</t>
  </si>
  <si>
    <t xml:space="preserve"> William A</t>
  </si>
  <si>
    <t xml:space="preserve"> William A (Florence "Mary" Agnes Hughes)</t>
  </si>
  <si>
    <t xml:space="preserve"> Percy Andrew</t>
  </si>
  <si>
    <t xml:space="preserve"> Charles Robert</t>
  </si>
  <si>
    <t xml:space="preserve"> (Ada E Hall)</t>
  </si>
  <si>
    <t xml:space="preserve"> Frederick James</t>
  </si>
  <si>
    <t xml:space="preserve"> Rev</t>
  </si>
  <si>
    <t xml:space="preserve"> Robert James</t>
  </si>
  <si>
    <t xml:space="preserve"> Edward</t>
  </si>
  <si>
    <t xml:space="preserve"> Edward (Ethel Clarke)</t>
  </si>
  <si>
    <t xml:space="preserve"> Henry James</t>
  </si>
  <si>
    <t xml:space="preserve"> Richard F</t>
  </si>
  <si>
    <t xml:space="preserve"> Marion Louise</t>
  </si>
  <si>
    <t xml:space="preserve"> Ruth Elizabeth</t>
  </si>
  <si>
    <t xml:space="preserve"> Allen Oliver (Nellie E Baumgardner)</t>
  </si>
  <si>
    <t xml:space="preserve"> Lawrence</t>
  </si>
  <si>
    <t xml:space="preserve"> Lilian W</t>
  </si>
  <si>
    <t xml:space="preserve"> William John</t>
  </si>
  <si>
    <t xml:space="preserve"> William Hull</t>
  </si>
  <si>
    <t xml:space="preserve"> Solomon</t>
  </si>
  <si>
    <t xml:space="preserve"> James H</t>
  </si>
  <si>
    <t xml:space="preserve"> Amelia "Mildred"</t>
  </si>
  <si>
    <t xml:space="preserve"> Edith Eileen</t>
  </si>
  <si>
    <t xml:space="preserve"> Thomas William Solomon</t>
  </si>
  <si>
    <t xml:space="preserve"> Thomas William Solomon (Elizabeth Catherine Ford)</t>
  </si>
  <si>
    <t xml:space="preserve"> Dagmar Jenny Ingeborg </t>
  </si>
  <si>
    <t xml:space="preserve"> Kurt Arnold Gottfrid</t>
  </si>
  <si>
    <t xml:space="preserve"> Kate</t>
  </si>
  <si>
    <t xml:space="preserve"> Reginald Fenton</t>
  </si>
  <si>
    <t xml:space="preserve"> Thomas Roussel Davids</t>
  </si>
  <si>
    <t xml:space="preserve"> (Karolina)</t>
  </si>
  <si>
    <t xml:space="preserve"> Alden Gates</t>
  </si>
  <si>
    <t xml:space="preserve"> Albert Francis</t>
  </si>
  <si>
    <t xml:space="preserve"> Albert Francis (Sylvia Mae Harbaugh)</t>
  </si>
  <si>
    <t xml:space="preserve"> Clear Annie</t>
  </si>
  <si>
    <t xml:space="preserve"> Ernest Courtenay (Lilian Hughes)</t>
  </si>
  <si>
    <t xml:space="preserve"> Ernest Courtenay</t>
  </si>
  <si>
    <t xml:space="preserve"> Charles Henry</t>
  </si>
  <si>
    <t xml:space="preserve"> John Henry</t>
  </si>
  <si>
    <t xml:space="preserve"> John Henry (Sara Elizabeth Lawry)</t>
  </si>
  <si>
    <t xml:space="preserve"> Julie Rachel</t>
  </si>
  <si>
    <t xml:space="preserve"> (Alice Frances)</t>
  </si>
  <si>
    <t xml:space="preserve"> Charles Valentine</t>
  </si>
  <si>
    <t xml:space="preserve"> Charles V (Ada Maria Winfield)</t>
  </si>
  <si>
    <t xml:space="preserve"> Reginald Charles</t>
  </si>
  <si>
    <t xml:space="preserve"> Erik Gustaf</t>
  </si>
  <si>
    <t xml:space="preserve"> Sidney C Stuart</t>
  </si>
  <si>
    <t xml:space="preserve"> Marjorie "Lottie"</t>
  </si>
  <si>
    <t xml:space="preserve"> Harvey</t>
  </si>
  <si>
    <t xml:space="preserve"> Harvey (Charlotte Annie Tate)</t>
  </si>
  <si>
    <t xml:space="preserve"> (Selena Rogers)</t>
  </si>
  <si>
    <t xml:space="preserve"> Walter H (Irene Colvin)</t>
  </si>
  <si>
    <t xml:space="preserve"> Percy C (Mary Phyllis Elizabeth Miller)</t>
  </si>
  <si>
    <t xml:space="preserve"> Henry "Harry"</t>
  </si>
  <si>
    <t xml:space="preserve"> Alfred Fleming</t>
  </si>
  <si>
    <t xml:space="preserve"> John Morgan Jr</t>
  </si>
  <si>
    <t xml:space="preserve"> John Morgan (Elizabeth Agnes Mary White) </t>
  </si>
  <si>
    <t xml:space="preserve"> Mary</t>
  </si>
  <si>
    <t xml:space="preserve"> Jose Joaquim</t>
  </si>
  <si>
    <t xml:space="preserve"> Percy William</t>
  </si>
  <si>
    <t xml:space="preserve"> Sebastiano</t>
  </si>
  <si>
    <t xml:space="preserve"> Sebastiano (Argenia Genovesi)</t>
  </si>
  <si>
    <t xml:space="preserve"> Herbert</t>
  </si>
  <si>
    <t xml:space="preserve"> Elsie</t>
  </si>
  <si>
    <t xml:space="preserve"> John T (Ada Julia Bone)</t>
  </si>
  <si>
    <t xml:space="preserve"> William James</t>
  </si>
  <si>
    <t xml:space="preserve"> Marshall Brines</t>
  </si>
  <si>
    <t xml:space="preserve"> James Vivian</t>
  </si>
  <si>
    <t xml:space="preserve"> James Vivian (Lulu Thorne Christian)</t>
  </si>
  <si>
    <t xml:space="preserve"> Asuncion</t>
  </si>
  <si>
    <t xml:space="preserve"> Florentina</t>
  </si>
  <si>
    <t xml:space="preserve"> George Floyd</t>
  </si>
  <si>
    <t xml:space="preserve"> Ingvar</t>
  </si>
  <si>
    <t xml:space="preserve"> Arne Jonas</t>
  </si>
  <si>
    <t xml:space="preserve"> Lizzie (Elizabeth Anne Wilkinson)</t>
  </si>
  <si>
    <t xml:space="preserve"> Joseph Charles</t>
  </si>
  <si>
    <t xml:space="preserve"> Stanley Hubert</t>
  </si>
  <si>
    <t xml:space="preserve"> Anthony Wood "Archie"</t>
  </si>
  <si>
    <t xml:space="preserve"> Annie Clemmer</t>
  </si>
  <si>
    <t xml:space="preserve"> Joseph J</t>
  </si>
  <si>
    <t xml:space="preserve"> Shadrach</t>
  </si>
  <si>
    <t xml:space="preserve"> Ethel</t>
  </si>
  <si>
    <t xml:space="preserve"> Alfred</t>
  </si>
  <si>
    <t xml:space="preserve"> Edgar</t>
  </si>
  <si>
    <t xml:space="preserve"> Frederick Edward</t>
  </si>
  <si>
    <t xml:space="preserve"> Ralph</t>
  </si>
  <si>
    <t xml:space="preserve"> John William</t>
  </si>
  <si>
    <t xml:space="preserve"> William Henry</t>
  </si>
  <si>
    <t xml:space="preserve"> Hans Kristensen</t>
  </si>
  <si>
    <t xml:space="preserve"> Reginald</t>
  </si>
  <si>
    <t xml:space="preserve"> Viljo</t>
  </si>
  <si>
    <t xml:space="preserve"> William (Anna)</t>
  </si>
  <si>
    <t xml:space="preserve"> William H</t>
  </si>
  <si>
    <t xml:space="preserve"> Annie Jessie "Nina"</t>
  </si>
  <si>
    <t xml:space="preserve"> Walter</t>
  </si>
  <si>
    <t xml:space="preserve"> Eva Miriam</t>
  </si>
  <si>
    <t xml:space="preserve"> Benjamin (Esther Ada Bloomfield)</t>
  </si>
  <si>
    <t xml:space="preserve"> Samuel (Jane Laver)</t>
  </si>
  <si>
    <t xml:space="preserve"> (Mary D Kingcome) </t>
  </si>
  <si>
    <t xml:space="preserve"> Leonard Mark</t>
  </si>
  <si>
    <t xml:space="preserve"> Lewis</t>
  </si>
  <si>
    <t xml:space="preserve"> Stanley George</t>
  </si>
  <si>
    <t xml:space="preserve"> Marta</t>
  </si>
  <si>
    <t xml:space="preserve"> Richard George</t>
  </si>
  <si>
    <t xml:space="preserve"> Samuel James Metcalfe</t>
  </si>
  <si>
    <t xml:space="preserve"> Elizabeth (Eliza Needs)</t>
  </si>
  <si>
    <t xml:space="preserve"> Henry Price</t>
  </si>
  <si>
    <t xml:space="preserve"> Stephen</t>
  </si>
  <si>
    <t xml:space="preserve"> Stephen (Annie Margaret Hill)</t>
  </si>
  <si>
    <t xml:space="preserve"> Ambrose Jr</t>
  </si>
  <si>
    <t xml:space="preserve"> Masabumi</t>
  </si>
  <si>
    <t xml:space="preserve"> Benjamin (Ellen Truelove Arman)</t>
  </si>
  <si>
    <t xml:space="preserve"> George Henry</t>
  </si>
  <si>
    <t xml:space="preserve"> Sidney Samuel</t>
  </si>
  <si>
    <t xml:space="preserve"> Sidney Samuel (Amy Frances Christy)</t>
  </si>
  <si>
    <t xml:space="preserve"> John Denzil</t>
  </si>
  <si>
    <t xml:space="preserve"> Clifford Thomas</t>
  </si>
  <si>
    <t xml:space="preserve"> Ernest Wilfred</t>
  </si>
  <si>
    <t xml:space="preserve"> Stephen Curnow</t>
  </si>
  <si>
    <t xml:space="preserve"> Amin S (Marie Marthe Thuillard)</t>
  </si>
  <si>
    <t xml:space="preserve"> Sinai</t>
  </si>
  <si>
    <t xml:space="preserve"> Sinai (Miriam Sternin)</t>
  </si>
  <si>
    <t xml:space="preserve"> J Frank (Claire Bennett)</t>
  </si>
  <si>
    <t xml:space="preserve"> Nora A</t>
  </si>
  <si>
    <t xml:space="preserve"> Daniel</t>
  </si>
  <si>
    <t xml:space="preserve"> Florence "Fannie"</t>
  </si>
  <si>
    <t xml:space="preserve"> Charles Leonard</t>
  </si>
  <si>
    <t xml:space="preserve"> Robert J</t>
  </si>
  <si>
    <t xml:space="preserve"> Johan Henrik Johannesson</t>
  </si>
  <si>
    <t xml:space="preserve"> William (Anna Sylfven)</t>
  </si>
  <si>
    <t xml:space="preserve"> John Joseph</t>
  </si>
  <si>
    <t xml:space="preserve"> Louise</t>
  </si>
  <si>
    <t xml:space="preserve"> Simonne Marie Anne Andree</t>
  </si>
  <si>
    <t xml:space="preserve"> Joseph Philippe Lemercier</t>
  </si>
  <si>
    <t xml:space="preserve"> Joseph (Juliette Marie Louise Lafargue)</t>
  </si>
  <si>
    <t xml:space="preserve"> Jessie Wills</t>
  </si>
  <si>
    <t xml:space="preserve"> (Amelia Milley)</t>
  </si>
  <si>
    <t xml:space="preserve"> Rene Jacques</t>
  </si>
  <si>
    <t xml:space="preserve"> Robert William Norman</t>
  </si>
  <si>
    <t xml:space="preserve"> Charles Alexander (Alice Adelaide Slow)</t>
  </si>
  <si>
    <t xml:space="preserve"> (Mary)</t>
  </si>
  <si>
    <t xml:space="preserve"> Noel</t>
  </si>
  <si>
    <t xml:space="preserve"> Andre</t>
  </si>
  <si>
    <t xml:space="preserve"> Albert</t>
  </si>
  <si>
    <t xml:space="preserve"> Albert (Antoinette Magnin)</t>
  </si>
  <si>
    <t xml:space="preserve"> Serafino Emilio</t>
  </si>
  <si>
    <t xml:space="preserve"> Frank Hubert</t>
  </si>
  <si>
    <t xml:space="preserve"> Arthur Gordon</t>
  </si>
  <si>
    <t xml:space="preserve"> James Matthew</t>
  </si>
  <si>
    <t xml:space="preserve"> Peter David</t>
  </si>
  <si>
    <t xml:space="preserve"> Madeleine Violet</t>
  </si>
  <si>
    <t xml:space="preserve"> (Elizabeth Anne Maidment)</t>
  </si>
  <si>
    <t xml:space="preserve"> August</t>
  </si>
  <si>
    <t xml:space="preserve"> Jacob Christian</t>
  </si>
  <si>
    <t xml:space="preserve"> Henry Michael</t>
  </si>
  <si>
    <t xml:space="preserve"> Juozas</t>
  </si>
  <si>
    <t xml:space="preserve"> Ernest</t>
  </si>
  <si>
    <t xml:space="preserve"> Henry Samuel ("Mr Henry Marshall")</t>
  </si>
  <si>
    <t xml:space="preserve"> Thomas Charles</t>
  </si>
  <si>
    <t xml:space="preserve"> Nicholas</t>
  </si>
  <si>
    <t xml:space="preserve"> Nicholas (Adele Achem)</t>
  </si>
  <si>
    <t xml:space="preserve"> Edmond Roger</t>
  </si>
  <si>
    <t xml:space="preserve"> Michel M</t>
  </si>
  <si>
    <t xml:space="preserve"> Michel ("Louis M Hoffman")</t>
  </si>
  <si>
    <t xml:space="preserve"> Israel</t>
  </si>
  <si>
    <t xml:space="preserve"> Alfred ("Baron von Drachstedt")</t>
  </si>
  <si>
    <t xml:space="preserve"> (Elizabeth Ramell)</t>
  </si>
  <si>
    <t xml:space="preserve"> Percy Thomas</t>
  </si>
  <si>
    <t xml:space="preserve"> Julian</t>
  </si>
  <si>
    <t xml:space="preserve"> Emilio</t>
  </si>
  <si>
    <t xml:space="preserve"> Clifford Richard</t>
  </si>
  <si>
    <t xml:space="preserve"> Francis "Frank"</t>
  </si>
  <si>
    <t xml:space="preserve"> (Lutie Davis)</t>
  </si>
  <si>
    <t xml:space="preserve"> Frederick William</t>
  </si>
  <si>
    <t xml:space="preserve"> Rene</t>
  </si>
  <si>
    <t xml:space="preserve"> Joseph Maria</t>
  </si>
  <si>
    <t xml:space="preserve"> Alice Frances Louisa</t>
  </si>
  <si>
    <t xml:space="preserve"> Kate Florence ("Mrs Kate Louise Phillips Marshall")</t>
  </si>
  <si>
    <t xml:space="preserve"> Escott Robert</t>
  </si>
  <si>
    <t xml:space="preserve"> (Rosa)</t>
  </si>
  <si>
    <t xml:space="preserve"> Emilio Ilario Giuseppe</t>
  </si>
  <si>
    <t xml:space="preserve"> Franz</t>
  </si>
  <si>
    <t xml:space="preserve"> Phyllis May</t>
  </si>
  <si>
    <t xml:space="preserve"> Winifred Vera</t>
  </si>
  <si>
    <t xml:space="preserve"> Frederick Charles (Jane Richards)</t>
  </si>
  <si>
    <t xml:space="preserve"> David</t>
  </si>
  <si>
    <t xml:space="preserve"> Peter Henry</t>
  </si>
  <si>
    <t xml:space="preserve"> Peter Henry (Lillian Jefferys)</t>
  </si>
  <si>
    <t xml:space="preserve"> Ms</t>
  </si>
  <si>
    <t xml:space="preserve"> Encarnacion</t>
  </si>
  <si>
    <t xml:space="preserve"> Emile</t>
  </si>
  <si>
    <t xml:space="preserve"> George Sibley</t>
  </si>
  <si>
    <t xml:space="preserve"> William Rowe</t>
  </si>
  <si>
    <t xml:space="preserve"> Sidney (Emily Hocking)</t>
  </si>
  <si>
    <t xml:space="preserve"> Lucy</t>
  </si>
  <si>
    <t xml:space="preserve"> Reginald Harry</t>
  </si>
  <si>
    <t xml:space="preserve"> Emily</t>
  </si>
  <si>
    <t xml:space="preserve"> Charles Frederick Waddington</t>
  </si>
  <si>
    <t xml:space="preserve"> Percival James R</t>
  </si>
  <si>
    <t xml:space="preserve"> William (Imanita Parrish Hall)</t>
  </si>
  <si>
    <t xml:space="preserve"> Lyyli Karoliina</t>
  </si>
  <si>
    <t xml:space="preserve"> Maude</t>
  </si>
  <si>
    <t xml:space="preserve"> Ernst Adolf</t>
  </si>
  <si>
    <t xml:space="preserve"> Hilda Mary</t>
  </si>
  <si>
    <t xml:space="preserve"> Richard James</t>
  </si>
  <si>
    <t xml:space="preserve"> Marion Elsie</t>
  </si>
  <si>
    <t xml:space="preserve"> Samuel James Hayden</t>
  </si>
  <si>
    <t xml:space="preserve"> Samuel Ward</t>
  </si>
  <si>
    <t xml:space="preserve"> Philip Joseph</t>
  </si>
  <si>
    <t xml:space="preserve"> George Frederick</t>
  </si>
  <si>
    <t xml:space="preserve"> Moses Aaron</t>
  </si>
  <si>
    <t xml:space="preserve"> William H (Jessie L)</t>
  </si>
  <si>
    <t xml:space="preserve"> Edwina Celia "Winnie"</t>
  </si>
  <si>
    <t xml:space="preserve"> William John Robert</t>
  </si>
  <si>
    <t xml:space="preserve"> William John Robert (Dorothy Ann Wonnacott)</t>
  </si>
  <si>
    <t xml:space="preserve"> James</t>
  </si>
  <si>
    <t xml:space="preserve"> Nellie</t>
  </si>
  <si>
    <t xml:space="preserve"> William Jeffery</t>
  </si>
  <si>
    <t xml:space="preserve"> John James (Florence Louise Long)</t>
  </si>
  <si>
    <t xml:space="preserve"> Ennis Hastings</t>
  </si>
  <si>
    <t xml:space="preserve"> Bertha J</t>
  </si>
  <si>
    <t xml:space="preserve"> James (Elizabeth "Bessie" Inglis Milne)</t>
  </si>
  <si>
    <t xml:space="preserve"> Susan</t>
  </si>
  <si>
    <t xml:space="preserve"> Leopold</t>
  </si>
  <si>
    <t xml:space="preserve"> Leopold (Mathilde Francoise Pede)</t>
  </si>
  <si>
    <t xml:space="preserve"> Ralph Lester</t>
  </si>
  <si>
    <t xml:space="preserve"> Joan</t>
  </si>
  <si>
    <t xml:space="preserve"> Arthur Henry ("Addie" Dart Trevaskis)</t>
  </si>
  <si>
    <t xml:space="preserve"> Barbara J</t>
  </si>
  <si>
    <t xml:space="preserve"> Constance Mirium</t>
  </si>
  <si>
    <t xml:space="preserve"> Edwy Arthur</t>
  </si>
  <si>
    <t xml:space="preserve"> Edwy Arthur (Ada Mary Worth)</t>
  </si>
  <si>
    <t xml:space="preserve"> Edward H</t>
  </si>
  <si>
    <t xml:space="preserve"> Edwin "Frederick"</t>
  </si>
  <si>
    <t xml:space="preserve"> Charles</t>
  </si>
  <si>
    <t xml:space="preserve"> Charles Eugene</t>
  </si>
  <si>
    <t xml:space="preserve"> Marion</t>
  </si>
  <si>
    <t xml:space="preserve"> Henriette ("Mrs Harbeck")</t>
  </si>
  <si>
    <t xml:space="preserve"> Anthony</t>
  </si>
  <si>
    <t xml:space="preserve"> Eugene Joseph</t>
  </si>
  <si>
    <t xml:space="preserve"> Rossmore Edward</t>
  </si>
  <si>
    <t xml:space="preserve"> Stanton (Rosa Hunt)</t>
  </si>
  <si>
    <t xml:space="preserve"> Karen Marie</t>
  </si>
  <si>
    <t xml:space="preserve"> Olaus Jorgensen</t>
  </si>
  <si>
    <t xml:space="preserve"> Abraham August Johannes</t>
  </si>
  <si>
    <t xml:space="preserve"> Joseph (Sophie Halaut Easu)</t>
  </si>
  <si>
    <t xml:space="preserve"> Mauritz Nils Martin</t>
  </si>
  <si>
    <t xml:space="preserve"> Johan (Johanna Persdotter Larsson)</t>
  </si>
  <si>
    <t xml:space="preserve"> Philip Frank</t>
  </si>
  <si>
    <t xml:space="preserve"> Sam (Leah Rosen)</t>
  </si>
  <si>
    <t xml:space="preserve"> Nassef Cassem</t>
  </si>
  <si>
    <t xml:space="preserve"> Ilmari Rudolf</t>
  </si>
  <si>
    <t xml:space="preserve"> Ahmed</t>
  </si>
  <si>
    <t xml:space="preserve"> Owen George</t>
  </si>
  <si>
    <t xml:space="preserve"> Albert Karvin</t>
  </si>
  <si>
    <t xml:space="preserve"> Carla Christine Nielsine</t>
  </si>
  <si>
    <t xml:space="preserve"> Sigvard Harald Elias</t>
  </si>
  <si>
    <t xml:space="preserve"> Ebba Iris Alfrida</t>
  </si>
  <si>
    <t xml:space="preserve"> Ellis Anna Maria</t>
  </si>
  <si>
    <t xml:space="preserve"> Erna Alexandra</t>
  </si>
  <si>
    <t xml:space="preserve"> Ida Augusta Margareta</t>
  </si>
  <si>
    <t xml:space="preserve"> Ingeborg Constanzia</t>
  </si>
  <si>
    <t xml:space="preserve"> Sigrid Elisabeth</t>
  </si>
  <si>
    <t xml:space="preserve"> Anders Johan</t>
  </si>
  <si>
    <t xml:space="preserve"> August Edvard ("Wennerstrom")</t>
  </si>
  <si>
    <t xml:space="preserve"> Johan Samuel</t>
  </si>
  <si>
    <t xml:space="preserve"> Anders Johan (Alfrida Konstantia Brogren)</t>
  </si>
  <si>
    <t xml:space="preserve"> Paul Edvin</t>
  </si>
  <si>
    <t xml:space="preserve"> Minko</t>
  </si>
  <si>
    <t xml:space="preserve"> Josef</t>
  </si>
  <si>
    <t xml:space="preserve"> Josef (Josefine Franchi)</t>
  </si>
  <si>
    <t xml:space="preserve"> Ernst Axel Algot</t>
  </si>
  <si>
    <t xml:space="preserve"> Adola</t>
  </si>
  <si>
    <t xml:space="preserve"> Carl Edgar</t>
  </si>
  <si>
    <t xml:space="preserve"> Clarence Gustaf Hugo</t>
  </si>
  <si>
    <t xml:space="preserve"> Edvin Rojj Felix</t>
  </si>
  <si>
    <t xml:space="preserve"> Filip Oscar</t>
  </si>
  <si>
    <t xml:space="preserve"> Lillian Gertrud</t>
  </si>
  <si>
    <t xml:space="preserve"> Carl Oscar Vilhelm Gustafsson</t>
  </si>
  <si>
    <t xml:space="preserve"> Johan Charles</t>
  </si>
  <si>
    <t xml:space="preserve"> Carl Oscar (Selma Augusta Emilia Johansson)</t>
  </si>
  <si>
    <t xml:space="preserve"> Mariana ("Miriam")</t>
  </si>
  <si>
    <t xml:space="preserve"> Gerios</t>
  </si>
  <si>
    <t xml:space="preserve"> Ali</t>
  </si>
  <si>
    <t xml:space="preserve"> Malake</t>
  </si>
  <si>
    <t xml:space="preserve"> Sleiman</t>
  </si>
  <si>
    <t xml:space="preserve"> Banoura</t>
  </si>
  <si>
    <t xml:space="preserve"> Raffull</t>
  </si>
  <si>
    <t xml:space="preserve"> Karl Alfred</t>
  </si>
  <si>
    <t xml:space="preserve"> Karl Alfred (Maria Mathilda Gustafsson)</t>
  </si>
  <si>
    <t xml:space="preserve"> Eugenie</t>
  </si>
  <si>
    <t xml:space="preserve"> Helene Barbara</t>
  </si>
  <si>
    <t xml:space="preserve"> Marie Catherine</t>
  </si>
  <si>
    <t xml:space="preserve"> Solomon (Latifa Qurban)</t>
  </si>
  <si>
    <t xml:space="preserve"> Emily Louisa</t>
  </si>
  <si>
    <t xml:space="preserve"> Mohamed</t>
  </si>
  <si>
    <t xml:space="preserve"> Cerin</t>
  </si>
  <si>
    <t xml:space="preserve"> Hanna Assi</t>
  </si>
  <si>
    <t xml:space="preserve"> Saiide</t>
  </si>
  <si>
    <t xml:space="preserve"> (Catherine David)</t>
  </si>
  <si>
    <t xml:space="preserve"> Julia</t>
  </si>
  <si>
    <t xml:space="preserve"> David John</t>
  </si>
  <si>
    <t xml:space="preserve"> John Viktor</t>
  </si>
  <si>
    <t xml:space="preserve"> Karl Ivar Sven</t>
  </si>
  <si>
    <t xml:space="preserve"> Seman</t>
  </si>
  <si>
    <t xml:space="preserve"> Tannous</t>
  </si>
  <si>
    <t xml:space="preserve"> Lee</t>
  </si>
  <si>
    <t xml:space="preserve"> Hans Martin Monsen</t>
  </si>
  <si>
    <t xml:space="preserve"> Ernst Herbert</t>
  </si>
  <si>
    <t xml:space="preserve"> Guentcho</t>
  </si>
  <si>
    <t xml:space="preserve"> Akar</t>
  </si>
  <si>
    <t xml:space="preserve"> Nourelain</t>
  </si>
  <si>
    <t xml:space="preserve"> Hanna</t>
  </si>
  <si>
    <t xml:space="preserve"> Joseph (Sultana)</t>
  </si>
  <si>
    <t xml:space="preserve"> John (Catherine)</t>
  </si>
  <si>
    <t xml:space="preserve"> David John "Dai"</t>
  </si>
  <si>
    <t xml:space="preserve"> Bridget Delia</t>
  </si>
  <si>
    <t xml:space="preserve"> Elin Ester Maria</t>
  </si>
  <si>
    <t xml:space="preserve"> Lewis Richard</t>
  </si>
  <si>
    <t xml:space="preserve"> Owen Harris</t>
  </si>
  <si>
    <t xml:space="preserve"> Karl Rudolf</t>
  </si>
  <si>
    <t xml:space="preserve"> William Alfred</t>
  </si>
  <si>
    <t xml:space="preserve"> Katherine</t>
  </si>
  <si>
    <t xml:space="preserve"> Jeremiah</t>
  </si>
  <si>
    <t xml:space="preserve"> Mary Delia</t>
  </si>
  <si>
    <t xml:space="preserve"> Manda</t>
  </si>
  <si>
    <t xml:space="preserve"> Marija</t>
  </si>
  <si>
    <t xml:space="preserve"> Jego Grga</t>
  </si>
  <si>
    <t xml:space="preserve"> Luka</t>
  </si>
  <si>
    <t xml:space="preserve"> Jovo</t>
  </si>
  <si>
    <t xml:space="preserve"> Petar</t>
  </si>
  <si>
    <t xml:space="preserve"> Patrick</t>
  </si>
  <si>
    <t xml:space="preserve"> Ernest Charles</t>
  </si>
  <si>
    <t xml:space="preserve"> Joseph</t>
  </si>
  <si>
    <t xml:space="preserve"> Joseph (Maria Elias)</t>
  </si>
  <si>
    <t xml:space="preserve"> August Sigfrid</t>
  </si>
  <si>
    <t xml:space="preserve"> Carl Robert</t>
  </si>
  <si>
    <t xml:space="preserve"> Helen "Ellen"</t>
  </si>
  <si>
    <t xml:space="preserve"> Jeannie</t>
  </si>
  <si>
    <t xml:space="preserve"> Alfred John</t>
  </si>
  <si>
    <t xml:space="preserve"> Francesco</t>
  </si>
  <si>
    <t xml:space="preserve"> Chang</t>
  </si>
  <si>
    <t xml:space="preserve"> Apostolos</t>
  </si>
  <si>
    <t xml:space="preserve"> Demetrios</t>
  </si>
  <si>
    <t xml:space="preserve"> Domingos Fernandeo</t>
  </si>
  <si>
    <t xml:space="preserve"> Gurshon "Gus"</t>
  </si>
  <si>
    <t xml:space="preserve"> Peju</t>
  </si>
  <si>
    <t xml:space="preserve"> Satio</t>
  </si>
  <si>
    <t xml:space="preserve"> Thomas Henry</t>
  </si>
  <si>
    <t xml:space="preserve"> Michael</t>
  </si>
  <si>
    <t xml:space="preserve"> Jacob</t>
  </si>
  <si>
    <t xml:space="preserve"> Bartol</t>
  </si>
  <si>
    <t xml:space="preserve"> Ivan</t>
  </si>
  <si>
    <t xml:space="preserve"> Liudevit</t>
  </si>
  <si>
    <t xml:space="preserve"> Eden Leslie "Neville"</t>
  </si>
  <si>
    <t xml:space="preserve"> William Loch "William"</t>
  </si>
  <si>
    <t xml:space="preserve"> William (Winnie "Minnie" Treanor)</t>
  </si>
  <si>
    <t xml:space="preserve"> Ernest James</t>
  </si>
  <si>
    <t xml:space="preserve"> Laura Alice</t>
  </si>
  <si>
    <t xml:space="preserve"> John Hatfield</t>
  </si>
  <si>
    <t xml:space="preserve"> Jeso</t>
  </si>
  <si>
    <t xml:space="preserve"> Shedid</t>
  </si>
  <si>
    <t xml:space="preserve"> Karl Edwart</t>
  </si>
  <si>
    <t xml:space="preserve"> Gerda Ulrika</t>
  </si>
  <si>
    <t xml:space="preserve"> Branko</t>
  </si>
  <si>
    <t xml:space="preserve"> Margaret Marcella "Maggie"</t>
  </si>
  <si>
    <t xml:space="preserve"> Eugene Patrick</t>
  </si>
  <si>
    <t xml:space="preserve"> Gilbert Sigvard Emanuel</t>
  </si>
  <si>
    <t xml:space="preserve"> Ernst Gilbert</t>
  </si>
  <si>
    <t xml:space="preserve"> Ernst Gilbert (Anna Sigrid Maria Brogren)</t>
  </si>
  <si>
    <t xml:space="preserve"> Yoto</t>
  </si>
  <si>
    <t xml:space="preserve"> Ristiu</t>
  </si>
  <si>
    <t xml:space="preserve"> Alfred J</t>
  </si>
  <si>
    <t xml:space="preserve"> Evan</t>
  </si>
  <si>
    <t xml:space="preserve"> John Samuel</t>
  </si>
  <si>
    <t xml:space="preserve"> Thomas Henry (Mary E Finck)</t>
  </si>
  <si>
    <t xml:space="preserve"> Guillaume Joseph</t>
  </si>
  <si>
    <t xml:space="preserve"> Guillaume Joseph (Emma)</t>
  </si>
  <si>
    <t xml:space="preserve"> Theodore</t>
  </si>
  <si>
    <t xml:space="preserve"> Alfons</t>
  </si>
  <si>
    <t xml:space="preserve"> Bertram Vere</t>
  </si>
  <si>
    <t xml:space="preserve"> Elizabeth Gladys "Millvina"</t>
  </si>
  <si>
    <t xml:space="preserve"> Bertram Frank</t>
  </si>
  <si>
    <t xml:space="preserve"> Bertram (Eva Georgetta Light)</t>
  </si>
  <si>
    <t xml:space="preserve"> Redjo</t>
  </si>
  <si>
    <t xml:space="preserve"> Marinko</t>
  </si>
  <si>
    <t xml:space="preserve"> Mitto</t>
  </si>
  <si>
    <t xml:space="preserve"> Margaret Delia</t>
  </si>
  <si>
    <t xml:space="preserve"> Mirko</t>
  </si>
  <si>
    <t xml:space="preserve"> Jovan</t>
  </si>
  <si>
    <t xml:space="preserve"> Valtcho</t>
  </si>
  <si>
    <t xml:space="preserve"> Edward Arthur</t>
  </si>
  <si>
    <t xml:space="preserve"> Jennie</t>
  </si>
  <si>
    <t xml:space="preserve"> Jozef</t>
  </si>
  <si>
    <t xml:space="preserve"> Frank</t>
  </si>
  <si>
    <t xml:space="preserve"> Adolf Fredrik</t>
  </si>
  <si>
    <t xml:space="preserve"> Adolf Fredrik (Anna Elisabeth Judith Andersson)</t>
  </si>
  <si>
    <t xml:space="preserve"> Gustaf Hjalmar</t>
  </si>
  <si>
    <t xml:space="preserve"> Hans Linus</t>
  </si>
  <si>
    <t xml:space="preserve"> Johan</t>
  </si>
  <si>
    <t xml:space="preserve"> Dibo</t>
  </si>
  <si>
    <t xml:space="preserve"> Joseph Jr</t>
  </si>
  <si>
    <t xml:space="preserve"> Virginia Ethel</t>
  </si>
  <si>
    <t xml:space="preserve"> Farred Chehab</t>
  </si>
  <si>
    <t xml:space="preserve"> Thomas James</t>
  </si>
  <si>
    <t xml:space="preserve"> Luigi</t>
  </si>
  <si>
    <t xml:space="preserve"> Eberhard Thelander</t>
  </si>
  <si>
    <t xml:space="preserve"> Honora</t>
  </si>
  <si>
    <t xml:space="preserve"> Choong</t>
  </si>
  <si>
    <t xml:space="preserve"> Doolina Margaret "Daisy"</t>
  </si>
  <si>
    <t xml:space="preserve"> Robina Maggie "Ruby"</t>
  </si>
  <si>
    <t xml:space="preserve"> Arthur</t>
  </si>
  <si>
    <t xml:space="preserve"> Edward Watson</t>
  </si>
  <si>
    <t xml:space="preserve"> William Neal</t>
  </si>
  <si>
    <t xml:space="preserve"> Edward (Margaret Ann Watson)</t>
  </si>
  <si>
    <t xml:space="preserve"> Charles (Charles Fardon)</t>
  </si>
  <si>
    <t xml:space="preserve"> Stanio</t>
  </si>
  <si>
    <t xml:space="preserve"> Eliezer</t>
  </si>
  <si>
    <t xml:space="preserve"> Katherine "Katie"</t>
  </si>
  <si>
    <t xml:space="preserve"> Mary Agatha</t>
  </si>
  <si>
    <t xml:space="preserve"> Frank John William "Frankie"</t>
  </si>
  <si>
    <t xml:space="preserve"> Frank John</t>
  </si>
  <si>
    <t xml:space="preserve"> Nathan</t>
  </si>
  <si>
    <t xml:space="preserve"> Frank John (Emily Alice Brown)</t>
  </si>
  <si>
    <t xml:space="preserve"> Manuel Estanslas</t>
  </si>
  <si>
    <t xml:space="preserve"> Harold Victor</t>
  </si>
  <si>
    <t xml:space="preserve"> Sidney Leonard</t>
  </si>
  <si>
    <t xml:space="preserve"> William Frederick</t>
  </si>
  <si>
    <t xml:space="preserve"> Jessie Allis</t>
  </si>
  <si>
    <t xml:space="preserve"> Lillian Amy</t>
  </si>
  <si>
    <t xml:space="preserve"> Charles Edward</t>
  </si>
  <si>
    <t xml:space="preserve"> Charles Frederick</t>
  </si>
  <si>
    <t xml:space="preserve"> Frederick (Augusta Tyler)</t>
  </si>
  <si>
    <t xml:space="preserve"> Daniel Danielsen</t>
  </si>
  <si>
    <t xml:space="preserve"> Robert</t>
  </si>
  <si>
    <t xml:space="preserve"> Alfred Ossian</t>
  </si>
  <si>
    <t xml:space="preserve"> Anders Vilhelm</t>
  </si>
  <si>
    <t xml:space="preserve"> Johan Birger</t>
  </si>
  <si>
    <t xml:space="preserve"> Karl Gideon</t>
  </si>
  <si>
    <t xml:space="preserve"> Aloisia</t>
  </si>
  <si>
    <t xml:space="preserve"> Ingvald Olai Olsen</t>
  </si>
  <si>
    <t xml:space="preserve"> Konrad Mathias Reiersen</t>
  </si>
  <si>
    <t xml:space="preserve"> Pekka Pietari</t>
  </si>
  <si>
    <t xml:space="preserve"> Pekka Pietari (Elin Matilda Dolck)</t>
  </si>
  <si>
    <t xml:space="preserve"> Leon</t>
  </si>
  <si>
    <t xml:space="preserve"> Mansour</t>
  </si>
  <si>
    <t xml:space="preserve"> Claus Peter</t>
  </si>
  <si>
    <t xml:space="preserve"> Henrik Juul</t>
  </si>
  <si>
    <t xml:space="preserve"> Henry Damsgaard</t>
  </si>
  <si>
    <t xml:space="preserve"> Claus Peter (Jennie L Howard)</t>
  </si>
  <si>
    <t xml:space="preserve"> Alice Phoebe</t>
  </si>
  <si>
    <t xml:space="preserve"> Abraham (David Lishin)</t>
  </si>
  <si>
    <t xml:space="preserve"> Houssein G N</t>
  </si>
  <si>
    <t xml:space="preserve"> Hanora "Nora"</t>
  </si>
  <si>
    <t xml:space="preserve"> Oskar Arvid</t>
  </si>
  <si>
    <t xml:space="preserve"> Ling</t>
  </si>
  <si>
    <t xml:space="preserve"> Laina</t>
  </si>
  <si>
    <t xml:space="preserve"> Wendla Maria</t>
  </si>
  <si>
    <t xml:space="preserve"> Hilda Maria</t>
  </si>
  <si>
    <t xml:space="preserve"> Ignjac</t>
  </si>
  <si>
    <t xml:space="preserve"> Jenny Lovisa</t>
  </si>
  <si>
    <t xml:space="preserve"> Delia</t>
  </si>
  <si>
    <t xml:space="preserve"> Hildur E</t>
  </si>
  <si>
    <t xml:space="preserve"> Alexander (Helga E Lindqvist)</t>
  </si>
  <si>
    <t xml:space="preserve"> John Fredrik Alexander</t>
  </si>
  <si>
    <t xml:space="preserve"> Johan Martin</t>
  </si>
  <si>
    <t xml:space="preserve"> Eliina</t>
  </si>
  <si>
    <t xml:space="preserve"> May Elizabeth</t>
  </si>
  <si>
    <t xml:space="preserve"> Adolf Mathias Nicolai Olsen</t>
  </si>
  <si>
    <t xml:space="preserve"> Abraham</t>
  </si>
  <si>
    <t xml:space="preserve"> Yousseff</t>
  </si>
  <si>
    <t xml:space="preserve"> Ylio</t>
  </si>
  <si>
    <t xml:space="preserve"> Ida Livija</t>
  </si>
  <si>
    <t xml:space="preserve"> Pieta Sofia</t>
  </si>
  <si>
    <t xml:space="preserve"> Kanio</t>
  </si>
  <si>
    <t xml:space="preserve"> Carl Olof</t>
  </si>
  <si>
    <t xml:space="preserve"> Jose Neto</t>
  </si>
  <si>
    <t xml:space="preserve"> Hans Peder</t>
  </si>
  <si>
    <t xml:space="preserve"> Niels Peder</t>
  </si>
  <si>
    <t xml:space="preserve"> Svend Lauritz</t>
  </si>
  <si>
    <t xml:space="preserve"> Annie</t>
  </si>
  <si>
    <t xml:space="preserve"> Bernt</t>
  </si>
  <si>
    <t xml:space="preserve"> Jakob Alfred</t>
  </si>
  <si>
    <t xml:space="preserve"> Oskar Leander</t>
  </si>
  <si>
    <t xml:space="preserve"> Erik</t>
  </si>
  <si>
    <t xml:space="preserve"> Gustaf Joel</t>
  </si>
  <si>
    <t xml:space="preserve"> Karl Johan</t>
  </si>
  <si>
    <t xml:space="preserve"> Nils</t>
  </si>
  <si>
    <t xml:space="preserve"> Harold Theodor</t>
  </si>
  <si>
    <t xml:space="preserve"> Eleanor Ileen</t>
  </si>
  <si>
    <t xml:space="preserve"> Malkolm Joackim</t>
  </si>
  <si>
    <t xml:space="preserve"> William Cahoone Jr</t>
  </si>
  <si>
    <t xml:space="preserve"> Oscar W (Elisabeth Vilhelmina Berg)</t>
  </si>
  <si>
    <t xml:space="preserve"> William Arthur "Willie"</t>
  </si>
  <si>
    <t xml:space="preserve"> Catherine Helen "Carrie"</t>
  </si>
  <si>
    <t xml:space="preserve"> Andrew G</t>
  </si>
  <si>
    <t xml:space="preserve"> Andrew G (Elizabeth "Lily" Watson)</t>
  </si>
  <si>
    <t xml:space="preserve"> Lalio</t>
  </si>
  <si>
    <t xml:space="preserve"> Carl</t>
  </si>
  <si>
    <t xml:space="preserve"> Nils Hilding</t>
  </si>
  <si>
    <t xml:space="preserve"> Katriina</t>
  </si>
  <si>
    <t xml:space="preserve"> Mari Aina</t>
  </si>
  <si>
    <t xml:space="preserve"> Eiriik</t>
  </si>
  <si>
    <t xml:space="preserve"> Nikolai Erland</t>
  </si>
  <si>
    <t xml:space="preserve"> Johannes Halvorsen</t>
  </si>
  <si>
    <t xml:space="preserve"> Milan</t>
  </si>
  <si>
    <t xml:space="preserve"> Einar Gervasius</t>
  </si>
  <si>
    <t xml:space="preserve"> Julius Konrad Eugen</t>
  </si>
  <si>
    <t xml:space="preserve"> Nils August</t>
  </si>
  <si>
    <t xml:space="preserve"> Manca</t>
  </si>
  <si>
    <t xml:space="preserve"> Fared</t>
  </si>
  <si>
    <t xml:space="preserve"> Vassilios ("Catavelas Vassilios")</t>
  </si>
  <si>
    <t xml:space="preserve"> Andrew "Andy"</t>
  </si>
  <si>
    <t xml:space="preserve"> Anna Katherine "Annie Kate"</t>
  </si>
  <si>
    <t xml:space="preserve"> Betros</t>
  </si>
  <si>
    <t xml:space="preserve"> Betros (Zahie "Maria" Elias)</t>
  </si>
  <si>
    <t xml:space="preserve"> Philip</t>
  </si>
  <si>
    <t xml:space="preserve"> Thomas J</t>
  </si>
  <si>
    <t xml:space="preserve"> Maria</t>
  </si>
  <si>
    <t xml:space="preserve"> Vincenz</t>
  </si>
  <si>
    <t xml:space="preserve"> Luise Gretchen</t>
  </si>
  <si>
    <t xml:space="preserve"> Anton</t>
  </si>
  <si>
    <t xml:space="preserve"> Anton (Luise Heilmann)</t>
  </si>
  <si>
    <t xml:space="preserve"> Gertrud Emilia</t>
  </si>
  <si>
    <t xml:space="preserve"> Klas Albin</t>
  </si>
  <si>
    <t xml:space="preserve"> (Hulda Kristina Eugenia Lofqvist)</t>
  </si>
  <si>
    <t xml:space="preserve"> Theodor</t>
  </si>
  <si>
    <t xml:space="preserve"> Neshan</t>
  </si>
  <si>
    <t xml:space="preserve"> Sarkis</t>
  </si>
  <si>
    <t xml:space="preserve"> Kristina Sofia</t>
  </si>
  <si>
    <t xml:space="preserve"> Kristo</t>
  </si>
  <si>
    <t xml:space="preserve"> Len</t>
  </si>
  <si>
    <t xml:space="preserve"> Aurora Adelia</t>
  </si>
  <si>
    <t xml:space="preserve"> Fang</t>
  </si>
  <si>
    <t xml:space="preserve"> August Viktor</t>
  </si>
  <si>
    <t xml:space="preserve"> Bengt Edvin</t>
  </si>
  <si>
    <t xml:space="preserve"> Edvard A</t>
  </si>
  <si>
    <t xml:space="preserve"> Fahim ("Philip Zenni")</t>
  </si>
  <si>
    <t xml:space="preserve"> Ida</t>
  </si>
  <si>
    <t xml:space="preserve"> Mathilde</t>
  </si>
  <si>
    <t xml:space="preserve"> Frank (Frances)</t>
  </si>
  <si>
    <t xml:space="preserve"> Antti Gustaf</t>
  </si>
  <si>
    <t xml:space="preserve"> Peter L</t>
  </si>
  <si>
    <t xml:space="preserve"> Denis</t>
  </si>
  <si>
    <t xml:space="preserve"> Lionel</t>
  </si>
  <si>
    <t xml:space="preserve"> Rene Aime</t>
  </si>
  <si>
    <t xml:space="preserve"> Agda Thorilda Viktoria</t>
  </si>
  <si>
    <t xml:space="preserve"> Augusta Charlotta</t>
  </si>
  <si>
    <t xml:space="preserve"> Edvard Bengtsson</t>
  </si>
  <si>
    <t xml:space="preserve"> Edvard Bengtsson (Elin Gerda Persson)</t>
  </si>
  <si>
    <t xml:space="preserve"> Eino William</t>
  </si>
  <si>
    <t xml:space="preserve"> Simon</t>
  </si>
  <si>
    <t xml:space="preserve"> William Arthur</t>
  </si>
  <si>
    <t xml:space="preserve"> William Arthur (Cordelia K Stanlick)</t>
  </si>
  <si>
    <t xml:space="preserve"> John Hall ("Henry")</t>
  </si>
  <si>
    <t xml:space="preserve"> Nikola</t>
  </si>
  <si>
    <t xml:space="preserve"> Johan Svensson</t>
  </si>
  <si>
    <t xml:space="preserve"> Olga Elida</t>
  </si>
  <si>
    <t xml:space="preserve"> Thure Edvin</t>
  </si>
  <si>
    <t xml:space="preserve"> Stanko</t>
  </si>
  <si>
    <t xml:space="preserve"> George William</t>
  </si>
  <si>
    <t xml:space="preserve"> Margaret "Maggie"</t>
  </si>
  <si>
    <t xml:space="preserve"> Fridtjof Arne</t>
  </si>
  <si>
    <t xml:space="preserve"> Matti Alexanteri</t>
  </si>
  <si>
    <t xml:space="preserve"> Kalle Edvard</t>
  </si>
  <si>
    <t xml:space="preserve"> Margareth</t>
  </si>
  <si>
    <t xml:space="preserve"> Marin</t>
  </si>
  <si>
    <t xml:space="preserve"> Johann</t>
  </si>
  <si>
    <t xml:space="preserve"> Fatima</t>
  </si>
  <si>
    <t xml:space="preserve"> Nicola</t>
  </si>
  <si>
    <t xml:space="preserve"> Catherine "Katie"</t>
  </si>
  <si>
    <t xml:space="preserve"> Thomas Joseph</t>
  </si>
  <si>
    <t xml:space="preserve"> Agnes</t>
  </si>
  <si>
    <t xml:space="preserve"> Alicia</t>
  </si>
  <si>
    <t xml:space="preserve"> Bernard</t>
  </si>
  <si>
    <t xml:space="preserve"> Brigdet Delia</t>
  </si>
  <si>
    <t xml:space="preserve"> Anna "Annie"</t>
  </si>
  <si>
    <t xml:space="preserve"> Neal</t>
  </si>
  <si>
    <t xml:space="preserve"> Neal (Eileen O'Leary)</t>
  </si>
  <si>
    <t xml:space="preserve"> Bridget</t>
  </si>
  <si>
    <t xml:space="preserve"> (Marion Ogden)</t>
  </si>
  <si>
    <t xml:space="preserve"> Thomas (Annie Louise Rowley)</t>
  </si>
  <si>
    <t xml:space="preserve"> Alfonzo</t>
  </si>
  <si>
    <t xml:space="preserve"> Karl Albert</t>
  </si>
  <si>
    <t xml:space="preserve"> Lazar</t>
  </si>
  <si>
    <t xml:space="preserve"> Stoytcho</t>
  </si>
  <si>
    <t xml:space="preserve"> Mito</t>
  </si>
  <si>
    <t xml:space="preserve"> Helen Mary "Ellie"</t>
  </si>
  <si>
    <t xml:space="preserve"> Sigurd Hansen</t>
  </si>
  <si>
    <t xml:space="preserve"> Meier</t>
  </si>
  <si>
    <t xml:space="preserve"> (Beila)</t>
  </si>
  <si>
    <t xml:space="preserve"> Leonard Charles</t>
  </si>
  <si>
    <t xml:space="preserve"> Daniel J</t>
  </si>
  <si>
    <t xml:space="preserve"> Thomas Rowan</t>
  </si>
  <si>
    <t xml:space="preserve"> Albert Johan</t>
  </si>
  <si>
    <t xml:space="preserve"> Halim Gonios ("William George")</t>
  </si>
  <si>
    <t xml:space="preserve"> George (Omine "Amenia" Alexander)</t>
  </si>
  <si>
    <t xml:space="preserve"> (Mantoura Boulos)</t>
  </si>
  <si>
    <t xml:space="preserve"> Rahamin Haim</t>
  </si>
  <si>
    <t xml:space="preserve"> Bertha E</t>
  </si>
  <si>
    <t xml:space="preserve"> Katherine "Kate"</t>
  </si>
  <si>
    <t xml:space="preserve"> Margaret Jane</t>
  </si>
  <si>
    <t xml:space="preserve"> Nora</t>
  </si>
  <si>
    <t xml:space="preserve"> Pehr Fabian Oliver Malkolm</t>
  </si>
  <si>
    <t xml:space="preserve"> Penko</t>
  </si>
  <si>
    <t xml:space="preserve"> Adele Kiamie "Jane"</t>
  </si>
  <si>
    <t xml:space="preserve"> Maria ("Mary")</t>
  </si>
  <si>
    <t xml:space="preserve"> Sahid</t>
  </si>
  <si>
    <t xml:space="preserve"> Said (Waika "Mary" Mowad)</t>
  </si>
  <si>
    <t xml:space="preserve"> Mustafa</t>
  </si>
  <si>
    <t xml:space="preserve"> Hannah</t>
  </si>
  <si>
    <t xml:space="preserve"> Christo</t>
  </si>
  <si>
    <t xml:space="preserve"> Elias</t>
  </si>
  <si>
    <t xml:space="preserve"> Jamila</t>
  </si>
  <si>
    <t xml:space="preserve"> Manta Josefina</t>
  </si>
  <si>
    <t xml:space="preserve"> Berta Olivia</t>
  </si>
  <si>
    <t xml:space="preserve"> Helmina Josefina</t>
  </si>
  <si>
    <t xml:space="preserve"> August Ferdinand</t>
  </si>
  <si>
    <t xml:space="preserve"> Iisakki Antino Aijo</t>
  </si>
  <si>
    <t xml:space="preserve"> Juha</t>
  </si>
  <si>
    <t xml:space="preserve"> Richard Cater</t>
  </si>
  <si>
    <t xml:space="preserve"> Mansouer</t>
  </si>
  <si>
    <t xml:space="preserve"> Anna Sofia</t>
  </si>
  <si>
    <t xml:space="preserve"> Johan Hansen</t>
  </si>
  <si>
    <t xml:space="preserve"> Thomas</t>
  </si>
  <si>
    <t xml:space="preserve"> Timothy</t>
  </si>
  <si>
    <t xml:space="preserve"> Thomas (Johanna "Hannah" Godfrey)</t>
  </si>
  <si>
    <t xml:space="preserve"> Patrick D</t>
  </si>
  <si>
    <t xml:space="preserve"> Maurice</t>
  </si>
  <si>
    <t xml:space="preserve"> Nils Martin</t>
  </si>
  <si>
    <t xml:space="preserve"> Velin</t>
  </si>
  <si>
    <t xml:space="preserve"> Hanora "Norah"</t>
  </si>
  <si>
    <t xml:space="preserve"> Artur Karl</t>
  </si>
  <si>
    <t xml:space="preserve"> Henry Margido</t>
  </si>
  <si>
    <t xml:space="preserve"> Karl Siegwart Andreas</t>
  </si>
  <si>
    <t xml:space="preserve"> Ole Martin</t>
  </si>
  <si>
    <t xml:space="preserve"> Elina</t>
  </si>
  <si>
    <t xml:space="preserve"> Nils Johan Goransson</t>
  </si>
  <si>
    <t xml:space="preserve"> Oscar Wilhelm</t>
  </si>
  <si>
    <t xml:space="preserve"> Thor Anderson</t>
  </si>
  <si>
    <t xml:space="preserve"> Jelka</t>
  </si>
  <si>
    <t xml:space="preserve"> Olaf Elon</t>
  </si>
  <si>
    <t xml:space="preserve"> Mara</t>
  </si>
  <si>
    <t xml:space="preserve"> Bridget Mary</t>
  </si>
  <si>
    <t xml:space="preserve"> Gosta Leonard</t>
  </si>
  <si>
    <t xml:space="preserve"> Paul Folke</t>
  </si>
  <si>
    <t xml:space="preserve"> Stina Viola</t>
  </si>
  <si>
    <t xml:space="preserve"> Torborg Danira</t>
  </si>
  <si>
    <t xml:space="preserve"> Nils (Alma Cornelia Berglund)</t>
  </si>
  <si>
    <t xml:space="preserve"> Eino Viljami</t>
  </si>
  <si>
    <t xml:space="preserve"> Juha Niilo</t>
  </si>
  <si>
    <t xml:space="preserve"> Urho Abraham</t>
  </si>
  <si>
    <t xml:space="preserve"> Ernesti Arvid</t>
  </si>
  <si>
    <t xml:space="preserve"> Jaako Arnold</t>
  </si>
  <si>
    <t xml:space="preserve"> Juha (Maria Emilia Ojala)</t>
  </si>
  <si>
    <t xml:space="preserve"> Uscher</t>
  </si>
  <si>
    <t xml:space="preserve"> Stefo</t>
  </si>
  <si>
    <t xml:space="preserve"> Alfred Edward</t>
  </si>
  <si>
    <t xml:space="preserve"> Treasteall</t>
  </si>
  <si>
    <t xml:space="preserve"> Benjamin (Edith Nile)</t>
  </si>
  <si>
    <t xml:space="preserve"> Olaf</t>
  </si>
  <si>
    <t xml:space="preserve"> Edvard</t>
  </si>
  <si>
    <t xml:space="preserve"> Nikolai Johannes</t>
  </si>
  <si>
    <t xml:space="preserve"> Ernst Ulrik</t>
  </si>
  <si>
    <t xml:space="preserve"> Michael J</t>
  </si>
  <si>
    <t xml:space="preserve"> Catherine (Catherine Rizk)</t>
  </si>
  <si>
    <t xml:space="preserve"> Katie</t>
  </si>
  <si>
    <t xml:space="preserve"> Marius</t>
  </si>
  <si>
    <t xml:space="preserve"> Matilda</t>
  </si>
  <si>
    <t xml:space="preserve"> Nedelio</t>
  </si>
  <si>
    <t xml:space="preserve"> Pastcho ("Pentcho")</t>
  </si>
  <si>
    <t xml:space="preserve"> Johan Emil</t>
  </si>
  <si>
    <t xml:space="preserve"> Ellen Natalia</t>
  </si>
  <si>
    <t xml:space="preserve"> Berk (Berk Trembisky)</t>
  </si>
  <si>
    <t xml:space="preserve"> Vasil</t>
  </si>
  <si>
    <t xml:space="preserve"> Mate</t>
  </si>
  <si>
    <t xml:space="preserve"> Tome</t>
  </si>
  <si>
    <t xml:space="preserve"> (Lena Jacobsen Solvang)</t>
  </si>
  <si>
    <t xml:space="preserve"> Raihed</t>
  </si>
  <si>
    <t xml:space="preserve"> James George</t>
  </si>
  <si>
    <t xml:space="preserve"> Tido</t>
  </si>
  <si>
    <t xml:space="preserve"> Harold J</t>
  </si>
  <si>
    <t xml:space="preserve"> Eric</t>
  </si>
  <si>
    <t xml:space="preserve"> Eugene</t>
  </si>
  <si>
    <t xml:space="preserve"> George Hugh</t>
  </si>
  <si>
    <t xml:space="preserve"> William (Margaret Norton)</t>
  </si>
  <si>
    <t xml:space="preserve"> Susanna Juhantytar "Sanni"</t>
  </si>
  <si>
    <t xml:space="preserve"> Matti</t>
  </si>
  <si>
    <t xml:space="preserve"> Johanna "Hannah"</t>
  </si>
  <si>
    <t xml:space="preserve"> Samuel Beard</t>
  </si>
  <si>
    <t xml:space="preserve"> Samuel (Emma)</t>
  </si>
  <si>
    <t xml:space="preserve"> Alexander A</t>
  </si>
  <si>
    <t xml:space="preserve"> Alexander A (Grace Charity Laury)</t>
  </si>
  <si>
    <t xml:space="preserve"> Knud Paust</t>
  </si>
  <si>
    <t xml:space="preserve"> Salli Helena</t>
  </si>
  <si>
    <t xml:space="preserve"> Viktor Richard</t>
  </si>
  <si>
    <t xml:space="preserve"> Viktor (Helena Wilhelmina)</t>
  </si>
  <si>
    <t xml:space="preserve"> Sarah A</t>
  </si>
  <si>
    <t xml:space="preserve"> Richard Henry</t>
  </si>
  <si>
    <t xml:space="preserve"> Alfred George John</t>
  </si>
  <si>
    <t xml:space="preserve"> Amin</t>
  </si>
  <si>
    <t xml:space="preserve"> Khalil</t>
  </si>
  <si>
    <t xml:space="preserve"> Jean Nassr</t>
  </si>
  <si>
    <t xml:space="preserve"> Matthew</t>
  </si>
  <si>
    <t xml:space="preserve"> Simon Sivertsen</t>
  </si>
  <si>
    <t xml:space="preserve"> Ada</t>
  </si>
  <si>
    <t xml:space="preserve"> Constance Gladys</t>
  </si>
  <si>
    <t xml:space="preserve"> Dorothy Edith "Dolly"</t>
  </si>
  <si>
    <t xml:space="preserve"> Stella Anna</t>
  </si>
  <si>
    <t xml:space="preserve"> Douglas Bullen</t>
  </si>
  <si>
    <t xml:space="preserve"> George John Jr</t>
  </si>
  <si>
    <t xml:space="preserve"> John (Annie Bullen)</t>
  </si>
  <si>
    <t xml:space="preserve"> Anna Kristine</t>
  </si>
  <si>
    <t xml:space="preserve"> Johan Werner</t>
  </si>
  <si>
    <t xml:space="preserve"> Youssef</t>
  </si>
  <si>
    <t xml:space="preserve"> Beatrice Irene</t>
  </si>
  <si>
    <t xml:space="preserve"> Hjalmar (Agnes Charlotta Bengtsson)</t>
  </si>
  <si>
    <t xml:space="preserve"> Marguerite Rut</t>
  </si>
  <si>
    <t xml:space="preserve"> Julius</t>
  </si>
  <si>
    <t xml:space="preserve"> Frederick Charles</t>
  </si>
  <si>
    <t xml:space="preserve"> Todor</t>
  </si>
  <si>
    <t xml:space="preserve"> Jan Baptist</t>
  </si>
  <si>
    <t xml:space="preserve"> Charles Joseph</t>
  </si>
  <si>
    <t xml:space="preserve"> Orsen</t>
  </si>
  <si>
    <t xml:space="preserve"> Husein</t>
  </si>
  <si>
    <t xml:space="preserve"> Antti Wilhelm</t>
  </si>
  <si>
    <t xml:space="preserve"> Harald</t>
  </si>
  <si>
    <t xml:space="preserve"> Karl Thorsten</t>
  </si>
  <si>
    <t xml:space="preserve"> Mabel</t>
  </si>
  <si>
    <t xml:space="preserve"> Margit Elizabeth</t>
  </si>
  <si>
    <t xml:space="preserve"> Wilhelm</t>
  </si>
  <si>
    <t xml:space="preserve"> William (Anna Bernhardina Karlsson)</t>
  </si>
  <si>
    <t xml:space="preserve"> Petco</t>
  </si>
  <si>
    <t xml:space="preserve"> Selman Francis</t>
  </si>
  <si>
    <t xml:space="preserve"> Mile</t>
  </si>
  <si>
    <t xml:space="preserve"> Peter Andreas Lauritz Andersen</t>
  </si>
  <si>
    <t xml:space="preserve"> Francis William</t>
  </si>
  <si>
    <t xml:space="preserve"> Woolf</t>
  </si>
  <si>
    <t xml:space="preserve"> Henry John</t>
  </si>
  <si>
    <t xml:space="preserve"> Amy Zillah Elsie</t>
  </si>
  <si>
    <t xml:space="preserve"> Edward Roland</t>
  </si>
  <si>
    <t xml:space="preserve"> Ilia</t>
  </si>
  <si>
    <t xml:space="preserve"> Ida Sofia</t>
  </si>
  <si>
    <t xml:space="preserve"> Juho</t>
  </si>
  <si>
    <t xml:space="preserve"> Telma Matilda</t>
  </si>
  <si>
    <t xml:space="preserve"> Wilhelm (Elna Matilda Persson)</t>
  </si>
  <si>
    <t xml:space="preserve"> Victor Francis</t>
  </si>
  <si>
    <t xml:space="preserve"> Johan Julian</t>
  </si>
  <si>
    <t xml:space="preserve"> Henry Jr</t>
  </si>
  <si>
    <t xml:space="preserve"> Johan Cervin</t>
  </si>
  <si>
    <t xml:space="preserve"> Olof</t>
  </si>
  <si>
    <t xml:space="preserve"> Gunnar Isidor</t>
  </si>
  <si>
    <t xml:space="preserve"> Thomas Leonard</t>
  </si>
  <si>
    <t xml:space="preserve"> Assad Alexander</t>
  </si>
  <si>
    <t xml:space="preserve"> Charles P</t>
  </si>
  <si>
    <t xml:space="preserve"> Alexander (Thamine "Thelma")</t>
  </si>
  <si>
    <t xml:space="preserve"> Alexander Morrison</t>
  </si>
  <si>
    <t xml:space="preserve"> Percival</t>
  </si>
  <si>
    <t xml:space="preserve"> Percival (Florence Kate White)</t>
  </si>
  <si>
    <t xml:space="preserve"> Roger</t>
  </si>
  <si>
    <t xml:space="preserve"> Ernest Portage</t>
  </si>
  <si>
    <t xml:space="preserve"> Ernst William</t>
  </si>
  <si>
    <t xml:space="preserve"> Assad</t>
  </si>
  <si>
    <t xml:space="preserve"> Nakli</t>
  </si>
  <si>
    <t xml:space="preserve"> Georges Youssef</t>
  </si>
  <si>
    <t xml:space="preserve"> Maria Youssef</t>
  </si>
  <si>
    <t xml:space="preserve"> Darwis (Hanne Youssef Razi)</t>
  </si>
  <si>
    <t xml:space="preserve"> Stjepan</t>
  </si>
  <si>
    <t xml:space="preserve"> (Hedwig)</t>
  </si>
  <si>
    <t xml:space="preserve"> James William</t>
  </si>
  <si>
    <t xml:space="preserve"> Walter John</t>
  </si>
  <si>
    <t xml:space="preserve"> Austin Blyler</t>
  </si>
  <si>
    <t xml:space="preserve"> Catharina</t>
  </si>
  <si>
    <t xml:space="preserve"> Jean Baptiste</t>
  </si>
  <si>
    <t xml:space="preserve"> Jean Baptiste (Rosalie Paula Govaert)</t>
  </si>
  <si>
    <t xml:space="preserve"> Philemon</t>
  </si>
  <si>
    <t xml:space="preserve"> Johannes Joseph</t>
  </si>
  <si>
    <t xml:space="preserve"> Nestor Cyriel</t>
  </si>
  <si>
    <t xml:space="preserve"> Leo Peter</t>
  </si>
  <si>
    <t xml:space="preserve"> Augusta Maria</t>
  </si>
  <si>
    <t xml:space="preserve"> Leo Edmondus</t>
  </si>
  <si>
    <t xml:space="preserve"> Julius (Emelia Maria Vandemoortele)</t>
  </si>
  <si>
    <t xml:space="preserve"> Olof Edvin</t>
  </si>
  <si>
    <t xml:space="preserve"> Hulda Amanda Adolfina</t>
  </si>
  <si>
    <t xml:space="preserve"> Janko</t>
  </si>
  <si>
    <t xml:space="preserve"> Achille</t>
  </si>
  <si>
    <t xml:space="preserve"> Charles William</t>
  </si>
  <si>
    <t xml:space="preserve"> Linhart</t>
  </si>
  <si>
    <t xml:space="preserve"> George Joseph (Shawneene Abi-Saab)</t>
  </si>
  <si>
    <t xml:space="preserve"> Carl/Charles Peter</t>
  </si>
  <si>
    <t xml:space="preserve"> James (Ellen Needs)</t>
  </si>
  <si>
    <t xml:space="preserve"> Aaron ("Abi Weller")</t>
  </si>
  <si>
    <t xml:space="preserve"> Howard Hugh "Harry"</t>
  </si>
  <si>
    <t xml:space="preserve"> Leslie</t>
  </si>
  <si>
    <t xml:space="preserve"> Einar</t>
  </si>
  <si>
    <t xml:space="preserve"> Phillippe</t>
  </si>
  <si>
    <t xml:space="preserve"> Camille</t>
  </si>
  <si>
    <t xml:space="preserve"> Antoni</t>
  </si>
  <si>
    <t xml:space="preserve"> Antoni (Selini Alexander)</t>
  </si>
  <si>
    <t xml:space="preserve"> Gerious</t>
  </si>
  <si>
    <t xml:space="preserve"> Wazli</t>
  </si>
  <si>
    <t xml:space="preserve"> Hileni</t>
  </si>
  <si>
    <t xml:space="preserve"> Thamine</t>
  </si>
  <si>
    <t xml:space="preserve"> Mapriededer</t>
  </si>
  <si>
    <t xml:space="preserve"> Ortin</t>
  </si>
  <si>
    <t xml:space="preserve"> Leo</t>
  </si>
  <si>
    <t>First Name</t>
  </si>
  <si>
    <t>Gender</t>
  </si>
  <si>
    <t>Family Size</t>
  </si>
  <si>
    <t>Family Status</t>
  </si>
  <si>
    <t>Embarked Category</t>
  </si>
  <si>
    <t>Age Group</t>
  </si>
  <si>
    <t>Fare Category</t>
  </si>
  <si>
    <t>First Class</t>
  </si>
  <si>
    <t>Alive</t>
  </si>
  <si>
    <t>Female</t>
  </si>
  <si>
    <t>Young Adult</t>
  </si>
  <si>
    <t>Single</t>
  </si>
  <si>
    <t>High</t>
  </si>
  <si>
    <t>Male</t>
  </si>
  <si>
    <t>Child</t>
  </si>
  <si>
    <t>With Family</t>
  </si>
  <si>
    <t>Dead</t>
  </si>
  <si>
    <t>Middle Aged Adult</t>
  </si>
  <si>
    <t>Low</t>
  </si>
  <si>
    <t>Senior</t>
  </si>
  <si>
    <t>Medium</t>
  </si>
  <si>
    <t>Teenager</t>
  </si>
  <si>
    <t>Queenstown</t>
  </si>
  <si>
    <t>Second Class</t>
  </si>
  <si>
    <t>Third Class</t>
  </si>
  <si>
    <t>PassengerID</t>
  </si>
  <si>
    <t>Analytical Investigation</t>
  </si>
  <si>
    <t>Row Labels</t>
  </si>
  <si>
    <t>Grand Total</t>
  </si>
  <si>
    <t>1. Survival Rate</t>
  </si>
  <si>
    <t>Absolute</t>
  </si>
  <si>
    <t>%</t>
  </si>
  <si>
    <t>2. Survival Rate by Passenger Class</t>
  </si>
  <si>
    <t>Column Labels</t>
  </si>
  <si>
    <t>Absolute Count</t>
  </si>
  <si>
    <t>3. Survival Rate by Salutation</t>
  </si>
  <si>
    <t>Total Absolute Count</t>
  </si>
  <si>
    <t>Total %</t>
  </si>
  <si>
    <t>Values</t>
  </si>
  <si>
    <t>5. Survival Rate by Fare Category</t>
  </si>
  <si>
    <t>Cherboug</t>
  </si>
  <si>
    <t>4. Survival Rate by Gender and Age-Group</t>
  </si>
  <si>
    <t>6. Survival Rate by Family Status</t>
  </si>
  <si>
    <t>7. Survival Rate by Embarkation Point</t>
  </si>
  <si>
    <t>Only 38% survived, 62% died. Most people couldn't make it.</t>
  </si>
  <si>
    <t>First Class survived the most (62%), Third Class the least (26%). Higher class = better access/location on ship = better survival odds.</t>
  </si>
  <si>
    <t>"Mrs" survived the most (79%), "Mr" the least (16%). This mainly reflects gender: married/adult women were prioritized, adult men were not.</t>
  </si>
  <si>
    <t>Females survived way more than males (73% vs 19%). Within genders, young boys did okay (53%) but other males had it worst &lt;  20%, evacuation likely followed "women and children first," but mainly benefited women.</t>
  </si>
  <si>
    <t>High fare passengers survived most (71%), Low fare least (32%). Same story as class, fare and class measure the same thing (money = better access).</t>
  </si>
  <si>
    <t>Overall "With Family" looks better (50% vs 30%), but this is misleading, split by gender it disappears for women (73% either way) and only helps men a little (16%→26%). Family status by itself isn't the real driver, gender is.</t>
  </si>
  <si>
    <t xml:space="preserve">Final Business &amp; Strategic Insights                </t>
  </si>
  <si>
    <t xml:space="preserve">                                                                               </t>
  </si>
  <si>
    <t xml:space="preserve">1. Was survival random, or were certain passenger segments more likely to survive?             </t>
  </si>
  <si>
    <t>2. Did socio-economic status / wealth influence survival?</t>
  </si>
  <si>
    <t>3. Did age, gender, or family size affect survival, and did crisis management favor particular groups?</t>
  </si>
  <si>
    <t>4. Could survival have been predicted before departure?</t>
  </si>
  <si>
    <r>
      <t>There was a strong association between economic status and survival.</t>
    </r>
    <r>
      <rPr>
        <b/>
        <sz val="12"/>
        <color theme="1"/>
        <rFont val="Calibri"/>
        <family val="2"/>
        <scheme val="minor"/>
      </rPr>
      <t xml:space="preserve"> 62%</t>
    </r>
    <r>
      <rPr>
        <sz val="12"/>
        <color theme="1"/>
        <rFont val="Calibri"/>
        <family val="2"/>
        <scheme val="minor"/>
      </rPr>
      <t xml:space="preserve"> of First Class passengers survived, compared with </t>
    </r>
    <r>
      <rPr>
        <b/>
        <sz val="12"/>
        <color theme="1"/>
        <rFont val="Calibri"/>
        <family val="2"/>
        <scheme val="minor"/>
      </rPr>
      <t>43%</t>
    </r>
    <r>
      <rPr>
        <sz val="12"/>
        <color theme="1"/>
        <rFont val="Calibri"/>
        <family val="2"/>
        <scheme val="minor"/>
      </rPr>
      <t xml:space="preserve"> of Second Class and </t>
    </r>
    <r>
      <rPr>
        <b/>
        <sz val="12"/>
        <color theme="1"/>
        <rFont val="Calibri"/>
        <family val="2"/>
        <scheme val="minor"/>
      </rPr>
      <t>26%</t>
    </r>
    <r>
      <rPr>
        <sz val="12"/>
        <color theme="1"/>
        <rFont val="Calibri"/>
        <family val="2"/>
        <scheme val="minor"/>
      </rPr>
      <t xml:space="preserve"> of Third Class. High-fare passengers also survived at</t>
    </r>
    <r>
      <rPr>
        <b/>
        <sz val="12"/>
        <color theme="1"/>
        <rFont val="Calibri"/>
        <family val="2"/>
        <scheme val="minor"/>
      </rPr>
      <t xml:space="preserve"> 71%</t>
    </r>
    <r>
      <rPr>
        <sz val="12"/>
        <color theme="1"/>
        <rFont val="Calibri"/>
        <family val="2"/>
        <scheme val="minor"/>
      </rPr>
      <t xml:space="preserve">, compared with just </t>
    </r>
    <r>
      <rPr>
        <b/>
        <sz val="12"/>
        <color theme="1"/>
        <rFont val="Calibri"/>
        <family val="2"/>
        <scheme val="minor"/>
      </rPr>
      <t>32%</t>
    </r>
    <r>
      <rPr>
        <sz val="12"/>
        <color theme="1"/>
        <rFont val="Calibri"/>
        <family val="2"/>
        <scheme val="minor"/>
      </rPr>
      <t xml:space="preserve"> among low-fare passengers.
Passenger class reflected differences in </t>
    </r>
    <r>
      <rPr>
        <b/>
        <sz val="12"/>
        <color theme="1"/>
        <rFont val="Calibri"/>
        <family val="2"/>
        <scheme val="minor"/>
      </rPr>
      <t>price paid, accommodation</t>
    </r>
    <r>
      <rPr>
        <sz val="12"/>
        <color theme="1"/>
        <rFont val="Calibri"/>
        <family val="2"/>
        <scheme val="minor"/>
      </rPr>
      <t xml:space="preserve">, and </t>
    </r>
    <r>
      <rPr>
        <b/>
        <sz val="12"/>
        <color theme="1"/>
        <rFont val="Calibri"/>
        <family val="2"/>
        <scheme val="minor"/>
      </rPr>
      <t>location</t>
    </r>
    <r>
      <rPr>
        <sz val="12"/>
        <color theme="1"/>
        <rFont val="Calibri"/>
        <family val="2"/>
        <scheme val="minor"/>
      </rPr>
      <t xml:space="preserve"> on the ship. So wealth may not have directly caused survival; instead, it was connected to a set of advantages that could improve access to evacuation opportunities. Historical accounts also suggest that Third Class passengers faced greater difficulties reaching the upper decks, including the ship's layout, language barriers, and differences in access to information.   
As a broader hypothesis: in some systems, people seen as more economically or strategically important may receive greater attention or priority during a crisis. This isn't confirmed by this dataset alone. </t>
    </r>
  </si>
  <si>
    <t>Cherbourg survived most (55%), partly because more First Class passengers boarded there. So port matters a little on its own too, not fully explained by class.</t>
  </si>
  <si>
    <t>Yes. Variables available before departure, class, gender, age, fare, family size, and embarkation point, all showed clear differences in survival rates.                                                                                                     These variables could have been used as features in a predictive model. The model wouldn't know the outcome for certain, but it could estimate survival probability for different passenger profiles based on their class, gender, age, and family composition.</t>
  </si>
  <si>
    <r>
      <t xml:space="preserve">Gender had the strongest link to survival: </t>
    </r>
    <r>
      <rPr>
        <b/>
        <sz val="12"/>
        <color theme="1"/>
        <rFont val="Calibri"/>
        <family val="2"/>
        <scheme val="minor"/>
      </rPr>
      <t xml:space="preserve">73% </t>
    </r>
    <r>
      <rPr>
        <sz val="12"/>
        <color theme="1"/>
        <rFont val="Calibri"/>
        <family val="2"/>
        <scheme val="minor"/>
      </rPr>
      <t>of females survived vs.</t>
    </r>
    <r>
      <rPr>
        <b/>
        <sz val="12"/>
        <color theme="1"/>
        <rFont val="Calibri"/>
        <family val="2"/>
        <scheme val="minor"/>
      </rPr>
      <t xml:space="preserve"> 19%</t>
    </r>
    <r>
      <rPr>
        <sz val="12"/>
        <color theme="1"/>
        <rFont val="Calibri"/>
        <family val="2"/>
        <scheme val="minor"/>
      </rPr>
      <t xml:space="preserve"> of males. Male children also survived far more</t>
    </r>
    <r>
      <rPr>
        <b/>
        <sz val="12"/>
        <color theme="1"/>
        <rFont val="Calibri"/>
        <family val="2"/>
        <scheme val="minor"/>
      </rPr>
      <t xml:space="preserve"> (53%)</t>
    </r>
    <r>
      <rPr>
        <sz val="12"/>
        <color theme="1"/>
        <rFont val="Calibri"/>
        <family val="2"/>
        <scheme val="minor"/>
      </rPr>
      <t xml:space="preserve"> than most adult male groups.This fits an evacuation approach that prioritized women and children when lifeboat space was limited, gender and age shaped who got access.                                                                                                                           "With family" passengers survived more overall (</t>
    </r>
    <r>
      <rPr>
        <b/>
        <sz val="12"/>
        <color theme="1"/>
        <rFont val="Calibri"/>
        <family val="2"/>
        <scheme val="minor"/>
      </rPr>
      <t>50%</t>
    </r>
    <r>
      <rPr>
        <sz val="12"/>
        <color theme="1"/>
        <rFont val="Calibri"/>
        <family val="2"/>
        <scheme val="minor"/>
      </rPr>
      <t xml:space="preserve"> vs. </t>
    </r>
    <r>
      <rPr>
        <b/>
        <sz val="12"/>
        <color theme="1"/>
        <rFont val="Calibri"/>
        <family val="2"/>
        <scheme val="minor"/>
      </rPr>
      <t>30%</t>
    </r>
    <r>
      <rPr>
        <sz val="12"/>
        <color theme="1"/>
        <rFont val="Calibri"/>
        <family val="2"/>
        <scheme val="minor"/>
      </rPr>
      <t xml:space="preserve"> single), but this gap almost disappears for females (</t>
    </r>
    <r>
      <rPr>
        <b/>
        <sz val="12"/>
        <color theme="1"/>
        <rFont val="Calibri"/>
        <family val="2"/>
        <scheme val="minor"/>
      </rPr>
      <t>73%</t>
    </r>
    <r>
      <rPr>
        <sz val="12"/>
        <color theme="1"/>
        <rFont val="Calibri"/>
        <family val="2"/>
        <scheme val="minor"/>
      </rPr>
      <t xml:space="preserve"> vs. </t>
    </r>
    <r>
      <rPr>
        <b/>
        <sz val="12"/>
        <color theme="1"/>
        <rFont val="Calibri"/>
        <family val="2"/>
        <scheme val="minor"/>
      </rPr>
      <t>72%</t>
    </r>
    <r>
      <rPr>
        <sz val="12"/>
        <color theme="1"/>
        <rFont val="Calibri"/>
        <family val="2"/>
        <scheme val="minor"/>
      </rPr>
      <t>) and only holds for males (</t>
    </r>
    <r>
      <rPr>
        <b/>
        <sz val="12"/>
        <color theme="1"/>
        <rFont val="Calibri"/>
        <family val="2"/>
        <scheme val="minor"/>
      </rPr>
      <t>16%</t>
    </r>
    <r>
      <rPr>
        <sz val="12"/>
        <color theme="1"/>
        <rFont val="Calibri"/>
        <family val="2"/>
        <scheme val="minor"/>
      </rPr>
      <t xml:space="preserve"> vs.</t>
    </r>
    <r>
      <rPr>
        <b/>
        <sz val="12"/>
        <color theme="1"/>
        <rFont val="Calibri"/>
        <family val="2"/>
        <scheme val="minor"/>
      </rPr>
      <t xml:space="preserve"> 26%</t>
    </r>
    <r>
      <rPr>
        <sz val="12"/>
        <color theme="1"/>
        <rFont val="Calibri"/>
        <family val="2"/>
        <scheme val="minor"/>
      </rPr>
      <t>). So family presence didn't directly cause survival; it more likely reflects men traveling with women/children being part of prioritized groups, plus families coordinating evacuation differently than individuals.</t>
    </r>
  </si>
  <si>
    <t>Passenger ID</t>
  </si>
  <si>
    <t>Cherbourg</t>
  </si>
  <si>
    <t>Count of PassengerID</t>
  </si>
  <si>
    <r>
      <rPr>
        <sz val="12"/>
        <color theme="1"/>
        <rFont val="Calibri"/>
        <family val="2"/>
        <scheme val="minor"/>
      </rPr>
      <t xml:space="preserve">Survival was clearly not random. First Class passengers survived at </t>
    </r>
    <r>
      <rPr>
        <b/>
        <sz val="12"/>
        <color theme="1"/>
        <rFont val="Calibri"/>
        <family val="2"/>
        <scheme val="minor"/>
      </rPr>
      <t>62%</t>
    </r>
    <r>
      <rPr>
        <sz val="12"/>
        <color theme="1"/>
        <rFont val="Calibri"/>
        <family val="2"/>
        <scheme val="minor"/>
      </rPr>
      <t xml:space="preserve"> compared to just </t>
    </r>
    <r>
      <rPr>
        <b/>
        <sz val="12"/>
        <color theme="1"/>
        <rFont val="Calibri"/>
        <family val="2"/>
        <scheme val="minor"/>
      </rPr>
      <t>26%</t>
    </r>
    <r>
      <rPr>
        <sz val="12"/>
        <color theme="1"/>
        <rFont val="Calibri"/>
        <family val="2"/>
        <scheme val="minor"/>
      </rPr>
      <t xml:space="preserve"> in Third Class, and females survived at </t>
    </r>
    <r>
      <rPr>
        <b/>
        <sz val="12"/>
        <color theme="1"/>
        <rFont val="Calibri"/>
        <family val="2"/>
        <scheme val="minor"/>
      </rPr>
      <t>73%</t>
    </r>
    <r>
      <rPr>
        <sz val="12"/>
        <color theme="1"/>
        <rFont val="Calibri"/>
        <family val="2"/>
        <scheme val="minor"/>
      </rPr>
      <t xml:space="preserve"> compared to </t>
    </r>
    <r>
      <rPr>
        <b/>
        <sz val="12"/>
        <color theme="1"/>
        <rFont val="Calibri"/>
        <family val="2"/>
        <scheme val="minor"/>
      </rPr>
      <t>19%</t>
    </r>
    <r>
      <rPr>
        <sz val="12"/>
        <color theme="1"/>
        <rFont val="Calibri"/>
        <family val="2"/>
        <scheme val="minor"/>
      </rPr>
      <t xml:space="preserve"> for males, a much wider gap than random chance would produce.  These gaps point to two main drivers. First, class location mattered, first class passengers were generally accommodated in areas closer to the upper decks and lifeboats, while third-class passengers were more spread out with less direct access. Second, evacuation priority mattered; women and children were given preference during evacuation. Together, physical access and crisis-management priorities explain the outcome, not random chance.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</si>
</sst>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
      <sz val="16"/>
      <color theme="1"/>
      <name val="Calibri"/>
      <family val="2"/>
      <scheme val="minor"/>
    </font>
    <font>
      <b/>
      <sz val="18"/>
      <color theme="1"/>
      <name val="Calibri"/>
      <family val="2"/>
      <scheme val="minor"/>
    </font>
    <font>
      <sz val="18"/>
      <color theme="1"/>
      <name val="Calibri"/>
      <family val="2"/>
      <scheme val="minor"/>
    </font>
    <font>
      <b/>
      <sz val="22"/>
      <color theme="0"/>
      <name val="Calibri"/>
      <family val="2"/>
      <scheme val="minor"/>
    </font>
    <font>
      <b/>
      <sz val="18"/>
      <color theme="0"/>
      <name val="Calibri"/>
      <family val="2"/>
      <scheme val="minor"/>
    </font>
    <font>
      <sz val="18"/>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
      <patternFill patternType="solid">
        <fgColor theme="4" tint="0.79998168889431442"/>
        <bgColor indexed="64"/>
      </patternFill>
    </fill>
    <fill>
      <patternFill patternType="solid">
        <fgColor rgb="FF0A1F33"/>
        <bgColor indexed="64"/>
      </patternFill>
    </fill>
    <fill>
      <patternFill patternType="solid">
        <fgColor rgb="FFF2EEE4"/>
        <bgColor indexed="64"/>
      </patternFill>
    </fill>
    <fill>
      <patternFill patternType="solid">
        <fgColor rgb="FF002060"/>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theme="4"/>
      </left>
      <right style="medium">
        <color theme="4"/>
      </right>
      <top style="medium">
        <color theme="4"/>
      </top>
      <bottom style="medium">
        <color theme="4"/>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style="medium">
        <color theme="4"/>
      </left>
      <right/>
      <top style="medium">
        <color theme="4"/>
      </top>
      <bottom style="medium">
        <color theme="4"/>
      </bottom>
      <diagonal/>
    </border>
    <border>
      <left/>
      <right style="medium">
        <color theme="4"/>
      </right>
      <top style="medium">
        <color theme="4"/>
      </top>
      <bottom style="medium">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8">
    <xf numFmtId="0" fontId="0" fillId="0" borderId="0" xfId="0"/>
    <xf numFmtId="0" fontId="0" fillId="33" borderId="0" xfId="0" applyFill="1"/>
    <xf numFmtId="1" fontId="0" fillId="0" borderId="0" xfId="0" applyNumberFormat="1"/>
    <xf numFmtId="1" fontId="0" fillId="33" borderId="0" xfId="0" applyNumberFormat="1" applyFill="1"/>
    <xf numFmtId="0" fontId="0" fillId="0" borderId="0" xfId="0" applyNumberFormat="1"/>
    <xf numFmtId="9" fontId="0" fillId="0" borderId="0" xfId="0" applyNumberFormat="1"/>
    <xf numFmtId="0" fontId="0" fillId="0" borderId="0" xfId="0" applyAlignment="1">
      <alignment horizontal="left" vertical="center"/>
    </xf>
    <xf numFmtId="0" fontId="18" fillId="0" borderId="0" xfId="0" applyFont="1"/>
    <xf numFmtId="0" fontId="0" fillId="0" borderId="0" xfId="0" pivotButton="1" applyBorder="1"/>
    <xf numFmtId="0" fontId="0" fillId="0" borderId="0" xfId="0" applyBorder="1"/>
    <xf numFmtId="0" fontId="0" fillId="0" borderId="0" xfId="0" applyNumberFormat="1" applyBorder="1"/>
    <xf numFmtId="9" fontId="0" fillId="0" borderId="0" xfId="0" applyNumberFormat="1" applyBorder="1"/>
    <xf numFmtId="0" fontId="0" fillId="0" borderId="10" xfId="0" pivotButton="1" applyBorder="1"/>
    <xf numFmtId="0" fontId="0" fillId="0" borderId="11" xfId="0" applyBorder="1"/>
    <xf numFmtId="0" fontId="0" fillId="0" borderId="12" xfId="0" applyBorder="1"/>
    <xf numFmtId="0" fontId="0" fillId="0" borderId="13" xfId="0" applyBorder="1"/>
    <xf numFmtId="9" fontId="0" fillId="0" borderId="14" xfId="0" applyNumberFormat="1" applyBorder="1"/>
    <xf numFmtId="0" fontId="0" fillId="0" borderId="15" xfId="0" applyBorder="1"/>
    <xf numFmtId="0" fontId="0" fillId="0" borderId="16" xfId="0" applyNumberFormat="1" applyBorder="1"/>
    <xf numFmtId="9" fontId="0" fillId="0" borderId="17" xfId="0" applyNumberFormat="1" applyBorder="1"/>
    <xf numFmtId="0" fontId="0" fillId="0" borderId="10" xfId="0" applyBorder="1"/>
    <xf numFmtId="0" fontId="0" fillId="0" borderId="11" xfId="0" pivotButton="1" applyBorder="1"/>
    <xf numFmtId="0" fontId="0" fillId="0" borderId="14" xfId="0" applyBorder="1"/>
    <xf numFmtId="0" fontId="0" fillId="0" borderId="13" xfId="0" pivotButton="1" applyBorder="1"/>
    <xf numFmtId="9" fontId="0" fillId="0" borderId="16" xfId="0" applyNumberFormat="1" applyBorder="1"/>
    <xf numFmtId="0" fontId="0" fillId="0" borderId="16" xfId="0" applyBorder="1"/>
    <xf numFmtId="0" fontId="0" fillId="0" borderId="13" xfId="0" applyBorder="1" applyAlignment="1">
      <alignment horizontal="left"/>
    </xf>
    <xf numFmtId="0" fontId="0" fillId="0" borderId="15" xfId="0" applyBorder="1" applyAlignment="1">
      <alignment horizontal="left"/>
    </xf>
    <xf numFmtId="0" fontId="0" fillId="0" borderId="13" xfId="0" applyBorder="1" applyAlignment="1">
      <alignment horizontal="left" indent="1"/>
    </xf>
    <xf numFmtId="0" fontId="0" fillId="0" borderId="0" xfId="0" applyAlignment="1">
      <alignment vertical="top"/>
    </xf>
    <xf numFmtId="0" fontId="21" fillId="0" borderId="0" xfId="0" applyFont="1"/>
    <xf numFmtId="0" fontId="21" fillId="0" borderId="0" xfId="0" applyFont="1" applyAlignment="1">
      <alignment vertical="top"/>
    </xf>
    <xf numFmtId="0" fontId="21" fillId="0" borderId="0" xfId="0" applyFont="1" applyAlignment="1">
      <alignment vertical="top" wrapText="1"/>
    </xf>
    <xf numFmtId="0" fontId="19" fillId="0" borderId="0" xfId="0" applyFont="1"/>
    <xf numFmtId="0" fontId="19" fillId="0" borderId="0" xfId="0" applyFont="1" applyAlignment="1">
      <alignment vertical="center"/>
    </xf>
    <xf numFmtId="0" fontId="16" fillId="34" borderId="0" xfId="0" applyNumberFormat="1" applyFont="1" applyFill="1" applyBorder="1"/>
    <xf numFmtId="0" fontId="0" fillId="0" borderId="0" xfId="0" applyFill="1"/>
    <xf numFmtId="1" fontId="0" fillId="0" borderId="0" xfId="0" applyNumberFormat="1" applyFill="1"/>
    <xf numFmtId="0" fontId="0" fillId="0" borderId="0" xfId="0" pivotButton="1"/>
    <xf numFmtId="0" fontId="0" fillId="0" borderId="14" xfId="0" applyNumberFormat="1" applyBorder="1"/>
    <xf numFmtId="0" fontId="0" fillId="0" borderId="17"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8" xfId="0" pivotButton="1" applyBorder="1"/>
    <xf numFmtId="0" fontId="0" fillId="0" borderId="19" xfId="0" applyBorder="1"/>
    <xf numFmtId="0" fontId="0" fillId="0" borderId="21" xfId="0" applyBorder="1"/>
    <xf numFmtId="0" fontId="0" fillId="0" borderId="18" xfId="0" applyBorder="1"/>
    <xf numFmtId="0" fontId="0" fillId="0" borderId="0" xfId="0" applyAlignment="1">
      <alignment horizontal="left"/>
    </xf>
    <xf numFmtId="0" fontId="0" fillId="0" borderId="10" xfId="0" applyNumberFormat="1" applyBorder="1"/>
    <xf numFmtId="9" fontId="0" fillId="0" borderId="12" xfId="0" applyNumberFormat="1" applyBorder="1"/>
    <xf numFmtId="0" fontId="0" fillId="0" borderId="13" xfId="0" applyNumberFormat="1" applyBorder="1"/>
    <xf numFmtId="0" fontId="0" fillId="0" borderId="15" xfId="0" applyNumberFormat="1" applyBorder="1"/>
    <xf numFmtId="0" fontId="0" fillId="0" borderId="22" xfId="0" applyBorder="1"/>
    <xf numFmtId="0" fontId="0" fillId="0" borderId="23" xfId="0" applyBorder="1"/>
    <xf numFmtId="0" fontId="16" fillId="34" borderId="14" xfId="0" applyNumberFormat="1" applyFont="1" applyFill="1" applyBorder="1"/>
    <xf numFmtId="0" fontId="0" fillId="0" borderId="0" xfId="0" applyFont="1" applyAlignment="1">
      <alignment vertical="top" wrapText="1"/>
    </xf>
    <xf numFmtId="0" fontId="0" fillId="37" borderId="0" xfId="0" applyFill="1"/>
    <xf numFmtId="0" fontId="20" fillId="0" borderId="0" xfId="0" applyFont="1" applyFill="1" applyAlignment="1">
      <alignment vertical="center"/>
    </xf>
    <xf numFmtId="0" fontId="22" fillId="0" borderId="0" xfId="0" applyFont="1" applyFill="1" applyAlignment="1">
      <alignment vertical="center"/>
    </xf>
    <xf numFmtId="0" fontId="16" fillId="34" borderId="17" xfId="0" applyNumberFormat="1" applyFont="1" applyFill="1" applyBorder="1"/>
    <xf numFmtId="0" fontId="0" fillId="37" borderId="0" xfId="0" applyNumberFormat="1" applyFill="1"/>
    <xf numFmtId="0" fontId="23" fillId="35" borderId="0" xfId="0" applyFont="1" applyFill="1" applyAlignment="1">
      <alignment horizontal="center" vertical="center"/>
    </xf>
    <xf numFmtId="0" fontId="24" fillId="35" borderId="0" xfId="0" applyFont="1" applyFill="1" applyAlignment="1">
      <alignment horizontal="center" vertical="center"/>
    </xf>
    <xf numFmtId="0" fontId="20" fillId="0" borderId="0" xfId="0" applyFont="1" applyAlignment="1">
      <alignment horizontal="left" vertical="center"/>
    </xf>
    <xf numFmtId="0" fontId="0" fillId="36" borderId="0" xfId="0" applyFill="1" applyAlignment="1">
      <alignment horizontal="center" vertical="center"/>
    </xf>
    <xf numFmtId="0" fontId="21" fillId="37" borderId="0" xfId="0" applyFont="1" applyFill="1"/>
    <xf numFmtId="0" fontId="21" fillId="37" borderId="0" xfId="0" applyFont="1" applyFill="1" applyAlignment="1">
      <alignment vertical="top"/>
    </xf>
    <xf numFmtId="0" fontId="0" fillId="37" borderId="0" xfId="0" applyFill="1" applyAlignment="1">
      <alignment vertical="top"/>
    </xf>
    <xf numFmtId="0" fontId="19" fillId="37" borderId="0" xfId="0" applyFont="1" applyFill="1"/>
    <xf numFmtId="0" fontId="21" fillId="37" borderId="0" xfId="0" applyFont="1" applyFill="1" applyAlignment="1">
      <alignment horizontal="left" vertical="top" wrapText="1"/>
    </xf>
    <xf numFmtId="0" fontId="0" fillId="37" borderId="0" xfId="0" applyFont="1" applyFill="1" applyAlignment="1">
      <alignment horizontal="left" vertical="top" wrapText="1"/>
    </xf>
    <xf numFmtId="0" fontId="19" fillId="37" borderId="0" xfId="0" applyFont="1" applyFill="1" applyAlignment="1">
      <alignment vertical="center"/>
    </xf>
    <xf numFmtId="0" fontId="21" fillId="37" borderId="0" xfId="0" applyFont="1" applyFill="1" applyAlignment="1">
      <alignment vertical="top" wrapText="1"/>
    </xf>
    <xf numFmtId="0" fontId="19" fillId="37" borderId="0" xfId="0" applyFont="1" applyFill="1" applyAlignment="1">
      <alignment vertical="top"/>
    </xf>
    <xf numFmtId="0" fontId="25" fillId="38" borderId="0" xfId="0" applyFont="1" applyFill="1" applyAlignment="1">
      <alignment horizontal="center" vertical="center"/>
    </xf>
    <xf numFmtId="0" fontId="26" fillId="38" borderId="0" xfId="0" applyFont="1" applyFill="1" applyAlignment="1">
      <alignment horizontal="center" vertical="center"/>
    </xf>
    <xf numFmtId="0" fontId="27" fillId="38"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7">
    <dxf>
      <fill>
        <patternFill patternType="solid">
          <bgColor rgb="FFF2EEE4"/>
        </patternFill>
      </fill>
    </dxf>
    <dxf>
      <border>
        <left style="medium">
          <color theme="4"/>
        </left>
        <right style="medium">
          <color theme="4"/>
        </right>
        <top style="medium">
          <color theme="4"/>
        </top>
        <bottom style="medium">
          <color theme="4"/>
        </bottom>
      </border>
    </dxf>
    <dxf>
      <fill>
        <patternFill patternType="solid">
          <bgColor theme="2"/>
        </patternFill>
      </fill>
    </dxf>
    <dxf>
      <font>
        <b/>
      </font>
    </dxf>
    <dxf>
      <fill>
        <patternFill patternType="solid">
          <bgColor rgb="FFF2EEE4"/>
        </patternFill>
      </fill>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fill>
        <patternFill patternType="solid">
          <bgColor theme="2"/>
        </patternFill>
      </fill>
    </dxf>
    <dxf>
      <fill>
        <patternFill patternType="solid">
          <bgColor theme="2"/>
        </patternFill>
      </fill>
    </dxf>
    <dxf>
      <fill>
        <patternFill patternType="solid">
          <bgColor theme="2"/>
        </patternFill>
      </fill>
    </dxf>
    <dxf>
      <font>
        <b/>
      </font>
    </dxf>
    <dxf>
      <font>
        <b/>
      </font>
    </dxf>
    <dxf>
      <font>
        <b/>
      </font>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fill>
        <patternFill patternType="solid">
          <bgColor theme="2"/>
        </patternFill>
      </fill>
    </dxf>
    <dxf>
      <fill>
        <patternFill patternType="solid">
          <bgColor theme="2"/>
        </patternFill>
      </fill>
    </dxf>
    <dxf>
      <font>
        <b/>
      </font>
    </dxf>
    <dxf>
      <font>
        <b/>
      </font>
    </dxf>
    <dxf>
      <fill>
        <patternFill patternType="solid">
          <bgColor rgb="FFF2EEE4"/>
        </patternFill>
      </fill>
    </dxf>
    <dxf>
      <numFmt numFmtId="13" formatCode="0%"/>
    </dxf>
    <dxf>
      <numFmt numFmtId="0" formatCode="General"/>
    </dxf>
    <dxf>
      <fill>
        <patternFill patternType="solid">
          <bgColor rgb="FFF2EEE4"/>
        </patternFill>
      </fill>
    </dxf>
    <dxf>
      <fill>
        <patternFill patternType="solid">
          <bgColor rgb="FFF2EEE4"/>
        </patternFill>
      </fill>
    </dxf>
    <dxf>
      <fill>
        <patternFill patternType="solid">
          <bgColor rgb="FFF2EEE4"/>
        </patternFill>
      </fill>
    </dxf>
    <dxf>
      <border>
        <left style="medium">
          <color theme="4"/>
        </left>
        <right style="medium">
          <color theme="4"/>
        </right>
        <top style="medium">
          <color theme="4"/>
        </top>
        <bottom style="medium">
          <color theme="4"/>
        </bottom>
      </border>
    </dxf>
    <dxf>
      <fill>
        <patternFill patternType="solid">
          <bgColor theme="2"/>
        </patternFill>
      </fill>
    </dxf>
    <dxf>
      <font>
        <b/>
      </font>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fill>
        <patternFill patternType="solid">
          <bgColor theme="2"/>
        </patternFill>
      </fill>
    </dxf>
    <dxf>
      <fill>
        <patternFill patternType="solid">
          <bgColor theme="2"/>
        </patternFill>
      </fill>
    </dxf>
    <dxf>
      <font>
        <b/>
      </font>
    </dxf>
    <dxf>
      <font>
        <b/>
      </font>
    </dxf>
    <dxf>
      <border>
        <left style="medium">
          <color theme="4"/>
        </left>
        <right style="medium">
          <color theme="4"/>
        </right>
        <top style="medium">
          <color theme="4"/>
        </top>
        <bottom style="medium">
          <color theme="4"/>
        </bottom>
      </border>
    </dxf>
    <dxf>
      <fill>
        <patternFill patternType="solid">
          <bgColor theme="2"/>
        </patternFill>
      </fill>
    </dxf>
    <dxf>
      <font>
        <b/>
      </font>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fill>
        <patternFill patternType="solid">
          <bgColor theme="2"/>
        </patternFill>
      </fill>
    </dxf>
    <dxf>
      <font>
        <b/>
      </font>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fill>
        <patternFill patternType="solid">
          <bgColor theme="2"/>
        </patternFill>
      </fill>
    </dxf>
    <dxf>
      <font>
        <b/>
      </font>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fill>
        <patternFill patternType="solid">
          <bgColor rgb="FFF2EEE4"/>
        </patternFill>
      </fill>
    </dxf>
    <dxf>
      <border>
        <left style="medium">
          <color theme="4"/>
        </left>
        <right style="medium">
          <color theme="4"/>
        </right>
        <top style="medium">
          <color theme="4"/>
        </top>
        <bottom style="medium">
          <color theme="4"/>
        </bottom>
      </border>
    </dxf>
    <dxf>
      <fill>
        <patternFill patternType="solid">
          <bgColor theme="2"/>
        </patternFill>
      </fill>
    </dxf>
    <dxf>
      <font>
        <b/>
      </font>
    </dxf>
    <dxf>
      <fill>
        <patternFill patternType="solid">
          <bgColor rgb="FFF2EEE4"/>
        </patternFill>
      </fill>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fill>
        <patternFill patternType="solid">
          <bgColor theme="2"/>
        </patternFill>
      </fill>
    </dxf>
    <dxf>
      <fill>
        <patternFill patternType="solid">
          <bgColor theme="2"/>
        </patternFill>
      </fill>
    </dxf>
    <dxf>
      <fill>
        <patternFill patternType="solid">
          <bgColor theme="2"/>
        </patternFill>
      </fill>
    </dxf>
    <dxf>
      <font>
        <b/>
      </font>
    </dxf>
    <dxf>
      <font>
        <b/>
      </font>
    </dxf>
    <dxf>
      <font>
        <b/>
      </font>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fill>
        <patternFill patternType="solid">
          <bgColor theme="2"/>
        </patternFill>
      </fill>
    </dxf>
    <dxf>
      <fill>
        <patternFill patternType="solid">
          <bgColor theme="2"/>
        </patternFill>
      </fill>
    </dxf>
    <dxf>
      <font>
        <b/>
      </font>
    </dxf>
    <dxf>
      <font>
        <b/>
      </font>
    </dxf>
    <dxf>
      <fill>
        <patternFill patternType="solid">
          <bgColor rgb="FFF2EEE4"/>
        </patternFill>
      </fill>
    </dxf>
    <dxf>
      <numFmt numFmtId="13" formatCode="0%"/>
    </dxf>
    <dxf>
      <numFmt numFmtId="0" formatCode="General"/>
    </dxf>
    <dxf>
      <fill>
        <patternFill patternType="solid">
          <bgColor rgb="FFF2EEE4"/>
        </patternFill>
      </fill>
    </dxf>
    <dxf>
      <fill>
        <patternFill patternType="solid">
          <bgColor rgb="FFF2EEE4"/>
        </patternFill>
      </fill>
    </dxf>
    <dxf>
      <fill>
        <patternFill patternType="solid">
          <bgColor rgb="FFF2EEE4"/>
        </patternFill>
      </fill>
    </dxf>
    <dxf>
      <border>
        <left style="medium">
          <color theme="4"/>
        </left>
        <right style="medium">
          <color theme="4"/>
        </right>
        <top style="medium">
          <color theme="4"/>
        </top>
        <bottom style="medium">
          <color theme="4"/>
        </bottom>
      </border>
    </dxf>
    <dxf>
      <fill>
        <patternFill patternType="solid">
          <bgColor theme="2"/>
        </patternFill>
      </fill>
    </dxf>
    <dxf>
      <font>
        <b/>
      </font>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fill>
        <patternFill patternType="solid">
          <bgColor theme="2"/>
        </patternFill>
      </fill>
    </dxf>
    <dxf>
      <fill>
        <patternFill patternType="solid">
          <bgColor theme="2"/>
        </patternFill>
      </fill>
    </dxf>
    <dxf>
      <font>
        <b/>
      </font>
    </dxf>
    <dxf>
      <font>
        <b/>
      </font>
    </dxf>
    <dxf>
      <border>
        <left style="medium">
          <color theme="4"/>
        </left>
        <right style="medium">
          <color theme="4"/>
        </right>
        <top style="medium">
          <color theme="4"/>
        </top>
        <bottom style="medium">
          <color theme="4"/>
        </bottom>
      </border>
    </dxf>
    <dxf>
      <fill>
        <patternFill patternType="solid">
          <bgColor theme="2"/>
        </patternFill>
      </fill>
    </dxf>
    <dxf>
      <font>
        <b/>
      </font>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fill>
        <patternFill patternType="solid">
          <bgColor theme="2"/>
        </patternFill>
      </fill>
    </dxf>
    <dxf>
      <font>
        <b/>
      </font>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fill>
        <patternFill patternType="solid">
          <bgColor theme="2"/>
        </patternFill>
      </fill>
    </dxf>
    <dxf>
      <font>
        <b/>
      </font>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fill>
        <patternFill patternType="solid">
          <bgColor rgb="FFF2EEE4"/>
        </patternFill>
      </fill>
    </dxf>
    <dxf>
      <font>
        <b/>
      </font>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ill>
        <patternFill patternType="solid">
          <bgColor rgb="FFF2EEE4"/>
        </patternFill>
      </fill>
    </dxf>
    <dxf>
      <font>
        <b/>
      </font>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ont>
        <b/>
      </font>
    </dxf>
    <dxf>
      <fill>
        <patternFill patternType="solid">
          <bgColor theme="2"/>
        </patternFill>
      </fill>
    </dxf>
    <dxf>
      <border>
        <left style="medium">
          <color theme="4"/>
        </left>
        <right style="medium">
          <color theme="4"/>
        </right>
        <top style="medium">
          <color theme="4"/>
        </top>
        <bottom style="medium">
          <color theme="4"/>
        </bottom>
      </border>
    </dxf>
    <dxf>
      <font>
        <b/>
      </font>
    </dxf>
    <dxf>
      <font>
        <b/>
      </font>
    </dxf>
    <dxf>
      <fill>
        <patternFill patternType="solid">
          <bgColor theme="2"/>
        </patternFill>
      </fill>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ill>
        <patternFill patternType="solid">
          <bgColor rgb="FFF2EEE4"/>
        </patternFill>
      </fill>
    </dxf>
    <dxf>
      <font>
        <b/>
      </font>
    </dxf>
    <dxf>
      <fill>
        <patternFill patternType="solid">
          <bgColor theme="2"/>
        </patternFill>
      </fill>
    </dxf>
    <dxf>
      <border>
        <left style="medium">
          <color theme="4"/>
        </left>
        <right style="medium">
          <color theme="4"/>
        </right>
        <top style="medium">
          <color theme="4"/>
        </top>
        <bottom style="medium">
          <color theme="4"/>
        </bottom>
      </border>
    </dxf>
    <dxf>
      <fill>
        <patternFill patternType="solid">
          <bgColor rgb="FFF2EEE4"/>
        </patternFill>
      </fill>
    </dxf>
    <dxf>
      <font>
        <b/>
      </font>
    </dxf>
    <dxf>
      <font>
        <b/>
      </font>
    </dxf>
    <dxf>
      <font>
        <b/>
      </font>
    </dxf>
    <dxf>
      <fill>
        <patternFill patternType="solid">
          <bgColor theme="2"/>
        </patternFill>
      </fill>
    </dxf>
    <dxf>
      <fill>
        <patternFill patternType="solid">
          <bgColor theme="2"/>
        </patternFill>
      </fill>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ill>
        <patternFill patternType="solid">
          <bgColor rgb="FFF2EEE4"/>
        </patternFill>
      </fill>
    </dxf>
    <dxf>
      <font>
        <b/>
      </font>
    </dxf>
    <dxf>
      <fill>
        <patternFill patternType="solid">
          <bgColor theme="2"/>
        </patternFill>
      </fill>
    </dxf>
    <dxf>
      <border>
        <left style="medium">
          <color theme="4"/>
        </left>
        <right style="medium">
          <color theme="4"/>
        </right>
        <top style="medium">
          <color theme="4"/>
        </top>
        <bottom style="medium">
          <color theme="4"/>
        </bottom>
      </border>
    </dxf>
    <dxf>
      <font>
        <b/>
      </font>
    </dxf>
    <dxf>
      <font>
        <b/>
      </font>
    </dxf>
    <dxf>
      <fill>
        <patternFill patternType="solid">
          <bgColor theme="2"/>
        </patternFill>
      </fill>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ill>
        <patternFill patternType="solid">
          <bgColor rgb="FFF2EEE4"/>
        </patternFill>
      </fill>
    </dxf>
    <dxf>
      <numFmt numFmtId="0" formatCode="General"/>
    </dxf>
    <dxf>
      <numFmt numFmtId="13" formatCode="0%"/>
    </dxf>
    <dxf>
      <font>
        <b/>
      </font>
    </dxf>
    <dxf>
      <font>
        <b/>
      </font>
    </dxf>
    <dxf>
      <fill>
        <patternFill patternType="solid">
          <bgColor theme="2"/>
        </patternFill>
      </fill>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ont>
        <b/>
      </font>
    </dxf>
    <dxf>
      <font>
        <b/>
      </font>
    </dxf>
    <dxf>
      <fill>
        <patternFill patternType="solid">
          <bgColor theme="2"/>
        </patternFill>
      </fill>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ont>
        <b/>
      </font>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ont>
        <b/>
      </font>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numFmt numFmtId="13" formatCode="0%"/>
    </dxf>
    <dxf>
      <font>
        <b/>
      </font>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ont>
        <b/>
      </font>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ont>
        <b/>
      </font>
    </dxf>
    <dxf>
      <font>
        <b/>
      </font>
    </dxf>
    <dxf>
      <font>
        <b/>
      </font>
    </dxf>
    <dxf>
      <fill>
        <patternFill patternType="solid">
          <bgColor theme="2"/>
        </patternFill>
      </fill>
    </dxf>
    <dxf>
      <fill>
        <patternFill patternType="solid">
          <bgColor theme="2"/>
        </patternFill>
      </fill>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font>
        <b/>
      </font>
    </dxf>
    <dxf>
      <fill>
        <patternFill patternType="solid">
          <bgColor theme="2"/>
        </patternFill>
      </fill>
    </dxf>
    <dxf>
      <border>
        <left style="medium">
          <color theme="4"/>
        </left>
        <right style="medium">
          <color theme="4"/>
        </right>
        <top style="medium">
          <color theme="4"/>
        </top>
        <bottom style="medium">
          <color theme="4"/>
        </bottom>
      </border>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 formatCode="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z val="12"/>
        <color rgb="FF0A1F33"/>
        <name val="Calibri Light"/>
        <family val="2"/>
        <scheme val="major"/>
      </font>
      <fill>
        <patternFill>
          <bgColor rgb="FFF2EEE4"/>
        </patternFill>
      </fill>
      <border>
        <left style="thin">
          <color auto="1"/>
        </left>
        <right style="thin">
          <color auto="1"/>
        </right>
        <top style="thin">
          <color auto="1"/>
        </top>
        <bottom style="thin">
          <color auto="1"/>
        </bottom>
      </border>
    </dxf>
    <dxf>
      <font>
        <b val="0"/>
        <i val="0"/>
        <sz val="11"/>
        <color rgb="FF0A1F33"/>
        <name val="Calibri"/>
        <family val="2"/>
        <scheme val="minor"/>
      </font>
      <fill>
        <patternFill>
          <bgColor rgb="FFF2EEE4"/>
        </patternFill>
      </fill>
      <border diagonalUp="0" diagonalDown="0">
        <left style="thin">
          <color rgb="FF0A1F33"/>
        </left>
        <right style="thin">
          <color rgb="FF0A1F33"/>
        </right>
        <top style="thin">
          <color rgb="FF0A1F33"/>
        </top>
        <bottom style="thin">
          <color rgb="FF0A1F33"/>
        </bottom>
        <vertical/>
        <horizontal/>
      </border>
    </dxf>
  </dxfs>
  <tableStyles count="1" defaultTableStyle="TableStyleMedium2" defaultPivotStyle="PivotStyleLight16">
    <tableStyle name="Slicer Style 1" pivot="0" table="0" count="4" xr9:uid="{25E02787-2CD1-440A-B50D-0A12D9D67738}">
      <tableStyleElement type="wholeTable" dxfId="266"/>
      <tableStyleElement type="headerRow" dxfId="265"/>
    </tableStyle>
  </tableStyles>
  <colors>
    <mruColors>
      <color rgb="FF2B2D42"/>
      <color rgb="FFF2EEE4"/>
      <color rgb="FFCDF3FF"/>
      <color rgb="FF0A1F33"/>
      <color rgb="FFC8AF8A"/>
      <color rgb="FF6B2737"/>
      <color rgb="FFBEA074"/>
      <color rgb="FFB08D57"/>
      <color rgb="FF3E6E71"/>
      <color rgb="FFB1415C"/>
    </mruColors>
  </colors>
  <extLst>
    <ext xmlns:x14="http://schemas.microsoft.com/office/spreadsheetml/2009/9/main" uri="{46F421CA-312F-682f-3DD2-61675219B42D}">
      <x14:dxfs count="2">
        <dxf>
          <font>
            <b/>
            <i val="0"/>
            <name val="Calibri"/>
            <family val="2"/>
            <scheme val="minor"/>
          </font>
          <fill>
            <patternFill>
              <bgColor rgb="FFE8E1D0"/>
            </patternFill>
          </fill>
          <border diagonalUp="0" diagonalDown="0">
            <left/>
            <right/>
            <top/>
            <bottom/>
            <vertical/>
            <horizontal/>
          </border>
        </dxf>
        <dxf>
          <font>
            <b val="0"/>
            <i val="0"/>
            <name val="Calibri"/>
            <family val="2"/>
            <scheme val="minor"/>
          </font>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microsoft.com/office/2007/relationships/slicerCache" Target="slicerCaches/slicerCache4.xml"/><Relationship Id="rId21" Type="http://schemas.openxmlformats.org/officeDocument/2006/relationships/pivotCacheDefinition" Target="pivotCache/pivotCacheDefinition12.xml"/><Relationship Id="rId34" Type="http://schemas.openxmlformats.org/officeDocument/2006/relationships/pivotCacheDefinition" Target="pivotCache/pivotCacheDefinition25.xml"/><Relationship Id="rId42" Type="http://schemas.microsoft.com/office/2007/relationships/slicerCache" Target="slicerCaches/slicerCache7.xml"/><Relationship Id="rId47" Type="http://schemas.openxmlformats.org/officeDocument/2006/relationships/sheetMetadata" Target="metadata.xml"/><Relationship Id="rId50" Type="http://schemas.openxmlformats.org/officeDocument/2006/relationships/customXml" Target="../customXml/item1.xml"/><Relationship Id="rId55" Type="http://schemas.openxmlformats.org/officeDocument/2006/relationships/customXml" Target="../customXml/item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ivotCacheDefinition" Target="pivotCache/pivotCacheDefinition23.xml"/><Relationship Id="rId37" Type="http://schemas.microsoft.com/office/2007/relationships/slicerCache" Target="slicerCaches/slicerCache2.xml"/><Relationship Id="rId40" Type="http://schemas.microsoft.com/office/2007/relationships/slicerCache" Target="slicerCaches/slicerCache5.xml"/><Relationship Id="rId45" Type="http://schemas.openxmlformats.org/officeDocument/2006/relationships/styles" Target="styles.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ivotCacheDefinition" Target="pivotCache/pivotCacheDefinition22.xml"/><Relationship Id="rId44" Type="http://schemas.openxmlformats.org/officeDocument/2006/relationships/connections" Target="connections.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43" Type="http://schemas.openxmlformats.org/officeDocument/2006/relationships/theme" Target="theme/theme1.xml"/><Relationship Id="rId48" Type="http://schemas.openxmlformats.org/officeDocument/2006/relationships/powerPivotData" Target="model/item.data"/><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microsoft.com/office/2007/relationships/slicerCache" Target="slicerCaches/slicerCache3.xml"/><Relationship Id="rId46" Type="http://schemas.openxmlformats.org/officeDocument/2006/relationships/sharedStrings" Target="sharedStrings.xml"/><Relationship Id="rId20" Type="http://schemas.openxmlformats.org/officeDocument/2006/relationships/pivotCacheDefinition" Target="pivotCache/pivotCacheDefinition11.xml"/><Relationship Id="rId41" Type="http://schemas.microsoft.com/office/2007/relationships/slicerCache" Target="slicerCaches/slicerCache6.xml"/><Relationship Id="rId54"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microsoft.com/office/2007/relationships/slicerCache" Target="slicerCaches/slicerCache1.xml"/><Relationship Id="rId4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[Mariam_Khan_Titanic-Analysis-Dashboard.xlsx]Pivot Report | Dashboard!Survival_Rate</c:name>
    <c:fmtId val="4"/>
  </c:pivotSource>
  <c:chart>
    <c:title>
      <c:tx>
        <c:rich>
          <a:bodyPr rot="0" spcFirstLastPara="1" vertOverflow="ellipsis" vert="horz" wrap="square" anchor="ctr" anchorCtr="1"/>
          <a:lstStyle/>
          <a:p>
            <a:pPr>
              <a:defRPr sz="1400" b="1" i="0" u="none" strike="noStrike" kern="1200" spc="0" baseline="0">
                <a:solidFill>
                  <a:srgbClr val="0A1F33"/>
                </a:solidFill>
                <a:latin typeface="+mn-lt"/>
                <a:ea typeface="+mn-ea"/>
                <a:cs typeface="+mn-cs"/>
              </a:defRPr>
            </a:pPr>
            <a:r>
              <a:rPr lang="en-US" sz="1400" b="1">
                <a:solidFill>
                  <a:srgbClr val="0A1F33"/>
                </a:solidFill>
              </a:rPr>
              <a:t>Total</a:t>
            </a:r>
            <a:r>
              <a:rPr lang="en-US" sz="1400" b="1" baseline="0">
                <a:solidFill>
                  <a:srgbClr val="0A1F33"/>
                </a:solidFill>
              </a:rPr>
              <a:t> Passengers by Survival Ratio</a:t>
            </a:r>
            <a:endParaRPr lang="en-US" sz="1400" b="1">
              <a:solidFill>
                <a:srgbClr val="0A1F33"/>
              </a:solidFill>
            </a:endParaRPr>
          </a:p>
        </c:rich>
      </c:tx>
      <c:layout>
        <c:manualLayout>
          <c:xMode val="edge"/>
          <c:yMode val="edge"/>
          <c:x val="2.5864705567048016E-3"/>
          <c:y val="4.628096762666004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A1F3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77777777777777"/>
              <c:y val="-6.018518518518523E-2"/>
            </c:manualLayout>
          </c:layout>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3333333333333229E-2"/>
              <c:y val="-3.2407407407407406E-2"/>
            </c:manualLayout>
          </c:layout>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3.3333333333333229E-2"/>
              <c:y val="-3.2407407407407406E-2"/>
            </c:manualLayout>
          </c:layout>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277777777777777"/>
              <c:y val="-6.018518518518523E-2"/>
            </c:manualLayout>
          </c:layout>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C8AF8A"/>
          </a:solidFill>
          <a:ln w="19050">
            <a:solidFill>
              <a:srgbClr val="F2EEE4"/>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A1F33"/>
          </a:solidFill>
          <a:ln w="19050">
            <a:solidFill>
              <a:srgbClr val="F2EEE4"/>
            </a:solidFill>
          </a:ln>
          <a:effectLst/>
        </c:spPr>
        <c:dLbl>
          <c:idx val="0"/>
          <c:layout>
            <c:manualLayout>
              <c:x val="-3.3752321176244486E-2"/>
              <c:y val="5.3184642906701572E-2"/>
            </c:manualLayout>
          </c:layout>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6B2737"/>
          </a:solidFill>
          <a:ln w="19050">
            <a:solidFill>
              <a:srgbClr val="F2EEE4"/>
            </a:solidFill>
          </a:ln>
          <a:effectLst/>
        </c:spPr>
        <c:dLbl>
          <c:idx val="0"/>
          <c:layout>
            <c:manualLayout>
              <c:x val="0.21058779386722218"/>
              <c:y val="-4.1164680813940667E-2"/>
            </c:manualLayout>
          </c:layout>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6.1491357395640857E-2"/>
          <c:y val="0.24933786880388845"/>
          <c:w val="0.88518883886060973"/>
          <c:h val="0.62251996144599997"/>
        </c:manualLayout>
      </c:layout>
      <c:ofPieChart>
        <c:ofPieType val="pie"/>
        <c:varyColors val="0"/>
        <c:ser>
          <c:idx val="0"/>
          <c:order val="0"/>
          <c:tx>
            <c:strRef>
              <c:f>'Pivot Report | Dashboard'!$B$6</c:f>
              <c:strCache>
                <c:ptCount val="1"/>
                <c:pt idx="0">
                  <c:v>Total</c:v>
                </c:pt>
              </c:strCache>
            </c:strRef>
          </c:tx>
          <c:spPr>
            <a:solidFill>
              <a:srgbClr val="C8AF8A"/>
            </a:solidFill>
            <a:ln w="19050">
              <a:solidFill>
                <a:srgbClr val="F2EEE4"/>
              </a:solidFill>
            </a:ln>
            <a:effectLst/>
          </c:spPr>
          <c:dPt>
            <c:idx val="0"/>
            <c:bubble3D val="0"/>
            <c:spPr>
              <a:solidFill>
                <a:srgbClr val="0A1F33"/>
              </a:solidFill>
              <a:ln w="19050">
                <a:solidFill>
                  <a:srgbClr val="F2EEE4"/>
                </a:solidFill>
              </a:ln>
              <a:effectLst/>
            </c:spPr>
            <c:extLst>
              <c:ext xmlns:c16="http://schemas.microsoft.com/office/drawing/2014/chart" uri="{C3380CC4-5D6E-409C-BE32-E72D297353CC}">
                <c16:uniqueId val="{00000001-ED4D-4B94-A4F5-4C5C3E0B8B91}"/>
              </c:ext>
            </c:extLst>
          </c:dPt>
          <c:dPt>
            <c:idx val="1"/>
            <c:bubble3D val="0"/>
            <c:spPr>
              <a:solidFill>
                <a:srgbClr val="6B2737"/>
              </a:solidFill>
              <a:ln w="19050">
                <a:solidFill>
                  <a:srgbClr val="F2EEE4"/>
                </a:solidFill>
              </a:ln>
              <a:effectLst/>
            </c:spPr>
            <c:extLst>
              <c:ext xmlns:c16="http://schemas.microsoft.com/office/drawing/2014/chart" uri="{C3380CC4-5D6E-409C-BE32-E72D297353CC}">
                <c16:uniqueId val="{00000003-ED4D-4B94-A4F5-4C5C3E0B8B91}"/>
              </c:ext>
            </c:extLst>
          </c:dPt>
          <c:dPt>
            <c:idx val="2"/>
            <c:bubble3D val="0"/>
            <c:extLst>
              <c:ext xmlns:c16="http://schemas.microsoft.com/office/drawing/2014/chart" uri="{C3380CC4-5D6E-409C-BE32-E72D297353CC}">
                <c16:uniqueId val="{00000005-ED4D-4B94-A4F5-4C5C3E0B8B91}"/>
              </c:ext>
            </c:extLst>
          </c:dPt>
          <c:dLbls>
            <c:dLbl>
              <c:idx val="0"/>
              <c:layout>
                <c:manualLayout>
                  <c:x val="-3.3752321176244486E-2"/>
                  <c:y val="5.318464290670157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4D-4B94-A4F5-4C5C3E0B8B91}"/>
                </c:ext>
              </c:extLst>
            </c:dLbl>
            <c:dLbl>
              <c:idx val="1"/>
              <c:layout>
                <c:manualLayout>
                  <c:x val="0.21058779386722218"/>
                  <c:y val="-4.116468081394066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4D-4B94-A4F5-4C5C3E0B8B91}"/>
                </c:ext>
              </c:extLst>
            </c:dLbl>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1"/>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Report | Dashboard'!$A$7:$A$9</c:f>
              <c:strCache>
                <c:ptCount val="2"/>
                <c:pt idx="0">
                  <c:v>Alive</c:v>
                </c:pt>
                <c:pt idx="1">
                  <c:v>Dead</c:v>
                </c:pt>
              </c:strCache>
            </c:strRef>
          </c:cat>
          <c:val>
            <c:numRef>
              <c:f>'Pivot Report | Dashboard'!$B$7:$B$9</c:f>
              <c:numCache>
                <c:formatCode>General</c:formatCode>
                <c:ptCount val="2"/>
                <c:pt idx="0">
                  <c:v>498</c:v>
                </c:pt>
                <c:pt idx="1">
                  <c:v>807</c:v>
                </c:pt>
              </c:numCache>
            </c:numRef>
          </c:val>
          <c:extLst>
            <c:ext xmlns:c16="http://schemas.microsoft.com/office/drawing/2014/chart" uri="{C3380CC4-5D6E-409C-BE32-E72D297353CC}">
              <c16:uniqueId val="{00000006-ED4D-4B94-A4F5-4C5C3E0B8B91}"/>
            </c:ext>
          </c:extLst>
        </c:ser>
        <c:dLbls>
          <c:dLblPos val="bestFit"/>
          <c:showLegendKey val="0"/>
          <c:showVal val="1"/>
          <c:showCatName val="0"/>
          <c:showSerName val="0"/>
          <c:showPercent val="0"/>
          <c:showBubbleSize val="0"/>
          <c:showLeaderLines val="0"/>
        </c:dLbls>
        <c:gapWidth val="100"/>
        <c:splitType val="pos"/>
        <c:splitPos val="2"/>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t"/>
      <c:layout>
        <c:manualLayout>
          <c:xMode val="edge"/>
          <c:yMode val="edge"/>
          <c:x val="0.6638112423447069"/>
          <c:y val="2.6622193059200922E-3"/>
          <c:w val="0.33348840769903765"/>
          <c:h val="0.10590332458442693"/>
        </c:manualLayout>
      </c:layout>
      <c:overlay val="0"/>
      <c:spPr>
        <a:noFill/>
        <a:ln>
          <a:noFill/>
        </a:ln>
        <a:effectLst/>
      </c:spPr>
      <c:txPr>
        <a:bodyPr rot="0" spcFirstLastPara="1" vertOverflow="ellipsis" vert="horz" wrap="square" anchor="ctr" anchorCtr="1"/>
        <a:lstStyle/>
        <a:p>
          <a:pPr>
            <a:defRPr sz="1050" b="1" i="0" u="none" strike="noStrike" kern="1200" baseline="0">
              <a:solidFill>
                <a:srgbClr val="0A1F3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EEE4"/>
    </a:solidFill>
    <a:ln w="9525" cap="flat" cmpd="sng" algn="ctr">
      <a:solidFill>
        <a:srgbClr val="0A1F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[Mariam_Khan_Titanic-Analysis-Dashboard.xlsx]Pivot Report | Dashboard!Passenger_class_survival</c:name>
    <c:fmtId val="2"/>
  </c:pivotSource>
  <c:chart>
    <c:title>
      <c:tx>
        <c:rich>
          <a:bodyPr rot="0" spcFirstLastPara="1" vertOverflow="ellipsis" vert="horz" wrap="square" anchor="ctr" anchorCtr="1"/>
          <a:lstStyle/>
          <a:p>
            <a:pPr>
              <a:defRPr sz="1400" b="1" i="0" u="none" strike="noStrike" kern="1200" spc="0" baseline="0">
                <a:solidFill>
                  <a:srgbClr val="0A1F33"/>
                </a:solidFill>
                <a:latin typeface="+mn-lt"/>
                <a:ea typeface="+mn-ea"/>
                <a:cs typeface="+mn-cs"/>
              </a:defRPr>
            </a:pPr>
            <a:r>
              <a:rPr lang="en-US" sz="1400" b="1">
                <a:solidFill>
                  <a:srgbClr val="0A1F33"/>
                </a:solidFill>
              </a:rPr>
              <a:t>Total</a:t>
            </a:r>
            <a:r>
              <a:rPr lang="en-US" sz="1400" b="1" baseline="0">
                <a:solidFill>
                  <a:srgbClr val="0A1F33"/>
                </a:solidFill>
              </a:rPr>
              <a:t> Passengers by PClass </a:t>
            </a:r>
            <a:endParaRPr lang="en-US" sz="1400" b="1">
              <a:solidFill>
                <a:srgbClr val="0A1F33"/>
              </a:solidFill>
            </a:endParaRPr>
          </a:p>
        </c:rich>
      </c:tx>
      <c:layout>
        <c:manualLayout>
          <c:xMode val="edge"/>
          <c:yMode val="edge"/>
          <c:x val="6.7152230971128934E-3"/>
          <c:y val="9.259259259259258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A1F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E6E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2EEE4"/>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B27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2EEE4"/>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2EEE4"/>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B2D42"/>
          </a:solidFill>
          <a:ln>
            <a:noFill/>
          </a:ln>
          <a:effectLst/>
        </c:spPr>
      </c:pivotFmt>
    </c:pivotFmts>
    <c:plotArea>
      <c:layout>
        <c:manualLayout>
          <c:layoutTarget val="inner"/>
          <c:xMode val="edge"/>
          <c:yMode val="edge"/>
          <c:x val="3.0555555555555555E-2"/>
          <c:y val="0.15456328375619713"/>
          <c:w val="0.93888888888888888"/>
          <c:h val="0.74103372975008897"/>
        </c:manualLayout>
      </c:layout>
      <c:barChart>
        <c:barDir val="col"/>
        <c:grouping val="stacked"/>
        <c:varyColors val="0"/>
        <c:ser>
          <c:idx val="0"/>
          <c:order val="0"/>
          <c:tx>
            <c:strRef>
              <c:f>'Pivot Report | Dashboard'!$B$14</c:f>
              <c:strCache>
                <c:ptCount val="1"/>
                <c:pt idx="0">
                  <c:v>Total</c:v>
                </c:pt>
              </c:strCache>
            </c:strRef>
          </c:tx>
          <c:spPr>
            <a:solidFill>
              <a:srgbClr val="2B2D4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2EEE4"/>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 Dashboard'!$A$15:$A$17</c:f>
              <c:strCache>
                <c:ptCount val="3"/>
                <c:pt idx="0">
                  <c:v>Third Class</c:v>
                </c:pt>
                <c:pt idx="1">
                  <c:v>First Class</c:v>
                </c:pt>
                <c:pt idx="2">
                  <c:v>Second Class</c:v>
                </c:pt>
              </c:strCache>
            </c:strRef>
          </c:cat>
          <c:val>
            <c:numRef>
              <c:f>'Pivot Report | Dashboard'!$B$15:$B$17</c:f>
              <c:numCache>
                <c:formatCode>General</c:formatCode>
                <c:ptCount val="3"/>
                <c:pt idx="0">
                  <c:v>709</c:v>
                </c:pt>
                <c:pt idx="1">
                  <c:v>319</c:v>
                </c:pt>
                <c:pt idx="2">
                  <c:v>277</c:v>
                </c:pt>
              </c:numCache>
            </c:numRef>
          </c:val>
          <c:extLst>
            <c:ext xmlns:c16="http://schemas.microsoft.com/office/drawing/2014/chart" uri="{C3380CC4-5D6E-409C-BE32-E72D297353CC}">
              <c16:uniqueId val="{00000000-2F49-4795-BC69-2EEFCF877A2B}"/>
            </c:ext>
          </c:extLst>
        </c:ser>
        <c:dLbls>
          <c:dLblPos val="ctr"/>
          <c:showLegendKey val="0"/>
          <c:showVal val="1"/>
          <c:showCatName val="0"/>
          <c:showSerName val="0"/>
          <c:showPercent val="0"/>
          <c:showBubbleSize val="0"/>
        </c:dLbls>
        <c:gapWidth val="150"/>
        <c:overlap val="100"/>
        <c:axId val="1375722816"/>
        <c:axId val="1375716576"/>
      </c:barChart>
      <c:catAx>
        <c:axId val="1375722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A1F33"/>
                </a:solidFill>
                <a:latin typeface="+mn-lt"/>
                <a:ea typeface="+mn-ea"/>
                <a:cs typeface="+mn-cs"/>
              </a:defRPr>
            </a:pPr>
            <a:endParaRPr lang="en-US"/>
          </a:p>
        </c:txPr>
        <c:crossAx val="1375716576"/>
        <c:crosses val="autoZero"/>
        <c:auto val="1"/>
        <c:lblAlgn val="ctr"/>
        <c:lblOffset val="100"/>
        <c:noMultiLvlLbl val="0"/>
      </c:catAx>
      <c:valAx>
        <c:axId val="1375716576"/>
        <c:scaling>
          <c:orientation val="minMax"/>
        </c:scaling>
        <c:delete val="1"/>
        <c:axPos val="l"/>
        <c:numFmt formatCode="General" sourceLinked="1"/>
        <c:majorTickMark val="none"/>
        <c:minorTickMark val="none"/>
        <c:tickLblPos val="nextTo"/>
        <c:crossAx val="1375722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EEE4"/>
    </a:solidFill>
    <a:ln w="9525" cap="flat" cmpd="sng" algn="ctr">
      <a:solidFill>
        <a:srgbClr val="0A1F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[Mariam_Khan_Titanic-Analysis-Dashboard.xlsx]Pivot Report | Dashboard!passengers_by_fare_category</c:name>
    <c:fmtId val="2"/>
  </c:pivotSource>
  <c:chart>
    <c:title>
      <c:tx>
        <c:rich>
          <a:bodyPr rot="0" spcFirstLastPara="1" vertOverflow="ellipsis" vert="horz" wrap="square" anchor="ctr" anchorCtr="1"/>
          <a:lstStyle/>
          <a:p>
            <a:pPr>
              <a:defRPr sz="1400" b="1" i="0" u="none" strike="noStrike" kern="1200" spc="0" baseline="0">
                <a:solidFill>
                  <a:srgbClr val="0A1F33"/>
                </a:solidFill>
                <a:latin typeface="+mn-lt"/>
                <a:ea typeface="+mn-ea"/>
                <a:cs typeface="+mn-cs"/>
              </a:defRPr>
            </a:pPr>
            <a:r>
              <a:rPr lang="en-US" sz="1400" b="1">
                <a:solidFill>
                  <a:srgbClr val="0A1F33"/>
                </a:solidFill>
              </a:rPr>
              <a:t>Total Passengers by Fare Category</a:t>
            </a:r>
          </a:p>
        </c:rich>
      </c:tx>
      <c:layout>
        <c:manualLayout>
          <c:xMode val="edge"/>
          <c:yMode val="edge"/>
          <c:x val="1.2143920221914732E-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A1F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B2737"/>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E6E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232010111096641E-2"/>
          <c:y val="0.13425511393682996"/>
          <c:w val="0.96524431130214139"/>
          <c:h val="0.76134188215989551"/>
        </c:manualLayout>
      </c:layout>
      <c:barChart>
        <c:barDir val="col"/>
        <c:grouping val="clustered"/>
        <c:varyColors val="0"/>
        <c:ser>
          <c:idx val="0"/>
          <c:order val="0"/>
          <c:tx>
            <c:strRef>
              <c:f>'Pivot Report | Dashboard'!$G$68</c:f>
              <c:strCache>
                <c:ptCount val="1"/>
                <c:pt idx="0">
                  <c:v>Total</c:v>
                </c:pt>
              </c:strCache>
            </c:strRef>
          </c:tx>
          <c:spPr>
            <a:solidFill>
              <a:srgbClr val="2B2D4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 Dashboard'!$F$69:$F$72</c:f>
              <c:strCache>
                <c:ptCount val="3"/>
                <c:pt idx="0">
                  <c:v>Low</c:v>
                </c:pt>
                <c:pt idx="1">
                  <c:v>Medium</c:v>
                </c:pt>
                <c:pt idx="2">
                  <c:v>High</c:v>
                </c:pt>
              </c:strCache>
            </c:strRef>
          </c:cat>
          <c:val>
            <c:numRef>
              <c:f>'Pivot Report | Dashboard'!$G$69:$G$72</c:f>
              <c:numCache>
                <c:formatCode>General</c:formatCode>
                <c:ptCount val="3"/>
                <c:pt idx="0">
                  <c:v>1067</c:v>
                </c:pt>
                <c:pt idx="1">
                  <c:v>155</c:v>
                </c:pt>
                <c:pt idx="2">
                  <c:v>83</c:v>
                </c:pt>
              </c:numCache>
            </c:numRef>
          </c:val>
          <c:extLst>
            <c:ext xmlns:c16="http://schemas.microsoft.com/office/drawing/2014/chart" uri="{C3380CC4-5D6E-409C-BE32-E72D297353CC}">
              <c16:uniqueId val="{00000000-1339-4700-90AA-0404321E11AF}"/>
            </c:ext>
          </c:extLst>
        </c:ser>
        <c:dLbls>
          <c:dLblPos val="outEnd"/>
          <c:showLegendKey val="0"/>
          <c:showVal val="1"/>
          <c:showCatName val="0"/>
          <c:showSerName val="0"/>
          <c:showPercent val="0"/>
          <c:showBubbleSize val="0"/>
        </c:dLbls>
        <c:gapWidth val="219"/>
        <c:overlap val="-27"/>
        <c:axId val="1380229024"/>
        <c:axId val="1380230272"/>
      </c:barChart>
      <c:catAx>
        <c:axId val="13802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A1F33"/>
                </a:solidFill>
                <a:latin typeface="+mn-lt"/>
                <a:ea typeface="+mn-ea"/>
                <a:cs typeface="+mn-cs"/>
              </a:defRPr>
            </a:pPr>
            <a:endParaRPr lang="en-US"/>
          </a:p>
        </c:txPr>
        <c:crossAx val="1380230272"/>
        <c:crosses val="autoZero"/>
        <c:auto val="1"/>
        <c:lblAlgn val="ctr"/>
        <c:lblOffset val="100"/>
        <c:noMultiLvlLbl val="0"/>
      </c:catAx>
      <c:valAx>
        <c:axId val="1380230272"/>
        <c:scaling>
          <c:orientation val="minMax"/>
        </c:scaling>
        <c:delete val="1"/>
        <c:axPos val="l"/>
        <c:numFmt formatCode="General" sourceLinked="1"/>
        <c:majorTickMark val="none"/>
        <c:minorTickMark val="none"/>
        <c:tickLblPos val="nextTo"/>
        <c:crossAx val="138022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EEE4"/>
    </a:solidFill>
    <a:ln w="9525" cap="flat" cmpd="sng" algn="ctr">
      <a:solidFill>
        <a:srgbClr val="0A1F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[Mariam_Khan_Titanic-Analysis-Dashboard.xlsx]Pivot Report | Dashboard!passengers_by_family_status</c:name>
    <c:fmtId val="2"/>
  </c:pivotSource>
  <c:chart>
    <c:title>
      <c:tx>
        <c:rich>
          <a:bodyPr rot="0" spcFirstLastPara="1" vertOverflow="ellipsis" vert="horz" wrap="square" anchor="ctr" anchorCtr="1"/>
          <a:lstStyle/>
          <a:p>
            <a:pPr algn="l">
              <a:defRPr sz="1400" b="0" i="0" u="none" strike="noStrike" kern="1200" spc="0" baseline="0">
                <a:solidFill>
                  <a:srgbClr val="0A1F33"/>
                </a:solidFill>
                <a:latin typeface="+mn-lt"/>
                <a:ea typeface="+mn-ea"/>
                <a:cs typeface="+mn-cs"/>
              </a:defRPr>
            </a:pPr>
            <a:r>
              <a:rPr lang="en-US" sz="1400" b="1">
                <a:solidFill>
                  <a:srgbClr val="0A1F33"/>
                </a:solidFill>
              </a:rPr>
              <a:t>Total Passengers by Family Size</a:t>
            </a:r>
          </a:p>
        </c:rich>
      </c:tx>
      <c:layout>
        <c:manualLayout>
          <c:xMode val="edge"/>
          <c:yMode val="edge"/>
          <c:x val="1.8263342082239912E-3"/>
          <c:y val="1.388888888888888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rgbClr val="0A1F3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944444444444445"/>
              <c:y val="-8.33333333333334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4999997582026137"/>
              <c:y val="-7.8703703703703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1944444444444445"/>
              <c:y val="-8.33333333333334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999997582026137"/>
              <c:y val="-7.8703703703703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rgbClr val="F2EEE4"/>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2B2D42"/>
          </a:solidFill>
          <a:ln w="19050">
            <a:solidFill>
              <a:srgbClr val="F2EEE4"/>
            </a:solidFill>
          </a:ln>
          <a:effectLst/>
        </c:spPr>
        <c:dLbl>
          <c:idx val="0"/>
          <c:layout>
            <c:manualLayout>
              <c:x val="0.11944444444444445"/>
              <c:y val="-8.33333333333334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C8AF8A"/>
          </a:solidFill>
          <a:ln w="19050">
            <a:solidFill>
              <a:srgbClr val="F2EEE4"/>
            </a:solidFill>
          </a:ln>
          <a:effectLst/>
        </c:spPr>
        <c:dLbl>
          <c:idx val="0"/>
          <c:layout>
            <c:manualLayout>
              <c:x val="-0.14999997582026137"/>
              <c:y val="-7.8703703703703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891318975517665"/>
          <c:y val="0.14137120386000029"/>
          <c:w val="0.4513978358273103"/>
          <c:h val="0.83491459151815728"/>
        </c:manualLayout>
      </c:layout>
      <c:doughnutChart>
        <c:varyColors val="0"/>
        <c:ser>
          <c:idx val="0"/>
          <c:order val="0"/>
          <c:tx>
            <c:strRef>
              <c:f>'Pivot Report | Dashboard'!$J$76</c:f>
              <c:strCache>
                <c:ptCount val="1"/>
                <c:pt idx="0">
                  <c:v>Total</c:v>
                </c:pt>
              </c:strCache>
            </c:strRef>
          </c:tx>
          <c:spPr>
            <a:solidFill>
              <a:schemeClr val="accent1"/>
            </a:solidFill>
            <a:ln w="19050">
              <a:solidFill>
                <a:srgbClr val="F2EEE4"/>
              </a:solidFill>
            </a:ln>
            <a:effectLst/>
          </c:spPr>
          <c:dPt>
            <c:idx val="0"/>
            <c:bubble3D val="0"/>
            <c:spPr>
              <a:solidFill>
                <a:srgbClr val="2B2D42"/>
              </a:solidFill>
              <a:ln w="19050">
                <a:solidFill>
                  <a:srgbClr val="F2EEE4"/>
                </a:solidFill>
              </a:ln>
              <a:effectLst/>
            </c:spPr>
            <c:extLst>
              <c:ext xmlns:c16="http://schemas.microsoft.com/office/drawing/2014/chart" uri="{C3380CC4-5D6E-409C-BE32-E72D297353CC}">
                <c16:uniqueId val="{00000001-F8E7-4B3B-9FAA-3203072EFD62}"/>
              </c:ext>
            </c:extLst>
          </c:dPt>
          <c:dPt>
            <c:idx val="1"/>
            <c:bubble3D val="0"/>
            <c:spPr>
              <a:solidFill>
                <a:srgbClr val="C8AF8A"/>
              </a:solidFill>
              <a:ln w="19050">
                <a:solidFill>
                  <a:srgbClr val="F2EEE4"/>
                </a:solidFill>
              </a:ln>
              <a:effectLst/>
            </c:spPr>
            <c:extLst>
              <c:ext xmlns:c16="http://schemas.microsoft.com/office/drawing/2014/chart" uri="{C3380CC4-5D6E-409C-BE32-E72D297353CC}">
                <c16:uniqueId val="{00000003-F8E7-4B3B-9FAA-3203072EFD62}"/>
              </c:ext>
            </c:extLst>
          </c:dPt>
          <c:dLbls>
            <c:dLbl>
              <c:idx val="0"/>
              <c:layout>
                <c:manualLayout>
                  <c:x val="0.11944444444444445"/>
                  <c:y val="-8.333333333333341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E7-4B3B-9FAA-3203072EFD62}"/>
                </c:ext>
              </c:extLst>
            </c:dLbl>
            <c:dLbl>
              <c:idx val="1"/>
              <c:layout>
                <c:manualLayout>
                  <c:x val="-0.14999997582026137"/>
                  <c:y val="-7.870370370370374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E7-4B3B-9FAA-3203072EFD6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Report | Dashboard'!$I$77:$I$79</c:f>
              <c:strCache>
                <c:ptCount val="2"/>
                <c:pt idx="0">
                  <c:v>Single</c:v>
                </c:pt>
                <c:pt idx="1">
                  <c:v>With Family</c:v>
                </c:pt>
              </c:strCache>
            </c:strRef>
          </c:cat>
          <c:val>
            <c:numRef>
              <c:f>'Pivot Report | Dashboard'!$J$77:$J$79</c:f>
              <c:numCache>
                <c:formatCode>General</c:formatCode>
                <c:ptCount val="2"/>
                <c:pt idx="0">
                  <c:v>786</c:v>
                </c:pt>
                <c:pt idx="1">
                  <c:v>519</c:v>
                </c:pt>
              </c:numCache>
            </c:numRef>
          </c:val>
          <c:extLst>
            <c:ext xmlns:c16="http://schemas.microsoft.com/office/drawing/2014/chart" uri="{C3380CC4-5D6E-409C-BE32-E72D297353CC}">
              <c16:uniqueId val="{00000004-F8E7-4B3B-9FAA-3203072EFD6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61131558093357485"/>
          <c:y val="5.2280849245909047E-4"/>
          <c:w val="0.38654764557690635"/>
          <c:h val="0.10857995973962947"/>
        </c:manualLayout>
      </c:layout>
      <c:overlay val="0"/>
      <c:spPr>
        <a:noFill/>
        <a:ln>
          <a:noFill/>
        </a:ln>
        <a:effectLst/>
      </c:spPr>
      <c:txPr>
        <a:bodyPr rot="0" spcFirstLastPara="1" vertOverflow="ellipsis" vert="horz" wrap="square" anchor="ctr" anchorCtr="1"/>
        <a:lstStyle/>
        <a:p>
          <a:pPr>
            <a:defRPr sz="1050" b="1" i="0" u="none" strike="noStrike" kern="1200" baseline="0">
              <a:solidFill>
                <a:srgbClr val="0A1F3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EEE4"/>
    </a:solidFill>
    <a:ln w="9525" cap="flat" cmpd="sng" algn="ctr">
      <a:solidFill>
        <a:srgbClr val="0A1F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[Mariam_Khan_Titanic-Analysis-Dashboard.xlsx]Pivot Report | Dashboard!PivotTable4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0A1F33"/>
                </a:solidFill>
              </a:rPr>
              <a:t>Total Passengers by Gender</a:t>
            </a:r>
            <a:endParaRPr lang="en-US" b="1">
              <a:solidFill>
                <a:srgbClr val="0A1F33"/>
              </a:solidFill>
            </a:endParaRPr>
          </a:p>
        </c:rich>
      </c:tx>
      <c:layout>
        <c:manualLayout>
          <c:xMode val="edge"/>
          <c:yMode val="edge"/>
          <c:x val="9.5822397200350114E-4"/>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3333333333333232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4.8883609616886377E-2"/>
              <c:y val="7.9431466963192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98212459824824"/>
                  <c:h val="0.28065062713140104"/>
                </c:manualLayout>
              </c15:layout>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3333333333333232E-2"/>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8883609616886377E-2"/>
              <c:y val="7.94314669631924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98212459824824"/>
                  <c:h val="0.28065062713140104"/>
                </c:manualLayout>
              </c15:layout>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3E6E7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dLbl>
          <c:idx val="0"/>
          <c:layout>
            <c:manualLayout>
              <c:x val="8.6512448986079835E-2"/>
              <c:y val="-6.92776877343411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5AA0A4"/>
          </a:solidFill>
          <a:ln w="19050">
            <a:solidFill>
              <a:schemeClr val="lt1"/>
            </a:solidFill>
          </a:ln>
          <a:effectLst/>
        </c:spPr>
        <c:dLbl>
          <c:idx val="0"/>
          <c:layout>
            <c:manualLayout>
              <c:x val="-5.7866926608294948E-2"/>
              <c:y val="6.41366535709484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rgbClr val="0A1F33"/>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778362684580754"/>
                  <c:h val="0.20218434058695989"/>
                </c:manualLayout>
              </c15:layout>
            </c:ext>
          </c:extLst>
        </c:dLbl>
      </c:pivotFmt>
      <c:pivotFmt>
        <c:idx val="13"/>
        <c:spPr>
          <a:solidFill>
            <a:schemeClr val="accent1"/>
          </a:solidFill>
          <a:ln w="19050">
            <a:solidFill>
              <a:srgbClr val="F2EEE4"/>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B1415C"/>
          </a:solidFill>
          <a:ln w="19050">
            <a:solidFill>
              <a:srgbClr val="F2EEE4"/>
            </a:solidFill>
          </a:ln>
          <a:effectLst/>
        </c:spPr>
        <c:dLbl>
          <c:idx val="0"/>
          <c:layout>
            <c:manualLayout>
              <c:x val="0.11092646935147819"/>
              <c:y val="0.110370681741359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6B2737"/>
          </a:solidFill>
          <a:ln w="19050">
            <a:solidFill>
              <a:srgbClr val="F2EEE4"/>
            </a:solidFill>
          </a:ln>
          <a:effectLst/>
        </c:spPr>
        <c:dLbl>
          <c:idx val="0"/>
          <c:layout>
            <c:manualLayout>
              <c:x val="-6.180189006725214E-2"/>
              <c:y val="-9.29439606928516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463074961587497"/>
                  <c:h val="0.18712976308038945"/>
                </c:manualLayout>
              </c15:layout>
            </c:ext>
          </c:extLst>
        </c:dLbl>
      </c:pivotFmt>
      <c:pivotFmt>
        <c:idx val="16"/>
        <c:spPr>
          <a:solidFill>
            <a:srgbClr val="2B2D42"/>
          </a:solidFill>
          <a:ln w="19050">
            <a:solidFill>
              <a:srgbClr val="F2EEE4"/>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C8AF8A"/>
          </a:solidFill>
          <a:ln w="19050">
            <a:solidFill>
              <a:srgbClr val="F2EEE4"/>
            </a:solidFill>
          </a:ln>
          <a:effectLst/>
        </c:spPr>
        <c:dLbl>
          <c:idx val="0"/>
          <c:layout>
            <c:manualLayout>
              <c:x val="0.11409579704723471"/>
              <c:y val="0.139415597989085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2B2D42"/>
          </a:solidFill>
          <a:ln w="19050">
            <a:solidFill>
              <a:srgbClr val="F2EEE4"/>
            </a:solidFill>
          </a:ln>
          <a:effectLst/>
        </c:spPr>
        <c:dLbl>
          <c:idx val="0"/>
          <c:layout>
            <c:manualLayout>
              <c:x val="-8.8741175481182558E-2"/>
              <c:y val="-5.808983249545230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807120508127808"/>
          <c:y val="0.17168337242131365"/>
          <c:w val="0.41957567733393614"/>
          <c:h val="0.7824273075601631"/>
        </c:manualLayout>
      </c:layout>
      <c:pieChart>
        <c:varyColors val="0"/>
        <c:ser>
          <c:idx val="0"/>
          <c:order val="0"/>
          <c:tx>
            <c:strRef>
              <c:f>'Pivot Report | Dashboard'!$O$47</c:f>
              <c:strCache>
                <c:ptCount val="1"/>
                <c:pt idx="0">
                  <c:v>Total</c:v>
                </c:pt>
              </c:strCache>
            </c:strRef>
          </c:tx>
          <c:spPr>
            <a:solidFill>
              <a:srgbClr val="2B2D42"/>
            </a:solidFill>
            <a:ln w="19050">
              <a:solidFill>
                <a:srgbClr val="F2EEE4"/>
              </a:solidFill>
            </a:ln>
            <a:effectLst/>
          </c:spPr>
          <c:dPt>
            <c:idx val="0"/>
            <c:bubble3D val="0"/>
            <c:spPr>
              <a:solidFill>
                <a:srgbClr val="C8AF8A"/>
              </a:solidFill>
              <a:ln w="19050">
                <a:solidFill>
                  <a:srgbClr val="F2EEE4"/>
                </a:solidFill>
              </a:ln>
              <a:effectLst/>
            </c:spPr>
            <c:extLst>
              <c:ext xmlns:c16="http://schemas.microsoft.com/office/drawing/2014/chart" uri="{C3380CC4-5D6E-409C-BE32-E72D297353CC}">
                <c16:uniqueId val="{00000001-CED1-4385-9516-9A214B757155}"/>
              </c:ext>
            </c:extLst>
          </c:dPt>
          <c:dPt>
            <c:idx val="1"/>
            <c:bubble3D val="0"/>
            <c:extLst>
              <c:ext xmlns:c16="http://schemas.microsoft.com/office/drawing/2014/chart" uri="{C3380CC4-5D6E-409C-BE32-E72D297353CC}">
                <c16:uniqueId val="{00000003-CED1-4385-9516-9A214B757155}"/>
              </c:ext>
            </c:extLst>
          </c:dPt>
          <c:dLbls>
            <c:dLbl>
              <c:idx val="0"/>
              <c:layout>
                <c:manualLayout>
                  <c:x val="0.11409579704723471"/>
                  <c:y val="0.1394155979890855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ED1-4385-9516-9A214B757155}"/>
                </c:ext>
              </c:extLst>
            </c:dLbl>
            <c:dLbl>
              <c:idx val="1"/>
              <c:layout>
                <c:manualLayout>
                  <c:x val="-8.8741175481182558E-2"/>
                  <c:y val="-5.8089832495452302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ED1-4385-9516-9A214B75715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Report | Dashboard'!$N$48:$N$50</c:f>
              <c:strCache>
                <c:ptCount val="2"/>
                <c:pt idx="0">
                  <c:v>Female</c:v>
                </c:pt>
                <c:pt idx="1">
                  <c:v>Male</c:v>
                </c:pt>
              </c:strCache>
            </c:strRef>
          </c:cat>
          <c:val>
            <c:numRef>
              <c:f>'Pivot Report | Dashboard'!$O$48:$O$50</c:f>
              <c:numCache>
                <c:formatCode>General</c:formatCode>
                <c:ptCount val="2"/>
                <c:pt idx="0">
                  <c:v>464</c:v>
                </c:pt>
                <c:pt idx="1">
                  <c:v>841</c:v>
                </c:pt>
              </c:numCache>
            </c:numRef>
          </c:val>
          <c:extLst>
            <c:ext xmlns:c16="http://schemas.microsoft.com/office/drawing/2014/chart" uri="{C3380CC4-5D6E-409C-BE32-E72D297353CC}">
              <c16:uniqueId val="{00000004-CED1-4385-9516-9A214B75715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layout>
        <c:manualLayout>
          <c:xMode val="edge"/>
          <c:yMode val="edge"/>
          <c:x val="0.59992026820975863"/>
          <c:y val="9.675925925925942E-3"/>
          <c:w val="0.40007973179024131"/>
          <c:h val="8.7763695920615795E-2"/>
        </c:manualLayout>
      </c:layout>
      <c:overlay val="0"/>
      <c:spPr>
        <a:noFill/>
        <a:ln>
          <a:noFill/>
        </a:ln>
        <a:effectLst/>
      </c:spPr>
      <c:txPr>
        <a:bodyPr rot="0" spcFirstLastPara="1" vertOverflow="ellipsis" vert="horz" wrap="square" anchor="ctr" anchorCtr="1"/>
        <a:lstStyle/>
        <a:p>
          <a:pPr>
            <a:defRPr sz="1050" b="1" i="0" u="none" strike="noStrike" kern="1200" baseline="0">
              <a:solidFill>
                <a:srgbClr val="0A1F3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EEE4"/>
    </a:solidFill>
    <a:ln w="9525" cap="flat" cmpd="sng" algn="ctr">
      <a:solidFill>
        <a:srgbClr val="0A1F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[Mariam_Khan_Titanic-Analysis-Dashboard.xlsx]Pivot Report | Dashboard!Passengers_by_emabarkation_cat</c:name>
    <c:fmtId val="2"/>
  </c:pivotSource>
  <c:chart>
    <c:title>
      <c:tx>
        <c:rich>
          <a:bodyPr rot="0" spcFirstLastPara="1" vertOverflow="ellipsis" vert="horz" wrap="square" anchor="ctr" anchorCtr="1"/>
          <a:lstStyle/>
          <a:p>
            <a:pPr>
              <a:defRPr sz="1400" b="0" i="0" u="none" strike="noStrike" kern="1200" spc="0" baseline="0">
                <a:solidFill>
                  <a:srgbClr val="0A1F33"/>
                </a:solidFill>
                <a:latin typeface="+mn-lt"/>
                <a:ea typeface="+mn-ea"/>
                <a:cs typeface="+mn-cs"/>
              </a:defRPr>
            </a:pPr>
            <a:r>
              <a:rPr lang="en-US" b="1">
                <a:solidFill>
                  <a:srgbClr val="0A1F33"/>
                </a:solidFill>
              </a:rPr>
              <a:t>Total Passengers by Embarkation</a:t>
            </a:r>
            <a:r>
              <a:rPr lang="en-US" b="1" baseline="0">
                <a:solidFill>
                  <a:srgbClr val="0A1F33"/>
                </a:solidFill>
              </a:rPr>
              <a:t> Point</a:t>
            </a:r>
            <a:endParaRPr lang="en-US" b="1">
              <a:solidFill>
                <a:srgbClr val="0A1F33"/>
              </a:solidFill>
            </a:endParaRPr>
          </a:p>
        </c:rich>
      </c:tx>
      <c:layout>
        <c:manualLayout>
          <c:xMode val="edge"/>
          <c:yMode val="edge"/>
          <c:x val="8.3333333333336483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A1F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01946631671041"/>
          <c:y val="0.17171296296296298"/>
          <c:w val="0.71942497812773398"/>
          <c:h val="0.76832334273438663"/>
        </c:manualLayout>
      </c:layout>
      <c:barChart>
        <c:barDir val="bar"/>
        <c:grouping val="clustered"/>
        <c:varyColors val="0"/>
        <c:ser>
          <c:idx val="0"/>
          <c:order val="0"/>
          <c:tx>
            <c:strRef>
              <c:f>'Pivot Report | Dashboard'!$J$86</c:f>
              <c:strCache>
                <c:ptCount val="1"/>
                <c:pt idx="0">
                  <c:v>Total</c:v>
                </c:pt>
              </c:strCache>
            </c:strRef>
          </c:tx>
          <c:spPr>
            <a:solidFill>
              <a:srgbClr val="2B2D4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 Dashboard'!$I$87:$I$90</c:f>
              <c:strCache>
                <c:ptCount val="3"/>
                <c:pt idx="0">
                  <c:v>Cherboug</c:v>
                </c:pt>
                <c:pt idx="1">
                  <c:v>Queenstown</c:v>
                </c:pt>
                <c:pt idx="2">
                  <c:v>Southampton</c:v>
                </c:pt>
              </c:strCache>
            </c:strRef>
          </c:cat>
          <c:val>
            <c:numRef>
              <c:f>'Pivot Report | Dashboard'!$J$87:$J$90</c:f>
              <c:numCache>
                <c:formatCode>General</c:formatCode>
                <c:ptCount val="3"/>
                <c:pt idx="0">
                  <c:v>267</c:v>
                </c:pt>
                <c:pt idx="1">
                  <c:v>125</c:v>
                </c:pt>
                <c:pt idx="2">
                  <c:v>913</c:v>
                </c:pt>
              </c:numCache>
            </c:numRef>
          </c:val>
          <c:extLst>
            <c:ext xmlns:c16="http://schemas.microsoft.com/office/drawing/2014/chart" uri="{C3380CC4-5D6E-409C-BE32-E72D297353CC}">
              <c16:uniqueId val="{00000000-9FC7-4078-9A6F-670D930ED00C}"/>
            </c:ext>
          </c:extLst>
        </c:ser>
        <c:dLbls>
          <c:dLblPos val="outEnd"/>
          <c:showLegendKey val="0"/>
          <c:showVal val="1"/>
          <c:showCatName val="0"/>
          <c:showSerName val="0"/>
          <c:showPercent val="0"/>
          <c:showBubbleSize val="0"/>
        </c:dLbls>
        <c:gapWidth val="182"/>
        <c:axId val="1509341504"/>
        <c:axId val="1509346080"/>
      </c:barChart>
      <c:catAx>
        <c:axId val="150934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A1F33"/>
                </a:solidFill>
                <a:latin typeface="+mn-lt"/>
                <a:ea typeface="+mn-ea"/>
                <a:cs typeface="+mn-cs"/>
              </a:defRPr>
            </a:pPr>
            <a:endParaRPr lang="en-US"/>
          </a:p>
        </c:txPr>
        <c:crossAx val="1509346080"/>
        <c:crosses val="autoZero"/>
        <c:auto val="1"/>
        <c:lblAlgn val="ctr"/>
        <c:lblOffset val="100"/>
        <c:noMultiLvlLbl val="0"/>
      </c:catAx>
      <c:valAx>
        <c:axId val="1509346080"/>
        <c:scaling>
          <c:orientation val="minMax"/>
        </c:scaling>
        <c:delete val="1"/>
        <c:axPos val="b"/>
        <c:numFmt formatCode="General" sourceLinked="1"/>
        <c:majorTickMark val="none"/>
        <c:minorTickMark val="none"/>
        <c:tickLblPos val="nextTo"/>
        <c:crossAx val="1509341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EEE4"/>
    </a:solidFill>
    <a:ln w="9525" cap="flat" cmpd="sng" algn="ctr">
      <a:solidFill>
        <a:srgbClr val="0A1F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[Mariam_Khan_Titanic-Analysis-Dashboard.xlsx]Pivot Report | Dashboard!Total_passengers_by_salutation</c:name>
    <c:fmtId val="2"/>
  </c:pivotSource>
  <c:chart>
    <c:title>
      <c:tx>
        <c:rich>
          <a:bodyPr rot="0" spcFirstLastPara="1" vertOverflow="ellipsis" vert="horz" wrap="square" anchor="ctr" anchorCtr="1"/>
          <a:lstStyle/>
          <a:p>
            <a:pPr>
              <a:defRPr sz="1400" b="1" i="0" u="none" strike="noStrike" kern="1200" spc="0" baseline="0">
                <a:solidFill>
                  <a:srgbClr val="0A1F33"/>
                </a:solidFill>
                <a:latin typeface="+mn-lt"/>
                <a:ea typeface="+mn-ea"/>
                <a:cs typeface="+mn-cs"/>
              </a:defRPr>
            </a:pPr>
            <a:r>
              <a:rPr lang="en-US" b="1">
                <a:solidFill>
                  <a:srgbClr val="0A1F33"/>
                </a:solidFill>
              </a:rPr>
              <a:t>Total</a:t>
            </a:r>
            <a:r>
              <a:rPr lang="en-US" b="1" baseline="0">
                <a:solidFill>
                  <a:srgbClr val="0A1F33"/>
                </a:solidFill>
              </a:rPr>
              <a:t> Passengers by Salutation (Top 3)</a:t>
            </a:r>
            <a:endParaRPr lang="en-US" b="1">
              <a:solidFill>
                <a:srgbClr val="0A1F33"/>
              </a:solidFill>
            </a:endParaRPr>
          </a:p>
        </c:rich>
      </c:tx>
      <c:layout>
        <c:manualLayout>
          <c:xMode val="edge"/>
          <c:yMode val="edge"/>
          <c:x val="4.9652230971128676E-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A1F3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rgbClr val="2B2D4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rgbClr val="2B2D42"/>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pivotFmt>
      <c:pivotFmt>
        <c:idx val="23"/>
        <c:spPr>
          <a:solidFill>
            <a:srgbClr val="2B2D42"/>
          </a:solidFill>
          <a:ln w="19050">
            <a:noFill/>
          </a:ln>
          <a:effectLst/>
        </c:spPr>
      </c:pivotFmt>
      <c:pivotFmt>
        <c:idx val="24"/>
        <c:spPr>
          <a:solidFill>
            <a:schemeClr val="accent1"/>
          </a:solidFill>
          <a:ln w="19050">
            <a:solidFill>
              <a:schemeClr val="lt1"/>
            </a:solidFill>
          </a:ln>
          <a:effectLst/>
        </c:spPr>
      </c:pivotFmt>
      <c:pivotFmt>
        <c:idx val="25"/>
        <c:spPr>
          <a:solidFill>
            <a:srgbClr val="2B2D42"/>
          </a:solidFill>
          <a:ln w="19050">
            <a:noFill/>
          </a:ln>
          <a:effectLst/>
        </c:spPr>
      </c:pivotFmt>
      <c:pivotFmt>
        <c:idx val="26"/>
        <c:spPr>
          <a:solidFill>
            <a:srgbClr val="2B2D42"/>
          </a:solidFill>
          <a:ln w="19050">
            <a:noFill/>
          </a:ln>
          <a:effectLst/>
        </c:spPr>
      </c:pivotFmt>
      <c:pivotFmt>
        <c:idx val="27"/>
        <c:spPr>
          <a:solidFill>
            <a:schemeClr val="accent1"/>
          </a:solidFill>
          <a:ln w="19050">
            <a:solidFill>
              <a:schemeClr val="lt1"/>
            </a:solidFill>
          </a:ln>
          <a:effectLst/>
        </c:spPr>
      </c:pivotFmt>
      <c:pivotFmt>
        <c:idx val="28"/>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manualLayout>
          <c:layoutTarget val="inner"/>
          <c:xMode val="edge"/>
          <c:yMode val="edge"/>
          <c:x val="7.5043662202718714E-2"/>
          <c:y val="0.20118240068705648"/>
          <c:w val="0.90282653653123512"/>
          <c:h val="0.74530614644676096"/>
        </c:manualLayout>
      </c:layout>
      <c:barChart>
        <c:barDir val="bar"/>
        <c:grouping val="clustered"/>
        <c:varyColors val="0"/>
        <c:ser>
          <c:idx val="0"/>
          <c:order val="0"/>
          <c:tx>
            <c:strRef>
              <c:f>'Pivot Report | Dashboard'!$F$25</c:f>
              <c:strCache>
                <c:ptCount val="1"/>
                <c:pt idx="0">
                  <c:v>Total</c:v>
                </c:pt>
              </c:strCache>
            </c:strRef>
          </c:tx>
          <c:spPr>
            <a:solidFill>
              <a:srgbClr val="2B2D42"/>
            </a:solidFill>
            <a:ln w="19050">
              <a:noFill/>
            </a:ln>
            <a:effectLst/>
          </c:spPr>
          <c:invertIfNegative val="0"/>
          <c:dPt>
            <c:idx val="0"/>
            <c:invertIfNegative val="0"/>
            <c:bubble3D val="0"/>
            <c:spPr>
              <a:solidFill>
                <a:srgbClr val="2B2D42"/>
              </a:solidFill>
              <a:ln w="19050">
                <a:noFill/>
              </a:ln>
              <a:effectLst/>
            </c:spPr>
            <c:extLst>
              <c:ext xmlns:c16="http://schemas.microsoft.com/office/drawing/2014/chart" uri="{C3380CC4-5D6E-409C-BE32-E72D297353CC}">
                <c16:uniqueId val="{00000001-3F2B-44D4-A0EC-B69CE5AF9892}"/>
              </c:ext>
            </c:extLst>
          </c:dPt>
          <c:dPt>
            <c:idx val="1"/>
            <c:invertIfNegative val="0"/>
            <c:bubble3D val="0"/>
            <c:spPr>
              <a:solidFill>
                <a:srgbClr val="2B2D42"/>
              </a:solidFill>
              <a:ln w="19050">
                <a:noFill/>
              </a:ln>
              <a:effectLst/>
            </c:spPr>
            <c:extLst>
              <c:ext xmlns:c16="http://schemas.microsoft.com/office/drawing/2014/chart" uri="{C3380CC4-5D6E-409C-BE32-E72D297353CC}">
                <c16:uniqueId val="{00000003-3F2B-44D4-A0EC-B69CE5AF9892}"/>
              </c:ext>
            </c:extLst>
          </c:dPt>
          <c:dPt>
            <c:idx val="2"/>
            <c:invertIfNegative val="0"/>
            <c:bubble3D val="0"/>
            <c:spPr>
              <a:solidFill>
                <a:srgbClr val="2B2D42"/>
              </a:solidFill>
              <a:ln w="19050">
                <a:noFill/>
              </a:ln>
              <a:effectLst/>
            </c:spPr>
            <c:extLst>
              <c:ext xmlns:c16="http://schemas.microsoft.com/office/drawing/2014/chart" uri="{C3380CC4-5D6E-409C-BE32-E72D297353CC}">
                <c16:uniqueId val="{00000005-3F2B-44D4-A0EC-B69CE5AF989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 Dashboard'!$E$26:$E$29</c:f>
              <c:strCache>
                <c:ptCount val="3"/>
                <c:pt idx="0">
                  <c:v> Mrs</c:v>
                </c:pt>
                <c:pt idx="1">
                  <c:v> Miss</c:v>
                </c:pt>
                <c:pt idx="2">
                  <c:v> Mr</c:v>
                </c:pt>
              </c:strCache>
            </c:strRef>
          </c:cat>
          <c:val>
            <c:numRef>
              <c:f>'Pivot Report | Dashboard'!$F$26:$F$29</c:f>
              <c:numCache>
                <c:formatCode>General</c:formatCode>
                <c:ptCount val="3"/>
                <c:pt idx="0">
                  <c:v>197</c:v>
                </c:pt>
                <c:pt idx="1">
                  <c:v>260</c:v>
                </c:pt>
                <c:pt idx="2">
                  <c:v>757</c:v>
                </c:pt>
              </c:numCache>
            </c:numRef>
          </c:val>
          <c:extLst>
            <c:ext xmlns:c16="http://schemas.microsoft.com/office/drawing/2014/chart" uri="{C3380CC4-5D6E-409C-BE32-E72D297353CC}">
              <c16:uniqueId val="{0000001C-3F2B-44D4-A0EC-B69CE5AF9892}"/>
            </c:ext>
          </c:extLst>
        </c:ser>
        <c:dLbls>
          <c:dLblPos val="outEnd"/>
          <c:showLegendKey val="0"/>
          <c:showVal val="1"/>
          <c:showCatName val="0"/>
          <c:showSerName val="0"/>
          <c:showPercent val="0"/>
          <c:showBubbleSize val="0"/>
        </c:dLbls>
        <c:gapWidth val="100"/>
        <c:axId val="1375705760"/>
        <c:axId val="1375713248"/>
      </c:barChart>
      <c:valAx>
        <c:axId val="1375713248"/>
        <c:scaling>
          <c:orientation val="minMax"/>
        </c:scaling>
        <c:delete val="1"/>
        <c:axPos val="b"/>
        <c:numFmt formatCode="General" sourceLinked="1"/>
        <c:majorTickMark val="out"/>
        <c:minorTickMark val="none"/>
        <c:tickLblPos val="nextTo"/>
        <c:crossAx val="1375705760"/>
        <c:crosses val="autoZero"/>
        <c:crossBetween val="between"/>
      </c:valAx>
      <c:catAx>
        <c:axId val="1375705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A1F33"/>
                </a:solidFill>
                <a:latin typeface="+mn-lt"/>
                <a:ea typeface="+mn-ea"/>
                <a:cs typeface="+mn-cs"/>
              </a:defRPr>
            </a:pPr>
            <a:endParaRPr lang="en-US"/>
          </a:p>
        </c:txPr>
        <c:crossAx val="13757132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EEE4"/>
    </a:solidFill>
    <a:ln w="9525" cap="flat" cmpd="sng" algn="ctr">
      <a:solidFill>
        <a:srgbClr val="0A1F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[Mariam_Khan_Titanic-Analysis-Dashboard.xlsx]Pivot Report | Dashboard!passengers_by_age_group</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solidFill>
                  <a:srgbClr val="0A1F33"/>
                </a:solidFill>
              </a:rPr>
              <a:t>Total Passengers</a:t>
            </a:r>
            <a:r>
              <a:rPr lang="en-US" sz="1400" b="1" baseline="0">
                <a:solidFill>
                  <a:srgbClr val="0A1F33"/>
                </a:solidFill>
              </a:rPr>
              <a:t> by Age-Group</a:t>
            </a:r>
            <a:endParaRPr lang="en-US" sz="1400" b="1">
              <a:solidFill>
                <a:srgbClr val="0A1F33"/>
              </a:solidFill>
            </a:endParaRPr>
          </a:p>
        </c:rich>
      </c:tx>
      <c:layout>
        <c:manualLayout>
          <c:xMode val="edge"/>
          <c:yMode val="edge"/>
          <c:x val="8.3342421532488502E-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B2D42"/>
          </a:solidFill>
          <a:ln>
            <a:noFill/>
          </a:ln>
          <a:effectLst/>
        </c:spPr>
      </c:pivotFmt>
      <c:pivotFmt>
        <c:idx val="2"/>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B2D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 | Dashboard'!$L$53</c:f>
              <c:strCache>
                <c:ptCount val="1"/>
                <c:pt idx="0">
                  <c:v>Total</c:v>
                </c:pt>
              </c:strCache>
            </c:strRef>
          </c:tx>
          <c:spPr>
            <a:solidFill>
              <a:srgbClr val="2B2D4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A1F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 Dashboard'!$K$54:$K$59</c:f>
              <c:strCache>
                <c:ptCount val="5"/>
                <c:pt idx="0">
                  <c:v>Senior</c:v>
                </c:pt>
                <c:pt idx="1">
                  <c:v>Teenager</c:v>
                </c:pt>
                <c:pt idx="2">
                  <c:v>Child</c:v>
                </c:pt>
                <c:pt idx="3">
                  <c:v>Middle Aged Adult</c:v>
                </c:pt>
                <c:pt idx="4">
                  <c:v>Young Adult</c:v>
                </c:pt>
              </c:strCache>
            </c:strRef>
          </c:cat>
          <c:val>
            <c:numRef>
              <c:f>'Pivot Report | Dashboard'!$L$54:$L$59</c:f>
              <c:numCache>
                <c:formatCode>General</c:formatCode>
                <c:ptCount val="5"/>
                <c:pt idx="0">
                  <c:v>95</c:v>
                </c:pt>
                <c:pt idx="1">
                  <c:v>97</c:v>
                </c:pt>
                <c:pt idx="2">
                  <c:v>99</c:v>
                </c:pt>
                <c:pt idx="3">
                  <c:v>337</c:v>
                </c:pt>
                <c:pt idx="4">
                  <c:v>677</c:v>
                </c:pt>
              </c:numCache>
            </c:numRef>
          </c:val>
          <c:extLst>
            <c:ext xmlns:c16="http://schemas.microsoft.com/office/drawing/2014/chart" uri="{C3380CC4-5D6E-409C-BE32-E72D297353CC}">
              <c16:uniqueId val="{00000000-8613-463E-93C7-D06F6345AF8F}"/>
            </c:ext>
          </c:extLst>
        </c:ser>
        <c:dLbls>
          <c:dLblPos val="outEnd"/>
          <c:showLegendKey val="0"/>
          <c:showVal val="1"/>
          <c:showCatName val="0"/>
          <c:showSerName val="0"/>
          <c:showPercent val="0"/>
          <c:showBubbleSize val="0"/>
        </c:dLbls>
        <c:gapWidth val="182"/>
        <c:axId val="1628026496"/>
        <c:axId val="1370003184"/>
      </c:barChart>
      <c:catAx>
        <c:axId val="162802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A1F33"/>
                </a:solidFill>
                <a:latin typeface="+mn-lt"/>
                <a:ea typeface="+mn-ea"/>
                <a:cs typeface="+mn-cs"/>
              </a:defRPr>
            </a:pPr>
            <a:endParaRPr lang="en-US"/>
          </a:p>
        </c:txPr>
        <c:crossAx val="1370003184"/>
        <c:crosses val="autoZero"/>
        <c:auto val="1"/>
        <c:lblAlgn val="ctr"/>
        <c:lblOffset val="100"/>
        <c:noMultiLvlLbl val="0"/>
      </c:catAx>
      <c:valAx>
        <c:axId val="1370003184"/>
        <c:scaling>
          <c:orientation val="minMax"/>
        </c:scaling>
        <c:delete val="1"/>
        <c:axPos val="b"/>
        <c:numFmt formatCode="General" sourceLinked="1"/>
        <c:majorTickMark val="none"/>
        <c:minorTickMark val="none"/>
        <c:tickLblPos val="nextTo"/>
        <c:crossAx val="162802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2EEE4"/>
    </a:solidFill>
    <a:ln w="9525" cap="flat" cmpd="sng" algn="ctr">
      <a:solidFill>
        <a:srgbClr val="0A1F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Total Passengers by Salutation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Total Passengers by Salutation</a:t>
          </a:r>
        </a:p>
      </cx:txPr>
    </cx:title>
    <cx:plotArea>
      <cx:plotAreaRegion>
        <cx:series layoutId="treemap" uniqueId="{B5E7A60C-70CB-41AB-B771-D6E9F083F4C0}">
          <cx:dataLabels pos="inEnd">
            <cx:txPr>
              <a:bodyPr spcFirstLastPara="1" vertOverflow="ellipsis" horzOverflow="overflow" wrap="square" lIns="0" tIns="0" rIns="0" bIns="0" anchor="ctr" anchorCtr="1"/>
              <a:lstStyle/>
              <a:p>
                <a:pPr algn="ctr" rtl="0">
                  <a:defRPr sz="1050" b="1"/>
                </a:pPr>
                <a:endParaRPr lang="en-US" sz="105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602775</xdr:colOff>
      <xdr:row>23</xdr:row>
      <xdr:rowOff>113637</xdr:rowOff>
    </xdr:from>
    <xdr:to>
      <xdr:col>18</xdr:col>
      <xdr:colOff>543825</xdr:colOff>
      <xdr:row>35</xdr:row>
      <xdr:rowOff>28434</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1DB57943-1CD5-4FAA-86EE-4DCA22DD37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158755" y="4898997"/>
              <a:ext cx="6219930" cy="23303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94965</xdr:colOff>
      <xdr:row>17</xdr:row>
      <xdr:rowOff>170975</xdr:rowOff>
    </xdr:from>
    <xdr:to>
      <xdr:col>4</xdr:col>
      <xdr:colOff>491205</xdr:colOff>
      <xdr:row>24</xdr:row>
      <xdr:rowOff>112786</xdr:rowOff>
    </xdr:to>
    <mc:AlternateContent xmlns:mc="http://schemas.openxmlformats.org/markup-compatibility/2006" xmlns:a14="http://schemas.microsoft.com/office/drawing/2010/main">
      <mc:Choice Requires="a14">
        <xdr:graphicFrame macro="">
          <xdr:nvGraphicFramePr>
            <xdr:cNvPr id="2" name="Age Group 1">
              <a:extLst>
                <a:ext uri="{FF2B5EF4-FFF2-40B4-BE49-F238E27FC236}">
                  <a16:creationId xmlns:a16="http://schemas.microsoft.com/office/drawing/2014/main" id="{DF03C08C-7084-421C-B105-F8D4561809B1}"/>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94965" y="3193575"/>
              <a:ext cx="2834640" cy="1186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94965</xdr:colOff>
      <xdr:row>36</xdr:row>
      <xdr:rowOff>3590</xdr:rowOff>
    </xdr:from>
    <xdr:to>
      <xdr:col>4</xdr:col>
      <xdr:colOff>491205</xdr:colOff>
      <xdr:row>41</xdr:row>
      <xdr:rowOff>43543</xdr:rowOff>
    </xdr:to>
    <mc:AlternateContent xmlns:mc="http://schemas.openxmlformats.org/markup-compatibility/2006" xmlns:a14="http://schemas.microsoft.com/office/drawing/2010/main">
      <mc:Choice Requires="a14">
        <xdr:graphicFrame macro="">
          <xdr:nvGraphicFramePr>
            <xdr:cNvPr id="3" name="Embarked Category 1">
              <a:extLst>
                <a:ext uri="{FF2B5EF4-FFF2-40B4-BE49-F238E27FC236}">
                  <a16:creationId xmlns:a16="http://schemas.microsoft.com/office/drawing/2014/main" id="{0B003EE2-F2BD-4C14-9ABF-BB138F86A7CF}"/>
                </a:ext>
              </a:extLst>
            </xdr:cNvPr>
            <xdr:cNvGraphicFramePr/>
          </xdr:nvGraphicFramePr>
          <xdr:xfrm>
            <a:off x="0" y="0"/>
            <a:ext cx="0" cy="0"/>
          </xdr:xfrm>
          <a:graphic>
            <a:graphicData uri="http://schemas.microsoft.com/office/drawing/2010/slicer">
              <sle:slicer xmlns:sle="http://schemas.microsoft.com/office/drawing/2010/slicer" name="Embarked Category 1"/>
            </a:graphicData>
          </a:graphic>
        </xdr:graphicFrame>
      </mc:Choice>
      <mc:Fallback xmlns="">
        <xdr:sp macro="" textlink="">
          <xdr:nvSpPr>
            <xdr:cNvPr id="0" name=""/>
            <xdr:cNvSpPr>
              <a:spLocks noTextEdit="1"/>
            </xdr:cNvSpPr>
          </xdr:nvSpPr>
          <xdr:spPr>
            <a:xfrm>
              <a:off x="94965" y="6500643"/>
              <a:ext cx="2802556" cy="942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94965</xdr:colOff>
      <xdr:row>25</xdr:row>
      <xdr:rowOff>66151</xdr:rowOff>
    </xdr:from>
    <xdr:to>
      <xdr:col>4</xdr:col>
      <xdr:colOff>491205</xdr:colOff>
      <xdr:row>29</xdr:row>
      <xdr:rowOff>31781</xdr:rowOff>
    </xdr:to>
    <mc:AlternateContent xmlns:mc="http://schemas.openxmlformats.org/markup-compatibility/2006" xmlns:a14="http://schemas.microsoft.com/office/drawing/2010/main">
      <mc:Choice Requires="a14">
        <xdr:graphicFrame macro="">
          <xdr:nvGraphicFramePr>
            <xdr:cNvPr id="4" name="Family Status 1">
              <a:extLst>
                <a:ext uri="{FF2B5EF4-FFF2-40B4-BE49-F238E27FC236}">
                  <a16:creationId xmlns:a16="http://schemas.microsoft.com/office/drawing/2014/main" id="{B3B7F0DA-62CB-4AC3-AFA2-B9DCB6671528}"/>
                </a:ext>
              </a:extLst>
            </xdr:cNvPr>
            <xdr:cNvGraphicFramePr/>
          </xdr:nvGraphicFramePr>
          <xdr:xfrm>
            <a:off x="0" y="0"/>
            <a:ext cx="0" cy="0"/>
          </xdr:xfrm>
          <a:graphic>
            <a:graphicData uri="http://schemas.microsoft.com/office/drawing/2010/slicer">
              <sle:slicer xmlns:sle="http://schemas.microsoft.com/office/drawing/2010/slicer" name="Family Status 1"/>
            </a:graphicData>
          </a:graphic>
        </xdr:graphicFrame>
      </mc:Choice>
      <mc:Fallback xmlns="">
        <xdr:sp macro="" textlink="">
          <xdr:nvSpPr>
            <xdr:cNvPr id="0" name=""/>
            <xdr:cNvSpPr>
              <a:spLocks noTextEdit="1"/>
            </xdr:cNvSpPr>
          </xdr:nvSpPr>
          <xdr:spPr>
            <a:xfrm>
              <a:off x="94965" y="4577993"/>
              <a:ext cx="2802556" cy="687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94965</xdr:colOff>
      <xdr:row>30</xdr:row>
      <xdr:rowOff>2021</xdr:rowOff>
    </xdr:from>
    <xdr:to>
      <xdr:col>4</xdr:col>
      <xdr:colOff>491205</xdr:colOff>
      <xdr:row>35</xdr:row>
      <xdr:rowOff>40606</xdr:rowOff>
    </xdr:to>
    <mc:AlternateContent xmlns:mc="http://schemas.openxmlformats.org/markup-compatibility/2006" xmlns:a14="http://schemas.microsoft.com/office/drawing/2010/main">
      <mc:Choice Requires="a14">
        <xdr:graphicFrame macro="">
          <xdr:nvGraphicFramePr>
            <xdr:cNvPr id="5" name="Fare Category 1">
              <a:extLst>
                <a:ext uri="{FF2B5EF4-FFF2-40B4-BE49-F238E27FC236}">
                  <a16:creationId xmlns:a16="http://schemas.microsoft.com/office/drawing/2014/main" id="{625674CC-E848-4BCB-A204-B75FBF057E80}"/>
                </a:ext>
              </a:extLst>
            </xdr:cNvPr>
            <xdr:cNvGraphicFramePr/>
          </xdr:nvGraphicFramePr>
          <xdr:xfrm>
            <a:off x="0" y="0"/>
            <a:ext cx="0" cy="0"/>
          </xdr:xfrm>
          <a:graphic>
            <a:graphicData uri="http://schemas.microsoft.com/office/drawing/2010/slicer">
              <sle:slicer xmlns:sle="http://schemas.microsoft.com/office/drawing/2010/slicer" name="Fare Category 1"/>
            </a:graphicData>
          </a:graphic>
        </xdr:graphicFrame>
      </mc:Choice>
      <mc:Fallback xmlns="">
        <xdr:sp macro="" textlink="">
          <xdr:nvSpPr>
            <xdr:cNvPr id="0" name=""/>
            <xdr:cNvSpPr>
              <a:spLocks noTextEdit="1"/>
            </xdr:cNvSpPr>
          </xdr:nvSpPr>
          <xdr:spPr>
            <a:xfrm>
              <a:off x="94965" y="5413558"/>
              <a:ext cx="2802556" cy="943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94965</xdr:colOff>
      <xdr:row>13</xdr:row>
      <xdr:rowOff>70747</xdr:rowOff>
    </xdr:from>
    <xdr:to>
      <xdr:col>4</xdr:col>
      <xdr:colOff>491205</xdr:colOff>
      <xdr:row>17</xdr:row>
      <xdr:rowOff>49655</xdr:rowOff>
    </xdr:to>
    <mc:AlternateContent xmlns:mc="http://schemas.openxmlformats.org/markup-compatibility/2006" xmlns:a14="http://schemas.microsoft.com/office/drawing/2010/main">
      <mc:Choice Requires="a14">
        <xdr:graphicFrame macro="">
          <xdr:nvGraphicFramePr>
            <xdr:cNvPr id="6" name="Gender 1">
              <a:extLst>
                <a:ext uri="{FF2B5EF4-FFF2-40B4-BE49-F238E27FC236}">
                  <a16:creationId xmlns:a16="http://schemas.microsoft.com/office/drawing/2014/main" id="{F68FF616-8D1E-4D90-B505-353008F25EC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4965" y="2416905"/>
              <a:ext cx="2802556" cy="7008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94965</xdr:colOff>
      <xdr:row>7</xdr:row>
      <xdr:rowOff>107763</xdr:rowOff>
    </xdr:from>
    <xdr:to>
      <xdr:col>4</xdr:col>
      <xdr:colOff>491205</xdr:colOff>
      <xdr:row>12</xdr:row>
      <xdr:rowOff>131514</xdr:rowOff>
    </xdr:to>
    <mc:AlternateContent xmlns:mc="http://schemas.openxmlformats.org/markup-compatibility/2006" xmlns:a14="http://schemas.microsoft.com/office/drawing/2010/main">
      <mc:Choice Requires="a14">
        <xdr:graphicFrame macro="">
          <xdr:nvGraphicFramePr>
            <xdr:cNvPr id="7" name="Pclass Category 1">
              <a:extLst>
                <a:ext uri="{FF2B5EF4-FFF2-40B4-BE49-F238E27FC236}">
                  <a16:creationId xmlns:a16="http://schemas.microsoft.com/office/drawing/2014/main" id="{A723BCC6-B8C4-414F-B425-6BB67C746EFA}"/>
                </a:ext>
              </a:extLst>
            </xdr:cNvPr>
            <xdr:cNvGraphicFramePr/>
          </xdr:nvGraphicFramePr>
          <xdr:xfrm>
            <a:off x="0" y="0"/>
            <a:ext cx="0" cy="0"/>
          </xdr:xfrm>
          <a:graphic>
            <a:graphicData uri="http://schemas.microsoft.com/office/drawing/2010/slicer">
              <sle:slicer xmlns:sle="http://schemas.microsoft.com/office/drawing/2010/slicer" name="Pclass Category 1"/>
            </a:graphicData>
          </a:graphic>
        </xdr:graphicFrame>
      </mc:Choice>
      <mc:Fallback xmlns="">
        <xdr:sp macro="" textlink="">
          <xdr:nvSpPr>
            <xdr:cNvPr id="0" name=""/>
            <xdr:cNvSpPr>
              <a:spLocks noTextEdit="1"/>
            </xdr:cNvSpPr>
          </xdr:nvSpPr>
          <xdr:spPr>
            <a:xfrm>
              <a:off x="94965" y="1352363"/>
              <a:ext cx="2834640" cy="912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94965</xdr:colOff>
      <xdr:row>3</xdr:row>
      <xdr:rowOff>53341</xdr:rowOff>
    </xdr:from>
    <xdr:to>
      <xdr:col>4</xdr:col>
      <xdr:colOff>491205</xdr:colOff>
      <xdr:row>6</xdr:row>
      <xdr:rowOff>144781</xdr:rowOff>
    </xdr:to>
    <mc:AlternateContent xmlns:mc="http://schemas.openxmlformats.org/markup-compatibility/2006" xmlns:a14="http://schemas.microsoft.com/office/drawing/2010/main">
      <mc:Choice Requires="a14">
        <xdr:graphicFrame macro="">
          <xdr:nvGraphicFramePr>
            <xdr:cNvPr id="8" name="Survived Category 1">
              <a:extLst>
                <a:ext uri="{FF2B5EF4-FFF2-40B4-BE49-F238E27FC236}">
                  <a16:creationId xmlns:a16="http://schemas.microsoft.com/office/drawing/2014/main" id="{204DF1F0-B407-43C7-B1C3-DA0F92ADB481}"/>
                </a:ext>
              </a:extLst>
            </xdr:cNvPr>
            <xdr:cNvGraphicFramePr/>
          </xdr:nvGraphicFramePr>
          <xdr:xfrm>
            <a:off x="0" y="0"/>
            <a:ext cx="0" cy="0"/>
          </xdr:xfrm>
          <a:graphic>
            <a:graphicData uri="http://schemas.microsoft.com/office/drawing/2010/slicer">
              <sle:slicer xmlns:sle="http://schemas.microsoft.com/office/drawing/2010/slicer" name="Survived Category 1"/>
            </a:graphicData>
          </a:graphic>
        </xdr:graphicFrame>
      </mc:Choice>
      <mc:Fallback xmlns="">
        <xdr:sp macro="" textlink="">
          <xdr:nvSpPr>
            <xdr:cNvPr id="0" name=""/>
            <xdr:cNvSpPr>
              <a:spLocks noTextEdit="1"/>
            </xdr:cNvSpPr>
          </xdr:nvSpPr>
          <xdr:spPr>
            <a:xfrm>
              <a:off x="94965" y="594762"/>
              <a:ext cx="2802556" cy="632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6</xdr:col>
      <xdr:colOff>123823</xdr:colOff>
      <xdr:row>0</xdr:row>
      <xdr:rowOff>95250</xdr:rowOff>
    </xdr:from>
    <xdr:to>
      <xdr:col>19</xdr:col>
      <xdr:colOff>47623</xdr:colOff>
      <xdr:row>2</xdr:row>
      <xdr:rowOff>57150</xdr:rowOff>
    </xdr:to>
    <xdr:sp macro="" textlink="">
      <xdr:nvSpPr>
        <xdr:cNvPr id="10" name="TextBox 9">
          <a:extLst>
            <a:ext uri="{FF2B5EF4-FFF2-40B4-BE49-F238E27FC236}">
              <a16:creationId xmlns:a16="http://schemas.microsoft.com/office/drawing/2014/main" id="{DFF8F341-0A8C-4F7B-B3F5-DC1F981A5045}"/>
            </a:ext>
          </a:extLst>
        </xdr:cNvPr>
        <xdr:cNvSpPr txBox="1"/>
      </xdr:nvSpPr>
      <xdr:spPr>
        <a:xfrm>
          <a:off x="3781423" y="95250"/>
          <a:ext cx="78486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F2EEE4"/>
              </a:solidFill>
              <a:latin typeface="Times New Roman" panose="02020603050405020304" pitchFamily="18" charset="0"/>
              <a:cs typeface="Times New Roman" panose="02020603050405020304" pitchFamily="18" charset="0"/>
            </a:rPr>
            <a:t>TITANIC</a:t>
          </a:r>
          <a:r>
            <a:rPr lang="en-US" sz="2400" b="1" baseline="0">
              <a:solidFill>
                <a:srgbClr val="F2EEE4"/>
              </a:solidFill>
              <a:latin typeface="Times New Roman" panose="02020603050405020304" pitchFamily="18" charset="0"/>
              <a:cs typeface="Times New Roman" panose="02020603050405020304" pitchFamily="18" charset="0"/>
            </a:rPr>
            <a:t> PASSENGER SURVIVAL DASHBOARD</a:t>
          </a:r>
          <a:endParaRPr lang="en-US" sz="2400" b="1">
            <a:solidFill>
              <a:srgbClr val="F2EEE4"/>
            </a:solidFill>
            <a:latin typeface="Times New Roman" panose="02020603050405020304" pitchFamily="18" charset="0"/>
            <a:cs typeface="Times New Roman" panose="02020603050405020304" pitchFamily="18" charset="0"/>
          </a:endParaRPr>
        </a:p>
      </xdr:txBody>
    </xdr:sp>
    <xdr:clientData/>
  </xdr:twoCellAnchor>
  <xdr:twoCellAnchor editAs="absolute">
    <xdr:from>
      <xdr:col>0</xdr:col>
      <xdr:colOff>266700</xdr:colOff>
      <xdr:row>0</xdr:row>
      <xdr:rowOff>47624</xdr:rowOff>
    </xdr:from>
    <xdr:to>
      <xdr:col>1</xdr:col>
      <xdr:colOff>76199</xdr:colOff>
      <xdr:row>2</xdr:row>
      <xdr:rowOff>74109</xdr:rowOff>
    </xdr:to>
    <xdr:pic>
      <xdr:nvPicPr>
        <xdr:cNvPr id="12" name="Picture 11">
          <a:extLst>
            <a:ext uri="{FF2B5EF4-FFF2-40B4-BE49-F238E27FC236}">
              <a16:creationId xmlns:a16="http://schemas.microsoft.com/office/drawing/2014/main" id="{0F9D84A6-E577-48EF-85E7-88A5F11F1377}"/>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266700" y="47624"/>
          <a:ext cx="421408" cy="395940"/>
        </a:xfrm>
        <a:prstGeom prst="rect">
          <a:avLst/>
        </a:prstGeom>
        <a:noFill/>
      </xdr:spPr>
    </xdr:pic>
    <xdr:clientData/>
  </xdr:twoCellAnchor>
  <xdr:twoCellAnchor editAs="absolute">
    <xdr:from>
      <xdr:col>23</xdr:col>
      <xdr:colOff>6970</xdr:colOff>
      <xdr:row>0</xdr:row>
      <xdr:rowOff>45284</xdr:rowOff>
    </xdr:from>
    <xdr:to>
      <xdr:col>23</xdr:col>
      <xdr:colOff>6970</xdr:colOff>
      <xdr:row>2</xdr:row>
      <xdr:rowOff>135389</xdr:rowOff>
    </xdr:to>
    <xdr:cxnSp macro="">
      <xdr:nvCxnSpPr>
        <xdr:cNvPr id="14" name="Straight Connector 13">
          <a:extLst>
            <a:ext uri="{FF2B5EF4-FFF2-40B4-BE49-F238E27FC236}">
              <a16:creationId xmlns:a16="http://schemas.microsoft.com/office/drawing/2014/main" id="{4B053AAC-3DEC-48F5-AD6B-291B2CD26F80}"/>
            </a:ext>
          </a:extLst>
        </xdr:cNvPr>
        <xdr:cNvCxnSpPr/>
      </xdr:nvCxnSpPr>
      <xdr:spPr>
        <a:xfrm flipH="1">
          <a:off x="14078941" y="45284"/>
          <a:ext cx="0" cy="457200"/>
        </a:xfrm>
        <a:prstGeom prst="line">
          <a:avLst/>
        </a:prstGeom>
        <a:ln w="22225">
          <a:solidFill>
            <a:srgbClr val="F2EEE4"/>
          </a:solidFill>
        </a:ln>
      </xdr:spPr>
      <xdr:style>
        <a:lnRef idx="1">
          <a:schemeClr val="accent6"/>
        </a:lnRef>
        <a:fillRef idx="0">
          <a:schemeClr val="accent6"/>
        </a:fillRef>
        <a:effectRef idx="0">
          <a:schemeClr val="accent6"/>
        </a:effectRef>
        <a:fontRef idx="minor">
          <a:schemeClr val="tx1"/>
        </a:fontRef>
      </xdr:style>
    </xdr:cxnSp>
    <xdr:clientData/>
  </xdr:twoCellAnchor>
  <xdr:twoCellAnchor editAs="absolute">
    <xdr:from>
      <xdr:col>23</xdr:col>
      <xdr:colOff>50222</xdr:colOff>
      <xdr:row>0</xdr:row>
      <xdr:rowOff>49646</xdr:rowOff>
    </xdr:from>
    <xdr:to>
      <xdr:col>16384</xdr:col>
      <xdr:colOff>611332</xdr:colOff>
      <xdr:row>2</xdr:row>
      <xdr:rowOff>170296</xdr:rowOff>
    </xdr:to>
    <xdr:sp macro="" textlink="">
      <xdr:nvSpPr>
        <xdr:cNvPr id="22" name="TextBox 21">
          <a:extLst>
            <a:ext uri="{FF2B5EF4-FFF2-40B4-BE49-F238E27FC236}">
              <a16:creationId xmlns:a16="http://schemas.microsoft.com/office/drawing/2014/main" id="{3ADE16D3-B811-49BF-BC57-D905B3E1101C}"/>
            </a:ext>
          </a:extLst>
        </xdr:cNvPr>
        <xdr:cNvSpPr txBox="1"/>
      </xdr:nvSpPr>
      <xdr:spPr>
        <a:xfrm>
          <a:off x="14124131" y="49646"/>
          <a:ext cx="2703946" cy="490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F2EEE4"/>
              </a:solidFill>
              <a:latin typeface="Times New Roman" panose="02020603050405020304" pitchFamily="18" charset="0"/>
              <a:cs typeface="Times New Roman" panose="02020603050405020304" pitchFamily="18" charset="0"/>
            </a:rPr>
            <a:t>PASSENGER</a:t>
          </a:r>
          <a:r>
            <a:rPr lang="en-US" sz="1100" b="0" baseline="0">
              <a:solidFill>
                <a:srgbClr val="F2EEE4"/>
              </a:solidFill>
              <a:latin typeface="Times New Roman" panose="02020603050405020304" pitchFamily="18" charset="0"/>
              <a:cs typeface="Times New Roman" panose="02020603050405020304" pitchFamily="18" charset="0"/>
            </a:rPr>
            <a:t> SURVIVAL </a:t>
          </a:r>
        </a:p>
        <a:p>
          <a:r>
            <a:rPr lang="en-US" sz="1100" b="0" baseline="0">
              <a:solidFill>
                <a:srgbClr val="F2EEE4"/>
              </a:solidFill>
              <a:latin typeface="Times New Roman" panose="02020603050405020304" pitchFamily="18" charset="0"/>
              <a:cs typeface="Times New Roman" panose="02020603050405020304" pitchFamily="18" charset="0"/>
            </a:rPr>
            <a:t>ANALYSIS</a:t>
          </a:r>
          <a:endParaRPr lang="en-US" sz="1100" b="0">
            <a:solidFill>
              <a:srgbClr val="F2EEE4"/>
            </a:solidFill>
            <a:latin typeface="Times New Roman" panose="02020603050405020304" pitchFamily="18" charset="0"/>
            <a:cs typeface="Times New Roman" panose="02020603050405020304" pitchFamily="18" charset="0"/>
          </a:endParaRPr>
        </a:p>
      </xdr:txBody>
    </xdr:sp>
    <xdr:clientData/>
  </xdr:twoCellAnchor>
  <xdr:twoCellAnchor editAs="absolute">
    <xdr:from>
      <xdr:col>4</xdr:col>
      <xdr:colOff>600075</xdr:colOff>
      <xdr:row>3</xdr:row>
      <xdr:rowOff>53341</xdr:rowOff>
    </xdr:from>
    <xdr:to>
      <xdr:col>11</xdr:col>
      <xdr:colOff>455868</xdr:colOff>
      <xdr:row>18</xdr:row>
      <xdr:rowOff>9525</xdr:rowOff>
    </xdr:to>
    <xdr:graphicFrame macro="">
      <xdr:nvGraphicFramePr>
        <xdr:cNvPr id="24" name="Chart 23">
          <a:extLst>
            <a:ext uri="{FF2B5EF4-FFF2-40B4-BE49-F238E27FC236}">
              <a16:creationId xmlns:a16="http://schemas.microsoft.com/office/drawing/2014/main" id="{78FD7E73-1BF8-49CD-9290-9B44F6DF5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599600</xdr:colOff>
      <xdr:row>3</xdr:row>
      <xdr:rowOff>53341</xdr:rowOff>
    </xdr:from>
    <xdr:to>
      <xdr:col>18</xdr:col>
      <xdr:colOff>456344</xdr:colOff>
      <xdr:row>18</xdr:row>
      <xdr:rowOff>8764</xdr:rowOff>
    </xdr:to>
    <xdr:graphicFrame macro="">
      <xdr:nvGraphicFramePr>
        <xdr:cNvPr id="26" name="Chart 25">
          <a:extLst>
            <a:ext uri="{FF2B5EF4-FFF2-40B4-BE49-F238E27FC236}">
              <a16:creationId xmlns:a16="http://schemas.microsoft.com/office/drawing/2014/main" id="{864C9029-4CB4-4B58-A22D-741A2AAB2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18</xdr:col>
      <xdr:colOff>600075</xdr:colOff>
      <xdr:row>3</xdr:row>
      <xdr:rowOff>53341</xdr:rowOff>
    </xdr:from>
    <xdr:to>
      <xdr:col>25</xdr:col>
      <xdr:colOff>456819</xdr:colOff>
      <xdr:row>18</xdr:row>
      <xdr:rowOff>8764</xdr:rowOff>
    </xdr:to>
    <xdr:graphicFrame macro="">
      <xdr:nvGraphicFramePr>
        <xdr:cNvPr id="27" name="Chart 26">
          <a:extLst>
            <a:ext uri="{FF2B5EF4-FFF2-40B4-BE49-F238E27FC236}">
              <a16:creationId xmlns:a16="http://schemas.microsoft.com/office/drawing/2014/main" id="{9060D36A-B659-402F-BFE4-BB7BA5003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11</xdr:col>
      <xdr:colOff>442392</xdr:colOff>
      <xdr:row>18</xdr:row>
      <xdr:rowOff>90238</xdr:rowOff>
    </xdr:from>
    <xdr:to>
      <xdr:col>18</xdr:col>
      <xdr:colOff>143543</xdr:colOff>
      <xdr:row>30</xdr:row>
      <xdr:rowOff>64249</xdr:rowOff>
    </xdr:to>
    <xdr:graphicFrame macro="">
      <xdr:nvGraphicFramePr>
        <xdr:cNvPr id="31" name="Chart 30">
          <a:extLst>
            <a:ext uri="{FF2B5EF4-FFF2-40B4-BE49-F238E27FC236}">
              <a16:creationId xmlns:a16="http://schemas.microsoft.com/office/drawing/2014/main" id="{FCE577DE-8B11-4ECC-8319-3732E41C1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600075</xdr:colOff>
      <xdr:row>18</xdr:row>
      <xdr:rowOff>90238</xdr:rowOff>
    </xdr:from>
    <xdr:to>
      <xdr:col>11</xdr:col>
      <xdr:colOff>305622</xdr:colOff>
      <xdr:row>30</xdr:row>
      <xdr:rowOff>64249</xdr:rowOff>
    </xdr:to>
    <xdr:graphicFrame macro="">
      <xdr:nvGraphicFramePr>
        <xdr:cNvPr id="33" name="Chart 32">
          <a:extLst>
            <a:ext uri="{FF2B5EF4-FFF2-40B4-BE49-F238E27FC236}">
              <a16:creationId xmlns:a16="http://schemas.microsoft.com/office/drawing/2014/main" id="{F4414FAE-D869-4604-811B-50D8EAB43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600073</xdr:colOff>
      <xdr:row>30</xdr:row>
      <xdr:rowOff>130629</xdr:rowOff>
    </xdr:from>
    <xdr:to>
      <xdr:col>15</xdr:col>
      <xdr:colOff>130890</xdr:colOff>
      <xdr:row>41</xdr:row>
      <xdr:rowOff>43543</xdr:rowOff>
    </xdr:to>
    <xdr:graphicFrame macro="">
      <xdr:nvGraphicFramePr>
        <xdr:cNvPr id="35" name="Chart 34">
          <a:extLst>
            <a:ext uri="{FF2B5EF4-FFF2-40B4-BE49-F238E27FC236}">
              <a16:creationId xmlns:a16="http://schemas.microsoft.com/office/drawing/2014/main" id="{99C87169-4046-4126-B292-49BC88EC5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15</xdr:col>
      <xdr:colOff>240082</xdr:colOff>
      <xdr:row>30</xdr:row>
      <xdr:rowOff>130629</xdr:rowOff>
    </xdr:from>
    <xdr:to>
      <xdr:col>25</xdr:col>
      <xdr:colOff>456819</xdr:colOff>
      <xdr:row>41</xdr:row>
      <xdr:rowOff>48082</xdr:rowOff>
    </xdr:to>
    <xdr:graphicFrame macro="">
      <xdr:nvGraphicFramePr>
        <xdr:cNvPr id="37" name="Chart 36">
          <a:extLst>
            <a:ext uri="{FF2B5EF4-FFF2-40B4-BE49-F238E27FC236}">
              <a16:creationId xmlns:a16="http://schemas.microsoft.com/office/drawing/2014/main" id="{A3C88700-8CFC-4F02-8841-9DF2918B5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280312</xdr:colOff>
      <xdr:row>18</xdr:row>
      <xdr:rowOff>90238</xdr:rowOff>
    </xdr:from>
    <xdr:to>
      <xdr:col>25</xdr:col>
      <xdr:colOff>456819</xdr:colOff>
      <xdr:row>30</xdr:row>
      <xdr:rowOff>64944</xdr:rowOff>
    </xdr:to>
    <xdr:graphicFrame macro="">
      <xdr:nvGraphicFramePr>
        <xdr:cNvPr id="21" name="Chart 20">
          <a:extLst>
            <a:ext uri="{FF2B5EF4-FFF2-40B4-BE49-F238E27FC236}">
              <a16:creationId xmlns:a16="http://schemas.microsoft.com/office/drawing/2014/main" id="{1B1DE017-7564-434C-835B-282EEB2E4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85.953934837962" backgroundQuery="1" createdVersion="7" refreshedVersion="7" minRefreshableVersion="3" recordCount="0" supportSubquery="1" supportAdvancedDrill="1" xr:uid="{4B96BF5D-326C-4D92-9197-03937DE50945}">
  <cacheSource type="external" connectionId="2"/>
  <cacheFields count="5">
    <cacheField name="[Table1_2].[Survived Category].[Survived Category]" caption="Survived Category" numFmtId="0" hierarchy="2" level="1">
      <sharedItems count="2">
        <s v="Alive"/>
        <s v="Dead"/>
      </sharedItems>
    </cacheField>
    <cacheField name="[Table1_2].[Embarked Category].[Embarked Category]" caption="Embarked Category" numFmtId="0" hierarchy="8" level="1">
      <sharedItems count="3">
        <s v="Cherboug"/>
        <s v="Queenstown"/>
        <s v="Southampton"/>
      </sharedItems>
    </cacheField>
    <cacheField name="[Table1_2].[Pclass Category].[Pclass Category]" caption="Pclass Category" numFmtId="0" hierarchy="1" level="1">
      <sharedItems count="3">
        <s v="First Class"/>
        <s v="Second Class"/>
        <s v="Third Class"/>
      </sharedItems>
    </cacheField>
    <cacheField name="[Measures].[Count of PassengerID]" caption="Count of PassengerID" numFmtId="0" hierarchy="12" level="32767"/>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fieldsUsage count="2">
        <fieldUsage x="-1"/>
        <fieldUsage x="2"/>
      </fieldsUsage>
    </cacheHierarchy>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0"/>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0" memberValueDatatype="13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Family Status]" caption="Family Status" attribute="1" defaultMemberUniqueName="[Table1_2].[Family Status].[All]" allUniqueName="[Table1_2].[Family Status].[All]" dimensionUniqueName="[Table1_2]" displayFolder="" count="0" memberValueDatatype="130" unbalanced="0"/>
    <cacheHierarchy uniqueName="[Table1_2].[Fare Category]" caption="Fare Category" attribute="1" defaultMemberUniqueName="[Table1_2].[Fare Category].[All]" allUniqueName="[Table1_2].[Fare Category].[All]" dimensionUniqueName="[Table1_2]" displayFolder="" count="0"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fieldsUsage count="2">
        <fieldUsage x="-1"/>
        <fieldUsage x="1"/>
      </fieldsUsage>
    </cacheHierarchy>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3"/>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85.953935879632" backgroundQuery="1" createdVersion="7" refreshedVersion="7" minRefreshableVersion="3" recordCount="0" supportSubquery="1" supportAdvancedDrill="1" xr:uid="{769A8C37-9187-41A0-A88B-5891D7710999}">
  <cacheSource type="external" connectionId="2"/>
  <cacheFields count="4">
    <cacheField name="[Table1_2].[Embarked Category].[Embarked Category]" caption="Embarked Category" numFmtId="0" hierarchy="8" level="1">
      <sharedItems count="3">
        <s v="Cherboug"/>
        <s v="Queenstown"/>
        <s v="Southampton"/>
      </sharedItems>
    </cacheField>
    <cacheField name="[Table1_2].[Survived Category].[Survived Category]" caption="Survived Category" numFmtId="0" hierarchy="2" level="1">
      <sharedItems count="2">
        <s v="Alive"/>
        <s v="Dead"/>
      </sharedItems>
    </cacheField>
    <cacheField name="[Measures].[Count of PassengerID]" caption="Count of PassengerID" numFmtId="0" hierarchy="12" level="32767"/>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0"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1"/>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0" memberValueDatatype="13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Family Status]" caption="Family Status" attribute="1" defaultMemberUniqueName="[Table1_2].[Family Status].[All]" allUniqueName="[Table1_2].[Family Status].[All]" dimensionUniqueName="[Table1_2]" displayFolder="" count="0" memberValueDatatype="130" unbalanced="0"/>
    <cacheHierarchy uniqueName="[Table1_2].[Fare Category]" caption="Fare Category" attribute="1" defaultMemberUniqueName="[Table1_2].[Fare Category].[All]" allUniqueName="[Table1_2].[Fare Category].[All]" dimensionUniqueName="[Table1_2]" displayFolder="" count="0"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fieldsUsage count="2">
        <fieldUsage x="-1"/>
        <fieldUsage x="0"/>
      </fieldsUsage>
    </cacheHierarchy>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85.95393703704" backgroundQuery="1" createdVersion="7" refreshedVersion="7" minRefreshableVersion="3" recordCount="0" supportSubquery="1" supportAdvancedDrill="1" xr:uid="{DEA5B369-6DA8-44AC-9A31-F4D73D10A821}">
  <cacheSource type="external" connectionId="2"/>
  <cacheFields count="4">
    <cacheField name="[Table1_2].[Salutation].[Salutation]" caption="Salutation" numFmtId="0" hierarchy="3" level="1">
      <sharedItems count="14">
        <s v=" Capt"/>
        <s v=" Col"/>
        <s v=" Dr"/>
        <s v=" Lady"/>
        <s v=" Major"/>
        <s v=" Master"/>
        <s v=" Miss"/>
        <s v=" Mlle"/>
        <s v=" Mr"/>
        <s v=" Mrs"/>
        <s v=" Ms"/>
        <s v=" Rev"/>
        <s v=" Sir"/>
        <s v=" the Countess"/>
      </sharedItems>
    </cacheField>
    <cacheField name="[Measures].[Count of PassengerID]" caption="Count of PassengerID" numFmtId="0" hierarchy="12" level="32767"/>
    <cacheField name="[Table1_2].[Survived Category].[Survived Category]" caption="Survived Category" numFmtId="0" hierarchy="2" level="1">
      <sharedItems count="2">
        <s v="Alive"/>
        <s v="Dead"/>
      </sharedItems>
    </cacheField>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0"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2"/>
      </fieldsUsage>
    </cacheHierarchy>
    <cacheHierarchy uniqueName="[Table1_2].[Salutation]" caption="Salutation" attribute="1" defaultMemberUniqueName="[Table1_2].[Salutation].[All]" allUniqueName="[Table1_2].[Salutation].[All]" dimensionUniqueName="[Table1_2]" displayFolder="" count="2" memberValueDatatype="130" unbalanced="0">
      <fieldsUsage count="2">
        <fieldUsage x="-1"/>
        <fieldUsage x="0"/>
      </fieldsUsage>
    </cacheHierarchy>
    <cacheHierarchy uniqueName="[Table1_2].[Gender]" caption="Gender" attribute="1" defaultMemberUniqueName="[Table1_2].[Gender].[All]" allUniqueName="[Table1_2].[Gender].[All]" dimensionUniqueName="[Table1_2]" displayFolder="" count="0" memberValueDatatype="13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Family Status]" caption="Family Status" attribute="1" defaultMemberUniqueName="[Table1_2].[Family Status].[All]" allUniqueName="[Table1_2].[Family Status].[All]" dimensionUniqueName="[Table1_2]" displayFolder="" count="0" memberValueDatatype="130" unbalanced="0"/>
    <cacheHierarchy uniqueName="[Table1_2].[Fare Category]" caption="Fare Category" attribute="1" defaultMemberUniqueName="[Table1_2].[Fare Category].[All]" allUniqueName="[Table1_2].[Fare Category].[All]" dimensionUniqueName="[Table1_2]" displayFolder="" count="0" memberValueDatatype="130" unbalanced="0"/>
    <cacheHierarchy uniqueName="[Table1_2].[Embarked Category]" caption="Embarked Category" attribute="1" defaultMemberUniqueName="[Table1_2].[Embarked Category].[All]" allUniqueName="[Table1_2].[Embarked Category].[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85.953938078703" backgroundQuery="1" createdVersion="7" refreshedVersion="7" minRefreshableVersion="3" recordCount="0" supportSubquery="1" supportAdvancedDrill="1" xr:uid="{40CE0D1E-4E1B-43EA-90A0-4A250331BD89}">
  <cacheSource type="external" connectionId="2"/>
  <cacheFields count="4">
    <cacheField name="[Table1_2].[Pclass Category].[Pclass Category]" caption="Pclass Category" numFmtId="0" hierarchy="1" level="1">
      <sharedItems count="3">
        <s v="First Class"/>
        <s v="Second Class"/>
        <s v="Third Class"/>
      </sharedItems>
    </cacheField>
    <cacheField name="[Table1_2].[Survived Category].[Survived Category]" caption="Survived Category" numFmtId="0" hierarchy="2" level="1">
      <sharedItems count="2">
        <s v="Alive"/>
        <s v="Dead"/>
      </sharedItems>
    </cacheField>
    <cacheField name="[Measures].[Count of PassengerID]" caption="Count of PassengerID" numFmtId="0" hierarchy="12" level="32767"/>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fieldsUsage count="2">
        <fieldUsage x="-1"/>
        <fieldUsage x="0"/>
      </fieldsUsage>
    </cacheHierarchy>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1"/>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0" memberValueDatatype="13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Family Status]" caption="Family Status" attribute="1" defaultMemberUniqueName="[Table1_2].[Family Status].[All]" allUniqueName="[Table1_2].[Family Status].[All]" dimensionUniqueName="[Table1_2]" displayFolder="" count="0" memberValueDatatype="130" unbalanced="0"/>
    <cacheHierarchy uniqueName="[Table1_2].[Fare Category]" caption="Fare Category" attribute="1" defaultMemberUniqueName="[Table1_2].[Fare Category].[All]" allUniqueName="[Table1_2].[Fare Category].[All]" dimensionUniqueName="[Table1_2]" displayFolder="" count="0" memberValueDatatype="130" unbalanced="0"/>
    <cacheHierarchy uniqueName="[Table1_2].[Embarked Category]" caption="Embarked Category" attribute="1" defaultMemberUniqueName="[Table1_2].[Embarked Category].[All]" allUniqueName="[Table1_2].[Embarked Category].[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85.953939120373" backgroundQuery="1" createdVersion="7" refreshedVersion="7" minRefreshableVersion="3" recordCount="0" supportSubquery="1" supportAdvancedDrill="1" xr:uid="{8C4713B4-260F-4DE8-9ED5-0E0E15A94CD3}">
  <cacheSource type="external" connectionId="2"/>
  <cacheFields count="3">
    <cacheField name="[Table1_2].[Survived Category].[Survived Category]" caption="Survived Category" numFmtId="0" hierarchy="2" level="1">
      <sharedItems count="2">
        <s v="Alive"/>
        <s v="Dead"/>
      </sharedItems>
    </cacheField>
    <cacheField name="[Measures].[Count of PassengerID]" caption="Count of PassengerID" numFmtId="0" hierarchy="12" level="32767"/>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0"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0"/>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0" memberValueDatatype="13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Family Status]" caption="Family Status" attribute="1" defaultMemberUniqueName="[Table1_2].[Family Status].[All]" allUniqueName="[Table1_2].[Family Status].[All]" dimensionUniqueName="[Table1_2]" displayFolder="" count="0" memberValueDatatype="130" unbalanced="0"/>
    <cacheHierarchy uniqueName="[Table1_2].[Fare Category]" caption="Fare Category" attribute="1" defaultMemberUniqueName="[Table1_2].[Fare Category].[All]" allUniqueName="[Table1_2].[Fare Category].[All]" dimensionUniqueName="[Table1_2]" displayFolder="" count="0" memberValueDatatype="130" unbalanced="0"/>
    <cacheHierarchy uniqueName="[Table1_2].[Embarked Category]" caption="Embarked Category" attribute="1" defaultMemberUniqueName="[Table1_2].[Embarked Category].[All]" allUniqueName="[Table1_2].[Embarked Category].[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85.953940162035" backgroundQuery="1" createdVersion="7" refreshedVersion="7" minRefreshableVersion="3" recordCount="0" supportSubquery="1" supportAdvancedDrill="1" xr:uid="{1C9BE5A7-4909-4D59-A0B5-BF5EF61D8A8A}">
  <cacheSource type="external" connectionId="2"/>
  <cacheFields count="4">
    <cacheField name="[Table1_2].[Fare Category].[Fare Category]" caption="Fare Category" numFmtId="0" hierarchy="7" level="1">
      <sharedItems count="3">
        <s v="High"/>
        <s v="Low"/>
        <s v="Medium"/>
      </sharedItems>
    </cacheField>
    <cacheField name="[Measures].[Count of PassengerID]" caption="Count of PassengerID" numFmtId="0" hierarchy="12" level="32767"/>
    <cacheField name="[Table1_2].[Survived Category].[Survived Category]" caption="Survived Category" numFmtId="0" hierarchy="2" level="1">
      <sharedItems count="2">
        <s v="Alive"/>
        <s v="Dead"/>
      </sharedItems>
    </cacheField>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0"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2"/>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0" memberValueDatatype="13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Family Status]" caption="Family Status" attribute="1" defaultMemberUniqueName="[Table1_2].[Family Status].[All]" allUniqueName="[Table1_2].[Family Status].[All]" dimensionUniqueName="[Table1_2]" displayFolder="" count="0" memberValueDatatype="130" unbalanced="0"/>
    <cacheHierarchy uniqueName="[Table1_2].[Fare Category]" caption="Fare Category" attribute="1" defaultMemberUniqueName="[Table1_2].[Fare Category].[All]" allUniqueName="[Table1_2].[Fare Category].[All]" dimensionUniqueName="[Table1_2]" displayFolder="" count="2" memberValueDatatype="130" unbalanced="0">
      <fieldsUsage count="2">
        <fieldUsage x="-1"/>
        <fieldUsage x="0"/>
      </fieldsUsage>
    </cacheHierarchy>
    <cacheHierarchy uniqueName="[Table1_2].[Embarked Category]" caption="Embarked Category" attribute="1" defaultMemberUniqueName="[Table1_2].[Embarked Category].[All]" allUniqueName="[Table1_2].[Embarked Category].[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85.953941319443" backgroundQuery="1" createdVersion="7" refreshedVersion="7" minRefreshableVersion="3" recordCount="0" supportSubquery="1" supportAdvancedDrill="1" xr:uid="{DF7735B5-EFDC-491E-9379-9139E92A6920}">
  <cacheSource type="external" connectionId="2"/>
  <cacheFields count="4">
    <cacheField name="[Table1_2].[Family Status].[Family Status]" caption="Family Status" numFmtId="0" hierarchy="6" level="1">
      <sharedItems count="2">
        <s v="Single"/>
        <s v="With Family"/>
      </sharedItems>
    </cacheField>
    <cacheField name="[Table1_2].[Survived Category].[Survived Category]" caption="Survived Category" numFmtId="0" hierarchy="2" level="1">
      <sharedItems count="2">
        <s v="Alive"/>
        <s v="Dead"/>
      </sharedItems>
    </cacheField>
    <cacheField name="[Measures].[Count of PassengerID]" caption="Count of PassengerID" numFmtId="0" hierarchy="12" level="32767"/>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0"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1"/>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0" memberValueDatatype="130" unbalanced="0"/>
    <cacheHierarchy uniqueName="[Table1_2].[Age Group]" caption="Age Group" attribute="1" defaultMemberUniqueName="[Table1_2].[Age Group].[All]" allUniqueName="[Table1_2].[Age Group].[All]" dimensionUniqueName="[Table1_2]" displayFolder="" count="0"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0"/>
      </fieldsUsage>
    </cacheHierarchy>
    <cacheHierarchy uniqueName="[Table1_2].[Fare Category]" caption="Fare Category" attribute="1" defaultMemberUniqueName="[Table1_2].[Fare Category].[All]" allUniqueName="[Table1_2].[Fare Category].[All]" dimensionUniqueName="[Table1_2]" displayFolder="" count="0" memberValueDatatype="130" unbalanced="0"/>
    <cacheHierarchy uniqueName="[Table1_2].[Embarked Category]" caption="Embarked Category" attribute="1" defaultMemberUniqueName="[Table1_2].[Embarked Category].[All]" allUniqueName="[Table1_2].[Embarked Category].[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85.953942361113" backgroundQuery="1" createdVersion="7" refreshedVersion="7" minRefreshableVersion="3" recordCount="0" supportSubquery="1" supportAdvancedDrill="1" xr:uid="{91657C7B-A0BA-4AA9-B8C9-65FB3623AD79}">
  <cacheSource type="external" connectionId="2"/>
  <cacheFields count="5">
    <cacheField name="[Table1_2].[Gender].[Gender]" caption="Gender" numFmtId="0" hierarchy="4" level="1">
      <sharedItems count="2">
        <s v="Female"/>
        <s v="Male"/>
      </sharedItems>
    </cacheField>
    <cacheField name="[Table1_2].[Age Group].[Age Group]" caption="Age Group" numFmtId="0" hierarchy="5" level="1">
      <sharedItems count="5">
        <s v="Child"/>
        <s v="Middle Aged Adult"/>
        <s v="Senior"/>
        <s v="Teenager"/>
        <s v="Young Adult"/>
      </sharedItems>
    </cacheField>
    <cacheField name="[Measures].[Count of PassengerID]" caption="Count of PassengerID" numFmtId="0" hierarchy="12" level="32767"/>
    <cacheField name="[Table1_2].[Survived Category].[Survived Category]" caption="Survived Category" numFmtId="0" hierarchy="2" level="1">
      <sharedItems count="2">
        <s v="Alive"/>
        <s v="Dead"/>
      </sharedItems>
    </cacheField>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0"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3"/>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fieldsUsage count="2">
        <fieldUsage x="-1"/>
        <fieldUsage x="0"/>
      </fieldsUsage>
    </cacheHierarchy>
    <cacheHierarchy uniqueName="[Table1_2].[Age Group]" caption="Age Group" attribute="1" defaultMemberUniqueName="[Table1_2].[Age Group].[All]" allUniqueName="[Table1_2].[Age Group].[All]" dimensionUniqueName="[Table1_2]" displayFolder="" count="2" memberValueDatatype="130" unbalanced="0">
      <fieldsUsage count="2">
        <fieldUsage x="-1"/>
        <fieldUsage x="1"/>
      </fieldsUsage>
    </cacheHierarchy>
    <cacheHierarchy uniqueName="[Table1_2].[Family Status]" caption="Family Status" attribute="1" defaultMemberUniqueName="[Table1_2].[Family Status].[All]" allUniqueName="[Table1_2].[Family Status].[All]" dimensionUniqueName="[Table1_2]" displayFolder="" count="0" memberValueDatatype="130" unbalanced="0"/>
    <cacheHierarchy uniqueName="[Table1_2].[Fare Category]" caption="Fare Category" attribute="1" defaultMemberUniqueName="[Table1_2].[Fare Category].[All]" allUniqueName="[Table1_2].[Fare Category].[All]" dimensionUniqueName="[Table1_2]" displayFolder="" count="0" memberValueDatatype="130" unbalanced="0"/>
    <cacheHierarchy uniqueName="[Table1_2].[Embarked Category]" caption="Embarked Category" attribute="1" defaultMemberUniqueName="[Table1_2].[Embarked Category].[All]" allUniqueName="[Table1_2].[Embarked Category].[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85.953943402776" backgroundQuery="1" createdVersion="7" refreshedVersion="7" minRefreshableVersion="3" recordCount="0" supportSubquery="1" supportAdvancedDrill="1" xr:uid="{70919FAC-5B84-4BD2-86AC-84D6EB626A0F}">
  <cacheSource type="external" connectionId="2"/>
  <cacheFields count="5">
    <cacheField name="[Table1_2].[Family Status].[Family Status]" caption="Family Status" numFmtId="0" hierarchy="6" level="1">
      <sharedItems count="2">
        <s v="Single"/>
        <s v="With Family"/>
      </sharedItems>
    </cacheField>
    <cacheField name="[Table1_2].[Gender].[Gender]" caption="Gender" numFmtId="0" hierarchy="4" level="1">
      <sharedItems count="2">
        <s v="Female"/>
        <s v="Male"/>
      </sharedItems>
    </cacheField>
    <cacheField name="[Measures].[Count of PassengerID]" caption="Count of PassengerID" numFmtId="0" hierarchy="12" level="32767"/>
    <cacheField name="[Table1_2].[Survived Category].[Survived Category]" caption="Survived Category" numFmtId="0" hierarchy="2" level="1">
      <sharedItems count="2">
        <s v="Alive"/>
        <s v="Dead"/>
      </sharedItems>
    </cacheField>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0"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3"/>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fieldsUsage count="2">
        <fieldUsage x="-1"/>
        <fieldUsage x="1"/>
      </fieldsUsage>
    </cacheHierarchy>
    <cacheHierarchy uniqueName="[Table1_2].[Age Group]" caption="Age Group" attribute="1" defaultMemberUniqueName="[Table1_2].[Age Group].[All]" allUniqueName="[Table1_2].[Age Group].[All]" dimensionUniqueName="[Table1_2]" displayFolder="" count="0"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0"/>
      </fieldsUsage>
    </cacheHierarchy>
    <cacheHierarchy uniqueName="[Table1_2].[Fare Category]" caption="Fare Category" attribute="1" defaultMemberUniqueName="[Table1_2].[Fare Category].[All]" allUniqueName="[Table1_2].[Fare Category].[All]" dimensionUniqueName="[Table1_2]" displayFolder="" count="0" memberValueDatatype="130" unbalanced="0"/>
    <cacheHierarchy uniqueName="[Table1_2].[Embarked Category]" caption="Embarked Category" attribute="1" defaultMemberUniqueName="[Table1_2].[Embarked Category].[All]" allUniqueName="[Table1_2].[Embarked Category].[All]" dimensionUniqueName="[Table1_2]" displayFolder="" count="0"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3240743" backgroundQuery="1" createdVersion="7" refreshedVersion="7" minRefreshableVersion="3" recordCount="0" supportSubquery="1" supportAdvancedDrill="1" xr:uid="{697C9BAF-9C27-45E4-A542-1ACF0F0195D8}">
  <cacheSource type="external" connectionId="2"/>
  <cacheFields count="3">
    <cacheField name="[Table1_2].[Survived Category].[Survived Category]" caption="Survived Category" numFmtId="0" hierarchy="2" level="1">
      <sharedItems count="2">
        <s v="Alive"/>
        <s v="Dead"/>
      </sharedItems>
    </cacheField>
    <cacheField name="[Measures].[Count of PassengerID]" caption="Count of PassengerID" numFmtId="0" hierarchy="12" level="32767"/>
    <cacheField name="[Table1_2].[Family Status].[Family Status]" caption="Family Status" numFmtId="0" hierarchy="6" level="1">
      <sharedItems containsSemiMixedTypes="0" containsNonDate="0" containsString="0"/>
    </cacheField>
  </cacheFields>
  <cacheHierarchies count="14">
    <cacheHierarchy uniqueName="[Table1_2].[PassengerID]" caption="PassengerID" attribute="1" defaultMemberUniqueName="[Table1_2].[PassengerID].[All]" allUniqueName="[Table1_2].[PassengerID].[All]" dimensionUniqueName="[Table1_2]" displayFolder="" count="2"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0"/>
      </fieldsUsage>
    </cacheHierarchy>
    <cacheHierarchy uniqueName="[Table1_2].[Salutation]" caption="Salutation" attribute="1" defaultMemberUniqueName="[Table1_2].[Salutation].[All]" allUniqueName="[Table1_2].[Salutation].[All]" dimensionUniqueName="[Table1_2]" displayFolder="" count="2"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2"/>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3819443" backgroundQuery="1" createdVersion="7" refreshedVersion="7" minRefreshableVersion="3" recordCount="0" supportSubquery="1" supportAdvancedDrill="1" xr:uid="{FEB619E2-9A1E-4054-B571-EC65FAC614A7}">
  <cacheSource type="external" connectionId="2"/>
  <cacheFields count="5">
    <cacheField name="[Table1_2].[Embarked Category].[Embarked Category]" caption="Embarked Category" numFmtId="0" hierarchy="8" level="1">
      <sharedItems count="3">
        <s v="Cherboug"/>
        <s v="Queenstown"/>
        <s v="Southampton"/>
      </sharedItems>
    </cacheField>
    <cacheField name="[Table1_2].[Survived Category].[Survived Category]" caption="Survived Category" numFmtId="0" hierarchy="2" level="1">
      <sharedItems count="2">
        <s v="Alive"/>
        <s v="Dead"/>
      </sharedItems>
    </cacheField>
    <cacheField name="[Measures].[Count of PassengerID]" caption="Count of PassengerID" numFmtId="0" hierarchy="12" level="32767"/>
    <cacheField name="[Table1_2].[Family Status].[Family Status]" caption="Family Status" numFmtId="0" hierarchy="6" level="1">
      <sharedItems containsSemiMixedTypes="0" containsNonDate="0" containsString="0"/>
    </cacheField>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1"/>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3"/>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fieldsUsage count="2">
        <fieldUsage x="-1"/>
        <fieldUsage x="0"/>
      </fieldsUsage>
    </cacheHierarchy>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4398151" backgroundQuery="1" createdVersion="7" refreshedVersion="7" minRefreshableVersion="3" recordCount="0" supportSubquery="1" supportAdvancedDrill="1" xr:uid="{650D3430-F9BC-4D59-BA13-5022E575F7D1}">
  <cacheSource type="external" connectionId="2"/>
  <cacheFields count="4">
    <cacheField name="[Table1_2].[Family Status].[Family Status]" caption="Family Status" numFmtId="0" hierarchy="6" level="1">
      <sharedItems count="2">
        <s v="Single"/>
        <s v="With Family"/>
      </sharedItems>
    </cacheField>
    <cacheField name="[Table1_2].[Survived Category].[Survived Category]" caption="Survived Category" numFmtId="0" hierarchy="2" level="1">
      <sharedItems count="2">
        <s v="Alive"/>
        <s v="Dead"/>
      </sharedItems>
    </cacheField>
    <cacheField name="[Measures].[Count of PassengerID]" caption="Count of PassengerID" numFmtId="0" hierarchy="12" level="32767"/>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1"/>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0"/>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509259" backgroundQuery="1" createdVersion="7" refreshedVersion="7" minRefreshableVersion="3" recordCount="0" supportSubquery="1" supportAdvancedDrill="1" xr:uid="{7EB8A2A0-26D4-4575-819E-CCA7E382F3E8}">
  <cacheSource type="external" connectionId="2"/>
  <cacheFields count="4">
    <cacheField name="[Table1_2].[Fare Category].[Fare Category]" caption="Fare Category" numFmtId="0" hierarchy="7" level="1">
      <sharedItems count="3">
        <s v="High"/>
        <s v="Low"/>
        <s v="Medium"/>
      </sharedItems>
    </cacheField>
    <cacheField name="[Measures].[Count of PassengerID]" caption="Count of PassengerID" numFmtId="0" hierarchy="12" level="32767"/>
    <cacheField name="[Table1_2].[Survived Category].[Survived Category]" caption="Survived Category" numFmtId="0" hierarchy="2" level="1">
      <sharedItems count="2">
        <s v="Alive"/>
        <s v="Dead"/>
      </sharedItems>
    </cacheField>
    <cacheField name="[Table1_2].[Family Status].[Family Status]" caption="Family Status" numFmtId="0" hierarchy="6" level="1">
      <sharedItems containsSemiMixedTypes="0" containsNonDate="0" containsString="0"/>
    </cacheField>
  </cacheFields>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2"/>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3"/>
      </fieldsUsage>
    </cacheHierarchy>
    <cacheHierarchy uniqueName="[Table1_2].[Fare Category]" caption="Fare Category" attribute="1" defaultMemberUniqueName="[Table1_2].[Fare Category].[All]" allUniqueName="[Table1_2].[Fare Category].[All]" dimensionUniqueName="[Table1_2]" displayFolder="" count="2" memberValueDatatype="130" unbalanced="0">
      <fieldsUsage count="2">
        <fieldUsage x="-1"/>
        <fieldUsage x="0"/>
      </fieldsUsage>
    </cacheHierarchy>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5671298" backgroundQuery="1" createdVersion="7" refreshedVersion="7" minRefreshableVersion="3" recordCount="0" supportSubquery="1" supportAdvancedDrill="1" xr:uid="{EC4B54A6-88B3-48D4-B41D-227BB230B5D1}">
  <cacheSource type="external" connectionId="2"/>
  <cacheFields count="6">
    <cacheField name="[Table1_2].[Gender].[Gender]" caption="Gender" numFmtId="0" hierarchy="4" level="1">
      <sharedItems count="2">
        <s v="Female"/>
        <s v="Male"/>
      </sharedItems>
    </cacheField>
    <cacheField name="[Table1_2].[Age Group].[Age Group]" caption="Age Group" numFmtId="0" hierarchy="5" level="1">
      <sharedItems count="5">
        <s v="Child"/>
        <s v="Middle Aged Adult"/>
        <s v="Senior"/>
        <s v="Teenager"/>
        <s v="Young Adult"/>
      </sharedItems>
    </cacheField>
    <cacheField name="[Measures].[Count of PassengerID]" caption="Count of PassengerID" numFmtId="0" hierarchy="12" level="32767"/>
    <cacheField name="[Table1_2].[Survived Category].[Survived Category]" caption="Survived Category" numFmtId="0" hierarchy="2" level="1">
      <sharedItems count="2">
        <s v="Alive"/>
        <s v="Dead"/>
      </sharedItems>
    </cacheField>
    <cacheField name="[Table1_2].[Family Status].[Family Status]" caption="Family Status" numFmtId="0" hierarchy="6" level="1">
      <sharedItems containsSemiMixedTypes="0" containsNonDate="0" containsString="0"/>
    </cacheField>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3"/>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fieldsUsage count="2">
        <fieldUsage x="-1"/>
        <fieldUsage x="0"/>
      </fieldsUsage>
    </cacheHierarchy>
    <cacheHierarchy uniqueName="[Table1_2].[Age Group]" caption="Age Group" attribute="1" defaultMemberUniqueName="[Table1_2].[Age Group].[All]" allUniqueName="[Table1_2].[Age Group].[All]" dimensionUniqueName="[Table1_2]" displayFolder="" count="2" memberValueDatatype="130" unbalanced="0">
      <fieldsUsage count="2">
        <fieldUsage x="-1"/>
        <fieldUsage x="1"/>
      </fieldsUsage>
    </cacheHierarchy>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4"/>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6365737" backgroundQuery="1" createdVersion="7" refreshedVersion="7" minRefreshableVersion="3" recordCount="0" supportSubquery="1" supportAdvancedDrill="1" xr:uid="{14E960EA-4324-420F-BFDF-7C35D7C8F380}">
  <cacheSource type="external" connectionId="2"/>
  <cacheFields count="3">
    <cacheField name="[Table1_2].[Pclass Category].[Pclass Category]" caption="Pclass Category" numFmtId="0" hierarchy="1" level="1">
      <sharedItems count="3">
        <s v="First Class"/>
        <s v="Second Class"/>
        <s v="Third Class"/>
      </sharedItems>
    </cacheField>
    <cacheField name="[Measures].[Count of PassengerID]" caption="Count of PassengerID" numFmtId="0" hierarchy="12" level="32767"/>
    <cacheField name="[Table1_2].[Family Status].[Family Status]" caption="Family Status" numFmtId="0" hierarchy="6" level="1">
      <sharedItems containsSemiMixedTypes="0" containsNonDate="0" containsString="0"/>
    </cacheField>
  </cacheFields>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fieldsUsage count="2">
        <fieldUsage x="-1"/>
        <fieldUsage x="0"/>
      </fieldsUsage>
    </cacheHierarchy>
    <cacheHierarchy uniqueName="[Table1_2].[Survived Category]" caption="Survived Category" attribute="1" defaultMemberUniqueName="[Table1_2].[Survived Category].[All]" allUniqueName="[Table1_2].[Survived Category].[All]" dimensionUniqueName="[Table1_2]" displayFolder="" count="2" memberValueDatatype="130" unbalanced="0"/>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2"/>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6944445" backgroundQuery="1" createdVersion="7" refreshedVersion="7" minRefreshableVersion="3" recordCount="0" supportSubquery="1" supportAdvancedDrill="1" xr:uid="{9097AC9D-A7CE-4AAF-B11F-219FC3A86BF7}">
  <cacheSource type="external" connectionId="2"/>
  <cacheFields count="3">
    <cacheField name="[Table1_2].[Age Group].[Age Group]" caption="Age Group" numFmtId="0" hierarchy="5" level="1">
      <sharedItems count="5">
        <s v="Child"/>
        <s v="Middle Aged Adult"/>
        <s v="Senior"/>
        <s v="Teenager"/>
        <s v="Young Adult"/>
      </sharedItems>
    </cacheField>
    <cacheField name="[Measures].[Count of PassengerID]" caption="Count of PassengerID" numFmtId="0" hierarchy="12" level="32767"/>
    <cacheField name="[Table1_2].[Family Status].[Family Status]" caption="Family Status" numFmtId="0" hierarchy="6" level="1">
      <sharedItems containsSemiMixedTypes="0" containsNonDate="0" containsString="0"/>
    </cacheField>
  </cacheFields>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fieldsUsage count="2">
        <fieldUsage x="-1"/>
        <fieldUsage x="0"/>
      </fieldsUsage>
    </cacheHierarchy>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2"/>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7291669" backgroundQuery="1" createdVersion="7" refreshedVersion="7" minRefreshableVersion="3" recordCount="0" supportSubquery="1" supportAdvancedDrill="1" xr:uid="{4D60F396-7D3E-436C-8C12-4EEED45CAE46}">
  <cacheSource type="external" connectionId="2"/>
  <cacheFields count="3">
    <cacheField name="[Table1_2].[Embarked Category].[Embarked Category]" caption="Embarked Category" numFmtId="0" hierarchy="8" level="1">
      <sharedItems count="3">
        <s v="Cherboug"/>
        <s v="Queenstown"/>
        <s v="Southampton"/>
      </sharedItems>
    </cacheField>
    <cacheField name="[Measures].[Count of PassengerID]" caption="Count of PassengerID" numFmtId="0" hierarchy="12" level="32767"/>
    <cacheField name="[Table1_2].[Family Status].[Family Status]" caption="Family Status" numFmtId="0" hierarchy="6" level="1">
      <sharedItems containsSemiMixedTypes="0" containsNonDate="0" containsString="0"/>
    </cacheField>
  </cacheFields>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2"/>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fieldsUsage count="2">
        <fieldUsage x="-1"/>
        <fieldUsage x="0"/>
      </fieldsUsage>
    </cacheHierarchy>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7638892" backgroundQuery="1" createdVersion="7" refreshedVersion="7" minRefreshableVersion="3" recordCount="0" supportSubquery="1" supportAdvancedDrill="1" xr:uid="{A4A725BF-336C-428C-A7BC-D664171BB1A6}">
  <cacheSource type="external" connectionId="2"/>
  <cacheFields count="2">
    <cacheField name="[Table1_2].[Family Status].[Family Status]" caption="Family Status" numFmtId="0" hierarchy="6" level="1">
      <sharedItems count="2">
        <s v="Single"/>
        <s v="With Family"/>
      </sharedItems>
    </cacheField>
    <cacheField name="[Measures].[Count of PassengerID]" caption="Count of PassengerID" numFmtId="0" hierarchy="12" level="32767"/>
  </cacheFields>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0"/>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7986108" backgroundQuery="1" createdVersion="7" refreshedVersion="7" minRefreshableVersion="3" recordCount="0" supportSubquery="1" supportAdvancedDrill="1" xr:uid="{2B084549-A055-42B3-9614-76CD5BB47A4D}">
  <cacheSource type="external" connectionId="2"/>
  <cacheFields count="3">
    <cacheField name="[Table1_2].[Fare Category].[Fare Category]" caption="Fare Category" numFmtId="0" hierarchy="7" level="1">
      <sharedItems count="3">
        <s v="High"/>
        <s v="Low"/>
        <s v="Medium"/>
      </sharedItems>
    </cacheField>
    <cacheField name="[Measures].[Count of PassengerID]" caption="Count of PassengerID" numFmtId="0" hierarchy="12" level="32767"/>
    <cacheField name="[Table1_2].[Family Status].[Family Status]" caption="Family Status" numFmtId="0" hierarchy="6" level="1">
      <sharedItems containsSemiMixedTypes="0" containsNonDate="0" containsString="0"/>
    </cacheField>
  </cacheFields>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2"/>
      </fieldsUsage>
    </cacheHierarchy>
    <cacheHierarchy uniqueName="[Table1_2].[Fare Category]" caption="Fare Category" attribute="1" defaultMemberUniqueName="[Table1_2].[Fare Category].[All]" allUniqueName="[Table1_2].[Fare Category].[All]" dimensionUniqueName="[Table1_2]" displayFolder="" count="2" memberValueDatatype="130" unbalanced="0">
      <fieldsUsage count="2">
        <fieldUsage x="-1"/>
        <fieldUsage x="0"/>
      </fieldsUsage>
    </cacheHierarchy>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8564816" backgroundQuery="1" createdVersion="7" refreshedVersion="7" minRefreshableVersion="3" recordCount="0" supportSubquery="1" supportAdvancedDrill="1" xr:uid="{3369F2AA-5189-4EC5-808C-3C8248CB7EFC}">
  <cacheSource type="external" connectionId="2"/>
  <cacheFields count="3">
    <cacheField name="[Table1_2].[Gender].[Gender]" caption="Gender" numFmtId="0" hierarchy="4" level="1">
      <sharedItems count="2">
        <s v="Female"/>
        <s v="Male"/>
      </sharedItems>
    </cacheField>
    <cacheField name="[Measures].[Count of PassengerID]" caption="Count of PassengerID" numFmtId="0" hierarchy="12" level="32767"/>
    <cacheField name="[Table1_2].[Family Status].[Family Status]" caption="Family Status" numFmtId="0" hierarchy="6" level="1">
      <sharedItems containsSemiMixedTypes="0" containsNonDate="0" containsString="0"/>
    </cacheField>
  </cacheFields>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fieldsUsage count="2">
        <fieldUsage x="-1"/>
        <fieldUsage x="0"/>
      </fieldsUsage>
    </cacheHierarchy>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2"/>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9143516" backgroundQuery="1" createdVersion="7" refreshedVersion="7" minRefreshableVersion="3" recordCount="0" supportSubquery="1" supportAdvancedDrill="1" xr:uid="{D9089618-AA9A-4B53-92E4-0997E75BDBDD}">
  <cacheSource type="external" connectionId="2"/>
  <cacheFields count="5">
    <cacheField name="[Table1_2].[Family Status].[Family Status]" caption="Family Status" numFmtId="0" hierarchy="6" level="1">
      <sharedItems count="2">
        <s v="Single"/>
        <s v="With Family"/>
      </sharedItems>
    </cacheField>
    <cacheField name="[Table1_2].[Gender].[Gender]" caption="Gender" numFmtId="0" hierarchy="4" level="1">
      <sharedItems count="2">
        <s v="Female"/>
        <s v="Male"/>
      </sharedItems>
    </cacheField>
    <cacheField name="[Measures].[Count of PassengerID]" caption="Count of PassengerID" numFmtId="0" hierarchy="12" level="32767"/>
    <cacheField name="[Table1_2].[Survived Category].[Survived Category]" caption="Survived Category" numFmtId="0" hierarchy="2" level="1">
      <sharedItems count="2">
        <s v="Alive"/>
        <s v="Dead"/>
      </sharedItems>
    </cacheField>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3"/>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fieldsUsage count="2">
        <fieldUsage x="-1"/>
        <fieldUsage x="1"/>
      </fieldsUsage>
    </cacheHierarchy>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0"/>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59837963" backgroundQuery="1" createdVersion="7" refreshedVersion="7" minRefreshableVersion="3" recordCount="0" supportSubquery="1" supportAdvancedDrill="1" xr:uid="{ABDDDE8E-36DD-4735-8B0C-BBBE12FD4102}">
  <cacheSource type="external" connectionId="2"/>
  <cacheFields count="6">
    <cacheField name="[Table1_2].[Survived Category].[Survived Category]" caption="Survived Category" numFmtId="0" hierarchy="2" level="1">
      <sharedItems count="2">
        <s v="Alive"/>
        <s v="Dead"/>
      </sharedItems>
    </cacheField>
    <cacheField name="[Table1_2].[Embarked Category].[Embarked Category]" caption="Embarked Category" numFmtId="0" hierarchy="8" level="1">
      <sharedItems count="3">
        <s v="Cherboug"/>
        <s v="Queenstown"/>
        <s v="Southampton"/>
      </sharedItems>
    </cacheField>
    <cacheField name="[Table1_2].[Pclass Category].[Pclass Category]" caption="Pclass Category" numFmtId="0" hierarchy="1" level="1">
      <sharedItems count="3">
        <s v="First Class"/>
        <s v="Second Class"/>
        <s v="Third Class"/>
      </sharedItems>
    </cacheField>
    <cacheField name="[Measures].[Count of PassengerID]" caption="Count of PassengerID" numFmtId="0" hierarchy="12" level="32767"/>
    <cacheField name="[Table1_2].[Family Status].[Family Status]" caption="Family Status" numFmtId="0" hierarchy="6" level="1">
      <sharedItems containsSemiMixedTypes="0" containsNonDate="0" containsString="0"/>
    </cacheField>
    <cacheField name="Dummy0" numFmtId="0" hierarchy="14" level="32767">
      <extLst>
        <ext xmlns:x14="http://schemas.microsoft.com/office/spreadsheetml/2009/9/main" uri="{63CAB8AC-B538-458d-9737-405883B0398D}">
          <x14:cacheField ignore="1"/>
        </ext>
      </extLst>
    </cacheField>
  </cacheFields>
  <cacheHierarchies count="15">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fieldsUsage count="2">
        <fieldUsage x="-1"/>
        <fieldUsage x="2"/>
      </fieldsUsage>
    </cacheHierarchy>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0"/>
      </fieldsUsage>
    </cacheHierarchy>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4"/>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fieldsUsage count="2">
        <fieldUsage x="-1"/>
        <fieldUsage x="1"/>
      </fieldsUsage>
    </cacheHierarchy>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3"/>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y uniqueName="Dummy0" caption="Passenger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60532409" backgroundQuery="1" createdVersion="7" refreshedVersion="7" minRefreshableVersion="3" recordCount="0" supportSubquery="1" supportAdvancedDrill="1" xr:uid="{499DAE30-5515-4ADC-B106-5F792E49E1CF}">
  <cacheSource type="external" connectionId="2"/>
  <cacheFields count="3">
    <cacheField name="[Table1_2].[Gender].[Gender]" caption="Gender" numFmtId="0" hierarchy="4" level="1">
      <sharedItems count="2">
        <s v="Female"/>
        <s v="Male"/>
      </sharedItems>
    </cacheField>
    <cacheField name="[Measures].[Count of PassengerID]" caption="Count of PassengerID" numFmtId="0" hierarchy="12" level="32767"/>
    <cacheField name="[Table1_2].[Family Status].[Family Status]" caption="Family Status" numFmtId="0" hierarchy="6" level="1">
      <sharedItems containsSemiMixedTypes="0" containsNonDate="0" containsString="0"/>
    </cacheField>
  </cacheFields>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cacheHierarchy uniqueName="[Table1_2].[Salutation]" caption="Salutation" attribute="1" defaultMemberUniqueName="[Table1_2].[Salutation].[All]" allUniqueName="[Table1_2].[Salutation].[All]" dimensionUniqueName="[Table1_2]" displayFolder="" count="0" memberValueDatatype="130" unbalanced="0"/>
    <cacheHierarchy uniqueName="[Table1_2].[Gender]" caption="Gender" attribute="1" defaultMemberUniqueName="[Table1_2].[Gender].[All]" allUniqueName="[Table1_2].[Gender].[All]" dimensionUniqueName="[Table1_2]" displayFolder="" count="2" memberValueDatatype="130" unbalanced="0">
      <fieldsUsage count="2">
        <fieldUsage x="-1"/>
        <fieldUsage x="0"/>
      </fieldsUsage>
    </cacheHierarchy>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2"/>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60879632" backgroundQuery="1" createdVersion="7" refreshedVersion="7" minRefreshableVersion="3" recordCount="0" supportSubquery="1" supportAdvancedDrill="1" xr:uid="{A7436326-135E-442D-A647-A999A4083A8F}">
  <cacheSource type="external" connectionId="2"/>
  <cacheFields count="4">
    <cacheField name="[Table1_2].[Salutation].[Salutation]" caption="Salutation" numFmtId="0" hierarchy="3" level="1">
      <sharedItems count="14">
        <s v=" Capt"/>
        <s v=" Col"/>
        <s v=" Dr"/>
        <s v=" Lady"/>
        <s v=" Major"/>
        <s v=" Master"/>
        <s v=" Miss"/>
        <s v=" Mlle"/>
        <s v=" Mr"/>
        <s v=" Mrs"/>
        <s v=" Ms"/>
        <s v=" Rev"/>
        <s v=" Sir"/>
        <s v=" the Countess"/>
      </sharedItems>
    </cacheField>
    <cacheField name="[Measures].[Count of PassengerID]" caption="Count of PassengerID" numFmtId="0" hierarchy="12" level="32767"/>
    <cacheField name="[Table1_2].[Survived Category].[Survived Category]" caption="Survived Category" numFmtId="0" hierarchy="2" level="1">
      <sharedItems count="2">
        <s v="Alive"/>
        <s v="Dead"/>
      </sharedItems>
    </cacheField>
    <cacheField name="[Table1_2].[Family Status].[Family Status]" caption="Family Status" numFmtId="0" hierarchy="6" level="1">
      <sharedItems containsSemiMixedTypes="0" containsNonDate="0" containsString="0"/>
    </cacheField>
  </cacheFields>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fieldsUsage count="2">
        <fieldUsage x="-1"/>
        <fieldUsage x="2"/>
      </fieldsUsage>
    </cacheHierarchy>
    <cacheHierarchy uniqueName="[Table1_2].[Salutation]" caption="Salutation" attribute="1" defaultMemberUniqueName="[Table1_2].[Salutation].[All]" allUniqueName="[Table1_2].[Salutation].[All]" dimensionUniqueName="[Table1_2]" displayFolder="" count="2" memberValueDatatype="130" unbalanced="0">
      <fieldsUsage count="2">
        <fieldUsage x="-1"/>
        <fieldUsage x="0"/>
      </fieldsUsage>
    </cacheHierarchy>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3"/>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97.014761458333" backgroundQuery="1" createdVersion="7" refreshedVersion="7" minRefreshableVersion="3" recordCount="0" supportSubquery="1" supportAdvancedDrill="1" xr:uid="{FA4F5AAE-ACE0-42D4-A273-7BB088D09B6D}">
  <cacheSource type="external" connectionId="2"/>
  <cacheFields count="3">
    <cacheField name="[Measures].[Count of PassengerID]" caption="Count of PassengerID" numFmtId="0" hierarchy="12" level="32767"/>
    <cacheField name="[Table1_2].[Salutation].[Salutation]" caption="Salutation" numFmtId="0" hierarchy="3" level="1">
      <sharedItems count="14">
        <s v=" Miss"/>
        <s v=" Mr"/>
        <s v=" Mrs"/>
        <s v=" Master" u="1"/>
        <s v=" Rev" u="1"/>
        <s v=" Col" u="1"/>
        <s v=" Ms" u="1"/>
        <s v=" Mlle" u="1"/>
        <s v=" Capt" u="1"/>
        <s v=" Dr" u="1"/>
        <s v=" Lady" u="1"/>
        <s v=" Major" u="1"/>
        <s v=" Sir" u="1"/>
        <s v=" the Countess" u="1"/>
      </sharedItems>
    </cacheField>
    <cacheField name="[Table1_2].[Family Status].[Family Status]" caption="Family Status" numFmtId="0" hierarchy="6" level="1">
      <sharedItems containsSemiMixedTypes="0" containsNonDate="0" containsString="0"/>
    </cacheField>
  </cacheFields>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cacheHierarchy uniqueName="[Table1_2].[Salutation]" caption="Salutation" attribute="1" defaultMemberUniqueName="[Table1_2].[Salutation].[All]" allUniqueName="[Table1_2].[Salutation].[All]" dimensionUniqueName="[Table1_2]" displayFolder="" count="2" memberValueDatatype="130" unbalanced="0">
      <fieldsUsage count="2">
        <fieldUsage x="-1"/>
        <fieldUsage x="1"/>
      </fieldsUsage>
    </cacheHierarchy>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fieldsUsage count="2">
        <fieldUsage x="-1"/>
        <fieldUsage x="2"/>
      </fieldsUsage>
    </cacheHierarchy>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MYLS" refreshedDate="46289.906008449077" backgroundQuery="1" createdVersion="3" refreshedVersion="7" minRefreshableVersion="3" recordCount="0" supportSubquery="1" supportAdvancedDrill="1" xr:uid="{B363D8E0-C40B-447D-9265-A9199EDB0B8E}">
  <cacheSource type="external" connectionId="2">
    <extLst>
      <ext xmlns:x14="http://schemas.microsoft.com/office/spreadsheetml/2009/9/main" uri="{F057638F-6D5F-4e77-A914-E7F072B9BCA8}">
        <x14:sourceConnection name="ThisWorkbookDataModel"/>
      </ext>
    </extLst>
  </cacheSource>
  <cacheFields count="0"/>
  <cacheHierarchies count="14">
    <cacheHierarchy uniqueName="[Table1_2].[PassengerID]" caption="PassengerID" attribute="1" defaultMemberUniqueName="[Table1_2].[PassengerID].[All]" allUniqueName="[Table1_2].[PassengerID].[All]" dimensionUniqueName="[Table1_2]" displayFolder="" count="0" memberValueDatatype="20" unbalanced="0"/>
    <cacheHierarchy uniqueName="[Table1_2].[Pclass Category]" caption="Pclass Category" attribute="1" defaultMemberUniqueName="[Table1_2].[Pclass Category].[All]" allUniqueName="[Table1_2].[Pclass Category].[All]" dimensionUniqueName="[Table1_2]" displayFolder="" count="2" memberValueDatatype="130" unbalanced="0"/>
    <cacheHierarchy uniqueName="[Table1_2].[Survived Category]" caption="Survived Category" attribute="1" defaultMemberUniqueName="[Table1_2].[Survived Category].[All]" allUniqueName="[Table1_2].[Survived Category].[All]" dimensionUniqueName="[Table1_2]" displayFolder="" count="2" memberValueDatatype="130" unbalanced="0"/>
    <cacheHierarchy uniqueName="[Table1_2].[Salutation]" caption="Salutation" attribute="1" defaultMemberUniqueName="[Table1_2].[Salutation].[All]" allUniqueName="[Table1_2].[Salutation].[All]" dimensionUniqueName="[Table1_2]" displayFolder="" count="2" memberValueDatatype="130" unbalanced="0"/>
    <cacheHierarchy uniqueName="[Table1_2].[Gender]" caption="Gender" attribute="1" defaultMemberUniqueName="[Table1_2].[Gender].[All]" allUniqueName="[Table1_2].[Gender].[All]" dimensionUniqueName="[Table1_2]" displayFolder="" count="2" memberValueDatatype="130" unbalanced="0"/>
    <cacheHierarchy uniqueName="[Table1_2].[Age Group]" caption="Age Group" attribute="1" defaultMemberUniqueName="[Table1_2].[Age Group].[All]" allUniqueName="[Table1_2].[Age Group].[All]" dimensionUniqueName="[Table1_2]" displayFolder="" count="2" memberValueDatatype="130" unbalanced="0"/>
    <cacheHierarchy uniqueName="[Table1_2].[Family Status]" caption="Family Status" attribute="1" defaultMemberUniqueName="[Table1_2].[Family Status].[All]" allUniqueName="[Table1_2].[Family Status].[All]" dimensionUniqueName="[Table1_2]" displayFolder="" count="2" memberValueDatatype="130" unbalanced="0"/>
    <cacheHierarchy uniqueName="[Table1_2].[Fare Category]" caption="Fare Category" attribute="1" defaultMemberUniqueName="[Table1_2].[Fare Category].[All]" allUniqueName="[Table1_2].[Fare Category].[All]" dimensionUniqueName="[Table1_2]" displayFolder="" count="2" memberValueDatatype="130" unbalanced="0"/>
    <cacheHierarchy uniqueName="[Table1_2].[Embarked Category]" caption="Embarked Category" attribute="1" defaultMemberUniqueName="[Table1_2].[Embarked Category].[All]" allUniqueName="[Table1_2].[Embarked Category].[All]" dimensionUniqueName="[Table1_2]" displayFolder="" count="2" memberValueDatatype="130" unbalanced="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PassengerID]" caption="Sum of PassengerID" measure="1" displayFolder="" measureGroup="Table1_2" count="0" hidden="1">
      <extLst>
        <ext xmlns:x15="http://schemas.microsoft.com/office/spreadsheetml/2010/11/main" uri="{B97F6D7D-B522-45F9-BDA1-12C45D357490}">
          <x15:cacheHierarchy aggregatedColumn="0"/>
        </ext>
      </extLst>
    </cacheHierarchy>
    <cacheHierarchy uniqueName="[Measures].[Count of PassengerID]" caption="Count of PassengerID" measure="1" displayFolder="" measureGroup="Table1_2" count="0" hidden="1">
      <extLst>
        <ext xmlns:x15="http://schemas.microsoft.com/office/spreadsheetml/2010/11/main" uri="{B97F6D7D-B522-45F9-BDA1-12C45D357490}">
          <x15:cacheHierarchy aggregatedColumn="0"/>
        </ext>
      </extLst>
    </cacheHierarchy>
    <cacheHierarchy uniqueName="[Measures].[Distinct Count of PassengerID]" caption="Distinct Count of PassengerID" measure="1" displayFolder="" measureGroup="Table1_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7435720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B1D0C0-2C06-4CAE-B9DC-D8CFCA8C9BE6}" name="Gender_Age_survival_rate" cacheId="897" applyNumberFormats="0" applyBorderFormats="0" applyFontFormats="0" applyPatternFormats="0" applyAlignmentFormats="0" applyWidthHeightFormats="1" dataCaption="Values" tag="b5c63ba2-92dd-4c8f-8fbe-6445010b61ff" updatedVersion="7" minRefreshableVersion="3" useAutoFormatting="1" subtotalHiddenItems="1" itemPrintTitles="1" createdVersion="7" indent="0" compact="0" outline="1" outlineData="1" compactData="0" multipleFieldFilters="0">
  <location ref="A47:H62" firstHeaderRow="1" firstDataRow="3" firstDataCol="2"/>
  <pivotFields count="5">
    <pivotField axis="axisRow" compact="0" allDrilled="1" showAll="0" dataSourceSort="1" defaultAttributeDrillState="1">
      <items count="3">
        <item x="0"/>
        <item x="1"/>
        <item t="default"/>
      </items>
    </pivotField>
    <pivotField axis="axisRow" compact="0" allDrilled="1" showAll="0" defaultAttributeDrillState="1">
      <items count="6">
        <item x="0"/>
        <item x="1"/>
        <item x="2"/>
        <item x="3"/>
        <item x="4"/>
        <item t="default"/>
      </items>
    </pivotField>
    <pivotField dataField="1" compact="0" showAll="0" defaultSubtotal="0"/>
    <pivotField axis="axisCol" compact="0" allDrilled="1" showAll="0" dataSourceSort="1" defaultAttributeDrillState="1">
      <items count="3">
        <item x="0"/>
        <item x="1"/>
        <item t="default"/>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13">
    <i>
      <x/>
    </i>
    <i r="1">
      <x/>
    </i>
    <i r="1">
      <x v="1"/>
    </i>
    <i r="1">
      <x v="2"/>
    </i>
    <i r="1">
      <x v="3"/>
    </i>
    <i r="1">
      <x v="4"/>
    </i>
    <i>
      <x v="1"/>
    </i>
    <i r="1">
      <x/>
    </i>
    <i r="1">
      <x v="1"/>
    </i>
    <i r="1">
      <x v="2"/>
    </i>
    <i r="1">
      <x v="3"/>
    </i>
    <i r="1">
      <x v="4"/>
    </i>
    <i t="grand">
      <x/>
    </i>
  </rowItems>
  <colFields count="2">
    <field x="3"/>
    <field x="-2"/>
  </colFields>
  <colItems count="6">
    <i>
      <x/>
      <x/>
    </i>
    <i r="1" i="1">
      <x v="1"/>
    </i>
    <i>
      <x v="1"/>
      <x/>
    </i>
    <i r="1" i="1">
      <x v="1"/>
    </i>
    <i t="grand">
      <x/>
    </i>
    <i t="grand" i="1">
      <x/>
    </i>
  </colItems>
  <dataFields count="2">
    <dataField name="Absolute Count" fld="2" subtotal="count" baseField="0" baseItem="0"/>
    <dataField name="%" fld="4" subtotal="count" showDataAs="percentOfRow" baseField="0" baseItem="1" numFmtId="10">
      <extLst>
        <ext xmlns:x14="http://schemas.microsoft.com/office/spreadsheetml/2009/9/main" uri="{E15A36E0-9728-4e99-A89B-3F7291B0FE68}">
          <x14:dataField sourceField="2" uniqueName="[__Xl2].[Measures].[Count of PassengerID]"/>
        </ext>
      </extLst>
    </dataField>
  </dataFields>
  <formats count="8">
    <format dxfId="190">
      <pivotArea outline="0" fieldPosition="0">
        <references count="2">
          <reference field="4294967294" count="1" selected="0">
            <x v="1"/>
          </reference>
          <reference field="3" count="1" selected="0">
            <x v="0"/>
          </reference>
        </references>
      </pivotArea>
    </format>
    <format dxfId="189">
      <pivotArea outline="0" fieldPosition="0">
        <references count="2">
          <reference field="4294967294" count="1" selected="0">
            <x v="1"/>
          </reference>
          <reference field="3" count="1" selected="0">
            <x v="1"/>
          </reference>
        </references>
      </pivotArea>
    </format>
    <format dxfId="188">
      <pivotArea field="3" grandCol="1" outline="0" axis="axisCol" fieldPosition="0">
        <references count="1">
          <reference field="4294967294" count="1" selected="0">
            <x v="1"/>
          </reference>
        </references>
      </pivotArea>
    </format>
    <format dxfId="187">
      <pivotArea type="all" dataOnly="0" outline="0" fieldPosition="0"/>
    </format>
    <format dxfId="186">
      <pivotArea field="1" grandCol="1" axis="axisRow" fieldPosition="1">
        <references count="3">
          <reference field="4294967294" count="1" selected="0">
            <x v="0"/>
          </reference>
          <reference field="0" count="1" selected="0">
            <x v="0"/>
          </reference>
          <reference field="1" count="0"/>
        </references>
      </pivotArea>
    </format>
    <format dxfId="185">
      <pivotArea field="1" grandCol="1" axis="axisRow" fieldPosition="1">
        <references count="3">
          <reference field="4294967294" count="1" selected="0">
            <x v="0"/>
          </reference>
          <reference field="0" count="1" selected="0">
            <x v="1"/>
          </reference>
          <reference field="1" count="0"/>
        </references>
      </pivotArea>
    </format>
    <format dxfId="184">
      <pivotArea field="1" grandCol="1" axis="axisRow" fieldPosition="1">
        <references count="3">
          <reference field="4294967294" count="1" selected="0">
            <x v="0"/>
          </reference>
          <reference field="0" count="1" selected="0">
            <x v="0"/>
          </reference>
          <reference field="1" count="0"/>
        </references>
      </pivotArea>
    </format>
    <format dxfId="183">
      <pivotArea field="1" grandCol="1" axis="axisRow" fieldPosition="1">
        <references count="3">
          <reference field="4294967294" count="1" selected="0">
            <x v="0"/>
          </reference>
          <reference field="0" count="1" selected="0">
            <x v="1"/>
          </reference>
          <reference field="1" count="0"/>
        </references>
      </pivotArea>
    </format>
  </formats>
  <conditionalFormats count="4">
    <conditionalFormat priority="17">
      <pivotAreas count="1">
        <pivotArea type="data" collapsedLevelsAreSubtotals="1" fieldPosition="0">
          <references count="4">
            <reference field="4294967294" count="1" selected="0">
              <x v="1"/>
            </reference>
            <reference field="0" count="1" selected="0">
              <x v="1"/>
            </reference>
            <reference field="1" count="5">
              <x v="0"/>
              <x v="1"/>
              <x v="2"/>
              <x v="3"/>
              <x v="4"/>
            </reference>
            <reference field="3" count="1" selected="0">
              <x v="1"/>
            </reference>
          </references>
        </pivotArea>
      </pivotAreas>
    </conditionalFormat>
    <conditionalFormat priority="18">
      <pivotAreas count="1">
        <pivotArea type="data" collapsedLevelsAreSubtotals="1" fieldPosition="0">
          <references count="4">
            <reference field="4294967294" count="1" selected="0">
              <x v="1"/>
            </reference>
            <reference field="0" count="1" selected="0">
              <x v="0"/>
            </reference>
            <reference field="1" count="5">
              <x v="0"/>
              <x v="1"/>
              <x v="2"/>
              <x v="3"/>
              <x v="4"/>
            </reference>
            <reference field="3" count="1" selected="0">
              <x v="1"/>
            </reference>
          </references>
        </pivotArea>
      </pivotAreas>
    </conditionalFormat>
    <conditionalFormat priority="19">
      <pivotAreas count="1">
        <pivotArea type="data" collapsedLevelsAreSubtotals="1" fieldPosition="0">
          <references count="4">
            <reference field="4294967294" count="1" selected="0">
              <x v="1"/>
            </reference>
            <reference field="0" count="1" selected="0">
              <x v="1"/>
            </reference>
            <reference field="1" count="5">
              <x v="0"/>
              <x v="1"/>
              <x v="2"/>
              <x v="3"/>
              <x v="4"/>
            </reference>
            <reference field="3" count="1" selected="0">
              <x v="0"/>
            </reference>
          </references>
        </pivotArea>
      </pivotAreas>
    </conditionalFormat>
    <conditionalFormat priority="20">
      <pivotAreas count="1">
        <pivotArea type="data" collapsedLevelsAreSubtotals="1" fieldPosition="0">
          <references count="4">
            <reference field="4294967294" count="1" selected="0">
              <x v="1"/>
            </reference>
            <reference field="0" count="1" selected="0">
              <x v="0"/>
            </reference>
            <reference field="1" count="5">
              <x v="0"/>
              <x v="1"/>
              <x v="2"/>
              <x v="3"/>
              <x v="4"/>
            </reference>
            <reference field="3" count="1" selected="0">
              <x v="0"/>
            </reference>
          </references>
        </pivotArea>
      </pivotAreas>
    </conditionalFormat>
  </conditional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4"/>
    <rowHierarchyUsage hierarchyUsage="5"/>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82DDED-5C08-4D7D-8246-B2D52BDF1261}" name="PivotTable18" cacheId="898" applyNumberFormats="0" applyBorderFormats="0" applyFontFormats="0" applyPatternFormats="0" applyAlignmentFormats="0" applyWidthHeightFormats="1" dataCaption="Values" tag="db4dd6ff-6726-4c50-a325-5cab10fbef47" updatedVersion="7" minRefreshableVersion="3" useAutoFormatting="1" subtotalHiddenItems="1" itemPrintTitles="1" createdVersion="7" indent="0" outline="1" outlineData="1" multipleFieldFilters="0">
  <location ref="A97:G106" firstHeaderRow="1" firstDataRow="3" firstDataCol="1"/>
  <pivotFields count="5">
    <pivotField axis="axisRow" allDrilled="1" showAll="0" dataSourceSort="1" defaultAttributeDrillState="1">
      <items count="3">
        <item x="0"/>
        <item x="1"/>
        <item t="default"/>
      </items>
    </pivotField>
    <pivotField axis="axisRow" allDrilled="1" showAll="0" dataSourceSort="1" defaultAttributeDrillState="1">
      <items count="3">
        <item x="0"/>
        <item x="1"/>
        <item t="default"/>
      </items>
    </pivotField>
    <pivotField dataField="1" subtotalTop="0" showAll="0" defaultSubtotal="0"/>
    <pivotField axis="axisCol" allDrilled="1" showAll="0" dataSourceSort="1" defaultAttributeDrillState="1">
      <items count="3">
        <item x="0"/>
        <item x="1"/>
        <item t="default"/>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7">
    <i>
      <x/>
    </i>
    <i r="1">
      <x/>
    </i>
    <i r="1">
      <x v="1"/>
    </i>
    <i>
      <x v="1"/>
    </i>
    <i r="1">
      <x/>
    </i>
    <i r="1">
      <x v="1"/>
    </i>
    <i t="grand">
      <x/>
    </i>
  </rowItems>
  <colFields count="2">
    <field x="3"/>
    <field x="-2"/>
  </colFields>
  <colItems count="6">
    <i>
      <x/>
      <x/>
    </i>
    <i r="1" i="1">
      <x v="1"/>
    </i>
    <i>
      <x v="1"/>
      <x/>
    </i>
    <i r="1" i="1">
      <x v="1"/>
    </i>
    <i t="grand">
      <x/>
    </i>
    <i t="grand" i="1">
      <x/>
    </i>
  </colItems>
  <dataFields count="2">
    <dataField name="Absolute Count" fld="2" subtotal="count" baseField="1" baseItem="0"/>
    <dataField name="%" fld="4" subtotal="count" showDataAs="percentOfRow" baseField="1" baseItem="0" numFmtId="10">
      <extLst>
        <ext xmlns:x14="http://schemas.microsoft.com/office/spreadsheetml/2009/9/main" uri="{E15A36E0-9728-4e99-A89B-3F7291B0FE68}">
          <x14:dataField sourceField="2" uniqueName="[__Xl2].[Measures].[Count of PassengerID]"/>
        </ext>
      </extLst>
    </dataField>
  </dataFields>
  <formats count="8">
    <format dxfId="198">
      <pivotArea outline="0" collapsedLevelsAreSubtotals="1" fieldPosition="0">
        <references count="2">
          <reference field="4294967294" count="1" selected="0">
            <x v="1"/>
          </reference>
          <reference field="3" count="1" selected="0">
            <x v="0"/>
          </reference>
        </references>
      </pivotArea>
    </format>
    <format dxfId="197">
      <pivotArea outline="0" collapsedLevelsAreSubtotals="1" fieldPosition="0">
        <references count="2">
          <reference field="4294967294" count="1" selected="0">
            <x v="1"/>
          </reference>
          <reference field="3" count="1" selected="0">
            <x v="1"/>
          </reference>
        </references>
      </pivotArea>
    </format>
    <format dxfId="196">
      <pivotArea field="3" grandCol="1" outline="0" collapsedLevelsAreSubtotals="1" axis="axisCol" fieldPosition="0">
        <references count="1">
          <reference field="4294967294" count="1" selected="0">
            <x v="1"/>
          </reference>
        </references>
      </pivotArea>
    </format>
    <format dxfId="195">
      <pivotArea type="all" dataOnly="0" outline="0" fieldPosition="0"/>
    </format>
    <format dxfId="194">
      <pivotArea field="1" grandCol="1" collapsedLevelsAreSubtotals="1" axis="axisRow" fieldPosition="0">
        <references count="3">
          <reference field="4294967294" count="1" selected="0">
            <x v="0"/>
          </reference>
          <reference field="0" count="0"/>
          <reference field="1" count="1" selected="0">
            <x v="0"/>
          </reference>
        </references>
      </pivotArea>
    </format>
    <format dxfId="193">
      <pivotArea field="1" grandCol="1" collapsedLevelsAreSubtotals="1" axis="axisRow" fieldPosition="0">
        <references count="3">
          <reference field="4294967294" count="1" selected="0">
            <x v="0"/>
          </reference>
          <reference field="0" count="0"/>
          <reference field="1" count="1" selected="0">
            <x v="1"/>
          </reference>
        </references>
      </pivotArea>
    </format>
    <format dxfId="192">
      <pivotArea field="1" grandCol="1" collapsedLevelsAreSubtotals="1" axis="axisRow" fieldPosition="0">
        <references count="3">
          <reference field="4294967294" count="1" selected="0">
            <x v="0"/>
          </reference>
          <reference field="0" count="0"/>
          <reference field="1" count="1" selected="0">
            <x v="0"/>
          </reference>
        </references>
      </pivotArea>
    </format>
    <format dxfId="191">
      <pivotArea field="1" grandCol="1" collapsedLevelsAreSubtotals="1" axis="axisRow" fieldPosition="0">
        <references count="3">
          <reference field="4294967294" count="1" selected="0">
            <x v="0"/>
          </reference>
          <reference field="0" count="0"/>
          <reference field="1" count="1" selected="0">
            <x v="1"/>
          </reference>
        </references>
      </pivotArea>
    </format>
  </formats>
  <conditionalFormats count="4">
    <conditionalFormat priority="7">
      <pivotAreas count="1">
        <pivotArea type="data" collapsedLevelsAreSubtotals="1" fieldPosition="0">
          <references count="4">
            <reference field="4294967294" count="1" selected="0">
              <x v="1"/>
            </reference>
            <reference field="0" count="2">
              <x v="0"/>
              <x v="1"/>
            </reference>
            <reference field="1" count="1" selected="0">
              <x v="1"/>
            </reference>
            <reference field="3" count="1" selected="0">
              <x v="1"/>
            </reference>
          </references>
        </pivotArea>
      </pivotAreas>
    </conditionalFormat>
    <conditionalFormat priority="8">
      <pivotAreas count="1">
        <pivotArea type="data" collapsedLevelsAreSubtotals="1" fieldPosition="0">
          <references count="4">
            <reference field="4294967294" count="1" selected="0">
              <x v="1"/>
            </reference>
            <reference field="0" count="2">
              <x v="0"/>
              <x v="1"/>
            </reference>
            <reference field="1" count="1" selected="0">
              <x v="0"/>
            </reference>
            <reference field="3" count="1" selected="0">
              <x v="1"/>
            </reference>
          </references>
        </pivotArea>
      </pivotAreas>
    </conditionalFormat>
    <conditionalFormat priority="9">
      <pivotAreas count="1">
        <pivotArea type="data" collapsedLevelsAreSubtotals="1" fieldPosition="0">
          <references count="4">
            <reference field="4294967294" count="1" selected="0">
              <x v="1"/>
            </reference>
            <reference field="0" count="2">
              <x v="0"/>
              <x v="1"/>
            </reference>
            <reference field="1" count="1" selected="0">
              <x v="1"/>
            </reference>
            <reference field="3" count="1" selected="0">
              <x v="0"/>
            </reference>
          </references>
        </pivotArea>
      </pivotAreas>
    </conditionalFormat>
    <conditionalFormat priority="10">
      <pivotAreas count="1">
        <pivotArea type="data" collapsedLevelsAreSubtotals="1" fieldPosition="0">
          <references count="4">
            <reference field="4294967294" count="1" selected="0">
              <x v="1"/>
            </reference>
            <reference field="0" count="2">
              <x v="0"/>
              <x v="1"/>
            </reference>
            <reference field="1" count="1" selected="0">
              <x v="0"/>
            </reference>
            <reference field="3" count="1" selected="0">
              <x v="0"/>
            </reference>
          </references>
        </pivotArea>
      </pivotAreas>
    </conditionalFormat>
  </conditional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4"/>
    <rowHierarchyUsage hierarchyUsage="6"/>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2D547E-5D20-4885-8F03-CF6F8AFF4B3B}" name="Fare_survival_rate" cacheId="895" applyNumberFormats="0" applyBorderFormats="0" applyFontFormats="0" applyPatternFormats="0" applyAlignmentFormats="0" applyWidthHeightFormats="1" dataCaption="Values" tag="d4e02b91-6af1-4519-9b72-2133c60152c1" updatedVersion="7" minRefreshableVersion="3" useAutoFormatting="1" itemPrintTitles="1" createdVersion="7" indent="0" outline="1" outlineData="1" multipleFieldFilters="0">
  <location ref="A67:G73" firstHeaderRow="1" firstDataRow="3" firstDataCol="1"/>
  <pivotFields count="4">
    <pivotField axis="axisRow" allDrilled="1" subtotalTop="0" showAll="0"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2">
    <field x="2"/>
    <field x="-2"/>
  </colFields>
  <colItems count="6">
    <i>
      <x/>
      <x/>
    </i>
    <i r="1" i="1">
      <x v="1"/>
    </i>
    <i>
      <x v="1"/>
      <x/>
    </i>
    <i r="1" i="1">
      <x v="1"/>
    </i>
    <i t="grand">
      <x/>
    </i>
    <i t="grand" i="1">
      <x/>
    </i>
  </colItems>
  <dataFields count="2">
    <dataField name="Absolute Count" fld="1" subtotal="count" baseField="0" baseItem="0"/>
    <dataField name="%" fld="3" subtotal="count" showDataAs="percentOfRow" baseField="0" baseItem="0" numFmtId="10">
      <extLst>
        <ext xmlns:x14="http://schemas.microsoft.com/office/spreadsheetml/2009/9/main" uri="{E15A36E0-9728-4e99-A89B-3F7291B0FE68}">
          <x14:dataField sourceField="1" uniqueName="[__Xl2].[Measures].[Count of PassengerID]"/>
        </ext>
      </extLst>
    </dataField>
  </dataFields>
  <formats count="6">
    <format dxfId="204">
      <pivotArea outline="0" collapsedLevelsAreSubtotals="1" fieldPosition="0">
        <references count="2">
          <reference field="4294967294" count="1" selected="0">
            <x v="1"/>
          </reference>
          <reference field="2" count="1" selected="0">
            <x v="0"/>
          </reference>
        </references>
      </pivotArea>
    </format>
    <format dxfId="203">
      <pivotArea outline="0" collapsedLevelsAreSubtotals="1" fieldPosition="0">
        <references count="2">
          <reference field="4294967294" count="1" selected="0">
            <x v="1"/>
          </reference>
          <reference field="2" count="1" selected="0">
            <x v="1"/>
          </reference>
        </references>
      </pivotArea>
    </format>
    <format dxfId="202">
      <pivotArea field="2" grandCol="1" outline="0" collapsedLevelsAreSubtotals="1" axis="axisCol" fieldPosition="0">
        <references count="1">
          <reference field="4294967294" count="1" selected="0">
            <x v="1"/>
          </reference>
        </references>
      </pivotArea>
    </format>
    <format dxfId="201">
      <pivotArea type="all" dataOnly="0" outline="0" fieldPosition="0"/>
    </format>
    <format dxfId="200">
      <pivotArea field="0" grandCol="1" collapsedLevelsAreSubtotals="1" axis="axisRow" fieldPosition="0">
        <references count="2">
          <reference field="4294967294" count="1" selected="0">
            <x v="0"/>
          </reference>
          <reference field="0" count="0"/>
        </references>
      </pivotArea>
    </format>
    <format dxfId="199">
      <pivotArea field="0" grandCol="1" collapsedLevelsAreSubtotals="1" axis="axisRow" fieldPosition="0">
        <references count="2">
          <reference field="4294967294" count="1" selected="0">
            <x v="0"/>
          </reference>
          <reference field="0" count="0"/>
        </references>
      </pivotArea>
    </format>
  </formats>
  <conditionalFormats count="2">
    <conditionalFormat priority="15">
      <pivotAreas count="1">
        <pivotArea type="data" collapsedLevelsAreSubtotals="1" fieldPosition="0">
          <references count="3">
            <reference field="4294967294" count="1" selected="0">
              <x v="1"/>
            </reference>
            <reference field="0" count="3">
              <x v="0"/>
              <x v="1"/>
              <x v="2"/>
            </reference>
            <reference field="2" count="1" selected="0">
              <x v="1"/>
            </reference>
          </references>
        </pivotArea>
      </pivotAreas>
    </conditionalFormat>
    <conditionalFormat priority="16">
      <pivotAreas count="1">
        <pivotArea type="data" collapsedLevelsAreSubtotals="1" fieldPosition="0">
          <references count="3">
            <reference field="4294967294" count="1" selected="0">
              <x v="1"/>
            </reference>
            <reference field="0" count="3">
              <x v="0"/>
              <x v="1"/>
              <x v="2"/>
            </reference>
            <reference field="2" count="1" selected="0">
              <x v="0"/>
            </reference>
          </references>
        </pivotArea>
      </pivotAreas>
    </conditionalFormat>
  </conditional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2B70F3-D434-42C4-A73D-049570CEAA2B}" name="Embarkation_survival_analysis" cacheId="891" applyNumberFormats="0" applyBorderFormats="0" applyFontFormats="0" applyPatternFormats="0" applyAlignmentFormats="0" applyWidthHeightFormats="1" dataCaption="Values" tag="fa523915-f18c-45e0-afb2-a24d204760a6" updatedVersion="7" minRefreshableVersion="3" useAutoFormatting="1" subtotalHiddenItems="1" itemPrintTitles="1" createdVersion="7" indent="0" compact="0" outline="1" outlineData="1" compactData="0" multipleFieldFilters="0">
  <location ref="A88:G94" firstHeaderRow="1" firstDataRow="3" firstDataCol="1"/>
  <pivotFields count="4">
    <pivotField axis="axisRow" compact="0" allDrilled="1" showAll="0" defaultSubtotal="0" defaultAttributeDrillState="1">
      <items count="3">
        <item x="0"/>
        <item x="1"/>
        <item x="2"/>
      </items>
    </pivotField>
    <pivotField axis="axisCol" compact="0" allDrilled="1" showAll="0" dataSourceSort="1" defaultSubtotal="0" defaultAttributeDrillState="1">
      <items count="2">
        <item x="0"/>
        <item x="1"/>
      </items>
    </pivotField>
    <pivotField dataField="1" compact="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2">
    <field x="1"/>
    <field x="-2"/>
  </colFields>
  <colItems count="6">
    <i>
      <x/>
      <x/>
    </i>
    <i r="1" i="1">
      <x v="1"/>
    </i>
    <i>
      <x v="1"/>
      <x/>
    </i>
    <i r="1" i="1">
      <x v="1"/>
    </i>
    <i t="grand">
      <x/>
    </i>
    <i t="grand" i="1">
      <x/>
    </i>
  </colItems>
  <dataFields count="2">
    <dataField name="Absolute Count" fld="2" subtotal="count" baseField="0" baseItem="0"/>
    <dataField name="%" fld="3" subtotal="count" showDataAs="percentOfRow" baseField="0" baseItem="0" numFmtId="10">
      <extLst>
        <ext xmlns:x14="http://schemas.microsoft.com/office/spreadsheetml/2009/9/main" uri="{E15A36E0-9728-4e99-A89B-3F7291B0FE68}">
          <x14:dataField sourceField="2" uniqueName="[__Xl2].[Measures].[Count of PassengerID]"/>
        </ext>
      </extLst>
    </dataField>
  </dataFields>
  <formats count="6">
    <format dxfId="210">
      <pivotArea outline="0" fieldPosition="0">
        <references count="2">
          <reference field="4294967294" count="1" selected="0">
            <x v="1"/>
          </reference>
          <reference field="1" count="1" selected="0">
            <x v="0"/>
          </reference>
        </references>
      </pivotArea>
    </format>
    <format dxfId="209">
      <pivotArea outline="0" fieldPosition="0">
        <references count="2">
          <reference field="4294967294" count="1" selected="0">
            <x v="1"/>
          </reference>
          <reference field="1" count="1" selected="0">
            <x v="1"/>
          </reference>
        </references>
      </pivotArea>
    </format>
    <format dxfId="208">
      <pivotArea field="1" grandCol="1" outline="0" axis="axisCol" fieldPosition="0">
        <references count="1">
          <reference field="4294967294" count="1" selected="0">
            <x v="1"/>
          </reference>
        </references>
      </pivotArea>
    </format>
    <format dxfId="207">
      <pivotArea type="all" dataOnly="0" outline="0" fieldPosition="0"/>
    </format>
    <format dxfId="206">
      <pivotArea field="0" grandCol="1" axis="axisRow" fieldPosition="0">
        <references count="2">
          <reference field="4294967294" count="1" selected="0">
            <x v="0"/>
          </reference>
          <reference field="0" count="0"/>
        </references>
      </pivotArea>
    </format>
    <format dxfId="205">
      <pivotArea field="0" grandCol="1" axis="axisRow" fieldPosition="0">
        <references count="2">
          <reference field="4294967294" count="1" selected="0">
            <x v="0"/>
          </reference>
          <reference field="0" count="0"/>
        </references>
      </pivotArea>
    </format>
  </formats>
  <conditionalFormats count="2">
    <conditionalFormat priority="11">
      <pivotAreas count="1">
        <pivotArea type="data" collapsedLevelsAreSubtotals="1" fieldPosition="0">
          <references count="3">
            <reference field="4294967294" count="1" selected="0">
              <x v="1"/>
            </reference>
            <reference field="0" count="3">
              <x v="0"/>
              <x v="1"/>
              <x v="2"/>
            </reference>
            <reference field="1" count="1" selected="0">
              <x v="1"/>
            </reference>
          </references>
        </pivotArea>
      </pivotAreas>
    </conditionalFormat>
    <conditionalFormat priority="12">
      <pivotAreas count="1">
        <pivotArea type="data" collapsedLevelsAreSubtotals="1" fieldPosition="0">
          <references count="3">
            <reference field="4294967294" count="1" selected="0">
              <x v="1"/>
            </reference>
            <reference field="0" count="3">
              <x v="0"/>
              <x v="1"/>
              <x v="2"/>
            </reference>
            <reference field="1" count="1" selected="0">
              <x v="0"/>
            </reference>
          </references>
        </pivotArea>
      </pivotAreas>
    </conditionalFormat>
  </conditional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9BF52F-2089-4514-B6DB-A1B667446D2D}" name="Survival_Rate" cacheId="894" applyNumberFormats="0" applyBorderFormats="0" applyFontFormats="0" applyPatternFormats="0" applyAlignmentFormats="0" applyWidthHeightFormats="1" dataCaption="Values" tag="f8cf4b2c-6ee4-4652-b9c5-dcfa16091fe9" updatedVersion="7" minRefreshableVersion="3" useAutoFormatting="1" subtotalHiddenItems="1" itemPrintTitles="1" createdVersion="7" indent="0" compact="0" outline="1" outlineData="1" compactData="0" multipleFieldFilters="0" chartFormat="1">
  <location ref="A6:C9" firstHeaderRow="0" firstDataRow="1" firstDataCol="1"/>
  <pivotFields count="3">
    <pivotField axis="axisRow" compact="0" allDrilled="1"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compact="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v="1"/>
    </i>
    <i>
      <x/>
    </i>
    <i t="grand">
      <x/>
    </i>
  </rowItems>
  <colFields count="1">
    <field x="-2"/>
  </colFields>
  <colItems count="2">
    <i>
      <x/>
    </i>
    <i i="1">
      <x v="1"/>
    </i>
  </colItems>
  <dataFields count="2">
    <dataField name="Absolute" fld="1" subtotal="count" baseField="0" baseItem="0"/>
    <dataField name="%" fld="2" subtotal="count" showDataAs="percentOfTotal" baseField="0" baseItem="0" numFmtId="9">
      <extLst>
        <ext xmlns:x14="http://schemas.microsoft.com/office/spreadsheetml/2009/9/main" uri="{E15A36E0-9728-4e99-A89B-3F7291B0FE68}">
          <x14:dataField sourceField="1" uniqueName="[__Xl2].[Measures].[Count of PassengerID]"/>
        </ext>
      </extLst>
    </dataField>
  </dataFields>
  <formats count="7">
    <format dxfId="217">
      <pivotArea outline="0" fieldPosition="0">
        <references count="1">
          <reference field="4294967294" count="1" selected="0">
            <x v="1"/>
          </reference>
        </references>
      </pivotArea>
    </format>
    <format dxfId="216">
      <pivotArea type="all" dataOnly="0" outline="0" fieldPosition="0"/>
    </format>
    <format dxfId="215">
      <pivotArea outline="0" collapsedLevelsAreSubtotals="1" fieldPosition="0"/>
    </format>
    <format dxfId="214">
      <pivotArea field="0" type="button" dataOnly="0" labelOnly="1" outline="0" axis="axisRow" fieldPosition="0"/>
    </format>
    <format dxfId="213">
      <pivotArea dataOnly="0" labelOnly="1" outline="0" fieldPosition="0">
        <references count="1">
          <reference field="0" count="0"/>
        </references>
      </pivotArea>
    </format>
    <format dxfId="212">
      <pivotArea dataOnly="0" labelOnly="1" grandRow="1" outline="0" fieldPosition="0"/>
    </format>
    <format dxfId="211">
      <pivotArea dataOnly="0" labelOnly="1" outline="0" fieldPosition="0">
        <references count="1">
          <reference field="4294967294" count="2">
            <x v="0"/>
            <x v="1"/>
          </reference>
        </references>
      </pivotArea>
    </format>
  </formats>
  <conditionalFormats count="1">
    <conditionalFormat priority="28">
      <pivotAreas count="2">
        <pivotArea type="data" collapsedLevelsAreSubtotals="1" fieldPosition="0">
          <references count="2">
            <reference field="4294967294" count="1" selected="0">
              <x v="0"/>
            </reference>
            <reference field="0" count="1">
              <x v="1"/>
            </reference>
          </references>
        </pivotArea>
        <pivotArea type="data" collapsedLevelsAreSubtotals="1" fieldPosition="0">
          <references count="2">
            <reference field="4294967294" count="1" selected="0">
              <x v="0"/>
            </reference>
            <reference field="0" count="1">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633A71-A13D-4C8B-BE4F-4D7F65B7925E}" name="Family_Status_survival_rate" cacheId="896" applyNumberFormats="0" applyBorderFormats="0" applyFontFormats="0" applyPatternFormats="0" applyAlignmentFormats="0" applyWidthHeightFormats="1" dataCaption="Values" tag="72e58256-efcc-4c09-962b-ac103b2ba6e9" updatedVersion="7" minRefreshableVersion="3" useAutoFormatting="1" subtotalHiddenItems="1" itemPrintTitles="1" createdVersion="7" indent="0" outline="1" outlineData="1" multipleFieldFilters="0">
  <location ref="A78:G83" firstHeaderRow="1" firstDataRow="3"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2">
    <field x="1"/>
    <field x="-2"/>
  </colFields>
  <colItems count="6">
    <i>
      <x/>
      <x/>
    </i>
    <i r="1" i="1">
      <x v="1"/>
    </i>
    <i>
      <x v="1"/>
      <x/>
    </i>
    <i r="1" i="1">
      <x v="1"/>
    </i>
    <i t="grand">
      <x/>
    </i>
    <i t="grand" i="1">
      <x/>
    </i>
  </colItems>
  <dataFields count="2">
    <dataField name="Absolute Count" fld="2" subtotal="count" baseField="0" baseItem="0"/>
    <dataField name="%" fld="3" subtotal="count" showDataAs="percentOfRow" baseField="0" baseItem="0" numFmtId="10">
      <extLst>
        <ext xmlns:x14="http://schemas.microsoft.com/office/spreadsheetml/2009/9/main" uri="{E15A36E0-9728-4e99-A89B-3F7291B0FE68}">
          <x14:dataField sourceField="2" uniqueName="[__Xl2].[Measures].[Count of PassengerID]"/>
        </ext>
      </extLst>
    </dataField>
  </dataFields>
  <formats count="6">
    <format dxfId="223">
      <pivotArea outline="0" collapsedLevelsAreSubtotals="1" fieldPosition="0">
        <references count="2">
          <reference field="4294967294" count="1" selected="0">
            <x v="1"/>
          </reference>
          <reference field="1" count="1" selected="0">
            <x v="0"/>
          </reference>
        </references>
      </pivotArea>
    </format>
    <format dxfId="222">
      <pivotArea outline="0" collapsedLevelsAreSubtotals="1" fieldPosition="0">
        <references count="2">
          <reference field="4294967294" count="1" selected="0">
            <x v="1"/>
          </reference>
          <reference field="1" count="1" selected="0">
            <x v="1"/>
          </reference>
        </references>
      </pivotArea>
    </format>
    <format dxfId="221">
      <pivotArea field="1" grandCol="1" outline="0" collapsedLevelsAreSubtotals="1" axis="axisCol" fieldPosition="0">
        <references count="1">
          <reference field="4294967294" count="1" selected="0">
            <x v="1"/>
          </reference>
        </references>
      </pivotArea>
    </format>
    <format dxfId="220">
      <pivotArea type="all" dataOnly="0" outline="0" fieldPosition="0"/>
    </format>
    <format dxfId="219">
      <pivotArea field="0" grandCol="1" collapsedLevelsAreSubtotals="1" axis="axisRow" fieldPosition="0">
        <references count="2">
          <reference field="4294967294" count="1" selected="0">
            <x v="0"/>
          </reference>
          <reference field="0" count="0"/>
        </references>
      </pivotArea>
    </format>
    <format dxfId="218">
      <pivotArea field="0" grandCol="1" collapsedLevelsAreSubtotals="1" axis="axisRow" fieldPosition="0">
        <references count="2">
          <reference field="4294967294" count="1" selected="0">
            <x v="0"/>
          </reference>
          <reference field="0" count="0"/>
        </references>
      </pivotArea>
    </format>
  </formats>
  <conditionalFormats count="2">
    <conditionalFormat priority="13">
      <pivotAreas count="1">
        <pivotArea type="data" collapsedLevelsAreSubtotals="1" fieldPosition="0">
          <references count="3">
            <reference field="4294967294" count="1" selected="0">
              <x v="1"/>
            </reference>
            <reference field="0" count="2">
              <x v="0"/>
              <x v="1"/>
            </reference>
            <reference field="1" count="1" selected="0">
              <x v="1"/>
            </reference>
          </references>
        </pivotArea>
      </pivotAreas>
    </conditionalFormat>
    <conditionalFormat priority="14">
      <pivotAreas count="1">
        <pivotArea type="data" collapsedLevelsAreSubtotals="1" fieldPosition="0">
          <references count="3">
            <reference field="4294967294" count="1" selected="0">
              <x v="1"/>
            </reference>
            <reference field="0" count="2">
              <x v="0"/>
              <x v="1"/>
            </reference>
            <reference field="1" count="1" selected="0">
              <x v="0"/>
            </reference>
          </references>
        </pivotArea>
      </pivotAreas>
    </conditionalFormat>
  </conditional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A7264D-AA11-4E91-AFF2-1A6F70265257}" name="Passenger_class_survival" cacheId="893" applyNumberFormats="0" applyBorderFormats="0" applyFontFormats="0" applyPatternFormats="0" applyAlignmentFormats="0" applyWidthHeightFormats="1" dataCaption="Values" tag="4d4e71c1-43c8-4c30-8ed6-d20f94ab116f" updatedVersion="7" minRefreshableVersion="3" useAutoFormatting="1" subtotalHiddenItems="1" itemPrintTitles="1" createdVersion="7" indent="0" compact="0" outline="1" outlineData="1" compactData="0" multipleFieldFilters="0">
  <location ref="A14:G20" firstHeaderRow="1" firstDataRow="3" firstDataCol="1"/>
  <pivotFields count="4">
    <pivotField axis="axisRow" compact="0" allDrilled="1" showAll="0" defaultSubtotal="0" defaultAttributeDrillState="1">
      <items count="3">
        <item x="0"/>
        <item x="1"/>
        <item x="2"/>
      </items>
    </pivotField>
    <pivotField axis="axisCol" compact="0" allDrilled="1" showAll="0" dataSourceSort="1" defaultSubtotal="0" defaultAttributeDrillState="1">
      <items count="2">
        <item x="0"/>
        <item x="1"/>
      </items>
    </pivotField>
    <pivotField dataField="1" compact="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2">
    <field x="1"/>
    <field x="-2"/>
  </colFields>
  <colItems count="6">
    <i>
      <x/>
      <x/>
    </i>
    <i r="1" i="1">
      <x v="1"/>
    </i>
    <i>
      <x v="1"/>
      <x/>
    </i>
    <i r="1" i="1">
      <x v="1"/>
    </i>
    <i t="grand">
      <x/>
    </i>
    <i t="grand" i="1">
      <x/>
    </i>
  </colItems>
  <dataFields count="2">
    <dataField name="Absolute Count" fld="2" subtotal="count" baseField="0" baseItem="0"/>
    <dataField name="%" fld="3" subtotal="count" showDataAs="percentOfRow" baseField="0" baseItem="2" numFmtId="10">
      <extLst>
        <ext xmlns:x14="http://schemas.microsoft.com/office/spreadsheetml/2009/9/main" uri="{E15A36E0-9728-4e99-A89B-3F7291B0FE68}">
          <x14:dataField sourceField="2" uniqueName="[__Xl2].[Measures].[Count of PassengerID]"/>
        </ext>
      </extLst>
    </dataField>
  </dataFields>
  <formats count="6">
    <format dxfId="229">
      <pivotArea outline="0" fieldPosition="0">
        <references count="2">
          <reference field="4294967294" count="1" selected="0">
            <x v="1"/>
          </reference>
          <reference field="1" count="1" selected="0">
            <x v="0"/>
          </reference>
        </references>
      </pivotArea>
    </format>
    <format dxfId="228">
      <pivotArea outline="0" fieldPosition="0">
        <references count="2">
          <reference field="4294967294" count="1" selected="0">
            <x v="1"/>
          </reference>
          <reference field="1" count="1" selected="0">
            <x v="1"/>
          </reference>
        </references>
      </pivotArea>
    </format>
    <format dxfId="227">
      <pivotArea field="1" grandCol="1" outline="0" axis="axisCol" fieldPosition="0">
        <references count="1">
          <reference field="4294967294" count="1" selected="0">
            <x v="1"/>
          </reference>
        </references>
      </pivotArea>
    </format>
    <format dxfId="226">
      <pivotArea type="all" dataOnly="0" outline="0" fieldPosition="0"/>
    </format>
    <format dxfId="225">
      <pivotArea field="0" grandCol="1" axis="axisRow" fieldPosition="0">
        <references count="2">
          <reference field="4294967294" count="1" selected="0">
            <x v="0"/>
          </reference>
          <reference field="0" count="0"/>
        </references>
      </pivotArea>
    </format>
    <format dxfId="224">
      <pivotArea field="0" grandCol="1" axis="axisRow" fieldPosition="0">
        <references count="2">
          <reference field="4294967294" count="1" selected="0">
            <x v="0"/>
          </reference>
          <reference field="0" count="0"/>
        </references>
      </pivotArea>
    </format>
  </formats>
  <conditionalFormats count="2">
    <conditionalFormat priority="23">
      <pivotAreas count="1">
        <pivotArea type="data" collapsedLevelsAreSubtotals="1" fieldPosition="0">
          <references count="3">
            <reference field="4294967294" count="1" selected="0">
              <x v="1"/>
            </reference>
            <reference field="0" count="3">
              <x v="0"/>
              <x v="1"/>
              <x v="2"/>
            </reference>
            <reference field="1" count="1" selected="0">
              <x v="1"/>
            </reference>
          </references>
        </pivotArea>
      </pivotAreas>
    </conditionalFormat>
    <conditionalFormat priority="24">
      <pivotAreas count="1">
        <pivotArea type="data" collapsedLevelsAreSubtotals="1" fieldPosition="0">
          <references count="3">
            <reference field="4294967294" count="1" selected="0">
              <x v="1"/>
            </reference>
            <reference field="0" count="3">
              <x v="0"/>
              <x v="1"/>
              <x v="2"/>
            </reference>
            <reference field="1" count="1" selected="0">
              <x v="0"/>
            </reference>
          </references>
        </pivotArea>
      </pivotAreas>
    </conditionalFormat>
  </conditional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CAFEC9-6685-491D-9559-735E1396DD6C}" name="PivotTable20" cacheId="890" applyNumberFormats="0" applyBorderFormats="0" applyFontFormats="0" applyPatternFormats="0" applyAlignmentFormats="0" applyWidthHeightFormats="1" dataCaption="Values" tag="d8b52ee5-312e-4feb-b082-8abc79507bad" updatedVersion="7" minRefreshableVersion="3" useAutoFormatting="1" subtotalHiddenItems="1" itemPrintTitles="1" createdVersion="7" indent="0" compact="0" outline="1" outlineData="1" compactData="0" multipleFieldFilters="0">
  <location ref="A109:H124" firstHeaderRow="1" firstDataRow="3" firstDataCol="2"/>
  <pivotFields count="5">
    <pivotField axis="axisCol" compact="0" allDrilled="1" showAll="0" dataSourceSort="1" defaultAttributeDrillState="1">
      <items count="3">
        <item x="0"/>
        <item x="1"/>
        <item t="default"/>
      </items>
    </pivotField>
    <pivotField axis="axisRow" compact="0" allDrilled="1" showAll="0" dataSourceSort="1" defaultAttributeDrillState="1">
      <items count="4">
        <item x="0"/>
        <item x="1"/>
        <item x="2"/>
        <item t="default"/>
      </items>
    </pivotField>
    <pivotField axis="axisRow" compact="0" allDrilled="1" showAll="0" dataSourceSort="1" defaultAttributeDrillState="1">
      <items count="4">
        <item x="0"/>
        <item x="1"/>
        <item x="2"/>
        <item t="default"/>
      </items>
    </pivotField>
    <pivotField dataField="1" compact="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2"/>
  </rowFields>
  <rowItems count="13">
    <i>
      <x/>
    </i>
    <i r="1">
      <x/>
    </i>
    <i r="1">
      <x v="1"/>
    </i>
    <i r="1">
      <x v="2"/>
    </i>
    <i>
      <x v="1"/>
    </i>
    <i r="1">
      <x/>
    </i>
    <i r="1">
      <x v="1"/>
    </i>
    <i r="1">
      <x v="2"/>
    </i>
    <i>
      <x v="2"/>
    </i>
    <i r="1">
      <x/>
    </i>
    <i r="1">
      <x v="1"/>
    </i>
    <i r="1">
      <x v="2"/>
    </i>
    <i t="grand">
      <x/>
    </i>
  </rowItems>
  <colFields count="2">
    <field x="0"/>
    <field x="-2"/>
  </colFields>
  <colItems count="6">
    <i>
      <x/>
      <x/>
    </i>
    <i r="1" i="1">
      <x v="1"/>
    </i>
    <i>
      <x v="1"/>
      <x/>
    </i>
    <i r="1" i="1">
      <x v="1"/>
    </i>
    <i t="grand">
      <x/>
    </i>
    <i t="grand" i="1">
      <x/>
    </i>
  </colItems>
  <dataFields count="2">
    <dataField name="Absolute Count" fld="3" subtotal="count" baseField="1" baseItem="0"/>
    <dataField name="%" fld="4" subtotal="count" showDataAs="percentOfRow" baseField="2" baseItem="1" numFmtId="10">
      <extLst>
        <ext xmlns:x14="http://schemas.microsoft.com/office/spreadsheetml/2009/9/main" uri="{E15A36E0-9728-4e99-A89B-3F7291B0FE68}">
          <x14:dataField sourceField="3" uniqueName="[__Xl2].[Measures].[Count of PassengerID]"/>
        </ext>
      </extLst>
    </dataField>
  </dataFields>
  <formats count="10">
    <format dxfId="239">
      <pivotArea outline="0" fieldPosition="0">
        <references count="2">
          <reference field="4294967294" count="1" selected="0">
            <x v="1"/>
          </reference>
          <reference field="0" count="1" selected="0">
            <x v="0"/>
          </reference>
        </references>
      </pivotArea>
    </format>
    <format dxfId="238">
      <pivotArea outline="0" fieldPosition="0">
        <references count="2">
          <reference field="4294967294" count="1" selected="0">
            <x v="1"/>
          </reference>
          <reference field="0" count="1" selected="0">
            <x v="1"/>
          </reference>
        </references>
      </pivotArea>
    </format>
    <format dxfId="237">
      <pivotArea field="0" grandCol="1" outline="0" axis="axisCol" fieldPosition="0">
        <references count="1">
          <reference field="4294967294" count="1" selected="0">
            <x v="1"/>
          </reference>
        </references>
      </pivotArea>
    </format>
    <format dxfId="236">
      <pivotArea type="all" dataOnly="0" outline="0" fieldPosition="0"/>
    </format>
    <format dxfId="235">
      <pivotArea field="2" grandCol="1" axis="axisRow" fieldPosition="1">
        <references count="3">
          <reference field="4294967294" count="1" selected="0">
            <x v="0"/>
          </reference>
          <reference field="1" count="1" selected="0">
            <x v="0"/>
          </reference>
          <reference field="2" count="0"/>
        </references>
      </pivotArea>
    </format>
    <format dxfId="234">
      <pivotArea field="2" grandCol="1" axis="axisRow" fieldPosition="1">
        <references count="3">
          <reference field="4294967294" count="1" selected="0">
            <x v="0"/>
          </reference>
          <reference field="1" count="1" selected="0">
            <x v="1"/>
          </reference>
          <reference field="2" count="0"/>
        </references>
      </pivotArea>
    </format>
    <format dxfId="233">
      <pivotArea field="2" grandCol="1" axis="axisRow" fieldPosition="1">
        <references count="3">
          <reference field="4294967294" count="1" selected="0">
            <x v="0"/>
          </reference>
          <reference field="1" count="1" selected="0">
            <x v="2"/>
          </reference>
          <reference field="2" count="0"/>
        </references>
      </pivotArea>
    </format>
    <format dxfId="232">
      <pivotArea field="2" grandCol="1" axis="axisRow" fieldPosition="1">
        <references count="3">
          <reference field="4294967294" count="1" selected="0">
            <x v="0"/>
          </reference>
          <reference field="1" count="1" selected="0">
            <x v="0"/>
          </reference>
          <reference field="2" count="0"/>
        </references>
      </pivotArea>
    </format>
    <format dxfId="231">
      <pivotArea field="2" grandCol="1" axis="axisRow" fieldPosition="1">
        <references count="3">
          <reference field="4294967294" count="1" selected="0">
            <x v="0"/>
          </reference>
          <reference field="1" count="1" selected="0">
            <x v="1"/>
          </reference>
          <reference field="2" count="0"/>
        </references>
      </pivotArea>
    </format>
    <format dxfId="230">
      <pivotArea field="2" grandCol="1" axis="axisRow" fieldPosition="1">
        <references count="3">
          <reference field="4294967294" count="1" selected="0">
            <x v="0"/>
          </reference>
          <reference field="1" count="1" selected="0">
            <x v="2"/>
          </reference>
          <reference field="2" count="0"/>
        </references>
      </pivotArea>
    </format>
  </formats>
  <conditionalFormats count="6">
    <conditionalFormat priority="1">
      <pivotAreas count="1">
        <pivotArea type="data" collapsedLevelsAreSubtotals="1" fieldPosition="0">
          <references count="4">
            <reference field="4294967294" count="1" selected="0">
              <x v="1"/>
            </reference>
            <reference field="0" count="1" selected="0">
              <x v="1"/>
            </reference>
            <reference field="1" count="1" selected="0">
              <x v="2"/>
            </reference>
            <reference field="2" count="3">
              <x v="0"/>
              <x v="1"/>
              <x v="2"/>
            </reference>
          </references>
        </pivotArea>
      </pivotAreas>
    </conditionalFormat>
    <conditionalFormat priority="2">
      <pivotAreas count="1">
        <pivotArea type="data" collapsedLevelsAreSubtotals="1" fieldPosition="0">
          <references count="4">
            <reference field="4294967294" count="1" selected="0">
              <x v="1"/>
            </reference>
            <reference field="0" count="1" selected="0">
              <x v="1"/>
            </reference>
            <reference field="1" count="1" selected="0">
              <x v="1"/>
            </reference>
            <reference field="2" count="3">
              <x v="0"/>
              <x v="1"/>
              <x v="2"/>
            </reference>
          </references>
        </pivotArea>
      </pivotAreas>
    </conditionalFormat>
    <conditionalFormat priority="3">
      <pivotAreas count="1">
        <pivotArea type="data" collapsedLevelsAreSubtotals="1" fieldPosition="0">
          <references count="4">
            <reference field="4294967294" count="1" selected="0">
              <x v="1"/>
            </reference>
            <reference field="0" count="1" selected="0">
              <x v="1"/>
            </reference>
            <reference field="1" count="1" selected="0">
              <x v="0"/>
            </reference>
            <reference field="2" count="3">
              <x v="0"/>
              <x v="1"/>
              <x v="2"/>
            </reference>
          </references>
        </pivotArea>
      </pivotAreas>
    </conditionalFormat>
    <conditionalFormat priority="4">
      <pivotAreas count="1">
        <pivotArea type="data" collapsedLevelsAreSubtotals="1" fieldPosition="0">
          <references count="4">
            <reference field="4294967294" count="1" selected="0">
              <x v="1"/>
            </reference>
            <reference field="0" count="1" selected="0">
              <x v="0"/>
            </reference>
            <reference field="1" count="1" selected="0">
              <x v="2"/>
            </reference>
            <reference field="2" count="3">
              <x v="0"/>
              <x v="1"/>
              <x v="2"/>
            </reference>
          </references>
        </pivotArea>
      </pivotAreas>
    </conditionalFormat>
    <conditionalFormat priority="5">
      <pivotAreas count="1">
        <pivotArea type="data" collapsedLevelsAreSubtotals="1" fieldPosition="0">
          <references count="4">
            <reference field="4294967294" count="1" selected="0">
              <x v="1"/>
            </reference>
            <reference field="0" count="1" selected="0">
              <x v="0"/>
            </reference>
            <reference field="1" count="1" selected="0">
              <x v="1"/>
            </reference>
            <reference field="2" count="3">
              <x v="0"/>
              <x v="1"/>
              <x v="2"/>
            </reference>
          </references>
        </pivotArea>
      </pivotAreas>
    </conditionalFormat>
    <conditionalFormat priority="6">
      <pivotAreas count="1">
        <pivotArea type="data" collapsedLevelsAreSubtotals="1" fieldPosition="0">
          <references count="4">
            <reference field="4294967294" count="1" selected="0">
              <x v="1"/>
            </reference>
            <reference field="0" count="1" selected="0">
              <x v="0"/>
            </reference>
            <reference field="1" count="1" selected="0">
              <x v="0"/>
            </reference>
            <reference field="2" count="3">
              <x v="0"/>
              <x v="1"/>
              <x v="2"/>
            </reference>
          </references>
        </pivotArea>
      </pivotAreas>
    </conditionalFormat>
  </conditional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bsolute Count"/>
    <pivotHierarchy dragToData="1" caption="Distinct Count of PassengerID"/>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8"/>
    <rowHierarchyUsage hierarchyUsage="1"/>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43C621-3D18-4BD9-9587-D7820EADFACB}" name="Salutation_survival_rate" cacheId="892" applyNumberFormats="0" applyBorderFormats="0" applyFontFormats="0" applyPatternFormats="0" applyAlignmentFormats="0" applyWidthHeightFormats="1" dataCaption="Values" tag="25cc6b4f-f85e-42c4-92ef-3f7194b31174" updatedVersion="7" minRefreshableVersion="3" useAutoFormatting="1" subtotalHiddenItems="1" itemPrintTitles="1" createdVersion="7" indent="0" compact="0" outline="1" outlineData="1" compactData="0" multipleFieldFilters="0">
  <location ref="A25:G42" firstHeaderRow="1" firstDataRow="3" firstDataCol="1"/>
  <pivotFields count="4">
    <pivotField axis="axisRow" compact="0" allDrilled="1"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compact="0" showAll="0" defaultSubtotal="0"/>
    <pivotField axis="axisCol" compact="0" allDrilled="1"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5">
    <i>
      <x v="8"/>
    </i>
    <i>
      <x v="6"/>
    </i>
    <i>
      <x v="9"/>
    </i>
    <i>
      <x v="5"/>
    </i>
    <i>
      <x v="11"/>
    </i>
    <i>
      <x v="2"/>
    </i>
    <i>
      <x v="1"/>
    </i>
    <i>
      <x v="10"/>
    </i>
    <i>
      <x v="4"/>
    </i>
    <i>
      <x v="7"/>
    </i>
    <i>
      <x v="13"/>
    </i>
    <i>
      <x v="12"/>
    </i>
    <i>
      <x/>
    </i>
    <i>
      <x v="3"/>
    </i>
    <i t="grand">
      <x/>
    </i>
  </rowItems>
  <colFields count="2">
    <field x="2"/>
    <field x="-2"/>
  </colFields>
  <colItems count="6">
    <i>
      <x/>
      <x/>
    </i>
    <i r="1" i="1">
      <x v="1"/>
    </i>
    <i>
      <x v="1"/>
      <x/>
    </i>
    <i r="1" i="1">
      <x v="1"/>
    </i>
    <i t="grand">
      <x/>
    </i>
    <i t="grand" i="1">
      <x/>
    </i>
  </colItems>
  <dataFields count="2">
    <dataField name="Absolute Count" fld="1" subtotal="count" baseField="0" baseItem="0"/>
    <dataField name="%" fld="3" subtotal="count" showDataAs="percentOfRow" baseField="0" baseItem="5" numFmtId="10">
      <extLst>
        <ext xmlns:x14="http://schemas.microsoft.com/office/spreadsheetml/2009/9/main" uri="{E15A36E0-9728-4e99-A89B-3F7291B0FE68}">
          <x14:dataField sourceField="1" uniqueName="[__Xl2].[Measures].[Count of PassengerID]"/>
        </ext>
      </extLst>
    </dataField>
  </dataFields>
  <formats count="7">
    <format dxfId="246">
      <pivotArea outline="0" fieldPosition="0">
        <references count="2">
          <reference field="4294967294" count="1" selected="0">
            <x v="1"/>
          </reference>
          <reference field="2" count="1" selected="0">
            <x v="0"/>
          </reference>
        </references>
      </pivotArea>
    </format>
    <format dxfId="245">
      <pivotArea fieldPosition="0">
        <references count="3">
          <reference field="4294967294" count="1" selected="0">
            <x v="1"/>
          </reference>
          <reference field="0" count="1">
            <x v="1"/>
          </reference>
          <reference field="2" count="1" selected="0">
            <x v="1"/>
          </reference>
        </references>
      </pivotArea>
    </format>
    <format dxfId="244">
      <pivotArea outline="0" fieldPosition="0">
        <references count="2">
          <reference field="4294967294" count="1" selected="0">
            <x v="1"/>
          </reference>
          <reference field="2" count="1" selected="0">
            <x v="1"/>
          </reference>
        </references>
      </pivotArea>
    </format>
    <format dxfId="243">
      <pivotArea field="2" grandCol="1" outline="0" axis="axisCol" fieldPosition="0">
        <references count="1">
          <reference field="4294967294" count="1" selected="0">
            <x v="1"/>
          </reference>
        </references>
      </pivotArea>
    </format>
    <format dxfId="242">
      <pivotArea type="all" dataOnly="0" outline="0" fieldPosition="0"/>
    </format>
    <format dxfId="241">
      <pivotArea field="0" grandCol="1" axis="axisRow" fieldPosition="0">
        <references count="2">
          <reference field="4294967294" count="1" selected="0">
            <x v="0"/>
          </reference>
          <reference field="0" count="0"/>
        </references>
      </pivotArea>
    </format>
    <format dxfId="240">
      <pivotArea field="0" grandCol="1" axis="axisRow" fieldPosition="0">
        <references count="2">
          <reference field="4294967294" count="1" selected="0">
            <x v="0"/>
          </reference>
          <reference field="0" count="0"/>
        </references>
      </pivotArea>
    </format>
  </formats>
  <conditionalFormats count="2">
    <conditionalFormat priority="21">
      <pivotAreas count="1">
        <pivotArea type="data" collapsedLevelsAreSubtotals="1" fieldPosition="0">
          <references count="3">
            <reference field="4294967294" count="1" selected="0">
              <x v="1"/>
            </reference>
            <reference field="0" count="14">
              <x v="0"/>
              <x v="1"/>
              <x v="2"/>
              <x v="3"/>
              <x v="4"/>
              <x v="5"/>
              <x v="6"/>
              <x v="7"/>
              <x v="8"/>
              <x v="9"/>
              <x v="10"/>
              <x v="11"/>
              <x v="12"/>
              <x v="13"/>
            </reference>
            <reference field="2" count="1" selected="0">
              <x v="1"/>
            </reference>
          </references>
        </pivotArea>
      </pivotAreas>
    </conditionalFormat>
    <conditionalFormat priority="22">
      <pivotAreas count="1">
        <pivotArea type="data" collapsedLevelsAreSubtotals="1" fieldPosition="0">
          <references count="3">
            <reference field="4294967294" count="1" selected="0">
              <x v="1"/>
            </reference>
            <reference field="0" count="14">
              <x v="0"/>
              <x v="1"/>
              <x v="2"/>
              <x v="3"/>
              <x v="4"/>
              <x v="5"/>
              <x v="6"/>
              <x v="7"/>
              <x v="8"/>
              <x v="9"/>
              <x v="10"/>
              <x v="11"/>
              <x v="12"/>
              <x v="13"/>
            </reference>
            <reference field="2" count="1" selected="0">
              <x v="0"/>
            </reference>
          </references>
        </pivotArea>
      </pivotAreas>
    </conditionalFormat>
  </conditional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B822BD-B952-4C7B-973E-924F00A5F045}" name="Survival_Rate" cacheId="2118" applyNumberFormats="0" applyBorderFormats="0" applyFontFormats="0" applyPatternFormats="0" applyAlignmentFormats="0" applyWidthHeightFormats="1" dataCaption="Values" tag="f8cf4b2c-6ee4-4652-b9c5-dcfa16091fe9" updatedVersion="7" minRefreshableVersion="3" useAutoFormatting="1" subtotalHiddenItems="1" itemPrintTitles="1" createdVersion="7" indent="0" compact="0" outline="1" outlineData="1" compactData="0" multipleFieldFilters="0" chartFormat="7">
  <location ref="A6:B9" firstHeaderRow="1" firstDataRow="1" firstDataCol="1"/>
  <pivotFields count="3">
    <pivotField axis="axisRow" compact="0" allDrilled="1" showAll="0" defaultSubtotal="0" defaultAttributeDrillState="1">
      <items count="2">
        <item x="0"/>
        <item x="1"/>
      </items>
    </pivotField>
    <pivotField dataField="1" compact="0" showAll="0" defaultSubtotal="0"/>
    <pivotField compact="0" allDrilled="1" subtotalTop="0" showAll="0" dataSourceSort="1" defaultSubtotal="0" defaultAttributeDrillState="1"/>
  </pivotFields>
  <rowFields count="1">
    <field x="0"/>
  </rowFields>
  <rowItems count="3">
    <i>
      <x/>
    </i>
    <i>
      <x v="1"/>
    </i>
    <i t="grand">
      <x/>
    </i>
  </rowItems>
  <colItems count="1">
    <i/>
  </colItems>
  <dataFields count="1">
    <dataField name="Absolute" fld="1" subtotal="count" baseField="0" baseItem="0"/>
  </dataFields>
  <formats count="6">
    <format dxfId="127">
      <pivotArea type="all" dataOnly="0" outline="0" fieldPosition="0"/>
    </format>
    <format dxfId="126">
      <pivotArea outline="0" collapsedLevelsAreSubtotals="1" fieldPosition="0"/>
    </format>
    <format dxfId="125">
      <pivotArea field="0" type="button" dataOnly="0" labelOnly="1" outline="0" axis="axisRow" fieldPosition="0"/>
    </format>
    <format dxfId="124">
      <pivotArea dataOnly="0" labelOnly="1" outline="0" fieldPosition="0">
        <references count="1">
          <reference field="0" count="0"/>
        </references>
      </pivotArea>
    </format>
    <format dxfId="123">
      <pivotArea dataOnly="0" labelOnly="1" grandRow="1" outline="0" fieldPosition="0"/>
    </format>
    <format dxfId="122">
      <pivotArea dataOnly="0" labelOnly="1" outline="0" fieldPosition="0">
        <references count="1">
          <reference field="4294967294" count="1">
            <x v="0"/>
          </reference>
        </references>
      </pivotArea>
    </format>
  </formats>
  <conditionalFormats count="1">
    <conditionalFormat priority="25">
      <pivotAreas count="2">
        <pivotArea type="data" collapsedLevelsAreSubtotals="1" fieldPosition="0">
          <references count="2">
            <reference field="4294967294" count="1" selected="0">
              <x v="0"/>
            </reference>
            <reference field="0" count="1">
              <x v="1"/>
            </reference>
          </references>
        </pivotArea>
        <pivotArea type="data" collapsedLevelsAreSubtotals="1" fieldPosition="0">
          <references count="2">
            <reference field="4294967294" count="1" selected="0">
              <x v="0"/>
            </reference>
            <reference field="0" count="1">
              <x v="0"/>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12EDA3-DEC0-4365-A045-5F2158021729}" name="PivotTable4" cacheId="215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N47:O5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ssengerID" fld="1" subtotal="count" baseField="0" baseItem="0"/>
  </dataFields>
  <formats count="1">
    <format dxfId="128">
      <pivotArea collapsedLevelsAreSubtotals="1" fieldPosition="0">
        <references count="1">
          <reference field="0" count="0"/>
        </references>
      </pivotArea>
    </format>
  </formats>
  <chartFormats count="3">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0" count="1" selected="0">
            <x v="0"/>
          </reference>
        </references>
      </pivotArea>
    </chartFormat>
    <chartFormat chart="2" format="18">
      <pivotArea type="data" outline="0" fieldPosition="0">
        <references count="2">
          <reference field="4294967294" count="1" selected="0">
            <x v="0"/>
          </reference>
          <reference field="0" count="1" selected="0">
            <x v="1"/>
          </reference>
        </references>
      </pivotArea>
    </chartFormat>
  </chart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Count of PassengerID"/>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5B0E51-553D-45F6-B95A-28E170CB5DEB}" name="Family_Status_survival_rate" cacheId="2124" applyNumberFormats="0" applyBorderFormats="0" applyFontFormats="0" applyPatternFormats="0" applyAlignmentFormats="0" applyWidthHeightFormats="1" dataCaption="Values" tag="72e58256-efcc-4c09-962b-ac103b2ba6e9" updatedVersion="7" minRefreshableVersion="3" useAutoFormatting="1" subtotalHiddenItems="1" itemPrintTitles="1" createdVersion="7" indent="0" outline="1" outlineData="1" multipleFieldFilters="0">
  <location ref="A78:G83" firstHeaderRow="1" firstDataRow="3"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2">
    <field x="1"/>
    <field x="-2"/>
  </colFields>
  <colItems count="6">
    <i>
      <x/>
      <x/>
    </i>
    <i r="1" i="1">
      <x v="1"/>
    </i>
    <i>
      <x v="1"/>
      <x/>
    </i>
    <i r="1" i="1">
      <x v="1"/>
    </i>
    <i t="grand">
      <x/>
    </i>
    <i t="grand" i="1">
      <x/>
    </i>
  </colItems>
  <dataFields count="2">
    <dataField name="Absolute Count" fld="2" subtotal="count" baseField="0" baseItem="0"/>
    <dataField name="%" fld="3" subtotal="count" showDataAs="percentOfRow" baseField="0" baseItem="0" numFmtId="10">
      <extLst>
        <ext xmlns:x14="http://schemas.microsoft.com/office/spreadsheetml/2009/9/main" uri="{E15A36E0-9728-4e99-A89B-3F7291B0FE68}">
          <x14:dataField sourceField="2" uniqueName="[__Xl2].[Measures].[Count of PassengerID]"/>
        </ext>
      </extLst>
    </dataField>
  </dataFields>
  <formats count="6">
    <format dxfId="134">
      <pivotArea outline="0" collapsedLevelsAreSubtotals="1" fieldPosition="0">
        <references count="2">
          <reference field="4294967294" count="1" selected="0">
            <x v="1"/>
          </reference>
          <reference field="1" count="1" selected="0">
            <x v="0"/>
          </reference>
        </references>
      </pivotArea>
    </format>
    <format dxfId="133">
      <pivotArea outline="0" collapsedLevelsAreSubtotals="1" fieldPosition="0">
        <references count="2">
          <reference field="4294967294" count="1" selected="0">
            <x v="1"/>
          </reference>
          <reference field="1" count="1" selected="0">
            <x v="1"/>
          </reference>
        </references>
      </pivotArea>
    </format>
    <format dxfId="132">
      <pivotArea field="1" grandCol="1" outline="0" collapsedLevelsAreSubtotals="1" axis="axisCol" fieldPosition="0">
        <references count="1">
          <reference field="4294967294" count="1" selected="0">
            <x v="1"/>
          </reference>
        </references>
      </pivotArea>
    </format>
    <format dxfId="131">
      <pivotArea type="all" dataOnly="0" outline="0" fieldPosition="0"/>
    </format>
    <format dxfId="130">
      <pivotArea field="0" grandCol="1" collapsedLevelsAreSubtotals="1" axis="axisRow" fieldPosition="0">
        <references count="2">
          <reference field="4294967294" count="1" selected="0">
            <x v="0"/>
          </reference>
          <reference field="0" count="0"/>
        </references>
      </pivotArea>
    </format>
    <format dxfId="129">
      <pivotArea field="0" grandCol="1" collapsedLevelsAreSubtotals="1" axis="axisRow" fieldPosition="0">
        <references count="2">
          <reference field="4294967294" count="1" selected="0">
            <x v="0"/>
          </reference>
          <reference field="0" count="0"/>
        </references>
      </pivotArea>
    </format>
  </formats>
  <conditionalFormats count="2">
    <conditionalFormat priority="13">
      <pivotAreas count="1">
        <pivotArea type="data" collapsedLevelsAreSubtotals="1" fieldPosition="0">
          <references count="3">
            <reference field="4294967294" count="1" selected="0">
              <x v="1"/>
            </reference>
            <reference field="0" count="2">
              <x v="0"/>
              <x v="1"/>
            </reference>
            <reference field="1" count="1" selected="0">
              <x v="1"/>
            </reference>
          </references>
        </pivotArea>
      </pivotAreas>
    </conditionalFormat>
    <conditionalFormat priority="14">
      <pivotAreas count="1">
        <pivotArea type="data" collapsedLevelsAreSubtotals="1" fieldPosition="0">
          <references count="3">
            <reference field="4294967294" count="1" selected="0">
              <x v="1"/>
            </reference>
            <reference field="0" count="2">
              <x v="0"/>
              <x v="1"/>
            </reference>
            <reference field="1" count="1" selected="0">
              <x v="0"/>
            </reference>
          </references>
        </pivotArea>
      </pivotAreas>
    </conditionalFormat>
  </conditionalFormats>
  <pivotHierarchies count="15">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3A837F-8964-4718-A30F-B0CBEF20D378}" name="passengers_by_family_status" cacheId="214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I76:J7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bsolute" fld="1" subtotal="count" baseField="0" baseItem="0"/>
  </dataFields>
  <formats count="1">
    <format dxfId="135">
      <pivotArea collapsedLevelsAreSubtotals="1" fieldPosition="0">
        <references count="1">
          <reference field="0" count="0"/>
        </references>
      </pivotArea>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bsolute"/>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1F03709-0F66-4C39-887A-96BDA2C9DA72}" name="Passengers_by_emabarkation_cat" cacheId="213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I86:J9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bsolute"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bsolute"/>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D36ECD-9DFA-4D06-ABE3-2147C0901450}" name="Embarkation_survival_analysis" cacheId="2121" applyNumberFormats="0" applyBorderFormats="0" applyFontFormats="0" applyPatternFormats="0" applyAlignmentFormats="0" applyWidthHeightFormats="1" dataCaption="Values" tag="fa523915-f18c-45e0-afb2-a24d204760a6" updatedVersion="7" minRefreshableVersion="3" useAutoFormatting="1" subtotalHiddenItems="1" itemPrintTitles="1" createdVersion="7" indent="0" compact="0" outline="1" outlineData="1" compactData="0" multipleFieldFilters="0">
  <location ref="A88:G94" firstHeaderRow="1" firstDataRow="3" firstDataCol="1"/>
  <pivotFields count="5">
    <pivotField axis="axisRow" compact="0" allDrilled="1" showAll="0" defaultSubtotal="0" defaultAttributeDrillState="1">
      <items count="3">
        <item x="2"/>
        <item x="0"/>
        <item x="1"/>
      </items>
    </pivotField>
    <pivotField axis="axisCol" compact="0" allDrilled="1" showAll="0" dataSourceSort="1" defaultSubtotal="0" defaultAttributeDrillState="1">
      <items count="2">
        <item x="0"/>
        <item x="1"/>
      </items>
    </pivotField>
    <pivotField dataField="1" compact="0" showAll="0" defaultSubtotal="0"/>
    <pivotField compact="0"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2">
    <field x="1"/>
    <field x="-2"/>
  </colFields>
  <colItems count="6">
    <i>
      <x/>
      <x/>
    </i>
    <i r="1" i="1">
      <x v="1"/>
    </i>
    <i>
      <x v="1"/>
      <x/>
    </i>
    <i r="1" i="1">
      <x v="1"/>
    </i>
    <i t="grand">
      <x/>
    </i>
    <i t="grand" i="1">
      <x/>
    </i>
  </colItems>
  <dataFields count="2">
    <dataField name="Absolute Count" fld="2" subtotal="count" baseField="0" baseItem="0"/>
    <dataField name="%" fld="4" subtotal="count" showDataAs="percentOfRow" baseField="0" baseItem="0" numFmtId="10">
      <extLst>
        <ext xmlns:x14="http://schemas.microsoft.com/office/spreadsheetml/2009/9/main" uri="{E15A36E0-9728-4e99-A89B-3F7291B0FE68}">
          <x14:dataField sourceField="2" uniqueName="[__Xl2].[Measures].[Count of PassengerID]"/>
        </ext>
      </extLst>
    </dataField>
  </dataFields>
  <formats count="6">
    <format dxfId="141">
      <pivotArea outline="0" fieldPosition="0">
        <references count="2">
          <reference field="4294967294" count="1" selected="0">
            <x v="1"/>
          </reference>
          <reference field="1" count="1" selected="0">
            <x v="0"/>
          </reference>
        </references>
      </pivotArea>
    </format>
    <format dxfId="140">
      <pivotArea outline="0" fieldPosition="0">
        <references count="2">
          <reference field="4294967294" count="1" selected="0">
            <x v="1"/>
          </reference>
          <reference field="1" count="1" selected="0">
            <x v="1"/>
          </reference>
        </references>
      </pivotArea>
    </format>
    <format dxfId="139">
      <pivotArea field="1" grandCol="1" outline="0" axis="axisCol" fieldPosition="0">
        <references count="1">
          <reference field="4294967294" count="1" selected="0">
            <x v="1"/>
          </reference>
        </references>
      </pivotArea>
    </format>
    <format dxfId="138">
      <pivotArea type="all" dataOnly="0" outline="0" fieldPosition="0"/>
    </format>
    <format dxfId="137">
      <pivotArea field="0" grandCol="1" axis="axisRow" fieldPosition="0">
        <references count="2">
          <reference field="4294967294" count="1" selected="0">
            <x v="0"/>
          </reference>
          <reference field="0" count="0"/>
        </references>
      </pivotArea>
    </format>
    <format dxfId="136">
      <pivotArea field="0" grandCol="1" axis="axisRow" fieldPosition="0">
        <references count="2">
          <reference field="4294967294" count="1" selected="0">
            <x v="0"/>
          </reference>
          <reference field="0" count="0"/>
        </references>
      </pivotArea>
    </format>
  </formats>
  <conditionalFormats count="2">
    <conditionalFormat priority="11">
      <pivotAreas count="1">
        <pivotArea type="data" collapsedLevelsAreSubtotals="1" fieldPosition="0">
          <references count="3">
            <reference field="4294967294" count="1" selected="0">
              <x v="1"/>
            </reference>
            <reference field="0" count="3">
              <x v="0"/>
              <x v="1"/>
              <x v="2"/>
            </reference>
            <reference field="1" count="1" selected="0">
              <x v="1"/>
            </reference>
          </references>
        </pivotArea>
      </pivotAreas>
    </conditionalFormat>
    <conditionalFormat priority="12">
      <pivotAreas count="1">
        <pivotArea type="data" collapsedLevelsAreSubtotals="1" fieldPosition="0">
          <references count="3">
            <reference field="4294967294" count="1" selected="0">
              <x v="1"/>
            </reference>
            <reference field="0" count="3">
              <x v="0"/>
              <x v="1"/>
              <x v="2"/>
            </reference>
            <reference field="1" count="1" selected="0">
              <x v="0"/>
            </reference>
          </references>
        </pivotArea>
      </pivotAreas>
    </conditionalFormat>
  </conditionalFormats>
  <pivotHierarchies count="15">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D00349-B81E-4573-8C11-BA26DF533B58}" name="Salutation_survival_rate" cacheId="2160" applyNumberFormats="0" applyBorderFormats="0" applyFontFormats="0" applyPatternFormats="0" applyAlignmentFormats="0" applyWidthHeightFormats="1" dataCaption="Values" tag="25cc6b4f-f85e-42c4-92ef-3f7194b31174" updatedVersion="7" minRefreshableVersion="3" useAutoFormatting="1" subtotalHiddenItems="1" rowGrandTotals="0" colGrandTotals="0" itemPrintTitles="1" createdVersion="7" indent="0" compact="0" outline="1" outlineData="1" compactData="0" multipleFieldFilters="0">
  <location ref="A25:C40" firstHeaderRow="1" firstDataRow="2" firstDataCol="1"/>
  <pivotFields count="4">
    <pivotField axis="axisRow" compact="0" allDrilled="1" showAll="0" defaultSubtotal="0" defaultAttributeDrillState="1">
      <items count="14">
        <item x="8"/>
        <item x="0"/>
        <item x="2"/>
        <item x="6"/>
        <item x="9"/>
        <item x="1"/>
        <item x="11"/>
        <item x="3"/>
        <item x="5"/>
        <item x="12"/>
        <item x="4"/>
        <item x="7"/>
        <item x="10"/>
        <item x="13"/>
      </items>
    </pivotField>
    <pivotField dataField="1" compact="0" showAll="0" defaultSubtotal="0"/>
    <pivotField axis="axisCol" compact="0" allDrilled="1" showAll="0" dataSourceSort="1" defaultSubtotal="0" defaultAttributeDrillState="1">
      <items count="2">
        <item x="0"/>
        <item x="1"/>
      </items>
    </pivotField>
    <pivotField compact="0"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x v="13"/>
    </i>
  </rowItems>
  <colFields count="1">
    <field x="2"/>
  </colFields>
  <colItems count="2">
    <i>
      <x/>
    </i>
    <i>
      <x v="1"/>
    </i>
  </colItems>
  <dataFields count="1">
    <dataField name="Absolute Count" fld="1" subtotal="count" baseField="0" baseItem="0"/>
  </dataFields>
  <formats count="3">
    <format dxfId="144">
      <pivotArea type="all" dataOnly="0" outline="0" fieldPosition="0"/>
    </format>
    <format dxfId="143">
      <pivotArea field="0" grandCol="1" axis="axisRow" fieldPosition="0">
        <references count="2">
          <reference field="4294967294" count="1" selected="0">
            <x v="0"/>
          </reference>
          <reference field="0" count="0"/>
        </references>
      </pivotArea>
    </format>
    <format dxfId="142">
      <pivotArea field="0" grandCol="1" axis="axisRow" fieldPosition="0">
        <references count="2">
          <reference field="4294967294" count="1" selected="0">
            <x v="0"/>
          </reference>
          <reference field="0" count="0"/>
        </references>
      </pivotArea>
    </format>
  </formats>
  <conditionalFormats count="2">
    <conditionalFormat priority="21">
      <pivotAreas count="1">
        <pivotArea type="data" outline="0" collapsedLevelsAreSubtotals="1" fieldPosition="0">
          <references count="2">
            <reference field="4294967294" count="1" selected="0">
              <x v="0"/>
            </reference>
            <reference field="2" count="1" selected="0">
              <x v="1"/>
            </reference>
          </references>
        </pivotArea>
      </pivotAreas>
    </conditionalFormat>
    <conditionalFormat priority="22">
      <pivotAreas count="1">
        <pivotArea type="data" outline="0" collapsedLevelsAreSubtotals="1" fieldPosition="0">
          <references count="2">
            <reference field="4294967294" count="1" selected="0">
              <x v="0"/>
            </reference>
            <reference field="2" count="1" selected="0">
              <x v="0"/>
            </reference>
          </references>
        </pivotArea>
      </pivotAreas>
    </conditionalFormat>
  </conditional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6822E13-27DA-4CD7-994E-339395F1AE26}" name="Gender_Age_survival_rate" cacheId="2130" applyNumberFormats="0" applyBorderFormats="0" applyFontFormats="0" applyPatternFormats="0" applyAlignmentFormats="0" applyWidthHeightFormats="1" dataCaption="Values" tag="b5c63ba2-92dd-4c8f-8fbe-6445010b61ff" updatedVersion="7" minRefreshableVersion="3" useAutoFormatting="1" subtotalHiddenItems="1" itemPrintTitles="1" createdVersion="7" indent="0" compact="0" outline="1" outlineData="1" compactData="0" multipleFieldFilters="0">
  <location ref="A47:H62" firstHeaderRow="1" firstDataRow="3" firstDataCol="2"/>
  <pivotFields count="6">
    <pivotField axis="axisRow" compact="0" allDrilled="1" showAll="0" dataSourceSort="1" defaultAttributeDrillState="1">
      <items count="3">
        <item x="0"/>
        <item x="1"/>
        <item t="default"/>
      </items>
    </pivotField>
    <pivotField axis="axisRow" compact="0" allDrilled="1" showAll="0" defaultAttributeDrillState="1">
      <items count="6">
        <item x="1"/>
        <item x="4"/>
        <item x="3"/>
        <item x="2"/>
        <item x="0"/>
        <item t="default"/>
      </items>
    </pivotField>
    <pivotField dataField="1" compact="0" showAll="0" defaultSubtotal="0"/>
    <pivotField axis="axisCol" compact="0" allDrilled="1" showAll="0" dataSourceSort="1" defaultAttributeDrillState="1">
      <items count="3">
        <item x="0"/>
        <item x="1"/>
        <item t="default"/>
      </items>
    </pivotField>
    <pivotField compact="0"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13">
    <i>
      <x/>
    </i>
    <i r="1">
      <x/>
    </i>
    <i r="1">
      <x v="1"/>
    </i>
    <i r="1">
      <x v="2"/>
    </i>
    <i r="1">
      <x v="3"/>
    </i>
    <i r="1">
      <x v="4"/>
    </i>
    <i>
      <x v="1"/>
    </i>
    <i r="1">
      <x/>
    </i>
    <i r="1">
      <x v="1"/>
    </i>
    <i r="1">
      <x v="2"/>
    </i>
    <i r="1">
      <x v="3"/>
    </i>
    <i r="1">
      <x v="4"/>
    </i>
    <i t="grand">
      <x/>
    </i>
  </rowItems>
  <colFields count="2">
    <field x="3"/>
    <field x="-2"/>
  </colFields>
  <colItems count="6">
    <i>
      <x/>
      <x/>
    </i>
    <i r="1" i="1">
      <x v="1"/>
    </i>
    <i>
      <x v="1"/>
      <x/>
    </i>
    <i r="1" i="1">
      <x v="1"/>
    </i>
    <i t="grand">
      <x/>
    </i>
    <i t="grand" i="1">
      <x/>
    </i>
  </colItems>
  <dataFields count="2">
    <dataField name="Absolute Count" fld="2" subtotal="count" baseField="0" baseItem="0"/>
    <dataField name="%" fld="5" subtotal="count" showDataAs="percentOfRow" baseField="0" baseItem="1" numFmtId="10">
      <extLst>
        <ext xmlns:x14="http://schemas.microsoft.com/office/spreadsheetml/2009/9/main" uri="{E15A36E0-9728-4e99-A89B-3F7291B0FE68}">
          <x14:dataField sourceField="2" uniqueName="[__Xl2].[Measures].[Count of PassengerID]"/>
        </ext>
      </extLst>
    </dataField>
  </dataFields>
  <formats count="8">
    <format dxfId="152">
      <pivotArea outline="0" fieldPosition="0">
        <references count="2">
          <reference field="4294967294" count="1" selected="0">
            <x v="1"/>
          </reference>
          <reference field="3" count="1" selected="0">
            <x v="0"/>
          </reference>
        </references>
      </pivotArea>
    </format>
    <format dxfId="151">
      <pivotArea outline="0" fieldPosition="0">
        <references count="2">
          <reference field="4294967294" count="1" selected="0">
            <x v="1"/>
          </reference>
          <reference field="3" count="1" selected="0">
            <x v="1"/>
          </reference>
        </references>
      </pivotArea>
    </format>
    <format dxfId="150">
      <pivotArea field="3" grandCol="1" outline="0" axis="axisCol" fieldPosition="0">
        <references count="1">
          <reference field="4294967294" count="1" selected="0">
            <x v="1"/>
          </reference>
        </references>
      </pivotArea>
    </format>
    <format dxfId="149">
      <pivotArea type="all" dataOnly="0" outline="0" fieldPosition="0"/>
    </format>
    <format dxfId="148">
      <pivotArea field="1" grandCol="1" axis="axisRow" fieldPosition="1">
        <references count="3">
          <reference field="4294967294" count="1" selected="0">
            <x v="0"/>
          </reference>
          <reference field="0" count="1" selected="0">
            <x v="0"/>
          </reference>
          <reference field="1" count="0"/>
        </references>
      </pivotArea>
    </format>
    <format dxfId="147">
      <pivotArea field="1" grandCol="1" axis="axisRow" fieldPosition="1">
        <references count="3">
          <reference field="4294967294" count="1" selected="0">
            <x v="0"/>
          </reference>
          <reference field="0" count="1" selected="0">
            <x v="1"/>
          </reference>
          <reference field="1" count="0"/>
        </references>
      </pivotArea>
    </format>
    <format dxfId="146">
      <pivotArea field="1" grandCol="1" axis="axisRow" fieldPosition="1">
        <references count="3">
          <reference field="4294967294" count="1" selected="0">
            <x v="0"/>
          </reference>
          <reference field="0" count="1" selected="0">
            <x v="0"/>
          </reference>
          <reference field="1" count="0"/>
        </references>
      </pivotArea>
    </format>
    <format dxfId="145">
      <pivotArea field="1" grandCol="1" axis="axisRow" fieldPosition="1">
        <references count="3">
          <reference field="4294967294" count="1" selected="0">
            <x v="0"/>
          </reference>
          <reference field="0" count="1" selected="0">
            <x v="1"/>
          </reference>
          <reference field="1" count="0"/>
        </references>
      </pivotArea>
    </format>
  </formats>
  <conditionalFormats count="4">
    <conditionalFormat priority="17">
      <pivotAreas count="1">
        <pivotArea type="data" collapsedLevelsAreSubtotals="1" fieldPosition="0">
          <references count="4">
            <reference field="4294967294" count="1" selected="0">
              <x v="1"/>
            </reference>
            <reference field="0" count="1" selected="0">
              <x v="1"/>
            </reference>
            <reference field="1" count="5">
              <x v="0"/>
              <x v="1"/>
              <x v="2"/>
              <x v="3"/>
              <x v="4"/>
            </reference>
            <reference field="3" count="1" selected="0">
              <x v="1"/>
            </reference>
          </references>
        </pivotArea>
      </pivotAreas>
    </conditionalFormat>
    <conditionalFormat priority="18">
      <pivotAreas count="1">
        <pivotArea type="data" collapsedLevelsAreSubtotals="1" fieldPosition="0">
          <references count="4">
            <reference field="4294967294" count="1" selected="0">
              <x v="1"/>
            </reference>
            <reference field="0" count="1" selected="0">
              <x v="0"/>
            </reference>
            <reference field="1" count="5">
              <x v="0"/>
              <x v="1"/>
              <x v="2"/>
              <x v="3"/>
              <x v="4"/>
            </reference>
            <reference field="3" count="1" selected="0">
              <x v="1"/>
            </reference>
          </references>
        </pivotArea>
      </pivotAreas>
    </conditionalFormat>
    <conditionalFormat priority="19">
      <pivotAreas count="1">
        <pivotArea type="data" collapsedLevelsAreSubtotals="1" fieldPosition="0">
          <references count="4">
            <reference field="4294967294" count="1" selected="0">
              <x v="1"/>
            </reference>
            <reference field="0" count="1" selected="0">
              <x v="1"/>
            </reference>
            <reference field="1" count="5">
              <x v="0"/>
              <x v="1"/>
              <x v="2"/>
              <x v="3"/>
              <x v="4"/>
            </reference>
            <reference field="3" count="1" selected="0">
              <x v="0"/>
            </reference>
          </references>
        </pivotArea>
      </pivotAreas>
    </conditionalFormat>
    <conditionalFormat priority="20">
      <pivotAreas count="1">
        <pivotArea type="data" collapsedLevelsAreSubtotals="1" fieldPosition="0">
          <references count="4">
            <reference field="4294967294" count="1" selected="0">
              <x v="1"/>
            </reference>
            <reference field="0" count="1" selected="0">
              <x v="0"/>
            </reference>
            <reference field="1" count="5">
              <x v="0"/>
              <x v="1"/>
              <x v="2"/>
              <x v="3"/>
              <x v="4"/>
            </reference>
            <reference field="3" count="1" selected="0">
              <x v="0"/>
            </reference>
          </references>
        </pivotArea>
      </pivotAreas>
    </conditionalFormat>
  </conditionalFormats>
  <pivotHierarchies count="15">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4"/>
    <rowHierarchyUsage hierarchyUsage="5"/>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A4DCF5A-0B78-4782-B26C-24FE531315F1}" name="Total_passengers_by_salutation" cacheId="216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E25:F29" firstHeaderRow="1" firstDataRow="1" firstDataCol="1"/>
  <pivotFields count="3">
    <pivotField dataField="1" subtotalTop="0" showAll="0" defaultSubtotal="0"/>
    <pivotField axis="axisRow" allDrilled="1" subtotalTop="0" showAll="0" measureFilter="1" sortType="a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i>
    <i>
      <x v="1"/>
    </i>
    <i t="grand">
      <x/>
    </i>
  </rowItems>
  <colItems count="1">
    <i/>
  </colItems>
  <dataFields count="1">
    <dataField name="Absolute" fld="0" subtotal="count" baseField="1" baseItem="0"/>
  </dataFields>
  <formats count="1">
    <format dxfId="153">
      <pivotArea collapsedLevelsAreSubtotals="1" fieldPosition="0">
        <references count="1">
          <reference field="1" count="3">
            <x v="0"/>
            <x v="1"/>
            <x v="2"/>
          </reference>
        </references>
      </pivotArea>
    </format>
  </formats>
  <chartFormats count="3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8"/>
          </reference>
        </references>
      </pivotArea>
    </chartFormat>
    <chartFormat chart="1" format="3">
      <pivotArea type="data" outline="0" fieldPosition="0">
        <references count="2">
          <reference field="4294967294" count="1" selected="0">
            <x v="0"/>
          </reference>
          <reference field="1" count="1" selected="0">
            <x v="5"/>
          </reference>
        </references>
      </pivotArea>
    </chartFormat>
    <chartFormat chart="1" format="4">
      <pivotArea type="data" outline="0" fieldPosition="0">
        <references count="2">
          <reference field="4294967294" count="1" selected="0">
            <x v="0"/>
          </reference>
          <reference field="1" count="1" selected="0">
            <x v="9"/>
          </reference>
        </references>
      </pivotArea>
    </chartFormat>
    <chartFormat chart="1" format="5">
      <pivotArea type="data" outline="0" fieldPosition="0">
        <references count="2">
          <reference field="4294967294" count="1" selected="0">
            <x v="0"/>
          </reference>
          <reference field="1" count="1" selected="0">
            <x v="10"/>
          </reference>
        </references>
      </pivotArea>
    </chartFormat>
    <chartFormat chart="1" format="6">
      <pivotArea type="data" outline="0" fieldPosition="0">
        <references count="2">
          <reference field="4294967294" count="1" selected="0">
            <x v="0"/>
          </reference>
          <reference field="1" count="1" selected="0">
            <x v="11"/>
          </reference>
        </references>
      </pivotArea>
    </chartFormat>
    <chartFormat chart="1" format="7">
      <pivotArea type="data" outline="0" fieldPosition="0">
        <references count="2">
          <reference field="4294967294" count="1" selected="0">
            <x v="0"/>
          </reference>
          <reference field="1" count="1" selected="0">
            <x v="3"/>
          </reference>
        </references>
      </pivotArea>
    </chartFormat>
    <chartFormat chart="1" format="8">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2">
          <reference field="4294967294" count="1" selected="0">
            <x v="0"/>
          </reference>
          <reference field="1" count="1" selected="0">
            <x v="7"/>
          </reference>
        </references>
      </pivotArea>
    </chartFormat>
    <chartFormat chart="1" format="10">
      <pivotArea type="data" outline="0" fieldPosition="0">
        <references count="2">
          <reference field="4294967294" count="1" selected="0">
            <x v="0"/>
          </reference>
          <reference field="1" count="1" selected="0">
            <x v="1"/>
          </reference>
        </references>
      </pivotArea>
    </chartFormat>
    <chartFormat chart="1" format="11">
      <pivotArea type="data" outline="0" fieldPosition="0">
        <references count="2">
          <reference field="4294967294" count="1" selected="0">
            <x v="0"/>
          </reference>
          <reference field="1" count="1" selected="0">
            <x v="2"/>
          </reference>
        </references>
      </pivotArea>
    </chartFormat>
    <chartFormat chart="1" format="12">
      <pivotArea type="data" outline="0" fieldPosition="0">
        <references count="2">
          <reference field="4294967294" count="1" selected="0">
            <x v="0"/>
          </reference>
          <reference field="1" count="1" selected="0">
            <x v="6"/>
          </reference>
        </references>
      </pivotArea>
    </chartFormat>
    <chartFormat chart="1" format="13">
      <pivotArea type="data" outline="0" fieldPosition="0">
        <references count="2">
          <reference field="4294967294" count="1" selected="0">
            <x v="0"/>
          </reference>
          <reference field="1" count="1" selected="0">
            <x v="4"/>
          </reference>
        </references>
      </pivotArea>
    </chartFormat>
    <chartFormat chart="1" format="14">
      <pivotArea type="data" outline="0" fieldPosition="0">
        <references count="2">
          <reference field="4294967294" count="1" selected="0">
            <x v="0"/>
          </reference>
          <reference field="1" count="1" selected="0">
            <x v="12"/>
          </reference>
        </references>
      </pivotArea>
    </chartFormat>
    <chartFormat chart="1" format="15">
      <pivotArea type="data" outline="0" fieldPosition="0">
        <references count="2">
          <reference field="4294967294" count="1" selected="0">
            <x v="0"/>
          </reference>
          <reference field="1" count="1" selected="0">
            <x v="1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 count="1" selected="0">
            <x v="8"/>
          </reference>
        </references>
      </pivotArea>
    </chartFormat>
    <chartFormat chart="2" format="18">
      <pivotArea type="data" outline="0" fieldPosition="0">
        <references count="2">
          <reference field="4294967294" count="1" selected="0">
            <x v="0"/>
          </reference>
          <reference field="1" count="1" selected="0">
            <x v="5"/>
          </reference>
        </references>
      </pivotArea>
    </chartFormat>
    <chartFormat chart="2" format="19">
      <pivotArea type="data" outline="0" fieldPosition="0">
        <references count="2">
          <reference field="4294967294" count="1" selected="0">
            <x v="0"/>
          </reference>
          <reference field="1" count="1" selected="0">
            <x v="9"/>
          </reference>
        </references>
      </pivotArea>
    </chartFormat>
    <chartFormat chart="2" format="20">
      <pivotArea type="data" outline="0" fieldPosition="0">
        <references count="2">
          <reference field="4294967294" count="1" selected="0">
            <x v="0"/>
          </reference>
          <reference field="1" count="1" selected="0">
            <x v="10"/>
          </reference>
        </references>
      </pivotArea>
    </chartFormat>
    <chartFormat chart="2" format="21">
      <pivotArea type="data" outline="0" fieldPosition="0">
        <references count="2">
          <reference field="4294967294" count="1" selected="0">
            <x v="0"/>
          </reference>
          <reference field="1" count="1" selected="0">
            <x v="11"/>
          </reference>
        </references>
      </pivotArea>
    </chartFormat>
    <chartFormat chart="2" format="22">
      <pivotArea type="data" outline="0" fieldPosition="0">
        <references count="2">
          <reference field="4294967294" count="1" selected="0">
            <x v="0"/>
          </reference>
          <reference field="1" count="1" selected="0">
            <x v="3"/>
          </reference>
        </references>
      </pivotArea>
    </chartFormat>
    <chartFormat chart="2" format="23">
      <pivotArea type="data" outline="0" fieldPosition="0">
        <references count="2">
          <reference field="4294967294" count="1" selected="0">
            <x v="0"/>
          </reference>
          <reference field="1" count="1" selected="0">
            <x v="0"/>
          </reference>
        </references>
      </pivotArea>
    </chartFormat>
    <chartFormat chart="2" format="24">
      <pivotArea type="data" outline="0" fieldPosition="0">
        <references count="2">
          <reference field="4294967294" count="1" selected="0">
            <x v="0"/>
          </reference>
          <reference field="1" count="1" selected="0">
            <x v="7"/>
          </reference>
        </references>
      </pivotArea>
    </chartFormat>
    <chartFormat chart="2" format="25">
      <pivotArea type="data" outline="0" fieldPosition="0">
        <references count="2">
          <reference field="4294967294" count="1" selected="0">
            <x v="0"/>
          </reference>
          <reference field="1" count="1" selected="0">
            <x v="1"/>
          </reference>
        </references>
      </pivotArea>
    </chartFormat>
    <chartFormat chart="2" format="26">
      <pivotArea type="data" outline="0" fieldPosition="0">
        <references count="2">
          <reference field="4294967294" count="1" selected="0">
            <x v="0"/>
          </reference>
          <reference field="1" count="1" selected="0">
            <x v="2"/>
          </reference>
        </references>
      </pivotArea>
    </chartFormat>
    <chartFormat chart="2" format="27">
      <pivotArea type="data" outline="0" fieldPosition="0">
        <references count="2">
          <reference field="4294967294" count="1" selected="0">
            <x v="0"/>
          </reference>
          <reference field="1" count="1" selected="0">
            <x v="6"/>
          </reference>
        </references>
      </pivotArea>
    </chartFormat>
    <chartFormat chart="2" format="28">
      <pivotArea type="data" outline="0" fieldPosition="0">
        <references count="2">
          <reference field="4294967294" count="1" selected="0">
            <x v="0"/>
          </reference>
          <reference field="1" count="1" selected="0">
            <x v="4"/>
          </reference>
        </references>
      </pivotArea>
    </chartFormat>
    <chartFormat chart="2" format="29">
      <pivotArea type="data" outline="0" fieldPosition="0">
        <references count="2">
          <reference field="4294967294" count="1" selected="0">
            <x v="0"/>
          </reference>
          <reference field="1" count="1" selected="0">
            <x v="12"/>
          </reference>
        </references>
      </pivotArea>
    </chartFormat>
    <chartFormat chart="2" format="30">
      <pivotArea type="data" outline="0" fieldPosition="0">
        <references count="2">
          <reference field="4294967294" count="1" selected="0">
            <x v="0"/>
          </reference>
          <reference field="1" count="1" selected="0">
            <x v="13"/>
          </reference>
        </references>
      </pivotArea>
    </chartFormat>
  </chart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bsolute"/>
    <pivotHierarchy dragToData="1"/>
  </pivotHierarchies>
  <pivotTableStyleInfo name="PivotStyleLight16" showRowHeaders="1" showColHeaders="1" showRowStripes="0" showColStripes="0" showLastColumn="1"/>
  <filters count="1">
    <filter fld="1" type="count" id="1" iMeasureHier="12">
      <autoFilter ref="A1">
        <filterColumn colId="0">
          <top10 val="3" filterVal="3"/>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9B0CB2A-EA15-4DAD-B845-96D6431DDCC5}" name="Passenger_class_survival" cacheId="2133" applyNumberFormats="0" applyBorderFormats="0" applyFontFormats="0" applyPatternFormats="0" applyAlignmentFormats="0" applyWidthHeightFormats="1" dataCaption="Values" tag="4d4e71c1-43c8-4c30-8ed6-d20f94ab116f" updatedVersion="7" minRefreshableVersion="3" useAutoFormatting="1" subtotalHiddenItems="1" rowGrandTotals="0" colGrandTotals="0" itemPrintTitles="1" createdVersion="7" indent="0" compact="0" outline="1" outlineData="1" compactData="0" multipleFieldFilters="0" chartFormat="4">
  <location ref="A14:B17" firstHeaderRow="1" firstDataRow="1" firstDataCol="1"/>
  <pivotFields count="3">
    <pivotField axis="axisRow" compact="0" allDrilled="1" showAll="0" defaultSubtotal="0" defaultAttributeDrillState="1">
      <items count="3">
        <item x="2"/>
        <item x="0"/>
        <item x="1"/>
      </items>
    </pivotField>
    <pivotField dataField="1" compact="0" showAll="0" defaultSubtotal="0"/>
    <pivotField compact="0" allDrilled="1" subtotalTop="0" showAll="0" dataSourceSort="1" defaultSubtotal="0" defaultAttributeDrillState="1"/>
  </pivotFields>
  <rowFields count="1">
    <field x="0"/>
  </rowFields>
  <rowItems count="3">
    <i>
      <x/>
    </i>
    <i>
      <x v="1"/>
    </i>
    <i>
      <x v="2"/>
    </i>
  </rowItems>
  <colItems count="1">
    <i/>
  </colItems>
  <dataFields count="1">
    <dataField name="Absolute Count" fld="1" subtotal="count" baseField="0" baseItem="0"/>
  </dataFields>
  <formats count="3">
    <format dxfId="156">
      <pivotArea type="all" dataOnly="0" outline="0" fieldPosition="0"/>
    </format>
    <format dxfId="155">
      <pivotArea field="0" grandCol="1" axis="axisRow" fieldPosition="0">
        <references count="2">
          <reference field="4294967294" count="1" selected="0">
            <x v="0"/>
          </reference>
          <reference field="0" count="0"/>
        </references>
      </pivotArea>
    </format>
    <format dxfId="154">
      <pivotArea field="0" grandCol="1" axis="axisRow" fieldPosition="0">
        <references count="2">
          <reference field="4294967294" count="1" selected="0">
            <x v="0"/>
          </reference>
          <reference field="0" count="0"/>
        </references>
      </pivotArea>
    </format>
  </formats>
  <chartFormats count="2">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D28B9E6-28B8-4172-A840-76A3BDB09BCB}" name="passengers_by_age_group" cacheId="213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K53:L59"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i>
    <i>
      <x v="1"/>
    </i>
    <i>
      <x v="4"/>
    </i>
    <i t="grand">
      <x/>
    </i>
  </rowItems>
  <colItems count="1">
    <i/>
  </colItems>
  <dataFields count="1">
    <dataField name="Absolute" fld="1" subtotal="count" baseField="0" baseItem="0"/>
  </dataFields>
  <formats count="1">
    <format dxfId="157">
      <pivotArea collapsedLevelsAreSubtotals="1" fieldPosition="0">
        <references count="1">
          <reference field="0" count="0"/>
        </references>
      </pivotArea>
    </format>
  </formats>
  <chartFormats count="1">
    <chartFormat chart="6" format="3"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bsolute"/>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91661CD-D438-460A-A3CC-99D7E7227746}" name="PivotTable20" cacheId="2154" applyNumberFormats="0" applyBorderFormats="0" applyFontFormats="0" applyPatternFormats="0" applyAlignmentFormats="0" applyWidthHeightFormats="1" dataCaption="Values" tag="d8b52ee5-312e-4feb-b082-8abc79507bad" updatedVersion="7" minRefreshableVersion="3" useAutoFormatting="1" subtotalHiddenItems="1" itemPrintTitles="1" createdVersion="7" indent="0" compact="0" outline="1" outlineData="1" compactData="0" multipleFieldFilters="0">
  <location ref="A109:H124" firstHeaderRow="1" firstDataRow="3" firstDataCol="2"/>
  <pivotFields count="6">
    <pivotField axis="axisCol" compact="0" allDrilled="1" showAll="0" dataSourceSort="1" defaultAttributeDrillState="1">
      <items count="3">
        <item x="0"/>
        <item x="1"/>
        <item t="default"/>
      </items>
    </pivotField>
    <pivotField axis="axisRow" compact="0" allDrilled="1" showAll="0" dataSourceSort="1" defaultAttributeDrillState="1">
      <items count="4">
        <item x="0"/>
        <item x="1"/>
        <item x="2"/>
        <item t="default"/>
      </items>
    </pivotField>
    <pivotField axis="axisRow" compact="0" allDrilled="1" showAll="0" dataSourceSort="1" defaultAttributeDrillState="1">
      <items count="4">
        <item x="0"/>
        <item x="1"/>
        <item x="2"/>
        <item t="default"/>
      </items>
    </pivotField>
    <pivotField dataField="1" compact="0" showAll="0" defaultSubtotal="0"/>
    <pivotField compact="0"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2"/>
  </rowFields>
  <rowItems count="13">
    <i>
      <x/>
    </i>
    <i r="1">
      <x/>
    </i>
    <i r="1">
      <x v="1"/>
    </i>
    <i r="1">
      <x v="2"/>
    </i>
    <i>
      <x v="1"/>
    </i>
    <i r="1">
      <x/>
    </i>
    <i r="1">
      <x v="1"/>
    </i>
    <i r="1">
      <x v="2"/>
    </i>
    <i>
      <x v="2"/>
    </i>
    <i r="1">
      <x/>
    </i>
    <i r="1">
      <x v="1"/>
    </i>
    <i r="1">
      <x v="2"/>
    </i>
    <i t="grand">
      <x/>
    </i>
  </rowItems>
  <colFields count="2">
    <field x="0"/>
    <field x="-2"/>
  </colFields>
  <colItems count="6">
    <i>
      <x/>
      <x/>
    </i>
    <i r="1" i="1">
      <x v="1"/>
    </i>
    <i>
      <x v="1"/>
      <x/>
    </i>
    <i r="1" i="1">
      <x v="1"/>
    </i>
    <i t="grand">
      <x/>
    </i>
    <i t="grand" i="1">
      <x/>
    </i>
  </colItems>
  <dataFields count="2">
    <dataField name="Absolute Count" fld="3" subtotal="count" baseField="1" baseItem="0"/>
    <dataField name="%" fld="5" subtotal="count" showDataAs="percentOfRow" baseField="2" baseItem="1" numFmtId="10">
      <extLst>
        <ext xmlns:x14="http://schemas.microsoft.com/office/spreadsheetml/2009/9/main" uri="{E15A36E0-9728-4e99-A89B-3F7291B0FE68}">
          <x14:dataField sourceField="3" uniqueName="[__Xl2].[Measures].[Count of PassengerID]"/>
        </ext>
      </extLst>
    </dataField>
  </dataFields>
  <formats count="10">
    <format dxfId="167">
      <pivotArea outline="0" fieldPosition="0">
        <references count="2">
          <reference field="4294967294" count="1" selected="0">
            <x v="1"/>
          </reference>
          <reference field="0" count="1" selected="0">
            <x v="0"/>
          </reference>
        </references>
      </pivotArea>
    </format>
    <format dxfId="166">
      <pivotArea outline="0" fieldPosition="0">
        <references count="2">
          <reference field="4294967294" count="1" selected="0">
            <x v="1"/>
          </reference>
          <reference field="0" count="1" selected="0">
            <x v="1"/>
          </reference>
        </references>
      </pivotArea>
    </format>
    <format dxfId="165">
      <pivotArea field="0" grandCol="1" outline="0" axis="axisCol" fieldPosition="0">
        <references count="1">
          <reference field="4294967294" count="1" selected="0">
            <x v="1"/>
          </reference>
        </references>
      </pivotArea>
    </format>
    <format dxfId="164">
      <pivotArea type="all" dataOnly="0" outline="0" fieldPosition="0"/>
    </format>
    <format dxfId="163">
      <pivotArea field="2" grandCol="1" axis="axisRow" fieldPosition="1">
        <references count="3">
          <reference field="4294967294" count="1" selected="0">
            <x v="0"/>
          </reference>
          <reference field="1" count="1" selected="0">
            <x v="0"/>
          </reference>
          <reference field="2" count="0"/>
        </references>
      </pivotArea>
    </format>
    <format dxfId="162">
      <pivotArea field="2" grandCol="1" axis="axisRow" fieldPosition="1">
        <references count="3">
          <reference field="4294967294" count="1" selected="0">
            <x v="0"/>
          </reference>
          <reference field="1" count="1" selected="0">
            <x v="1"/>
          </reference>
          <reference field="2" count="0"/>
        </references>
      </pivotArea>
    </format>
    <format dxfId="161">
      <pivotArea field="2" grandCol="1" axis="axisRow" fieldPosition="1">
        <references count="3">
          <reference field="4294967294" count="1" selected="0">
            <x v="0"/>
          </reference>
          <reference field="1" count="1" selected="0">
            <x v="2"/>
          </reference>
          <reference field="2" count="0"/>
        </references>
      </pivotArea>
    </format>
    <format dxfId="160">
      <pivotArea field="2" grandCol="1" axis="axisRow" fieldPosition="1">
        <references count="3">
          <reference field="4294967294" count="1" selected="0">
            <x v="0"/>
          </reference>
          <reference field="1" count="1" selected="0">
            <x v="0"/>
          </reference>
          <reference field="2" count="0"/>
        </references>
      </pivotArea>
    </format>
    <format dxfId="159">
      <pivotArea field="2" grandCol="1" axis="axisRow" fieldPosition="1">
        <references count="3">
          <reference field="4294967294" count="1" selected="0">
            <x v="0"/>
          </reference>
          <reference field="1" count="1" selected="0">
            <x v="1"/>
          </reference>
          <reference field="2" count="0"/>
        </references>
      </pivotArea>
    </format>
    <format dxfId="158">
      <pivotArea field="2" grandCol="1" axis="axisRow" fieldPosition="1">
        <references count="3">
          <reference field="4294967294" count="1" selected="0">
            <x v="0"/>
          </reference>
          <reference field="1" count="1" selected="0">
            <x v="2"/>
          </reference>
          <reference field="2" count="0"/>
        </references>
      </pivotArea>
    </format>
  </formats>
  <conditionalFormats count="6">
    <conditionalFormat priority="1">
      <pivotAreas count="1">
        <pivotArea type="data" collapsedLevelsAreSubtotals="1" fieldPosition="0">
          <references count="4">
            <reference field="4294967294" count="1" selected="0">
              <x v="1"/>
            </reference>
            <reference field="0" count="1" selected="0">
              <x v="1"/>
            </reference>
            <reference field="1" count="1" selected="0">
              <x v="2"/>
            </reference>
            <reference field="2" count="3">
              <x v="0"/>
              <x v="1"/>
              <x v="2"/>
            </reference>
          </references>
        </pivotArea>
      </pivotAreas>
    </conditionalFormat>
    <conditionalFormat priority="2">
      <pivotAreas count="1">
        <pivotArea type="data" collapsedLevelsAreSubtotals="1" fieldPosition="0">
          <references count="4">
            <reference field="4294967294" count="1" selected="0">
              <x v="1"/>
            </reference>
            <reference field="0" count="1" selected="0">
              <x v="1"/>
            </reference>
            <reference field="1" count="1" selected="0">
              <x v="1"/>
            </reference>
            <reference field="2" count="3">
              <x v="0"/>
              <x v="1"/>
              <x v="2"/>
            </reference>
          </references>
        </pivotArea>
      </pivotAreas>
    </conditionalFormat>
    <conditionalFormat priority="3">
      <pivotAreas count="1">
        <pivotArea type="data" collapsedLevelsAreSubtotals="1" fieldPosition="0">
          <references count="4">
            <reference field="4294967294" count="1" selected="0">
              <x v="1"/>
            </reference>
            <reference field="0" count="1" selected="0">
              <x v="1"/>
            </reference>
            <reference field="1" count="1" selected="0">
              <x v="0"/>
            </reference>
            <reference field="2" count="3">
              <x v="0"/>
              <x v="1"/>
              <x v="2"/>
            </reference>
          </references>
        </pivotArea>
      </pivotAreas>
    </conditionalFormat>
    <conditionalFormat priority="4">
      <pivotAreas count="1">
        <pivotArea type="data" collapsedLevelsAreSubtotals="1" fieldPosition="0">
          <references count="4">
            <reference field="4294967294" count="1" selected="0">
              <x v="1"/>
            </reference>
            <reference field="0" count="1" selected="0">
              <x v="0"/>
            </reference>
            <reference field="1" count="1" selected="0">
              <x v="2"/>
            </reference>
            <reference field="2" count="3">
              <x v="0"/>
              <x v="1"/>
              <x v="2"/>
            </reference>
          </references>
        </pivotArea>
      </pivotAreas>
    </conditionalFormat>
    <conditionalFormat priority="5">
      <pivotAreas count="1">
        <pivotArea type="data" collapsedLevelsAreSubtotals="1" fieldPosition="0">
          <references count="4">
            <reference field="4294967294" count="1" selected="0">
              <x v="1"/>
            </reference>
            <reference field="0" count="1" selected="0">
              <x v="0"/>
            </reference>
            <reference field="1" count="1" selected="0">
              <x v="1"/>
            </reference>
            <reference field="2" count="3">
              <x v="0"/>
              <x v="1"/>
              <x v="2"/>
            </reference>
          </references>
        </pivotArea>
      </pivotAreas>
    </conditionalFormat>
    <conditionalFormat priority="6">
      <pivotAreas count="1">
        <pivotArea type="data" collapsedLevelsAreSubtotals="1" fieldPosition="0">
          <references count="4">
            <reference field="4294967294" count="1" selected="0">
              <x v="1"/>
            </reference>
            <reference field="0" count="1" selected="0">
              <x v="0"/>
            </reference>
            <reference field="1" count="1" selected="0">
              <x v="0"/>
            </reference>
            <reference field="2" count="3">
              <x v="0"/>
              <x v="1"/>
              <x v="2"/>
            </reference>
          </references>
        </pivotArea>
      </pivotAreas>
    </conditionalFormat>
  </conditionalFormats>
  <pivotHierarchies count="15">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bsolute Count"/>
    <pivotHierarchy dragToData="1" caption="Distinct Count of PassengerID"/>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8"/>
    <rowHierarchyUsage hierarchyUsage="1"/>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ED6AE2D-801D-4124-936B-1DA79342676F}" name="passengers_by_gender" cacheId="214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K47:L5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bsolute" fld="1" subtotal="count" baseField="0" baseItem="0"/>
  </dataFields>
  <formats count="1">
    <format dxfId="168">
      <pivotArea collapsedLevelsAreSubtotals="1" fieldPosition="0">
        <references count="1">
          <reference field="0" count="0"/>
        </references>
      </pivotArea>
    </format>
  </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bsolute"/>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643F240-6B90-4C80-BC50-08804A0C70C3}" name="Fare_survival_rate" cacheId="2127" applyNumberFormats="0" applyBorderFormats="0" applyFontFormats="0" applyPatternFormats="0" applyAlignmentFormats="0" applyWidthHeightFormats="1" dataCaption="Values" tag="d4e02b91-6af1-4519-9b72-2133c60152c1" updatedVersion="7" minRefreshableVersion="3" useAutoFormatting="1" subtotalHiddenItems="1" itemPrintTitles="1" createdVersion="7" indent="0" outline="1" outlineData="1" multipleFieldFilters="0">
  <location ref="A67:D72" firstHeaderRow="1" firstDataRow="2" firstDataCol="1"/>
  <pivotFields count="4">
    <pivotField axis="axisRow" allDrilled="1" subtotalTop="0" showAll="0" defaultSubtotal="0" defaultAttributeDrillState="1">
      <items count="3">
        <item x="2"/>
        <item x="1"/>
        <item x="0"/>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Absolute Count" fld="1" subtotal="count" baseField="0" baseItem="0"/>
  </dataFields>
  <formats count="3">
    <format dxfId="171">
      <pivotArea type="all" dataOnly="0" outline="0" fieldPosition="0"/>
    </format>
    <format dxfId="170">
      <pivotArea field="0" grandCol="1" collapsedLevelsAreSubtotals="1" axis="axisRow" fieldPosition="0">
        <references count="2">
          <reference field="4294967294" count="1" selected="0">
            <x v="0"/>
          </reference>
          <reference field="0" count="0"/>
        </references>
      </pivotArea>
    </format>
    <format dxfId="169">
      <pivotArea field="0" grandCol="1" collapsedLevelsAreSubtotals="1" axis="axisRow" fieldPosition="0">
        <references count="2">
          <reference field="4294967294" count="1" selected="0">
            <x v="0"/>
          </reference>
          <reference field="0" count="0"/>
        </references>
      </pivotArea>
    </format>
  </formats>
  <conditionalFormats count="2">
    <conditionalFormat priority="15">
      <pivotAreas count="1">
        <pivotArea type="data" collapsedLevelsAreSubtotals="1" fieldPosition="0">
          <references count="3">
            <reference field="4294967294" count="1" selected="0">
              <x v="0"/>
            </reference>
            <reference field="0" count="3">
              <x v="0"/>
              <x v="1"/>
              <x v="2"/>
            </reference>
            <reference field="2" count="1" selected="0">
              <x v="1"/>
            </reference>
          </references>
        </pivotArea>
      </pivotAreas>
    </conditionalFormat>
    <conditionalFormat priority="16">
      <pivotAreas count="1">
        <pivotArea type="data" collapsedLevelsAreSubtotals="1" fieldPosition="0">
          <references count="3">
            <reference field="4294967294" count="1" selected="0">
              <x v="0"/>
            </reference>
            <reference field="0" count="3">
              <x v="0"/>
              <x v="1"/>
              <x v="2"/>
            </reference>
            <reference field="2" count="1" selected="0">
              <x v="0"/>
            </reference>
          </references>
        </pivotArea>
      </pivotAreas>
    </conditionalFormat>
  </conditional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34BF7BB-F906-444A-955A-50D318125E84}" name="PivotTable18" cacheId="2151" applyNumberFormats="0" applyBorderFormats="0" applyFontFormats="0" applyPatternFormats="0" applyAlignmentFormats="0" applyWidthHeightFormats="1" dataCaption="Values" tag="db4dd6ff-6726-4c50-a325-5cab10fbef47" updatedVersion="7" minRefreshableVersion="3" useAutoFormatting="1" subtotalHiddenItems="1" itemPrintTitles="1" createdVersion="7" indent="0" outline="1" outlineData="1" multipleFieldFilters="0">
  <location ref="A97:G106" firstHeaderRow="1" firstDataRow="3" firstDataCol="1"/>
  <pivotFields count="5">
    <pivotField axis="axisRow" allDrilled="1" showAll="0" dataSourceSort="1" defaultAttributeDrillState="1">
      <items count="3">
        <item x="0"/>
        <item x="1"/>
        <item t="default"/>
      </items>
    </pivotField>
    <pivotField axis="axisRow" allDrilled="1" showAll="0" dataSourceSort="1" defaultAttributeDrillState="1">
      <items count="3">
        <item x="0"/>
        <item x="1"/>
        <item t="default"/>
      </items>
    </pivotField>
    <pivotField dataField="1" subtotalTop="0" showAll="0" defaultSubtotal="0"/>
    <pivotField axis="axisCol" allDrilled="1" showAll="0" dataSourceSort="1" defaultAttributeDrillState="1">
      <items count="3">
        <item x="0"/>
        <item x="1"/>
        <item t="default"/>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7">
    <i>
      <x/>
    </i>
    <i r="1">
      <x/>
    </i>
    <i r="1">
      <x v="1"/>
    </i>
    <i>
      <x v="1"/>
    </i>
    <i r="1">
      <x/>
    </i>
    <i r="1">
      <x v="1"/>
    </i>
    <i t="grand">
      <x/>
    </i>
  </rowItems>
  <colFields count="2">
    <field x="3"/>
    <field x="-2"/>
  </colFields>
  <colItems count="6">
    <i>
      <x/>
      <x/>
    </i>
    <i r="1" i="1">
      <x v="1"/>
    </i>
    <i>
      <x v="1"/>
      <x/>
    </i>
    <i r="1" i="1">
      <x v="1"/>
    </i>
    <i t="grand">
      <x/>
    </i>
    <i t="grand" i="1">
      <x/>
    </i>
  </colItems>
  <dataFields count="2">
    <dataField name="Absolute Count" fld="2" subtotal="count" baseField="1" baseItem="0"/>
    <dataField name="%" fld="4" subtotal="count" showDataAs="percentOfRow" baseField="1" baseItem="0" numFmtId="10">
      <extLst>
        <ext xmlns:x14="http://schemas.microsoft.com/office/spreadsheetml/2009/9/main" uri="{E15A36E0-9728-4e99-A89B-3F7291B0FE68}">
          <x14:dataField sourceField="2" uniqueName="[__Xl2].[Measures].[Count of PassengerID]"/>
        </ext>
      </extLst>
    </dataField>
  </dataFields>
  <formats count="8">
    <format dxfId="179">
      <pivotArea outline="0" collapsedLevelsAreSubtotals="1" fieldPosition="0">
        <references count="2">
          <reference field="4294967294" count="1" selected="0">
            <x v="1"/>
          </reference>
          <reference field="3" count="1" selected="0">
            <x v="0"/>
          </reference>
        </references>
      </pivotArea>
    </format>
    <format dxfId="178">
      <pivotArea outline="0" collapsedLevelsAreSubtotals="1" fieldPosition="0">
        <references count="2">
          <reference field="4294967294" count="1" selected="0">
            <x v="1"/>
          </reference>
          <reference field="3" count="1" selected="0">
            <x v="1"/>
          </reference>
        </references>
      </pivotArea>
    </format>
    <format dxfId="177">
      <pivotArea field="3" grandCol="1" outline="0" collapsedLevelsAreSubtotals="1" axis="axisCol" fieldPosition="0">
        <references count="1">
          <reference field="4294967294" count="1" selected="0">
            <x v="1"/>
          </reference>
        </references>
      </pivotArea>
    </format>
    <format dxfId="176">
      <pivotArea type="all" dataOnly="0" outline="0" fieldPosition="0"/>
    </format>
    <format dxfId="175">
      <pivotArea field="1" grandCol="1" collapsedLevelsAreSubtotals="1" axis="axisRow" fieldPosition="0">
        <references count="3">
          <reference field="4294967294" count="1" selected="0">
            <x v="0"/>
          </reference>
          <reference field="0" count="0"/>
          <reference field="1" count="1" selected="0">
            <x v="0"/>
          </reference>
        </references>
      </pivotArea>
    </format>
    <format dxfId="174">
      <pivotArea field="1" grandCol="1" collapsedLevelsAreSubtotals="1" axis="axisRow" fieldPosition="0">
        <references count="3">
          <reference field="4294967294" count="1" selected="0">
            <x v="0"/>
          </reference>
          <reference field="0" count="0"/>
          <reference field="1" count="1" selected="0">
            <x v="1"/>
          </reference>
        </references>
      </pivotArea>
    </format>
    <format dxfId="173">
      <pivotArea field="1" grandCol="1" collapsedLevelsAreSubtotals="1" axis="axisRow" fieldPosition="0">
        <references count="3">
          <reference field="4294967294" count="1" selected="0">
            <x v="0"/>
          </reference>
          <reference field="0" count="0"/>
          <reference field="1" count="1" selected="0">
            <x v="0"/>
          </reference>
        </references>
      </pivotArea>
    </format>
    <format dxfId="172">
      <pivotArea field="1" grandCol="1" collapsedLevelsAreSubtotals="1" axis="axisRow" fieldPosition="0">
        <references count="3">
          <reference field="4294967294" count="1" selected="0">
            <x v="0"/>
          </reference>
          <reference field="0" count="0"/>
          <reference field="1" count="1" selected="0">
            <x v="1"/>
          </reference>
        </references>
      </pivotArea>
    </format>
  </formats>
  <conditionalFormats count="4">
    <conditionalFormat priority="7">
      <pivotAreas count="1">
        <pivotArea type="data" collapsedLevelsAreSubtotals="1" fieldPosition="0">
          <references count="4">
            <reference field="4294967294" count="1" selected="0">
              <x v="1"/>
            </reference>
            <reference field="0" count="2">
              <x v="0"/>
              <x v="1"/>
            </reference>
            <reference field="1" count="1" selected="0">
              <x v="1"/>
            </reference>
            <reference field="3" count="1" selected="0">
              <x v="1"/>
            </reference>
          </references>
        </pivotArea>
      </pivotAreas>
    </conditionalFormat>
    <conditionalFormat priority="8">
      <pivotAreas count="1">
        <pivotArea type="data" collapsedLevelsAreSubtotals="1" fieldPosition="0">
          <references count="4">
            <reference field="4294967294" count="1" selected="0">
              <x v="1"/>
            </reference>
            <reference field="0" count="2">
              <x v="0"/>
              <x v="1"/>
            </reference>
            <reference field="1" count="1" selected="0">
              <x v="0"/>
            </reference>
            <reference field="3" count="1" selected="0">
              <x v="1"/>
            </reference>
          </references>
        </pivotArea>
      </pivotAreas>
    </conditionalFormat>
    <conditionalFormat priority="9">
      <pivotAreas count="1">
        <pivotArea type="data" collapsedLevelsAreSubtotals="1" fieldPosition="0">
          <references count="4">
            <reference field="4294967294" count="1" selected="0">
              <x v="1"/>
            </reference>
            <reference field="0" count="2">
              <x v="0"/>
              <x v="1"/>
            </reference>
            <reference field="1" count="1" selected="0">
              <x v="1"/>
            </reference>
            <reference field="3" count="1" selected="0">
              <x v="0"/>
            </reference>
          </references>
        </pivotArea>
      </pivotAreas>
    </conditionalFormat>
    <conditionalFormat priority="10">
      <pivotAreas count="1">
        <pivotArea type="data" collapsedLevelsAreSubtotals="1" fieldPosition="0">
          <references count="4">
            <reference field="4294967294" count="1" selected="0">
              <x v="1"/>
            </reference>
            <reference field="0" count="2">
              <x v="0"/>
              <x v="1"/>
            </reference>
            <reference field="1" count="1" selected="0">
              <x v="0"/>
            </reference>
            <reference field="3" count="1" selected="0">
              <x v="0"/>
            </reference>
          </references>
        </pivotArea>
      </pivotAreas>
    </conditionalFormat>
  </conditionalFormats>
  <pivotHierarchies count="15">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4"/>
    <rowHierarchyUsage hierarchyUsage="6"/>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16F09C8-F54D-4955-84F8-AD48D654ED52}" name="passengers_by_fare_category" cacheId="214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F68:G72"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Absolute" fld="1" subtotal="count" baseField="0" baseItem="0"/>
  </dataFields>
  <formats count="3">
    <format dxfId="182">
      <pivotArea outline="0" collapsedLevelsAreSubtotals="1" fieldPosition="0"/>
    </format>
    <format dxfId="181">
      <pivotArea outline="0" fieldPosition="0">
        <references count="1">
          <reference field="4294967294" count="1">
            <x v="0"/>
          </reference>
        </references>
      </pivotArea>
    </format>
    <format dxfId="180">
      <pivotArea collapsedLevelsAreSubtotals="1" fieldPosition="0">
        <references count="1">
          <reference field="0"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14">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bsolute"/>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 Datase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A75D64-14E2-47B0-9E84-DA4EA3BF44B1}" autoFormatId="16" applyNumberFormats="0" applyBorderFormats="0" applyFontFormats="0" applyPatternFormats="0" applyAlignmentFormats="0" applyWidthHeightFormats="0">
  <queryTableRefresh nextId="11">
    <queryTableFields count="9">
      <queryTableField id="9" name="PassengerID" tableColumnId="9"/>
      <queryTableField id="1" name="Pclass Category" tableColumnId="1"/>
      <queryTableField id="2" name="Survived Category" tableColumnId="2"/>
      <queryTableField id="3" name="Salutation" tableColumnId="3"/>
      <queryTableField id="4" name="Gender" tableColumnId="4"/>
      <queryTableField id="5" name="Age Group" tableColumnId="5"/>
      <queryTableField id="6" name="Family Status" tableColumnId="6"/>
      <queryTableField id="7" name="Fare Category" tableColumnId="7"/>
      <queryTableField id="8" name="Embarked Categor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17C5FED-27D6-4756-A0AB-E2F850875E9F}" sourceName="[Table1_2].[Age Group]">
  <pivotTables>
    <pivotTable tabId="12" name="Survival_Rate"/>
    <pivotTable tabId="12" name="Embarkation_survival_analysis"/>
    <pivotTable tabId="12" name="Family_Status_survival_rate"/>
    <pivotTable tabId="12" name="Fare_survival_rate"/>
    <pivotTable tabId="12" name="Gender_Age_survival_rate"/>
    <pivotTable tabId="12" name="Passenger_class_survival"/>
    <pivotTable tabId="12" name="passengers_by_age_group"/>
    <pivotTable tabId="12" name="Passengers_by_emabarkation_cat"/>
    <pivotTable tabId="12" name="passengers_by_family_status"/>
    <pivotTable tabId="12" name="passengers_by_fare_category"/>
    <pivotTable tabId="12" name="passengers_by_gender"/>
    <pivotTable tabId="12" name="PivotTable18"/>
    <pivotTable tabId="12" name="PivotTable20"/>
    <pivotTable tabId="12" name="PivotTable4"/>
    <pivotTable tabId="12" name="Salutation_survival_rate"/>
    <pivotTable tabId="12" name="Total_passengers_by_salutation"/>
  </pivotTables>
  <data>
    <olap pivotCacheId="743572097">
      <levels count="2">
        <level uniqueName="[Table1_2].[Age Group].[(All)]" sourceCaption="(All)" count="0"/>
        <level uniqueName="[Table1_2].[Age Group].[Age Group]" sourceCaption="Age Group" count="5">
          <ranges>
            <range startItem="0">
              <i n="[Table1_2].[Age Group].&amp;[Child]" c="Child"/>
              <i n="[Table1_2].[Age Group].&amp;[Middle Aged Adult]" c="Middle Aged Adult"/>
              <i n="[Table1_2].[Age Group].&amp;[Senior]" c="Senior"/>
              <i n="[Table1_2].[Age Group].&amp;[Teenager]" c="Teenager"/>
              <i n="[Table1_2].[Age Group].&amp;[Young Adult]" c="Young Adult"/>
            </range>
          </ranges>
        </level>
      </levels>
      <selections count="1">
        <selection n="[Table1_2].[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_Category" xr10:uid="{C1E9BC2E-CDC8-4B2E-8773-806CEFE05F74}" sourceName="[Table1_2].[Embarked Category]">
  <pivotTables>
    <pivotTable tabId="12" name="Survival_Rate"/>
  </pivotTables>
  <data>
    <olap pivotCacheId="743572097">
      <levels count="2">
        <level uniqueName="[Table1_2].[Embarked Category].[(All)]" sourceCaption="(All)" count="0"/>
        <level uniqueName="[Table1_2].[Embarked Category].[Embarked Category]" sourceCaption="Embarked Category" count="3">
          <ranges>
            <range startItem="0">
              <i n="[Table1_2].[Embarked Category].&amp;[Cherboug]" c="Cherboug"/>
              <i n="[Table1_2].[Embarked Category].&amp;[Queenstown]" c="Queenstown"/>
              <i n="[Table1_2].[Embarked Category].&amp;[Southampton]" c="Southampton"/>
            </range>
          </ranges>
        </level>
      </levels>
      <selections count="1">
        <selection n="[Table1_2].[Embarked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Status" xr10:uid="{E219A6E4-DBAC-4ABB-A8D7-CF9EED0A23C5}" sourceName="[Table1_2].[Family Status]">
  <pivotTables>
    <pivotTable tabId="12" name="Survival_Rate"/>
    <pivotTable tabId="12" name="Embarkation_survival_analysis"/>
    <pivotTable tabId="12" name="Family_Status_survival_rate"/>
    <pivotTable tabId="12" name="Fare_survival_rate"/>
    <pivotTable tabId="12" name="Gender_Age_survival_rate"/>
    <pivotTable tabId="12" name="Passenger_class_survival"/>
    <pivotTable tabId="12" name="passengers_by_age_group"/>
    <pivotTable tabId="12" name="Passengers_by_emabarkation_cat"/>
    <pivotTable tabId="12" name="passengers_by_family_status"/>
    <pivotTable tabId="12" name="passengers_by_fare_category"/>
    <pivotTable tabId="12" name="passengers_by_gender"/>
    <pivotTable tabId="12" name="PivotTable18"/>
    <pivotTable tabId="12" name="PivotTable20"/>
    <pivotTable tabId="12" name="PivotTable4"/>
    <pivotTable tabId="12" name="Salutation_survival_rate"/>
    <pivotTable tabId="12" name="Total_passengers_by_salutation"/>
  </pivotTables>
  <data>
    <olap pivotCacheId="743572097">
      <levels count="2">
        <level uniqueName="[Table1_2].[Family Status].[(All)]" sourceCaption="(All)" count="0"/>
        <level uniqueName="[Table1_2].[Family Status].[Family Status]" sourceCaption="Family Status" count="2">
          <ranges>
            <range startItem="0">
              <i n="[Table1_2].[Family Status].&amp;[Single]" c="Single"/>
              <i n="[Table1_2].[Family Status].&amp;[With Family]" c="With Family"/>
            </range>
          </ranges>
        </level>
      </levels>
      <selections count="1">
        <selection n="[Table1_2].[Family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e_Category" xr10:uid="{D69F5528-667A-4B1D-B38C-6FB914F46558}" sourceName="[Table1_2].[Fare Category]">
  <pivotTables>
    <pivotTable tabId="12" name="Survival_Rate"/>
    <pivotTable tabId="12" name="Embarkation_survival_analysis"/>
    <pivotTable tabId="12" name="Family_Status_survival_rate"/>
    <pivotTable tabId="12" name="Fare_survival_rate"/>
    <pivotTable tabId="12" name="Gender_Age_survival_rate"/>
    <pivotTable tabId="12" name="Passenger_class_survival"/>
    <pivotTable tabId="12" name="passengers_by_age_group"/>
    <pivotTable tabId="12" name="Passengers_by_emabarkation_cat"/>
    <pivotTable tabId="12" name="passengers_by_family_status"/>
    <pivotTable tabId="12" name="passengers_by_fare_category"/>
    <pivotTable tabId="12" name="passengers_by_gender"/>
    <pivotTable tabId="12" name="PivotTable18"/>
    <pivotTable tabId="12" name="PivotTable20"/>
    <pivotTable tabId="12" name="PivotTable4"/>
    <pivotTable tabId="12" name="Salutation_survival_rate"/>
    <pivotTable tabId="12" name="Total_passengers_by_salutation"/>
  </pivotTables>
  <data>
    <olap pivotCacheId="743572097">
      <levels count="2">
        <level uniqueName="[Table1_2].[Fare Category].[(All)]" sourceCaption="(All)" count="0"/>
        <level uniqueName="[Table1_2].[Fare Category].[Fare Category]" sourceCaption="Fare Category" count="3">
          <ranges>
            <range startItem="0">
              <i n="[Table1_2].[Fare Category].&amp;[High]" c="High"/>
              <i n="[Table1_2].[Fare Category].&amp;[Low]" c="Low"/>
              <i n="[Table1_2].[Fare Category].&amp;[Medium]" c="Medium"/>
            </range>
          </ranges>
        </level>
      </levels>
      <selections count="1">
        <selection n="[Table1_2].[Fare 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C3B4EF-A06E-4003-8499-87C5B3B9B9C4}" sourceName="[Table1_2].[Gender]">
  <pivotTables>
    <pivotTable tabId="12" name="Survival_Rate"/>
    <pivotTable tabId="12" name="Embarkation_survival_analysis"/>
    <pivotTable tabId="12" name="Family_Status_survival_rate"/>
    <pivotTable tabId="12" name="Fare_survival_rate"/>
    <pivotTable tabId="12" name="Gender_Age_survival_rate"/>
    <pivotTable tabId="12" name="Passenger_class_survival"/>
    <pivotTable tabId="12" name="passengers_by_age_group"/>
    <pivotTable tabId="12" name="Passengers_by_emabarkation_cat"/>
    <pivotTable tabId="12" name="passengers_by_family_status"/>
    <pivotTable tabId="12" name="passengers_by_fare_category"/>
    <pivotTable tabId="12" name="passengers_by_gender"/>
    <pivotTable tabId="12" name="PivotTable18"/>
    <pivotTable tabId="12" name="PivotTable20"/>
    <pivotTable tabId="12" name="PivotTable4"/>
    <pivotTable tabId="12" name="Salutation_survival_rate"/>
    <pivotTable tabId="12" name="Total_passengers_by_salutation"/>
  </pivotTables>
  <data>
    <olap pivotCacheId="743572097">
      <levels count="2">
        <level uniqueName="[Table1_2].[Gender].[(All)]" sourceCaption="(All)" count="0"/>
        <level uniqueName="[Table1_2].[Gender].[Gender]" sourceCaption="Gender" count="2">
          <ranges>
            <range startItem="0">
              <i n="[Table1_2].[Gender].&amp;[Female]" c="Female"/>
              <i n="[Table1_2].[Gender].&amp;[Male]" c="Male"/>
            </range>
          </ranges>
        </level>
      </levels>
      <selections count="1">
        <selection n="[Table1_2].[Gend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_Category" xr10:uid="{20D181CD-7D8F-4F46-BB1C-08479B73D32A}" sourceName="[Table1_2].[Pclass Category]">
  <pivotTables>
    <pivotTable tabId="12" name="Survival_Rate"/>
    <pivotTable tabId="12" name="Embarkation_survival_analysis"/>
    <pivotTable tabId="12" name="Family_Status_survival_rate"/>
    <pivotTable tabId="12" name="Fare_survival_rate"/>
    <pivotTable tabId="12" name="Gender_Age_survival_rate"/>
    <pivotTable tabId="12" name="Passenger_class_survival"/>
    <pivotTable tabId="12" name="passengers_by_age_group"/>
    <pivotTable tabId="12" name="Passengers_by_emabarkation_cat"/>
    <pivotTable tabId="12" name="passengers_by_family_status"/>
    <pivotTable tabId="12" name="passengers_by_fare_category"/>
    <pivotTable tabId="12" name="passengers_by_gender"/>
    <pivotTable tabId="12" name="PivotTable18"/>
    <pivotTable tabId="12" name="PivotTable20"/>
    <pivotTable tabId="12" name="PivotTable4"/>
    <pivotTable tabId="12" name="Salutation_survival_rate"/>
    <pivotTable tabId="12" name="Total_passengers_by_salutation"/>
  </pivotTables>
  <data>
    <olap pivotCacheId="743572097">
      <levels count="2">
        <level uniqueName="[Table1_2].[Pclass Category].[(All)]" sourceCaption="(All)" count="0"/>
        <level uniqueName="[Table1_2].[Pclass Category].[Pclass Category]" sourceCaption="Pclass Category" count="3">
          <ranges>
            <range startItem="0">
              <i n="[Table1_2].[Pclass Category].&amp;[First Class]" c="First Class"/>
              <i n="[Table1_2].[Pclass Category].&amp;[Second Class]" c="Second Class"/>
              <i n="[Table1_2].[Pclass Category].&amp;[Third Class]" c="Third Class"/>
            </range>
          </ranges>
        </level>
      </levels>
      <selections count="1">
        <selection n="[Table1_2].[Pclass Category].[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_Category" xr10:uid="{4EE78B04-9853-4A09-8FE2-4121CE091251}" sourceName="[Table1_2].[Survived Category]">
  <pivotTables>
    <pivotTable tabId="12" name="Survival_Rate"/>
    <pivotTable tabId="12" name="Embarkation_survival_analysis"/>
    <pivotTable tabId="12" name="Family_Status_survival_rate"/>
    <pivotTable tabId="12" name="Fare_survival_rate"/>
    <pivotTable tabId="12" name="Gender_Age_survival_rate"/>
    <pivotTable tabId="12" name="Passenger_class_survival"/>
    <pivotTable tabId="12" name="passengers_by_age_group"/>
    <pivotTable tabId="12" name="Passengers_by_emabarkation_cat"/>
    <pivotTable tabId="12" name="passengers_by_family_status"/>
    <pivotTable tabId="12" name="passengers_by_fare_category"/>
    <pivotTable tabId="12" name="passengers_by_gender"/>
    <pivotTable tabId="12" name="PivotTable18"/>
    <pivotTable tabId="12" name="PivotTable20"/>
    <pivotTable tabId="12" name="PivotTable4"/>
    <pivotTable tabId="12" name="Salutation_survival_rate"/>
    <pivotTable tabId="12" name="Total_passengers_by_salutation"/>
  </pivotTables>
  <data>
    <olap pivotCacheId="743572097">
      <levels count="2">
        <level uniqueName="[Table1_2].[Survived Category].[(All)]" sourceCaption="(All)" count="0"/>
        <level uniqueName="[Table1_2].[Survived Category].[Survived Category]" sourceCaption="Survived Category" count="2">
          <ranges>
            <range startItem="0">
              <i n="[Table1_2].[Survived Category].&amp;[Alive]" c="Alive"/>
              <i n="[Table1_2].[Survived Category].&amp;[Dead]" c="Dead"/>
            </range>
          </ranges>
        </level>
      </levels>
      <selections count="1">
        <selection n="[Table1_2].[Survived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F6DA88C6-78F5-4586-B4E9-B34BF18FD3A0}" cache="Slicer_Age_Group" caption="Age Group" columnCount="2" level="1" style="Slicer Style 1" rowHeight="234950"/>
  <slicer name="Embarked Category 1" xr10:uid="{87CA81D8-CCAE-4FE1-AAEC-7131BC74E917}" cache="Slicer_Embarked_Category" caption="Embarked Category" columnCount="2" level="1" style="Slicer Style 1" rowHeight="234950"/>
  <slicer name="Family Status 1" xr10:uid="{E58D57B1-E5CE-4FDE-B2B6-FC3E00BF0D39}" cache="Slicer_Family_Status" caption="Family Status" columnCount="2" level="1" style="Slicer Style 1" rowHeight="234950"/>
  <slicer name="Fare Category 1" xr10:uid="{BC9F81A9-BB55-4701-8568-2C18848FF95D}" cache="Slicer_Fare_Category" caption="Fare Category" columnCount="2" level="1" style="Slicer Style 1" rowHeight="234950"/>
  <slicer name="Gender 1" xr10:uid="{1D7AAFD2-0508-44E0-B432-CEB8D005BB7B}" cache="Slicer_Gender" caption="Gender" columnCount="2" level="1" style="Slicer Style 1" rowHeight="234950"/>
  <slicer name="Pclass Category 1" xr10:uid="{8F950048-EF39-4736-BD10-399BF287ED80}" cache="Slicer_Pclass_Category" caption="Pclass Category" columnCount="2" level="1" style="Slicer Style 1" rowHeight="234950"/>
  <slicer name="Survived Category 1" xr10:uid="{601043B8-6F97-4BCC-940E-681F3D91D449}" cache="Slicer_Survived_Category" caption="Survived Category" columnCount="2" level="1" style="Slicer Style 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5400F6-EA8D-4E01-A311-61B2D986AA3A}" name="Table2" displayName="Table2" ref="A1:I1306" totalsRowShown="0" headerRowDxfId="264" dataDxfId="263">
  <autoFilter ref="A1:I1306" xr:uid="{CF97E810-9C2F-4766-8194-E81025105BB2}"/>
  <tableColumns count="9">
    <tableColumn id="1" xr3:uid="{A903F7ED-8202-46A6-8AA9-DA405F20F3D8}" name="Passenger ID"/>
    <tableColumn id="2" xr3:uid="{E4E70C62-C763-45CB-B2AC-EA118AD020A8}" name="Pclass Category" dataDxfId="262"/>
    <tableColumn id="3" xr3:uid="{2E37D10F-5DAE-4181-852A-AA63E84CD648}" name="Survived Category" dataDxfId="261"/>
    <tableColumn id="4" xr3:uid="{F863F15C-C18F-488C-9DD0-B56E0658D821}" name="Salutation" dataDxfId="260"/>
    <tableColumn id="5" xr3:uid="{D44583B0-B095-4549-AAA1-37199B85D175}" name="Gender" dataDxfId="259"/>
    <tableColumn id="6" xr3:uid="{F9C2EF73-BF3C-4C63-A08D-A45C2CF778F4}" name="Age Group" dataDxfId="258"/>
    <tableColumn id="7" xr3:uid="{4E8A7978-5506-4C4B-887B-11941E3A33C4}" name="Family Status" dataDxfId="257"/>
    <tableColumn id="8" xr3:uid="{C7CEE841-A8C0-464E-A3EC-439DE47090A8}" name="Fare Category" dataDxfId="256"/>
    <tableColumn id="9" xr3:uid="{88A756DB-9D5A-4C37-A60F-CA3E810AB439}" name="Embarked Category" dataDxfId="255"/>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D5DD4D-1A55-4D6D-91B9-F6A03294D8D9}" name="Table1" displayName="Table1" ref="A1:N1310" totalsRowShown="0">
  <autoFilter ref="A1:N1310" xr:uid="{61D5DD4D-1A55-4D6D-91B9-F6A03294D8D9}"/>
  <tableColumns count="14">
    <tableColumn id="1" xr3:uid="{4B1F33C9-31BE-4E02-80FF-0E73FC8C9384}" name="pclass"/>
    <tableColumn id="2" xr3:uid="{89D98B41-AFEE-4BA0-86A2-D0507343EC79}" name="survived"/>
    <tableColumn id="3" xr3:uid="{C49A96A8-B7A2-4207-901C-90A7FAA00CCA}" name="name"/>
    <tableColumn id="4" xr3:uid="{69043F12-96DF-409D-AB46-68BE8E0D9659}" name="sex"/>
    <tableColumn id="5" xr3:uid="{05C9DE24-B6A3-45C3-9A3C-F3E8B7E13C2A}" name="age"/>
    <tableColumn id="6" xr3:uid="{A7AF4E44-7D2E-4A90-8437-768EF85D6C43}" name="sibsp"/>
    <tableColumn id="7" xr3:uid="{74B7410A-FCCE-496C-ADBF-3215D24D4C94}" name="parch"/>
    <tableColumn id="8" xr3:uid="{D1B2A8F1-02C6-4387-934C-27D1788DD307}" name="ticket"/>
    <tableColumn id="9" xr3:uid="{23731449-6263-4003-8D79-8249FB955D05}" name="fare"/>
    <tableColumn id="10" xr3:uid="{F8C04A48-C01E-49DC-BFE1-D2F1A9995058}" name="cabin"/>
    <tableColumn id="11" xr3:uid="{44618176-1B05-4DB9-9DC2-145355C843DB}" name="embarked"/>
    <tableColumn id="12" xr3:uid="{5022E19D-F47B-498F-97AC-EFF801792FAC}" name="boat"/>
    <tableColumn id="13" xr3:uid="{D9929C88-3167-4DE2-A3F1-678A37605FC0}" name="body"/>
    <tableColumn id="14" xr3:uid="{32BEAB75-392A-445E-AF31-018699B32D46}" name="home.de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F30111-3653-4CAC-8517-D3262663CA90}" name="Table1_2" displayName="Table1_2" ref="A1:I1306" tableType="queryTable" totalsRowShown="0">
  <autoFilter ref="A1:I1306" xr:uid="{FDF30111-3653-4CAC-8517-D3262663CA90}"/>
  <tableColumns count="9">
    <tableColumn id="9" xr3:uid="{3AA1713A-392E-4119-9D0A-9ABEA0B63003}" uniqueName="9" name="PassengerID" queryTableFieldId="9"/>
    <tableColumn id="1" xr3:uid="{0A2D9703-34C6-4127-9106-A25742A44621}" uniqueName="1" name="Pclass Category" queryTableFieldId="1" dataDxfId="254"/>
    <tableColumn id="2" xr3:uid="{941A5FA2-1825-4164-B807-2A153CBDCD5B}" uniqueName="2" name="Survived Category" queryTableFieldId="2" dataDxfId="253"/>
    <tableColumn id="3" xr3:uid="{BEB63535-410F-46F3-B1D1-D9BFF31771CF}" uniqueName="3" name="Salutation" queryTableFieldId="3" dataDxfId="252"/>
    <tableColumn id="4" xr3:uid="{5B410B42-8A77-433C-A370-59F4C8B1D48E}" uniqueName="4" name="Gender" queryTableFieldId="4" dataDxfId="251"/>
    <tableColumn id="5" xr3:uid="{2CE37519-7294-4999-A53E-80B4DD3C475A}" uniqueName="5" name="Age Group" queryTableFieldId="5" dataDxfId="250"/>
    <tableColumn id="6" xr3:uid="{61D43D21-393F-4D92-AA8D-D51734ED927D}" uniqueName="6" name="Family Status" queryTableFieldId="6" dataDxfId="249"/>
    <tableColumn id="7" xr3:uid="{9E94A2B7-8EE8-4AED-9A6F-C898A71158C4}" uniqueName="7" name="Fare Category" queryTableFieldId="7" dataDxfId="248"/>
    <tableColumn id="8" xr3:uid="{C0FCBEDD-2AEB-42B1-B679-276E795EB5BD}" uniqueName="8" name="Embarked Category" queryTableFieldId="8" dataDxfId="24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pivotTable" Target="../pivotTables/pivotTable22.xml"/><Relationship Id="rId18" Type="http://schemas.openxmlformats.org/officeDocument/2006/relationships/drawing" Target="../drawings/drawing1.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ivotTable" Target="../pivotTables/pivotTable21.xml"/><Relationship Id="rId17" Type="http://schemas.openxmlformats.org/officeDocument/2006/relationships/printerSettings" Target="../printerSettings/printerSettings2.bin"/><Relationship Id="rId2" Type="http://schemas.openxmlformats.org/officeDocument/2006/relationships/pivotTable" Target="../pivotTables/pivotTable11.xml"/><Relationship Id="rId16" Type="http://schemas.openxmlformats.org/officeDocument/2006/relationships/pivotTable" Target="../pivotTables/pivotTable25.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5" Type="http://schemas.openxmlformats.org/officeDocument/2006/relationships/pivotTable" Target="../pivotTables/pivotTable2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openxmlformats.org/officeDocument/2006/relationships/pivotTable" Target="../pivotTables/pivotTable2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10"/>
  <sheetViews>
    <sheetView workbookViewId="0">
      <selection activeCell="R4" sqref="R4"/>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v>1</v>
      </c>
      <c r="C2" t="s">
        <v>14</v>
      </c>
      <c r="D2" t="s">
        <v>15</v>
      </c>
      <c r="E2">
        <v>29</v>
      </c>
      <c r="F2">
        <v>0</v>
      </c>
      <c r="G2">
        <v>0</v>
      </c>
      <c r="H2">
        <v>24160</v>
      </c>
      <c r="I2">
        <v>211.33750000000001</v>
      </c>
      <c r="J2" t="s">
        <v>16</v>
      </c>
      <c r="K2" t="s">
        <v>17</v>
      </c>
      <c r="L2">
        <v>2</v>
      </c>
      <c r="N2" t="s">
        <v>18</v>
      </c>
    </row>
    <row r="3" spans="1:14" x14ac:dyDescent="0.3">
      <c r="A3">
        <v>1</v>
      </c>
      <c r="B3">
        <v>1</v>
      </c>
      <c r="C3" t="s">
        <v>19</v>
      </c>
      <c r="D3" t="s">
        <v>20</v>
      </c>
      <c r="E3">
        <v>0.92</v>
      </c>
      <c r="F3">
        <v>1</v>
      </c>
      <c r="G3">
        <v>2</v>
      </c>
      <c r="H3">
        <v>113781</v>
      </c>
      <c r="I3">
        <v>151.55000000000001</v>
      </c>
      <c r="J3" t="s">
        <v>21</v>
      </c>
      <c r="K3" t="s">
        <v>17</v>
      </c>
      <c r="L3">
        <v>11</v>
      </c>
      <c r="N3" t="s">
        <v>22</v>
      </c>
    </row>
    <row r="4" spans="1:14" x14ac:dyDescent="0.3">
      <c r="A4">
        <v>1</v>
      </c>
      <c r="B4">
        <v>0</v>
      </c>
      <c r="C4" t="s">
        <v>23</v>
      </c>
      <c r="D4" t="s">
        <v>15</v>
      </c>
      <c r="E4">
        <v>2</v>
      </c>
      <c r="F4">
        <v>1</v>
      </c>
      <c r="G4">
        <v>2</v>
      </c>
      <c r="H4">
        <v>113781</v>
      </c>
      <c r="I4">
        <v>151.55000000000001</v>
      </c>
      <c r="J4" t="s">
        <v>21</v>
      </c>
      <c r="K4" t="s">
        <v>17</v>
      </c>
      <c r="N4" t="s">
        <v>22</v>
      </c>
    </row>
    <row r="5" spans="1:14" x14ac:dyDescent="0.3">
      <c r="A5">
        <v>1</v>
      </c>
      <c r="B5">
        <v>0</v>
      </c>
      <c r="C5" t="s">
        <v>24</v>
      </c>
      <c r="D5" t="s">
        <v>20</v>
      </c>
      <c r="E5">
        <v>30</v>
      </c>
      <c r="F5">
        <v>1</v>
      </c>
      <c r="G5">
        <v>2</v>
      </c>
      <c r="H5">
        <v>113781</v>
      </c>
      <c r="I5">
        <v>151.55000000000001</v>
      </c>
      <c r="J5" t="s">
        <v>21</v>
      </c>
      <c r="K5" t="s">
        <v>17</v>
      </c>
      <c r="M5">
        <v>135</v>
      </c>
      <c r="N5" t="s">
        <v>22</v>
      </c>
    </row>
    <row r="6" spans="1:14" x14ac:dyDescent="0.3">
      <c r="A6">
        <v>1</v>
      </c>
      <c r="B6">
        <v>0</v>
      </c>
      <c r="C6" t="s">
        <v>25</v>
      </c>
      <c r="D6" t="s">
        <v>15</v>
      </c>
      <c r="E6">
        <v>25</v>
      </c>
      <c r="F6">
        <v>1</v>
      </c>
      <c r="G6">
        <v>2</v>
      </c>
      <c r="H6">
        <v>113781</v>
      </c>
      <c r="I6">
        <v>151.55000000000001</v>
      </c>
      <c r="J6" t="s">
        <v>21</v>
      </c>
      <c r="K6" t="s">
        <v>17</v>
      </c>
      <c r="N6" t="s">
        <v>22</v>
      </c>
    </row>
    <row r="7" spans="1:14" x14ac:dyDescent="0.3">
      <c r="A7">
        <v>1</v>
      </c>
      <c r="B7">
        <v>1</v>
      </c>
      <c r="C7" t="s">
        <v>26</v>
      </c>
      <c r="D7" t="s">
        <v>20</v>
      </c>
      <c r="E7">
        <v>48</v>
      </c>
      <c r="F7">
        <v>0</v>
      </c>
      <c r="G7">
        <v>0</v>
      </c>
      <c r="H7">
        <v>19952</v>
      </c>
      <c r="I7">
        <v>26.55</v>
      </c>
      <c r="J7" t="s">
        <v>27</v>
      </c>
      <c r="K7" t="s">
        <v>17</v>
      </c>
      <c r="L7">
        <v>3</v>
      </c>
      <c r="N7" t="s">
        <v>28</v>
      </c>
    </row>
    <row r="8" spans="1:14" x14ac:dyDescent="0.3">
      <c r="A8">
        <v>1</v>
      </c>
      <c r="B8">
        <v>1</v>
      </c>
      <c r="C8" t="s">
        <v>29</v>
      </c>
      <c r="D8" t="s">
        <v>15</v>
      </c>
      <c r="E8">
        <v>63</v>
      </c>
      <c r="F8">
        <v>1</v>
      </c>
      <c r="G8">
        <v>0</v>
      </c>
      <c r="H8">
        <v>13502</v>
      </c>
      <c r="I8">
        <v>77.958299999999994</v>
      </c>
      <c r="J8" t="s">
        <v>30</v>
      </c>
      <c r="K8" t="s">
        <v>17</v>
      </c>
      <c r="L8">
        <v>10</v>
      </c>
      <c r="N8" t="s">
        <v>31</v>
      </c>
    </row>
    <row r="9" spans="1:14" x14ac:dyDescent="0.3">
      <c r="A9">
        <v>1</v>
      </c>
      <c r="B9">
        <v>0</v>
      </c>
      <c r="C9" t="s">
        <v>32</v>
      </c>
      <c r="D9" t="s">
        <v>20</v>
      </c>
      <c r="E9">
        <v>39</v>
      </c>
      <c r="F9">
        <v>0</v>
      </c>
      <c r="G9">
        <v>0</v>
      </c>
      <c r="H9">
        <v>112050</v>
      </c>
      <c r="I9">
        <v>0</v>
      </c>
      <c r="J9" t="s">
        <v>33</v>
      </c>
      <c r="K9" t="s">
        <v>17</v>
      </c>
      <c r="N9" t="s">
        <v>34</v>
      </c>
    </row>
    <row r="10" spans="1:14" x14ac:dyDescent="0.3">
      <c r="A10">
        <v>1</v>
      </c>
      <c r="B10">
        <v>1</v>
      </c>
      <c r="C10" t="s">
        <v>35</v>
      </c>
      <c r="D10" t="s">
        <v>15</v>
      </c>
      <c r="E10">
        <v>53</v>
      </c>
      <c r="F10">
        <v>2</v>
      </c>
      <c r="G10">
        <v>0</v>
      </c>
      <c r="H10">
        <v>11769</v>
      </c>
      <c r="I10">
        <v>51.479199999999999</v>
      </c>
      <c r="J10" t="s">
        <v>36</v>
      </c>
      <c r="K10" t="s">
        <v>17</v>
      </c>
      <c r="L10" t="s">
        <v>37</v>
      </c>
      <c r="N10" t="s">
        <v>38</v>
      </c>
    </row>
    <row r="11" spans="1:14" x14ac:dyDescent="0.3">
      <c r="A11">
        <v>1</v>
      </c>
      <c r="B11">
        <v>0</v>
      </c>
      <c r="C11" t="s">
        <v>39</v>
      </c>
      <c r="D11" t="s">
        <v>20</v>
      </c>
      <c r="E11">
        <v>71</v>
      </c>
      <c r="F11">
        <v>0</v>
      </c>
      <c r="G11">
        <v>0</v>
      </c>
      <c r="H11" t="s">
        <v>40</v>
      </c>
      <c r="I11">
        <v>49.504199999999997</v>
      </c>
      <c r="K11" t="s">
        <v>41</v>
      </c>
      <c r="M11">
        <v>22</v>
      </c>
      <c r="N11" t="s">
        <v>42</v>
      </c>
    </row>
    <row r="12" spans="1:14" x14ac:dyDescent="0.3">
      <c r="A12">
        <v>1</v>
      </c>
      <c r="B12">
        <v>0</v>
      </c>
      <c r="C12" t="s">
        <v>43</v>
      </c>
      <c r="D12" t="s">
        <v>20</v>
      </c>
      <c r="E12">
        <v>47</v>
      </c>
      <c r="F12">
        <v>1</v>
      </c>
      <c r="G12">
        <v>0</v>
      </c>
      <c r="H12" t="s">
        <v>44</v>
      </c>
      <c r="I12">
        <v>227.52500000000001</v>
      </c>
      <c r="J12" t="s">
        <v>45</v>
      </c>
      <c r="K12" t="s">
        <v>41</v>
      </c>
      <c r="M12">
        <v>124</v>
      </c>
      <c r="N12" t="s">
        <v>28</v>
      </c>
    </row>
    <row r="13" spans="1:14" x14ac:dyDescent="0.3">
      <c r="A13">
        <v>1</v>
      </c>
      <c r="B13">
        <v>1</v>
      </c>
      <c r="C13" t="s">
        <v>46</v>
      </c>
      <c r="D13" t="s">
        <v>15</v>
      </c>
      <c r="E13">
        <v>18</v>
      </c>
      <c r="F13">
        <v>1</v>
      </c>
      <c r="G13">
        <v>0</v>
      </c>
      <c r="H13" t="s">
        <v>44</v>
      </c>
      <c r="I13">
        <v>227.52500000000001</v>
      </c>
      <c r="J13" t="s">
        <v>45</v>
      </c>
      <c r="K13" t="s">
        <v>41</v>
      </c>
      <c r="L13">
        <v>4</v>
      </c>
      <c r="N13" t="s">
        <v>28</v>
      </c>
    </row>
    <row r="14" spans="1:14" x14ac:dyDescent="0.3">
      <c r="A14">
        <v>1</v>
      </c>
      <c r="B14">
        <v>1</v>
      </c>
      <c r="C14" t="s">
        <v>47</v>
      </c>
      <c r="D14" t="s">
        <v>15</v>
      </c>
      <c r="E14">
        <v>24</v>
      </c>
      <c r="F14">
        <v>0</v>
      </c>
      <c r="G14">
        <v>0</v>
      </c>
      <c r="H14" t="s">
        <v>48</v>
      </c>
      <c r="I14">
        <v>69.3</v>
      </c>
      <c r="J14" t="s">
        <v>49</v>
      </c>
      <c r="K14" t="s">
        <v>41</v>
      </c>
      <c r="L14">
        <v>9</v>
      </c>
      <c r="N14" t="s">
        <v>50</v>
      </c>
    </row>
    <row r="15" spans="1:14" x14ac:dyDescent="0.3">
      <c r="A15">
        <v>1</v>
      </c>
      <c r="B15">
        <v>1</v>
      </c>
      <c r="C15" t="s">
        <v>51</v>
      </c>
      <c r="D15" t="s">
        <v>15</v>
      </c>
      <c r="E15">
        <v>26</v>
      </c>
      <c r="F15">
        <v>0</v>
      </c>
      <c r="G15">
        <v>0</v>
      </c>
      <c r="H15">
        <v>19877</v>
      </c>
      <c r="I15">
        <v>78.849999999999994</v>
      </c>
      <c r="K15" t="s">
        <v>17</v>
      </c>
      <c r="L15">
        <v>6</v>
      </c>
    </row>
    <row r="16" spans="1:14" x14ac:dyDescent="0.3">
      <c r="A16">
        <v>1</v>
      </c>
      <c r="B16">
        <v>1</v>
      </c>
      <c r="C16" t="s">
        <v>52</v>
      </c>
      <c r="D16" t="s">
        <v>20</v>
      </c>
      <c r="E16">
        <v>80</v>
      </c>
      <c r="F16">
        <v>0</v>
      </c>
      <c r="G16">
        <v>0</v>
      </c>
      <c r="H16">
        <v>27042</v>
      </c>
      <c r="I16">
        <v>30</v>
      </c>
      <c r="J16" t="s">
        <v>53</v>
      </c>
      <c r="K16" t="s">
        <v>17</v>
      </c>
      <c r="L16" t="s">
        <v>54</v>
      </c>
      <c r="N16" t="s">
        <v>55</v>
      </c>
    </row>
    <row r="17" spans="1:14" x14ac:dyDescent="0.3">
      <c r="A17">
        <v>1</v>
      </c>
      <c r="B17">
        <v>0</v>
      </c>
      <c r="C17" t="s">
        <v>56</v>
      </c>
      <c r="D17" t="s">
        <v>20</v>
      </c>
      <c r="F17">
        <v>0</v>
      </c>
      <c r="G17">
        <v>0</v>
      </c>
      <c r="H17" t="s">
        <v>57</v>
      </c>
      <c r="I17">
        <v>25.925000000000001</v>
      </c>
      <c r="K17" t="s">
        <v>17</v>
      </c>
      <c r="N17" t="s">
        <v>28</v>
      </c>
    </row>
    <row r="18" spans="1:14" x14ac:dyDescent="0.3">
      <c r="A18">
        <v>1</v>
      </c>
      <c r="B18">
        <v>0</v>
      </c>
      <c r="C18" t="s">
        <v>58</v>
      </c>
      <c r="D18" t="s">
        <v>20</v>
      </c>
      <c r="E18">
        <v>24</v>
      </c>
      <c r="F18">
        <v>0</v>
      </c>
      <c r="G18">
        <v>1</v>
      </c>
      <c r="H18" t="s">
        <v>59</v>
      </c>
      <c r="I18">
        <v>247.52080000000001</v>
      </c>
      <c r="J18" t="s">
        <v>60</v>
      </c>
      <c r="K18" t="s">
        <v>41</v>
      </c>
      <c r="N18" t="s">
        <v>61</v>
      </c>
    </row>
    <row r="19" spans="1:14" x14ac:dyDescent="0.3">
      <c r="A19">
        <v>1</v>
      </c>
      <c r="B19">
        <v>1</v>
      </c>
      <c r="C19" t="s">
        <v>62</v>
      </c>
      <c r="D19" t="s">
        <v>15</v>
      </c>
      <c r="E19">
        <v>50</v>
      </c>
      <c r="F19">
        <v>0</v>
      </c>
      <c r="G19">
        <v>1</v>
      </c>
      <c r="H19" t="s">
        <v>59</v>
      </c>
      <c r="I19">
        <v>247.52080000000001</v>
      </c>
      <c r="J19" t="s">
        <v>60</v>
      </c>
      <c r="K19" t="s">
        <v>41</v>
      </c>
      <c r="L19">
        <v>6</v>
      </c>
      <c r="N19" t="s">
        <v>61</v>
      </c>
    </row>
    <row r="20" spans="1:14" x14ac:dyDescent="0.3">
      <c r="A20">
        <v>1</v>
      </c>
      <c r="B20">
        <v>1</v>
      </c>
      <c r="C20" t="s">
        <v>63</v>
      </c>
      <c r="D20" t="s">
        <v>15</v>
      </c>
      <c r="E20">
        <v>32</v>
      </c>
      <c r="F20">
        <v>0</v>
      </c>
      <c r="G20">
        <v>0</v>
      </c>
      <c r="H20">
        <v>11813</v>
      </c>
      <c r="I20">
        <v>76.291700000000006</v>
      </c>
      <c r="J20" t="s">
        <v>64</v>
      </c>
      <c r="K20" t="s">
        <v>41</v>
      </c>
      <c r="L20">
        <v>8</v>
      </c>
    </row>
    <row r="21" spans="1:14" x14ac:dyDescent="0.3">
      <c r="A21">
        <v>1</v>
      </c>
      <c r="B21">
        <v>0</v>
      </c>
      <c r="C21" t="s">
        <v>65</v>
      </c>
      <c r="D21" t="s">
        <v>20</v>
      </c>
      <c r="E21">
        <v>36</v>
      </c>
      <c r="F21">
        <v>0</v>
      </c>
      <c r="G21">
        <v>0</v>
      </c>
      <c r="H21">
        <v>13050</v>
      </c>
      <c r="I21">
        <v>75.241699999999994</v>
      </c>
      <c r="J21" t="s">
        <v>66</v>
      </c>
      <c r="K21" t="s">
        <v>41</v>
      </c>
      <c r="L21" t="s">
        <v>67</v>
      </c>
      <c r="N21" t="s">
        <v>68</v>
      </c>
    </row>
    <row r="22" spans="1:14" x14ac:dyDescent="0.3">
      <c r="A22">
        <v>1</v>
      </c>
      <c r="B22">
        <v>1</v>
      </c>
      <c r="C22" t="s">
        <v>69</v>
      </c>
      <c r="D22" t="s">
        <v>20</v>
      </c>
      <c r="E22">
        <v>37</v>
      </c>
      <c r="F22">
        <v>1</v>
      </c>
      <c r="G22">
        <v>1</v>
      </c>
      <c r="H22">
        <v>11751</v>
      </c>
      <c r="I22">
        <v>52.554200000000002</v>
      </c>
      <c r="J22" t="s">
        <v>70</v>
      </c>
      <c r="K22" t="s">
        <v>17</v>
      </c>
      <c r="L22">
        <v>5</v>
      </c>
      <c r="N22" t="s">
        <v>28</v>
      </c>
    </row>
    <row r="23" spans="1:14" x14ac:dyDescent="0.3">
      <c r="A23">
        <v>1</v>
      </c>
      <c r="B23">
        <v>1</v>
      </c>
      <c r="C23" t="s">
        <v>71</v>
      </c>
      <c r="D23" t="s">
        <v>15</v>
      </c>
      <c r="E23">
        <v>47</v>
      </c>
      <c r="F23">
        <v>1</v>
      </c>
      <c r="G23">
        <v>1</v>
      </c>
      <c r="H23">
        <v>11751</v>
      </c>
      <c r="I23">
        <v>52.554200000000002</v>
      </c>
      <c r="J23" t="s">
        <v>70</v>
      </c>
      <c r="K23" t="s">
        <v>17</v>
      </c>
      <c r="L23">
        <v>5</v>
      </c>
      <c r="N23" t="s">
        <v>28</v>
      </c>
    </row>
    <row r="24" spans="1:14" x14ac:dyDescent="0.3">
      <c r="A24">
        <v>1</v>
      </c>
      <c r="B24">
        <v>1</v>
      </c>
      <c r="C24" t="s">
        <v>72</v>
      </c>
      <c r="D24" t="s">
        <v>20</v>
      </c>
      <c r="E24">
        <v>26</v>
      </c>
      <c r="F24">
        <v>0</v>
      </c>
      <c r="G24">
        <v>0</v>
      </c>
      <c r="H24">
        <v>111369</v>
      </c>
      <c r="I24">
        <v>30</v>
      </c>
      <c r="J24" t="s">
        <v>73</v>
      </c>
      <c r="K24" t="s">
        <v>41</v>
      </c>
      <c r="L24">
        <v>5</v>
      </c>
      <c r="N24" t="s">
        <v>28</v>
      </c>
    </row>
    <row r="25" spans="1:14" x14ac:dyDescent="0.3">
      <c r="A25">
        <v>1</v>
      </c>
      <c r="B25">
        <v>1</v>
      </c>
      <c r="C25" t="s">
        <v>74</v>
      </c>
      <c r="D25" t="s">
        <v>15</v>
      </c>
      <c r="E25">
        <v>42</v>
      </c>
      <c r="F25">
        <v>0</v>
      </c>
      <c r="G25">
        <v>0</v>
      </c>
      <c r="H25" t="s">
        <v>44</v>
      </c>
      <c r="I25">
        <v>227.52500000000001</v>
      </c>
      <c r="K25" t="s">
        <v>41</v>
      </c>
      <c r="L25">
        <v>4</v>
      </c>
    </row>
    <row r="26" spans="1:14" x14ac:dyDescent="0.3">
      <c r="A26">
        <v>1</v>
      </c>
      <c r="B26">
        <v>1</v>
      </c>
      <c r="C26" t="s">
        <v>75</v>
      </c>
      <c r="D26" t="s">
        <v>15</v>
      </c>
      <c r="E26">
        <v>29</v>
      </c>
      <c r="F26">
        <v>0</v>
      </c>
      <c r="G26">
        <v>0</v>
      </c>
      <c r="H26" t="s">
        <v>76</v>
      </c>
      <c r="I26">
        <v>221.7792</v>
      </c>
      <c r="J26" t="s">
        <v>77</v>
      </c>
      <c r="K26" t="s">
        <v>17</v>
      </c>
      <c r="L26">
        <v>8</v>
      </c>
    </row>
    <row r="27" spans="1:14" x14ac:dyDescent="0.3">
      <c r="A27">
        <v>1</v>
      </c>
      <c r="B27">
        <v>0</v>
      </c>
      <c r="C27" t="s">
        <v>78</v>
      </c>
      <c r="D27" t="s">
        <v>20</v>
      </c>
      <c r="E27">
        <v>25</v>
      </c>
      <c r="F27">
        <v>0</v>
      </c>
      <c r="G27">
        <v>0</v>
      </c>
      <c r="H27">
        <v>13905</v>
      </c>
      <c r="I27">
        <v>26</v>
      </c>
      <c r="K27" t="s">
        <v>41</v>
      </c>
      <c r="M27">
        <v>148</v>
      </c>
      <c r="N27" t="s">
        <v>79</v>
      </c>
    </row>
    <row r="28" spans="1:14" x14ac:dyDescent="0.3">
      <c r="A28">
        <v>1</v>
      </c>
      <c r="B28">
        <v>1</v>
      </c>
      <c r="C28" t="s">
        <v>80</v>
      </c>
      <c r="D28" t="s">
        <v>20</v>
      </c>
      <c r="E28">
        <v>25</v>
      </c>
      <c r="F28">
        <v>1</v>
      </c>
      <c r="G28">
        <v>0</v>
      </c>
      <c r="H28">
        <v>11967</v>
      </c>
      <c r="I28">
        <v>91.0792</v>
      </c>
      <c r="J28" t="s">
        <v>81</v>
      </c>
      <c r="K28" t="s">
        <v>41</v>
      </c>
      <c r="L28">
        <v>7</v>
      </c>
      <c r="N28" t="s">
        <v>82</v>
      </c>
    </row>
    <row r="29" spans="1:14" x14ac:dyDescent="0.3">
      <c r="A29">
        <v>1</v>
      </c>
      <c r="B29">
        <v>1</v>
      </c>
      <c r="C29" t="s">
        <v>83</v>
      </c>
      <c r="D29" t="s">
        <v>15</v>
      </c>
      <c r="E29">
        <v>19</v>
      </c>
      <c r="F29">
        <v>1</v>
      </c>
      <c r="G29">
        <v>0</v>
      </c>
      <c r="H29">
        <v>11967</v>
      </c>
      <c r="I29">
        <v>91.0792</v>
      </c>
      <c r="J29" t="s">
        <v>81</v>
      </c>
      <c r="K29" t="s">
        <v>41</v>
      </c>
      <c r="L29">
        <v>7</v>
      </c>
      <c r="N29" t="s">
        <v>82</v>
      </c>
    </row>
    <row r="30" spans="1:14" x14ac:dyDescent="0.3">
      <c r="A30">
        <v>1</v>
      </c>
      <c r="B30">
        <v>1</v>
      </c>
      <c r="C30" t="s">
        <v>84</v>
      </c>
      <c r="D30" t="s">
        <v>15</v>
      </c>
      <c r="E30">
        <v>35</v>
      </c>
      <c r="F30">
        <v>0</v>
      </c>
      <c r="G30">
        <v>0</v>
      </c>
      <c r="H30" t="s">
        <v>85</v>
      </c>
      <c r="I30">
        <v>135.63329999999999</v>
      </c>
      <c r="J30" t="s">
        <v>86</v>
      </c>
      <c r="K30" t="s">
        <v>17</v>
      </c>
      <c r="L30">
        <v>8</v>
      </c>
    </row>
    <row r="31" spans="1:14" x14ac:dyDescent="0.3">
      <c r="A31">
        <v>1</v>
      </c>
      <c r="B31">
        <v>1</v>
      </c>
      <c r="C31" t="s">
        <v>87</v>
      </c>
      <c r="D31" t="s">
        <v>20</v>
      </c>
      <c r="E31">
        <v>28</v>
      </c>
      <c r="F31">
        <v>0</v>
      </c>
      <c r="G31">
        <v>0</v>
      </c>
      <c r="H31">
        <v>110564</v>
      </c>
      <c r="I31">
        <v>26.55</v>
      </c>
      <c r="J31" t="s">
        <v>88</v>
      </c>
      <c r="K31" t="s">
        <v>17</v>
      </c>
      <c r="L31" t="s">
        <v>37</v>
      </c>
      <c r="N31" t="s">
        <v>89</v>
      </c>
    </row>
    <row r="32" spans="1:14" x14ac:dyDescent="0.3">
      <c r="A32">
        <v>1</v>
      </c>
      <c r="B32">
        <v>0</v>
      </c>
      <c r="C32" t="s">
        <v>90</v>
      </c>
      <c r="D32" t="s">
        <v>20</v>
      </c>
      <c r="E32">
        <v>45</v>
      </c>
      <c r="F32">
        <v>0</v>
      </c>
      <c r="G32">
        <v>0</v>
      </c>
      <c r="H32">
        <v>113784</v>
      </c>
      <c r="I32">
        <v>35.5</v>
      </c>
      <c r="J32" t="s">
        <v>91</v>
      </c>
      <c r="K32" t="s">
        <v>17</v>
      </c>
      <c r="N32" t="s">
        <v>92</v>
      </c>
    </row>
    <row r="33" spans="1:14" x14ac:dyDescent="0.3">
      <c r="A33">
        <v>1</v>
      </c>
      <c r="B33">
        <v>1</v>
      </c>
      <c r="C33" t="s">
        <v>93</v>
      </c>
      <c r="D33" t="s">
        <v>20</v>
      </c>
      <c r="E33">
        <v>40</v>
      </c>
      <c r="F33">
        <v>0</v>
      </c>
      <c r="G33">
        <v>0</v>
      </c>
      <c r="H33">
        <v>112277</v>
      </c>
      <c r="I33">
        <v>31</v>
      </c>
      <c r="J33" t="s">
        <v>94</v>
      </c>
      <c r="K33" t="s">
        <v>41</v>
      </c>
      <c r="L33">
        <v>7</v>
      </c>
      <c r="N33" t="s">
        <v>95</v>
      </c>
    </row>
    <row r="34" spans="1:14" x14ac:dyDescent="0.3">
      <c r="A34">
        <v>1</v>
      </c>
      <c r="B34">
        <v>1</v>
      </c>
      <c r="C34" t="s">
        <v>96</v>
      </c>
      <c r="D34" t="s">
        <v>15</v>
      </c>
      <c r="E34">
        <v>30</v>
      </c>
      <c r="F34">
        <v>0</v>
      </c>
      <c r="G34">
        <v>0</v>
      </c>
      <c r="H34">
        <v>36928</v>
      </c>
      <c r="I34">
        <v>164.86670000000001</v>
      </c>
      <c r="J34" t="s">
        <v>97</v>
      </c>
      <c r="K34" t="s">
        <v>17</v>
      </c>
      <c r="L34">
        <v>8</v>
      </c>
      <c r="N34" t="s">
        <v>98</v>
      </c>
    </row>
    <row r="35" spans="1:14" x14ac:dyDescent="0.3">
      <c r="A35">
        <v>1</v>
      </c>
      <c r="B35">
        <v>1</v>
      </c>
      <c r="C35" t="s">
        <v>99</v>
      </c>
      <c r="D35" t="s">
        <v>15</v>
      </c>
      <c r="E35">
        <v>58</v>
      </c>
      <c r="F35">
        <v>0</v>
      </c>
      <c r="G35">
        <v>0</v>
      </c>
      <c r="H35">
        <v>113783</v>
      </c>
      <c r="I35">
        <v>26.55</v>
      </c>
      <c r="J35" t="s">
        <v>100</v>
      </c>
      <c r="K35" t="s">
        <v>17</v>
      </c>
      <c r="L35">
        <v>8</v>
      </c>
      <c r="N35" t="s">
        <v>101</v>
      </c>
    </row>
    <row r="36" spans="1:14" x14ac:dyDescent="0.3">
      <c r="A36">
        <v>1</v>
      </c>
      <c r="B36">
        <v>0</v>
      </c>
      <c r="C36" t="s">
        <v>102</v>
      </c>
      <c r="D36" t="s">
        <v>20</v>
      </c>
      <c r="E36">
        <v>42</v>
      </c>
      <c r="F36">
        <v>0</v>
      </c>
      <c r="G36">
        <v>0</v>
      </c>
      <c r="H36">
        <v>110489</v>
      </c>
      <c r="I36">
        <v>26.55</v>
      </c>
      <c r="J36" t="s">
        <v>103</v>
      </c>
      <c r="K36" t="s">
        <v>17</v>
      </c>
      <c r="N36" t="s">
        <v>104</v>
      </c>
    </row>
    <row r="37" spans="1:14" x14ac:dyDescent="0.3">
      <c r="A37">
        <v>1</v>
      </c>
      <c r="B37">
        <v>1</v>
      </c>
      <c r="C37" t="s">
        <v>105</v>
      </c>
      <c r="D37" t="s">
        <v>15</v>
      </c>
      <c r="E37">
        <v>45</v>
      </c>
      <c r="F37">
        <v>0</v>
      </c>
      <c r="G37">
        <v>0</v>
      </c>
      <c r="H37" t="s">
        <v>106</v>
      </c>
      <c r="I37">
        <v>262.375</v>
      </c>
      <c r="K37" t="s">
        <v>41</v>
      </c>
      <c r="L37">
        <v>4</v>
      </c>
      <c r="N37" t="s">
        <v>107</v>
      </c>
    </row>
    <row r="38" spans="1:14" x14ac:dyDescent="0.3">
      <c r="A38">
        <v>1</v>
      </c>
      <c r="B38">
        <v>1</v>
      </c>
      <c r="C38" t="s">
        <v>108</v>
      </c>
      <c r="D38" t="s">
        <v>15</v>
      </c>
      <c r="E38">
        <v>22</v>
      </c>
      <c r="F38">
        <v>0</v>
      </c>
      <c r="G38">
        <v>1</v>
      </c>
      <c r="H38">
        <v>113505</v>
      </c>
      <c r="I38">
        <v>55</v>
      </c>
      <c r="J38" t="s">
        <v>109</v>
      </c>
      <c r="K38" t="s">
        <v>17</v>
      </c>
      <c r="L38">
        <v>6</v>
      </c>
      <c r="N38" t="s">
        <v>110</v>
      </c>
    </row>
    <row r="39" spans="1:14" x14ac:dyDescent="0.3">
      <c r="A39">
        <v>1</v>
      </c>
      <c r="B39">
        <v>1</v>
      </c>
      <c r="C39" t="s">
        <v>111</v>
      </c>
      <c r="D39" t="s">
        <v>20</v>
      </c>
      <c r="F39">
        <v>0</v>
      </c>
      <c r="G39">
        <v>0</v>
      </c>
      <c r="H39">
        <v>111427</v>
      </c>
      <c r="I39">
        <v>26.55</v>
      </c>
      <c r="K39" t="s">
        <v>17</v>
      </c>
      <c r="L39">
        <v>9</v>
      </c>
      <c r="N39" t="s">
        <v>112</v>
      </c>
    </row>
    <row r="40" spans="1:14" x14ac:dyDescent="0.3">
      <c r="A40">
        <v>1</v>
      </c>
      <c r="B40">
        <v>0</v>
      </c>
      <c r="C40" t="s">
        <v>113</v>
      </c>
      <c r="D40" t="s">
        <v>20</v>
      </c>
      <c r="E40">
        <v>41</v>
      </c>
      <c r="F40">
        <v>0</v>
      </c>
      <c r="G40">
        <v>0</v>
      </c>
      <c r="H40">
        <v>113054</v>
      </c>
      <c r="I40">
        <v>30.5</v>
      </c>
      <c r="J40" t="s">
        <v>114</v>
      </c>
      <c r="K40" t="s">
        <v>17</v>
      </c>
      <c r="N40" t="s">
        <v>115</v>
      </c>
    </row>
    <row r="41" spans="1:14" x14ac:dyDescent="0.3">
      <c r="A41">
        <v>1</v>
      </c>
      <c r="B41">
        <v>0</v>
      </c>
      <c r="C41" t="s">
        <v>116</v>
      </c>
      <c r="D41" t="s">
        <v>20</v>
      </c>
      <c r="E41">
        <v>48</v>
      </c>
      <c r="F41">
        <v>0</v>
      </c>
      <c r="G41">
        <v>0</v>
      </c>
      <c r="H41" t="s">
        <v>117</v>
      </c>
      <c r="I41">
        <v>50.495800000000003</v>
      </c>
      <c r="J41" t="s">
        <v>118</v>
      </c>
      <c r="K41" t="s">
        <v>41</v>
      </c>
      <c r="M41">
        <v>208</v>
      </c>
      <c r="N41" t="s">
        <v>119</v>
      </c>
    </row>
    <row r="42" spans="1:14" x14ac:dyDescent="0.3">
      <c r="A42">
        <v>1</v>
      </c>
      <c r="B42">
        <v>0</v>
      </c>
      <c r="C42" t="s">
        <v>120</v>
      </c>
      <c r="D42" t="s">
        <v>20</v>
      </c>
      <c r="F42">
        <v>0</v>
      </c>
      <c r="G42">
        <v>0</v>
      </c>
      <c r="H42">
        <v>112379</v>
      </c>
      <c r="I42">
        <v>39.6</v>
      </c>
      <c r="K42" t="s">
        <v>41</v>
      </c>
      <c r="N42" t="s">
        <v>121</v>
      </c>
    </row>
    <row r="43" spans="1:14" x14ac:dyDescent="0.3">
      <c r="A43">
        <v>1</v>
      </c>
      <c r="B43">
        <v>1</v>
      </c>
      <c r="C43" t="s">
        <v>122</v>
      </c>
      <c r="D43" t="s">
        <v>15</v>
      </c>
      <c r="E43">
        <v>44</v>
      </c>
      <c r="F43">
        <v>0</v>
      </c>
      <c r="G43">
        <v>0</v>
      </c>
      <c r="H43" t="s">
        <v>123</v>
      </c>
      <c r="I43">
        <v>27.720800000000001</v>
      </c>
      <c r="J43" t="s">
        <v>124</v>
      </c>
      <c r="K43" t="s">
        <v>41</v>
      </c>
      <c r="L43">
        <v>6</v>
      </c>
      <c r="N43" t="s">
        <v>125</v>
      </c>
    </row>
    <row r="44" spans="1:14" x14ac:dyDescent="0.3">
      <c r="A44">
        <v>1</v>
      </c>
      <c r="B44">
        <v>1</v>
      </c>
      <c r="C44" t="s">
        <v>126</v>
      </c>
      <c r="D44" t="s">
        <v>15</v>
      </c>
      <c r="E44">
        <v>59</v>
      </c>
      <c r="F44">
        <v>2</v>
      </c>
      <c r="G44">
        <v>0</v>
      </c>
      <c r="H44">
        <v>11769</v>
      </c>
      <c r="I44">
        <v>51.479199999999999</v>
      </c>
      <c r="J44" t="s">
        <v>36</v>
      </c>
      <c r="K44" t="s">
        <v>17</v>
      </c>
      <c r="L44" t="s">
        <v>37</v>
      </c>
      <c r="N44" t="s">
        <v>127</v>
      </c>
    </row>
    <row r="45" spans="1:14" x14ac:dyDescent="0.3">
      <c r="A45">
        <v>1</v>
      </c>
      <c r="B45">
        <v>1</v>
      </c>
      <c r="C45" t="s">
        <v>128</v>
      </c>
      <c r="D45" t="s">
        <v>15</v>
      </c>
      <c r="E45">
        <v>60</v>
      </c>
      <c r="F45">
        <v>0</v>
      </c>
      <c r="G45">
        <v>0</v>
      </c>
      <c r="H45">
        <v>11813</v>
      </c>
      <c r="I45">
        <v>76.291700000000006</v>
      </c>
      <c r="J45" t="s">
        <v>64</v>
      </c>
      <c r="K45" t="s">
        <v>41</v>
      </c>
      <c r="L45">
        <v>8</v>
      </c>
      <c r="N45" t="s">
        <v>121</v>
      </c>
    </row>
    <row r="46" spans="1:14" x14ac:dyDescent="0.3">
      <c r="A46">
        <v>1</v>
      </c>
      <c r="B46">
        <v>1</v>
      </c>
      <c r="C46" t="s">
        <v>129</v>
      </c>
      <c r="D46" t="s">
        <v>15</v>
      </c>
      <c r="E46">
        <v>41</v>
      </c>
      <c r="F46">
        <v>0</v>
      </c>
      <c r="G46">
        <v>0</v>
      </c>
      <c r="H46">
        <v>16966</v>
      </c>
      <c r="I46">
        <v>134.5</v>
      </c>
      <c r="J46" t="s">
        <v>130</v>
      </c>
      <c r="K46" t="s">
        <v>41</v>
      </c>
      <c r="L46">
        <v>3</v>
      </c>
    </row>
    <row r="47" spans="1:14" x14ac:dyDescent="0.3">
      <c r="A47">
        <v>1</v>
      </c>
      <c r="B47">
        <v>0</v>
      </c>
      <c r="C47" t="s">
        <v>131</v>
      </c>
      <c r="D47" t="s">
        <v>20</v>
      </c>
      <c r="E47">
        <v>45</v>
      </c>
      <c r="F47">
        <v>0</v>
      </c>
      <c r="G47">
        <v>0</v>
      </c>
      <c r="H47">
        <v>113050</v>
      </c>
      <c r="I47">
        <v>26.55</v>
      </c>
      <c r="J47" t="s">
        <v>132</v>
      </c>
      <c r="K47" t="s">
        <v>17</v>
      </c>
      <c r="N47" t="s">
        <v>133</v>
      </c>
    </row>
    <row r="48" spans="1:14" x14ac:dyDescent="0.3">
      <c r="A48">
        <v>1</v>
      </c>
      <c r="B48">
        <v>0</v>
      </c>
      <c r="C48" t="s">
        <v>134</v>
      </c>
      <c r="D48" t="s">
        <v>20</v>
      </c>
      <c r="F48">
        <v>0</v>
      </c>
      <c r="G48">
        <v>0</v>
      </c>
      <c r="H48">
        <v>113798</v>
      </c>
      <c r="I48">
        <v>31</v>
      </c>
      <c r="K48" t="s">
        <v>17</v>
      </c>
    </row>
    <row r="49" spans="1:14" x14ac:dyDescent="0.3">
      <c r="A49">
        <v>1</v>
      </c>
      <c r="B49">
        <v>1</v>
      </c>
      <c r="C49" t="s">
        <v>135</v>
      </c>
      <c r="D49" t="s">
        <v>20</v>
      </c>
      <c r="E49">
        <v>42</v>
      </c>
      <c r="F49">
        <v>0</v>
      </c>
      <c r="G49">
        <v>0</v>
      </c>
      <c r="H49" t="s">
        <v>136</v>
      </c>
      <c r="I49">
        <v>26.287500000000001</v>
      </c>
      <c r="J49" t="s">
        <v>137</v>
      </c>
      <c r="K49" t="s">
        <v>17</v>
      </c>
      <c r="L49">
        <v>5</v>
      </c>
      <c r="N49" t="s">
        <v>28</v>
      </c>
    </row>
    <row r="50" spans="1:14" x14ac:dyDescent="0.3">
      <c r="A50">
        <v>1</v>
      </c>
      <c r="B50">
        <v>1</v>
      </c>
      <c r="C50" t="s">
        <v>138</v>
      </c>
      <c r="D50" t="s">
        <v>15</v>
      </c>
      <c r="E50">
        <v>53</v>
      </c>
      <c r="F50">
        <v>0</v>
      </c>
      <c r="G50">
        <v>0</v>
      </c>
      <c r="H50" t="s">
        <v>139</v>
      </c>
      <c r="I50">
        <v>27.445799999999998</v>
      </c>
      <c r="K50" t="s">
        <v>41</v>
      </c>
      <c r="L50">
        <v>6</v>
      </c>
      <c r="N50" t="s">
        <v>133</v>
      </c>
    </row>
    <row r="51" spans="1:14" x14ac:dyDescent="0.3">
      <c r="A51">
        <v>1</v>
      </c>
      <c r="B51">
        <v>1</v>
      </c>
      <c r="C51" t="s">
        <v>140</v>
      </c>
      <c r="D51" t="s">
        <v>20</v>
      </c>
      <c r="E51">
        <v>36</v>
      </c>
      <c r="F51">
        <v>0</v>
      </c>
      <c r="G51">
        <v>1</v>
      </c>
      <c r="H51" t="s">
        <v>141</v>
      </c>
      <c r="I51">
        <v>512.32920000000001</v>
      </c>
      <c r="J51" t="s">
        <v>142</v>
      </c>
      <c r="K51" t="s">
        <v>41</v>
      </c>
      <c r="L51">
        <v>3</v>
      </c>
      <c r="N51" t="s">
        <v>143</v>
      </c>
    </row>
    <row r="52" spans="1:14" x14ac:dyDescent="0.3">
      <c r="A52">
        <v>1</v>
      </c>
      <c r="B52">
        <v>1</v>
      </c>
      <c r="C52" t="s">
        <v>144</v>
      </c>
      <c r="D52" t="s">
        <v>15</v>
      </c>
      <c r="E52">
        <v>58</v>
      </c>
      <c r="F52">
        <v>0</v>
      </c>
      <c r="G52">
        <v>1</v>
      </c>
      <c r="H52" t="s">
        <v>141</v>
      </c>
      <c r="I52">
        <v>512.32920000000001</v>
      </c>
      <c r="J52" t="s">
        <v>142</v>
      </c>
      <c r="K52" t="s">
        <v>41</v>
      </c>
      <c r="L52">
        <v>3</v>
      </c>
      <c r="N52" t="s">
        <v>145</v>
      </c>
    </row>
    <row r="53" spans="1:14" x14ac:dyDescent="0.3">
      <c r="A53">
        <v>1</v>
      </c>
      <c r="B53">
        <v>0</v>
      </c>
      <c r="C53" t="s">
        <v>146</v>
      </c>
      <c r="D53" t="s">
        <v>20</v>
      </c>
      <c r="E53">
        <v>33</v>
      </c>
      <c r="F53">
        <v>0</v>
      </c>
      <c r="G53">
        <v>0</v>
      </c>
      <c r="H53">
        <v>695</v>
      </c>
      <c r="I53">
        <v>5</v>
      </c>
      <c r="J53" t="s">
        <v>142</v>
      </c>
      <c r="K53" t="s">
        <v>17</v>
      </c>
      <c r="N53" t="s">
        <v>28</v>
      </c>
    </row>
    <row r="54" spans="1:14" x14ac:dyDescent="0.3">
      <c r="A54">
        <v>1</v>
      </c>
      <c r="B54">
        <v>0</v>
      </c>
      <c r="C54" t="s">
        <v>147</v>
      </c>
      <c r="D54" t="s">
        <v>20</v>
      </c>
      <c r="E54">
        <v>28</v>
      </c>
      <c r="F54">
        <v>0</v>
      </c>
      <c r="G54">
        <v>0</v>
      </c>
      <c r="H54">
        <v>113059</v>
      </c>
      <c r="I54">
        <v>47.1</v>
      </c>
      <c r="K54" t="s">
        <v>17</v>
      </c>
      <c r="N54" t="s">
        <v>42</v>
      </c>
    </row>
    <row r="55" spans="1:14" x14ac:dyDescent="0.3">
      <c r="A55">
        <v>1</v>
      </c>
      <c r="B55">
        <v>0</v>
      </c>
      <c r="C55" t="s">
        <v>148</v>
      </c>
      <c r="D55" t="s">
        <v>20</v>
      </c>
      <c r="E55">
        <v>17</v>
      </c>
      <c r="F55">
        <v>0</v>
      </c>
      <c r="G55">
        <v>0</v>
      </c>
      <c r="H55">
        <v>113059</v>
      </c>
      <c r="I55">
        <v>47.1</v>
      </c>
      <c r="K55" t="s">
        <v>17</v>
      </c>
      <c r="N55" t="s">
        <v>42</v>
      </c>
    </row>
    <row r="56" spans="1:14" x14ac:dyDescent="0.3">
      <c r="A56">
        <v>1</v>
      </c>
      <c r="B56">
        <v>1</v>
      </c>
      <c r="C56" t="s">
        <v>149</v>
      </c>
      <c r="D56" t="s">
        <v>20</v>
      </c>
      <c r="E56">
        <v>11</v>
      </c>
      <c r="F56">
        <v>1</v>
      </c>
      <c r="G56">
        <v>2</v>
      </c>
      <c r="H56">
        <v>113760</v>
      </c>
      <c r="I56">
        <v>120</v>
      </c>
      <c r="J56" t="s">
        <v>150</v>
      </c>
      <c r="K56" t="s">
        <v>17</v>
      </c>
      <c r="L56">
        <v>4</v>
      </c>
      <c r="N56" t="s">
        <v>151</v>
      </c>
    </row>
    <row r="57" spans="1:14" x14ac:dyDescent="0.3">
      <c r="A57">
        <v>1</v>
      </c>
      <c r="B57">
        <v>1</v>
      </c>
      <c r="C57" t="s">
        <v>152</v>
      </c>
      <c r="D57" t="s">
        <v>15</v>
      </c>
      <c r="E57">
        <v>14</v>
      </c>
      <c r="F57">
        <v>1</v>
      </c>
      <c r="G57">
        <v>2</v>
      </c>
      <c r="H57">
        <v>113760</v>
      </c>
      <c r="I57">
        <v>120</v>
      </c>
      <c r="J57" t="s">
        <v>150</v>
      </c>
      <c r="K57" t="s">
        <v>17</v>
      </c>
      <c r="L57">
        <v>4</v>
      </c>
      <c r="N57" t="s">
        <v>151</v>
      </c>
    </row>
    <row r="58" spans="1:14" x14ac:dyDescent="0.3">
      <c r="A58">
        <v>1</v>
      </c>
      <c r="B58">
        <v>1</v>
      </c>
      <c r="C58" t="s">
        <v>153</v>
      </c>
      <c r="D58" t="s">
        <v>20</v>
      </c>
      <c r="E58">
        <v>36</v>
      </c>
      <c r="F58">
        <v>1</v>
      </c>
      <c r="G58">
        <v>2</v>
      </c>
      <c r="H58">
        <v>113760</v>
      </c>
      <c r="I58">
        <v>120</v>
      </c>
      <c r="J58" t="s">
        <v>150</v>
      </c>
      <c r="K58" t="s">
        <v>17</v>
      </c>
      <c r="L58" t="s">
        <v>41</v>
      </c>
      <c r="N58" t="s">
        <v>151</v>
      </c>
    </row>
    <row r="59" spans="1:14" x14ac:dyDescent="0.3">
      <c r="A59">
        <v>1</v>
      </c>
      <c r="B59">
        <v>1</v>
      </c>
      <c r="C59" t="s">
        <v>154</v>
      </c>
      <c r="D59" t="s">
        <v>15</v>
      </c>
      <c r="E59">
        <v>36</v>
      </c>
      <c r="F59">
        <v>1</v>
      </c>
      <c r="G59">
        <v>2</v>
      </c>
      <c r="H59">
        <v>113760</v>
      </c>
      <c r="I59">
        <v>120</v>
      </c>
      <c r="J59" t="s">
        <v>150</v>
      </c>
      <c r="K59" t="s">
        <v>17</v>
      </c>
      <c r="L59">
        <v>4</v>
      </c>
      <c r="N59" t="s">
        <v>151</v>
      </c>
    </row>
    <row r="60" spans="1:14" x14ac:dyDescent="0.3">
      <c r="A60">
        <v>1</v>
      </c>
      <c r="B60">
        <v>0</v>
      </c>
      <c r="C60" t="s">
        <v>155</v>
      </c>
      <c r="D60" t="s">
        <v>20</v>
      </c>
      <c r="E60">
        <v>49</v>
      </c>
      <c r="F60">
        <v>0</v>
      </c>
      <c r="G60">
        <v>0</v>
      </c>
      <c r="H60">
        <v>19924</v>
      </c>
      <c r="I60">
        <v>26</v>
      </c>
      <c r="K60" t="s">
        <v>17</v>
      </c>
      <c r="N60" t="s">
        <v>156</v>
      </c>
    </row>
    <row r="61" spans="1:14" x14ac:dyDescent="0.3">
      <c r="A61">
        <v>1</v>
      </c>
      <c r="B61">
        <v>1</v>
      </c>
      <c r="C61" t="s">
        <v>157</v>
      </c>
      <c r="D61" t="s">
        <v>15</v>
      </c>
      <c r="F61">
        <v>0</v>
      </c>
      <c r="G61">
        <v>0</v>
      </c>
      <c r="H61">
        <v>17770</v>
      </c>
      <c r="I61">
        <v>27.720800000000001</v>
      </c>
      <c r="K61" t="s">
        <v>41</v>
      </c>
      <c r="L61">
        <v>5</v>
      </c>
      <c r="N61" t="s">
        <v>28</v>
      </c>
    </row>
    <row r="62" spans="1:14" x14ac:dyDescent="0.3">
      <c r="A62">
        <v>1</v>
      </c>
      <c r="B62">
        <v>0</v>
      </c>
      <c r="C62" t="s">
        <v>158</v>
      </c>
      <c r="D62" t="s">
        <v>20</v>
      </c>
      <c r="E62">
        <v>36</v>
      </c>
      <c r="F62">
        <v>1</v>
      </c>
      <c r="G62">
        <v>0</v>
      </c>
      <c r="H62">
        <v>19877</v>
      </c>
      <c r="I62">
        <v>78.849999999999994</v>
      </c>
      <c r="J62" t="s">
        <v>159</v>
      </c>
      <c r="K62" t="s">
        <v>17</v>
      </c>
      <c r="M62">
        <v>172</v>
      </c>
      <c r="N62" t="s">
        <v>160</v>
      </c>
    </row>
    <row r="63" spans="1:14" x14ac:dyDescent="0.3">
      <c r="A63">
        <v>1</v>
      </c>
      <c r="B63">
        <v>1</v>
      </c>
      <c r="C63" t="s">
        <v>161</v>
      </c>
      <c r="D63" t="s">
        <v>15</v>
      </c>
      <c r="E63">
        <v>76</v>
      </c>
      <c r="F63">
        <v>1</v>
      </c>
      <c r="G63">
        <v>0</v>
      </c>
      <c r="H63">
        <v>19877</v>
      </c>
      <c r="I63">
        <v>78.849999999999994</v>
      </c>
      <c r="J63" t="s">
        <v>159</v>
      </c>
      <c r="K63" t="s">
        <v>17</v>
      </c>
      <c r="L63">
        <v>6</v>
      </c>
      <c r="N63" t="s">
        <v>160</v>
      </c>
    </row>
    <row r="64" spans="1:14" x14ac:dyDescent="0.3">
      <c r="A64">
        <v>1</v>
      </c>
      <c r="B64">
        <v>0</v>
      </c>
      <c r="C64" t="s">
        <v>162</v>
      </c>
      <c r="D64" t="s">
        <v>20</v>
      </c>
      <c r="E64">
        <v>46</v>
      </c>
      <c r="F64">
        <v>1</v>
      </c>
      <c r="G64">
        <v>0</v>
      </c>
      <c r="H64" t="s">
        <v>163</v>
      </c>
      <c r="I64">
        <v>61.174999999999997</v>
      </c>
      <c r="J64" t="s">
        <v>164</v>
      </c>
      <c r="K64" t="s">
        <v>17</v>
      </c>
      <c r="N64" t="s">
        <v>165</v>
      </c>
    </row>
    <row r="65" spans="1:14" x14ac:dyDescent="0.3">
      <c r="A65">
        <v>1</v>
      </c>
      <c r="B65">
        <v>1</v>
      </c>
      <c r="C65" t="s">
        <v>166</v>
      </c>
      <c r="D65" t="s">
        <v>15</v>
      </c>
      <c r="E65">
        <v>47</v>
      </c>
      <c r="F65">
        <v>1</v>
      </c>
      <c r="G65">
        <v>0</v>
      </c>
      <c r="H65" t="s">
        <v>163</v>
      </c>
      <c r="I65">
        <v>61.174999999999997</v>
      </c>
      <c r="J65" t="s">
        <v>164</v>
      </c>
      <c r="K65" t="s">
        <v>17</v>
      </c>
      <c r="L65">
        <v>4</v>
      </c>
      <c r="N65" t="s">
        <v>165</v>
      </c>
    </row>
    <row r="66" spans="1:14" x14ac:dyDescent="0.3">
      <c r="A66">
        <v>1</v>
      </c>
      <c r="B66">
        <v>1</v>
      </c>
      <c r="C66" t="s">
        <v>167</v>
      </c>
      <c r="D66" t="s">
        <v>20</v>
      </c>
      <c r="E66">
        <v>27</v>
      </c>
      <c r="F66">
        <v>1</v>
      </c>
      <c r="G66">
        <v>0</v>
      </c>
      <c r="H66">
        <v>113806</v>
      </c>
      <c r="I66">
        <v>53.1</v>
      </c>
      <c r="J66" t="s">
        <v>168</v>
      </c>
      <c r="K66" t="s">
        <v>17</v>
      </c>
      <c r="L66">
        <v>5</v>
      </c>
      <c r="N66" t="s">
        <v>169</v>
      </c>
    </row>
    <row r="67" spans="1:14" x14ac:dyDescent="0.3">
      <c r="A67">
        <v>1</v>
      </c>
      <c r="B67">
        <v>1</v>
      </c>
      <c r="C67" t="s">
        <v>170</v>
      </c>
      <c r="D67" t="s">
        <v>15</v>
      </c>
      <c r="E67">
        <v>33</v>
      </c>
      <c r="F67">
        <v>1</v>
      </c>
      <c r="G67">
        <v>0</v>
      </c>
      <c r="H67">
        <v>113806</v>
      </c>
      <c r="I67">
        <v>53.1</v>
      </c>
      <c r="J67" t="s">
        <v>168</v>
      </c>
      <c r="K67" t="s">
        <v>17</v>
      </c>
      <c r="L67">
        <v>5</v>
      </c>
      <c r="N67" t="s">
        <v>169</v>
      </c>
    </row>
    <row r="68" spans="1:14" x14ac:dyDescent="0.3">
      <c r="A68">
        <v>1</v>
      </c>
      <c r="B68">
        <v>1</v>
      </c>
      <c r="C68" t="s">
        <v>171</v>
      </c>
      <c r="D68" t="s">
        <v>15</v>
      </c>
      <c r="E68">
        <v>36</v>
      </c>
      <c r="F68">
        <v>0</v>
      </c>
      <c r="G68">
        <v>0</v>
      </c>
      <c r="H68" t="s">
        <v>106</v>
      </c>
      <c r="I68">
        <v>262.375</v>
      </c>
      <c r="J68" t="s">
        <v>172</v>
      </c>
      <c r="K68" t="s">
        <v>41</v>
      </c>
      <c r="L68">
        <v>4</v>
      </c>
    </row>
    <row r="69" spans="1:14" x14ac:dyDescent="0.3">
      <c r="A69">
        <v>1</v>
      </c>
      <c r="B69">
        <v>1</v>
      </c>
      <c r="C69" t="s">
        <v>173</v>
      </c>
      <c r="D69" t="s">
        <v>15</v>
      </c>
      <c r="E69">
        <v>30</v>
      </c>
      <c r="F69">
        <v>0</v>
      </c>
      <c r="G69">
        <v>0</v>
      </c>
      <c r="H69">
        <v>110152</v>
      </c>
      <c r="I69">
        <v>86.5</v>
      </c>
      <c r="J69" t="s">
        <v>174</v>
      </c>
      <c r="K69" t="s">
        <v>17</v>
      </c>
      <c r="L69">
        <v>8</v>
      </c>
      <c r="N69" t="s">
        <v>175</v>
      </c>
    </row>
    <row r="70" spans="1:14" x14ac:dyDescent="0.3">
      <c r="A70">
        <v>1</v>
      </c>
      <c r="B70">
        <v>1</v>
      </c>
      <c r="C70" t="s">
        <v>176</v>
      </c>
      <c r="D70" t="s">
        <v>20</v>
      </c>
      <c r="E70">
        <v>45</v>
      </c>
      <c r="F70">
        <v>0</v>
      </c>
      <c r="G70">
        <v>0</v>
      </c>
      <c r="H70" t="s">
        <v>177</v>
      </c>
      <c r="I70">
        <v>29.7</v>
      </c>
      <c r="J70" t="s">
        <v>178</v>
      </c>
      <c r="K70" t="s">
        <v>41</v>
      </c>
      <c r="L70">
        <v>7</v>
      </c>
      <c r="N70" t="s">
        <v>50</v>
      </c>
    </row>
    <row r="71" spans="1:14" x14ac:dyDescent="0.3">
      <c r="A71">
        <v>1</v>
      </c>
      <c r="B71">
        <v>1</v>
      </c>
      <c r="C71" t="s">
        <v>179</v>
      </c>
      <c r="D71" t="s">
        <v>15</v>
      </c>
      <c r="F71">
        <v>0</v>
      </c>
      <c r="G71">
        <v>1</v>
      </c>
      <c r="H71">
        <v>113505</v>
      </c>
      <c r="I71">
        <v>55</v>
      </c>
      <c r="J71" t="s">
        <v>109</v>
      </c>
      <c r="K71" t="s">
        <v>17</v>
      </c>
      <c r="L71">
        <v>6</v>
      </c>
      <c r="N71" t="s">
        <v>110</v>
      </c>
    </row>
    <row r="72" spans="1:14" x14ac:dyDescent="0.3">
      <c r="A72">
        <v>1</v>
      </c>
      <c r="B72">
        <v>0</v>
      </c>
      <c r="C72" t="s">
        <v>180</v>
      </c>
      <c r="D72" t="s">
        <v>20</v>
      </c>
      <c r="F72">
        <v>0</v>
      </c>
      <c r="G72">
        <v>0</v>
      </c>
      <c r="H72">
        <v>112051</v>
      </c>
      <c r="I72">
        <v>0</v>
      </c>
      <c r="K72" t="s">
        <v>17</v>
      </c>
      <c r="N72" t="s">
        <v>181</v>
      </c>
    </row>
    <row r="73" spans="1:14" x14ac:dyDescent="0.3">
      <c r="A73">
        <v>1</v>
      </c>
      <c r="B73">
        <v>0</v>
      </c>
      <c r="C73" t="s">
        <v>182</v>
      </c>
      <c r="D73" t="s">
        <v>20</v>
      </c>
      <c r="E73">
        <v>27</v>
      </c>
      <c r="F73">
        <v>1</v>
      </c>
      <c r="G73">
        <v>0</v>
      </c>
      <c r="H73">
        <v>13508</v>
      </c>
      <c r="I73">
        <v>136.7792</v>
      </c>
      <c r="J73" t="s">
        <v>183</v>
      </c>
      <c r="K73" t="s">
        <v>41</v>
      </c>
      <c r="N73" t="s">
        <v>112</v>
      </c>
    </row>
    <row r="74" spans="1:14" x14ac:dyDescent="0.3">
      <c r="A74">
        <v>1</v>
      </c>
      <c r="B74">
        <v>1</v>
      </c>
      <c r="C74" t="s">
        <v>184</v>
      </c>
      <c r="D74" t="s">
        <v>15</v>
      </c>
      <c r="E74">
        <v>26</v>
      </c>
      <c r="F74">
        <v>1</v>
      </c>
      <c r="G74">
        <v>0</v>
      </c>
      <c r="H74">
        <v>13508</v>
      </c>
      <c r="I74">
        <v>136.7792</v>
      </c>
      <c r="J74" t="s">
        <v>183</v>
      </c>
      <c r="K74" t="s">
        <v>41</v>
      </c>
      <c r="L74">
        <v>4</v>
      </c>
      <c r="N74" t="s">
        <v>112</v>
      </c>
    </row>
    <row r="75" spans="1:14" x14ac:dyDescent="0.3">
      <c r="A75">
        <v>1</v>
      </c>
      <c r="B75">
        <v>1</v>
      </c>
      <c r="C75" t="s">
        <v>185</v>
      </c>
      <c r="D75" t="s">
        <v>15</v>
      </c>
      <c r="E75">
        <v>22</v>
      </c>
      <c r="F75">
        <v>0</v>
      </c>
      <c r="G75">
        <v>0</v>
      </c>
      <c r="H75">
        <v>113781</v>
      </c>
      <c r="I75">
        <v>151.55000000000001</v>
      </c>
      <c r="K75" t="s">
        <v>17</v>
      </c>
      <c r="L75">
        <v>11</v>
      </c>
    </row>
    <row r="76" spans="1:14" x14ac:dyDescent="0.3">
      <c r="A76">
        <v>1</v>
      </c>
      <c r="B76">
        <v>0</v>
      </c>
      <c r="C76" t="s">
        <v>186</v>
      </c>
      <c r="D76" t="s">
        <v>20</v>
      </c>
      <c r="F76">
        <v>0</v>
      </c>
      <c r="G76">
        <v>0</v>
      </c>
      <c r="H76">
        <v>110465</v>
      </c>
      <c r="I76">
        <v>52</v>
      </c>
      <c r="J76" t="s">
        <v>187</v>
      </c>
      <c r="K76" t="s">
        <v>17</v>
      </c>
      <c r="N76" t="s">
        <v>188</v>
      </c>
    </row>
    <row r="77" spans="1:14" x14ac:dyDescent="0.3">
      <c r="A77">
        <v>1</v>
      </c>
      <c r="B77">
        <v>0</v>
      </c>
      <c r="C77" t="s">
        <v>189</v>
      </c>
      <c r="D77" t="s">
        <v>20</v>
      </c>
      <c r="E77">
        <v>47</v>
      </c>
      <c r="F77">
        <v>0</v>
      </c>
      <c r="G77">
        <v>0</v>
      </c>
      <c r="H77">
        <v>5727</v>
      </c>
      <c r="I77">
        <v>25.587499999999999</v>
      </c>
      <c r="J77" t="s">
        <v>190</v>
      </c>
      <c r="K77" t="s">
        <v>17</v>
      </c>
      <c r="N77" t="s">
        <v>191</v>
      </c>
    </row>
    <row r="78" spans="1:14" x14ac:dyDescent="0.3">
      <c r="A78">
        <v>1</v>
      </c>
      <c r="B78">
        <v>1</v>
      </c>
      <c r="C78" t="s">
        <v>192</v>
      </c>
      <c r="D78" t="s">
        <v>15</v>
      </c>
      <c r="E78">
        <v>39</v>
      </c>
      <c r="F78">
        <v>1</v>
      </c>
      <c r="G78">
        <v>1</v>
      </c>
      <c r="H78" t="s">
        <v>193</v>
      </c>
      <c r="I78">
        <v>83.158299999999997</v>
      </c>
      <c r="J78" t="s">
        <v>194</v>
      </c>
      <c r="K78" t="s">
        <v>41</v>
      </c>
      <c r="L78">
        <v>14</v>
      </c>
      <c r="N78" t="s">
        <v>195</v>
      </c>
    </row>
    <row r="79" spans="1:14" x14ac:dyDescent="0.3">
      <c r="A79">
        <v>1</v>
      </c>
      <c r="B79">
        <v>0</v>
      </c>
      <c r="C79" t="s">
        <v>196</v>
      </c>
      <c r="D79" t="s">
        <v>20</v>
      </c>
      <c r="E79">
        <v>37</v>
      </c>
      <c r="F79">
        <v>1</v>
      </c>
      <c r="G79">
        <v>1</v>
      </c>
      <c r="H79" t="s">
        <v>193</v>
      </c>
      <c r="I79">
        <v>83.158299999999997</v>
      </c>
      <c r="J79" t="s">
        <v>197</v>
      </c>
      <c r="K79" t="s">
        <v>41</v>
      </c>
      <c r="N79" t="s">
        <v>195</v>
      </c>
    </row>
    <row r="80" spans="1:14" x14ac:dyDescent="0.3">
      <c r="A80">
        <v>1</v>
      </c>
      <c r="B80">
        <v>1</v>
      </c>
      <c r="C80" t="s">
        <v>198</v>
      </c>
      <c r="D80" t="s">
        <v>15</v>
      </c>
      <c r="E80">
        <v>64</v>
      </c>
      <c r="F80">
        <v>0</v>
      </c>
      <c r="G80">
        <v>2</v>
      </c>
      <c r="H80" t="s">
        <v>193</v>
      </c>
      <c r="I80">
        <v>83.158299999999997</v>
      </c>
      <c r="J80" t="s">
        <v>199</v>
      </c>
      <c r="K80" t="s">
        <v>41</v>
      </c>
      <c r="L80">
        <v>14</v>
      </c>
      <c r="N80" t="s">
        <v>195</v>
      </c>
    </row>
    <row r="81" spans="1:14" x14ac:dyDescent="0.3">
      <c r="A81">
        <v>1</v>
      </c>
      <c r="B81">
        <v>1</v>
      </c>
      <c r="C81" t="s">
        <v>200</v>
      </c>
      <c r="D81" t="s">
        <v>15</v>
      </c>
      <c r="E81">
        <v>55</v>
      </c>
      <c r="F81">
        <v>2</v>
      </c>
      <c r="G81">
        <v>0</v>
      </c>
      <c r="H81">
        <v>11770</v>
      </c>
      <c r="I81">
        <v>25.7</v>
      </c>
      <c r="J81" t="s">
        <v>36</v>
      </c>
      <c r="K81" t="s">
        <v>17</v>
      </c>
      <c r="L81">
        <v>2</v>
      </c>
      <c r="N81" t="s">
        <v>28</v>
      </c>
    </row>
    <row r="82" spans="1:14" x14ac:dyDescent="0.3">
      <c r="A82">
        <v>1</v>
      </c>
      <c r="B82">
        <v>0</v>
      </c>
      <c r="C82" t="s">
        <v>201</v>
      </c>
      <c r="D82" t="s">
        <v>20</v>
      </c>
      <c r="F82">
        <v>0</v>
      </c>
      <c r="G82">
        <v>0</v>
      </c>
      <c r="H82">
        <v>113791</v>
      </c>
      <c r="I82">
        <v>26.55</v>
      </c>
      <c r="K82" t="s">
        <v>17</v>
      </c>
      <c r="N82" t="s">
        <v>202</v>
      </c>
    </row>
    <row r="83" spans="1:14" x14ac:dyDescent="0.3">
      <c r="A83">
        <v>1</v>
      </c>
      <c r="B83">
        <v>0</v>
      </c>
      <c r="C83" t="s">
        <v>203</v>
      </c>
      <c r="D83" t="s">
        <v>20</v>
      </c>
      <c r="E83">
        <v>70</v>
      </c>
      <c r="F83">
        <v>1</v>
      </c>
      <c r="G83">
        <v>1</v>
      </c>
      <c r="H83" t="s">
        <v>204</v>
      </c>
      <c r="I83">
        <v>71</v>
      </c>
      <c r="J83" t="s">
        <v>205</v>
      </c>
      <c r="K83" t="s">
        <v>17</v>
      </c>
      <c r="M83">
        <v>269</v>
      </c>
      <c r="N83" t="s">
        <v>206</v>
      </c>
    </row>
    <row r="84" spans="1:14" x14ac:dyDescent="0.3">
      <c r="A84">
        <v>1</v>
      </c>
      <c r="B84">
        <v>1</v>
      </c>
      <c r="C84" t="s">
        <v>207</v>
      </c>
      <c r="D84" t="s">
        <v>15</v>
      </c>
      <c r="E84">
        <v>36</v>
      </c>
      <c r="F84">
        <v>0</v>
      </c>
      <c r="G84">
        <v>2</v>
      </c>
      <c r="H84" t="s">
        <v>204</v>
      </c>
      <c r="I84">
        <v>71</v>
      </c>
      <c r="J84" t="s">
        <v>205</v>
      </c>
      <c r="K84" t="s">
        <v>17</v>
      </c>
      <c r="L84">
        <v>7</v>
      </c>
      <c r="N84" t="s">
        <v>206</v>
      </c>
    </row>
    <row r="85" spans="1:14" x14ac:dyDescent="0.3">
      <c r="A85">
        <v>1</v>
      </c>
      <c r="B85">
        <v>1</v>
      </c>
      <c r="C85" t="s">
        <v>208</v>
      </c>
      <c r="D85" t="s">
        <v>15</v>
      </c>
      <c r="E85">
        <v>64</v>
      </c>
      <c r="F85">
        <v>1</v>
      </c>
      <c r="G85">
        <v>1</v>
      </c>
      <c r="H85">
        <v>112901</v>
      </c>
      <c r="I85">
        <v>26.55</v>
      </c>
      <c r="J85" t="s">
        <v>209</v>
      </c>
      <c r="K85" t="s">
        <v>17</v>
      </c>
      <c r="L85">
        <v>7</v>
      </c>
      <c r="N85" t="s">
        <v>206</v>
      </c>
    </row>
    <row r="86" spans="1:14" x14ac:dyDescent="0.3">
      <c r="A86">
        <v>1</v>
      </c>
      <c r="B86">
        <v>0</v>
      </c>
      <c r="C86" t="s">
        <v>210</v>
      </c>
      <c r="D86" t="s">
        <v>20</v>
      </c>
      <c r="E86">
        <v>39</v>
      </c>
      <c r="F86">
        <v>1</v>
      </c>
      <c r="G86">
        <v>0</v>
      </c>
      <c r="H86" t="s">
        <v>211</v>
      </c>
      <c r="I86">
        <v>71.283299999999997</v>
      </c>
      <c r="J86" t="s">
        <v>212</v>
      </c>
      <c r="K86" t="s">
        <v>41</v>
      </c>
      <c r="N86" t="s">
        <v>28</v>
      </c>
    </row>
    <row r="87" spans="1:14" x14ac:dyDescent="0.3">
      <c r="A87">
        <v>1</v>
      </c>
      <c r="B87">
        <v>1</v>
      </c>
      <c r="C87" t="s">
        <v>213</v>
      </c>
      <c r="D87" t="s">
        <v>15</v>
      </c>
      <c r="E87">
        <v>38</v>
      </c>
      <c r="F87">
        <v>1</v>
      </c>
      <c r="G87">
        <v>0</v>
      </c>
      <c r="H87" t="s">
        <v>211</v>
      </c>
      <c r="I87">
        <v>71.283299999999997</v>
      </c>
      <c r="J87" t="s">
        <v>212</v>
      </c>
      <c r="K87" t="s">
        <v>41</v>
      </c>
      <c r="L87">
        <v>4</v>
      </c>
      <c r="N87" t="s">
        <v>28</v>
      </c>
    </row>
    <row r="88" spans="1:14" x14ac:dyDescent="0.3">
      <c r="A88">
        <v>1</v>
      </c>
      <c r="B88">
        <v>1</v>
      </c>
      <c r="C88" t="s">
        <v>214</v>
      </c>
      <c r="D88" t="s">
        <v>20</v>
      </c>
      <c r="E88">
        <v>51</v>
      </c>
      <c r="F88">
        <v>0</v>
      </c>
      <c r="G88">
        <v>0</v>
      </c>
      <c r="H88">
        <v>113055</v>
      </c>
      <c r="I88">
        <v>26.55</v>
      </c>
      <c r="J88" t="s">
        <v>215</v>
      </c>
      <c r="K88" t="s">
        <v>17</v>
      </c>
      <c r="L88" t="s">
        <v>216</v>
      </c>
      <c r="N88" t="s">
        <v>217</v>
      </c>
    </row>
    <row r="89" spans="1:14" x14ac:dyDescent="0.3">
      <c r="A89">
        <v>1</v>
      </c>
      <c r="B89">
        <v>1</v>
      </c>
      <c r="C89" t="s">
        <v>218</v>
      </c>
      <c r="D89" t="s">
        <v>20</v>
      </c>
      <c r="E89">
        <v>27</v>
      </c>
      <c r="F89">
        <v>0</v>
      </c>
      <c r="G89">
        <v>0</v>
      </c>
      <c r="H89">
        <v>113804</v>
      </c>
      <c r="I89">
        <v>30.5</v>
      </c>
      <c r="K89" t="s">
        <v>17</v>
      </c>
      <c r="L89">
        <v>3</v>
      </c>
      <c r="N89" t="s">
        <v>121</v>
      </c>
    </row>
    <row r="90" spans="1:14" x14ac:dyDescent="0.3">
      <c r="A90">
        <v>1</v>
      </c>
      <c r="B90">
        <v>1</v>
      </c>
      <c r="C90" t="s">
        <v>219</v>
      </c>
      <c r="D90" t="s">
        <v>15</v>
      </c>
      <c r="E90">
        <v>33</v>
      </c>
      <c r="F90">
        <v>0</v>
      </c>
      <c r="G90">
        <v>0</v>
      </c>
      <c r="H90">
        <v>113781</v>
      </c>
      <c r="I90">
        <v>151.55000000000001</v>
      </c>
      <c r="K90" t="s">
        <v>17</v>
      </c>
      <c r="L90">
        <v>8</v>
      </c>
    </row>
    <row r="91" spans="1:14" x14ac:dyDescent="0.3">
      <c r="A91">
        <v>1</v>
      </c>
      <c r="B91">
        <v>0</v>
      </c>
      <c r="C91" t="s">
        <v>220</v>
      </c>
      <c r="D91" t="s">
        <v>20</v>
      </c>
      <c r="E91">
        <v>31</v>
      </c>
      <c r="F91">
        <v>1</v>
      </c>
      <c r="G91">
        <v>0</v>
      </c>
      <c r="H91" t="s">
        <v>221</v>
      </c>
      <c r="I91">
        <v>52</v>
      </c>
      <c r="J91" t="s">
        <v>222</v>
      </c>
      <c r="K91" t="s">
        <v>17</v>
      </c>
      <c r="N91" t="s">
        <v>61</v>
      </c>
    </row>
    <row r="92" spans="1:14" x14ac:dyDescent="0.3">
      <c r="A92">
        <v>1</v>
      </c>
      <c r="B92">
        <v>1</v>
      </c>
      <c r="C92" t="s">
        <v>223</v>
      </c>
      <c r="D92" t="s">
        <v>15</v>
      </c>
      <c r="E92">
        <v>27</v>
      </c>
      <c r="F92">
        <v>1</v>
      </c>
      <c r="G92">
        <v>2</v>
      </c>
      <c r="H92" t="s">
        <v>221</v>
      </c>
      <c r="I92">
        <v>52</v>
      </c>
      <c r="J92" t="s">
        <v>222</v>
      </c>
      <c r="K92" t="s">
        <v>17</v>
      </c>
      <c r="L92">
        <v>3</v>
      </c>
      <c r="N92" t="s">
        <v>61</v>
      </c>
    </row>
    <row r="93" spans="1:14" x14ac:dyDescent="0.3">
      <c r="A93">
        <v>1</v>
      </c>
      <c r="B93">
        <v>1</v>
      </c>
      <c r="C93" t="s">
        <v>224</v>
      </c>
      <c r="D93" t="s">
        <v>20</v>
      </c>
      <c r="E93">
        <v>31</v>
      </c>
      <c r="F93">
        <v>1</v>
      </c>
      <c r="G93">
        <v>0</v>
      </c>
      <c r="H93">
        <v>17474</v>
      </c>
      <c r="I93">
        <v>57</v>
      </c>
      <c r="J93" t="s">
        <v>225</v>
      </c>
      <c r="K93" t="s">
        <v>17</v>
      </c>
      <c r="L93">
        <v>3</v>
      </c>
      <c r="N93" t="s">
        <v>226</v>
      </c>
    </row>
    <row r="94" spans="1:14" x14ac:dyDescent="0.3">
      <c r="A94">
        <v>1</v>
      </c>
      <c r="B94">
        <v>1</v>
      </c>
      <c r="C94" t="s">
        <v>227</v>
      </c>
      <c r="D94" t="s">
        <v>15</v>
      </c>
      <c r="E94">
        <v>17</v>
      </c>
      <c r="F94">
        <v>1</v>
      </c>
      <c r="G94">
        <v>0</v>
      </c>
      <c r="H94">
        <v>17474</v>
      </c>
      <c r="I94">
        <v>57</v>
      </c>
      <c r="J94" t="s">
        <v>225</v>
      </c>
      <c r="K94" t="s">
        <v>17</v>
      </c>
      <c r="L94">
        <v>3</v>
      </c>
      <c r="N94" t="s">
        <v>226</v>
      </c>
    </row>
    <row r="95" spans="1:14" x14ac:dyDescent="0.3">
      <c r="A95">
        <v>1</v>
      </c>
      <c r="B95">
        <v>1</v>
      </c>
      <c r="C95" t="s">
        <v>228</v>
      </c>
      <c r="D95" t="s">
        <v>20</v>
      </c>
      <c r="E95">
        <v>53</v>
      </c>
      <c r="F95">
        <v>1</v>
      </c>
      <c r="G95">
        <v>1</v>
      </c>
      <c r="H95">
        <v>33638</v>
      </c>
      <c r="I95">
        <v>81.8583</v>
      </c>
      <c r="J95" t="s">
        <v>229</v>
      </c>
      <c r="K95" t="s">
        <v>17</v>
      </c>
      <c r="L95">
        <v>13</v>
      </c>
      <c r="N95" t="s">
        <v>79</v>
      </c>
    </row>
    <row r="96" spans="1:14" x14ac:dyDescent="0.3">
      <c r="A96">
        <v>1</v>
      </c>
      <c r="B96">
        <v>1</v>
      </c>
      <c r="C96" t="s">
        <v>230</v>
      </c>
      <c r="D96" t="s">
        <v>20</v>
      </c>
      <c r="E96">
        <v>4</v>
      </c>
      <c r="F96">
        <v>0</v>
      </c>
      <c r="G96">
        <v>2</v>
      </c>
      <c r="H96">
        <v>33638</v>
      </c>
      <c r="I96">
        <v>81.8583</v>
      </c>
      <c r="J96" t="s">
        <v>229</v>
      </c>
      <c r="K96" t="s">
        <v>17</v>
      </c>
      <c r="L96">
        <v>5</v>
      </c>
      <c r="N96" t="s">
        <v>79</v>
      </c>
    </row>
    <row r="97" spans="1:14" x14ac:dyDescent="0.3">
      <c r="A97">
        <v>1</v>
      </c>
      <c r="B97">
        <v>1</v>
      </c>
      <c r="C97" t="s">
        <v>231</v>
      </c>
      <c r="D97" t="s">
        <v>15</v>
      </c>
      <c r="E97">
        <v>54</v>
      </c>
      <c r="F97">
        <v>1</v>
      </c>
      <c r="G97">
        <v>1</v>
      </c>
      <c r="H97">
        <v>33638</v>
      </c>
      <c r="I97">
        <v>81.8583</v>
      </c>
      <c r="J97" t="s">
        <v>229</v>
      </c>
      <c r="K97" t="s">
        <v>17</v>
      </c>
      <c r="L97">
        <v>5</v>
      </c>
      <c r="N97" t="s">
        <v>79</v>
      </c>
    </row>
    <row r="98" spans="1:14" x14ac:dyDescent="0.3">
      <c r="A98">
        <v>1</v>
      </c>
      <c r="B98">
        <v>0</v>
      </c>
      <c r="C98" t="s">
        <v>232</v>
      </c>
      <c r="D98" t="s">
        <v>20</v>
      </c>
      <c r="E98">
        <v>50</v>
      </c>
      <c r="F98">
        <v>1</v>
      </c>
      <c r="G98">
        <v>0</v>
      </c>
      <c r="H98" t="s">
        <v>233</v>
      </c>
      <c r="I98">
        <v>106.425</v>
      </c>
      <c r="J98" t="s">
        <v>234</v>
      </c>
      <c r="K98" t="s">
        <v>41</v>
      </c>
      <c r="M98">
        <v>62</v>
      </c>
      <c r="N98" t="s">
        <v>235</v>
      </c>
    </row>
    <row r="99" spans="1:14" x14ac:dyDescent="0.3">
      <c r="A99">
        <v>1</v>
      </c>
      <c r="B99">
        <v>1</v>
      </c>
      <c r="C99" t="s">
        <v>236</v>
      </c>
      <c r="D99" t="s">
        <v>15</v>
      </c>
      <c r="E99">
        <v>27</v>
      </c>
      <c r="F99">
        <v>1</v>
      </c>
      <c r="G99">
        <v>1</v>
      </c>
      <c r="H99" t="s">
        <v>59</v>
      </c>
      <c r="I99">
        <v>247.52080000000001</v>
      </c>
      <c r="J99" t="s">
        <v>60</v>
      </c>
      <c r="K99" t="s">
        <v>41</v>
      </c>
      <c r="L99">
        <v>6</v>
      </c>
      <c r="N99" t="s">
        <v>61</v>
      </c>
    </row>
    <row r="100" spans="1:14" x14ac:dyDescent="0.3">
      <c r="A100">
        <v>1</v>
      </c>
      <c r="B100">
        <v>1</v>
      </c>
      <c r="C100" t="s">
        <v>237</v>
      </c>
      <c r="D100" t="s">
        <v>15</v>
      </c>
      <c r="E100">
        <v>48</v>
      </c>
      <c r="F100">
        <v>1</v>
      </c>
      <c r="G100">
        <v>0</v>
      </c>
      <c r="H100" t="s">
        <v>233</v>
      </c>
      <c r="I100">
        <v>106.425</v>
      </c>
      <c r="J100" t="s">
        <v>234</v>
      </c>
      <c r="K100" t="s">
        <v>41</v>
      </c>
      <c r="L100">
        <v>2</v>
      </c>
      <c r="N100" t="s">
        <v>235</v>
      </c>
    </row>
    <row r="101" spans="1:14" x14ac:dyDescent="0.3">
      <c r="A101">
        <v>1</v>
      </c>
      <c r="B101">
        <v>1</v>
      </c>
      <c r="C101" t="s">
        <v>238</v>
      </c>
      <c r="D101" t="s">
        <v>15</v>
      </c>
      <c r="E101">
        <v>48</v>
      </c>
      <c r="F101">
        <v>1</v>
      </c>
      <c r="G101">
        <v>0</v>
      </c>
      <c r="H101">
        <v>11755</v>
      </c>
      <c r="I101">
        <v>39.6</v>
      </c>
      <c r="J101" t="s">
        <v>239</v>
      </c>
      <c r="K101" t="s">
        <v>41</v>
      </c>
      <c r="L101">
        <v>1</v>
      </c>
      <c r="N101" t="s">
        <v>240</v>
      </c>
    </row>
    <row r="102" spans="1:14" x14ac:dyDescent="0.3">
      <c r="A102">
        <v>1</v>
      </c>
      <c r="B102">
        <v>1</v>
      </c>
      <c r="C102" t="s">
        <v>241</v>
      </c>
      <c r="D102" t="s">
        <v>20</v>
      </c>
      <c r="E102">
        <v>49</v>
      </c>
      <c r="F102">
        <v>1</v>
      </c>
      <c r="G102">
        <v>0</v>
      </c>
      <c r="H102" t="s">
        <v>242</v>
      </c>
      <c r="I102">
        <v>56.929200000000002</v>
      </c>
      <c r="J102" t="s">
        <v>243</v>
      </c>
      <c r="K102" t="s">
        <v>41</v>
      </c>
      <c r="L102">
        <v>1</v>
      </c>
      <c r="N102" t="s">
        <v>240</v>
      </c>
    </row>
    <row r="103" spans="1:14" x14ac:dyDescent="0.3">
      <c r="A103">
        <v>1</v>
      </c>
      <c r="B103">
        <v>0</v>
      </c>
      <c r="C103" t="s">
        <v>244</v>
      </c>
      <c r="D103" t="s">
        <v>20</v>
      </c>
      <c r="E103">
        <v>39</v>
      </c>
      <c r="F103">
        <v>0</v>
      </c>
      <c r="G103">
        <v>0</v>
      </c>
      <c r="H103" t="s">
        <v>245</v>
      </c>
      <c r="I103">
        <v>29.7</v>
      </c>
      <c r="J103" t="s">
        <v>246</v>
      </c>
      <c r="K103" t="s">
        <v>41</v>
      </c>
      <c r="M103">
        <v>133</v>
      </c>
      <c r="N103" t="s">
        <v>121</v>
      </c>
    </row>
    <row r="104" spans="1:14" x14ac:dyDescent="0.3">
      <c r="A104">
        <v>1</v>
      </c>
      <c r="B104">
        <v>1</v>
      </c>
      <c r="C104" t="s">
        <v>247</v>
      </c>
      <c r="D104" t="s">
        <v>15</v>
      </c>
      <c r="E104">
        <v>23</v>
      </c>
      <c r="F104">
        <v>0</v>
      </c>
      <c r="G104">
        <v>1</v>
      </c>
      <c r="H104">
        <v>11767</v>
      </c>
      <c r="I104">
        <v>83.158299999999997</v>
      </c>
      <c r="J104" t="s">
        <v>248</v>
      </c>
      <c r="K104" t="s">
        <v>41</v>
      </c>
      <c r="L104">
        <v>7</v>
      </c>
      <c r="N104" t="s">
        <v>249</v>
      </c>
    </row>
    <row r="105" spans="1:14" x14ac:dyDescent="0.3">
      <c r="A105">
        <v>1</v>
      </c>
      <c r="B105">
        <v>1</v>
      </c>
      <c r="C105" t="s">
        <v>250</v>
      </c>
      <c r="D105" t="s">
        <v>15</v>
      </c>
      <c r="E105">
        <v>38</v>
      </c>
      <c r="F105">
        <v>0</v>
      </c>
      <c r="G105">
        <v>0</v>
      </c>
      <c r="H105" t="s">
        <v>44</v>
      </c>
      <c r="I105">
        <v>227.52500000000001</v>
      </c>
      <c r="J105" t="s">
        <v>251</v>
      </c>
      <c r="K105" t="s">
        <v>41</v>
      </c>
      <c r="L105">
        <v>4</v>
      </c>
      <c r="N105" t="s">
        <v>28</v>
      </c>
    </row>
    <row r="106" spans="1:14" x14ac:dyDescent="0.3">
      <c r="A106">
        <v>1</v>
      </c>
      <c r="B106">
        <v>1</v>
      </c>
      <c r="C106" t="s">
        <v>252</v>
      </c>
      <c r="D106" t="s">
        <v>15</v>
      </c>
      <c r="E106">
        <v>54</v>
      </c>
      <c r="F106">
        <v>1</v>
      </c>
      <c r="G106">
        <v>0</v>
      </c>
      <c r="H106">
        <v>36947</v>
      </c>
      <c r="I106">
        <v>78.2667</v>
      </c>
      <c r="J106" t="s">
        <v>253</v>
      </c>
      <c r="K106" t="s">
        <v>41</v>
      </c>
      <c r="L106">
        <v>4</v>
      </c>
      <c r="N106" t="s">
        <v>254</v>
      </c>
    </row>
    <row r="107" spans="1:14" x14ac:dyDescent="0.3">
      <c r="A107">
        <v>1</v>
      </c>
      <c r="B107">
        <v>0</v>
      </c>
      <c r="C107" t="s">
        <v>255</v>
      </c>
      <c r="D107" t="s">
        <v>15</v>
      </c>
      <c r="E107">
        <v>36</v>
      </c>
      <c r="F107">
        <v>0</v>
      </c>
      <c r="G107">
        <v>0</v>
      </c>
      <c r="H107" t="s">
        <v>256</v>
      </c>
      <c r="I107">
        <v>31.679200000000002</v>
      </c>
      <c r="J107" t="s">
        <v>257</v>
      </c>
      <c r="K107" t="s">
        <v>41</v>
      </c>
      <c r="N107" t="s">
        <v>28</v>
      </c>
    </row>
    <row r="108" spans="1:14" x14ac:dyDescent="0.3">
      <c r="A108">
        <v>1</v>
      </c>
      <c r="B108">
        <v>0</v>
      </c>
      <c r="C108" t="s">
        <v>258</v>
      </c>
      <c r="D108" t="s">
        <v>20</v>
      </c>
      <c r="F108">
        <v>0</v>
      </c>
      <c r="G108">
        <v>0</v>
      </c>
      <c r="H108" t="s">
        <v>76</v>
      </c>
      <c r="I108">
        <v>221.7792</v>
      </c>
      <c r="J108" t="s">
        <v>259</v>
      </c>
      <c r="K108" t="s">
        <v>17</v>
      </c>
    </row>
    <row r="109" spans="1:14" x14ac:dyDescent="0.3">
      <c r="A109">
        <v>1</v>
      </c>
      <c r="B109">
        <v>1</v>
      </c>
      <c r="C109" t="s">
        <v>260</v>
      </c>
      <c r="D109" t="s">
        <v>15</v>
      </c>
      <c r="F109">
        <v>0</v>
      </c>
      <c r="G109">
        <v>0</v>
      </c>
      <c r="H109" t="s">
        <v>261</v>
      </c>
      <c r="I109">
        <v>31.683299999999999</v>
      </c>
      <c r="K109" t="s">
        <v>17</v>
      </c>
      <c r="L109">
        <v>7</v>
      </c>
      <c r="N109" t="s">
        <v>28</v>
      </c>
    </row>
    <row r="110" spans="1:14" x14ac:dyDescent="0.3">
      <c r="A110">
        <v>1</v>
      </c>
      <c r="B110">
        <v>1</v>
      </c>
      <c r="C110" t="s">
        <v>262</v>
      </c>
      <c r="D110" t="s">
        <v>15</v>
      </c>
      <c r="F110">
        <v>0</v>
      </c>
      <c r="G110">
        <v>0</v>
      </c>
      <c r="H110">
        <v>17421</v>
      </c>
      <c r="I110">
        <v>110.88330000000001</v>
      </c>
      <c r="K110" t="s">
        <v>41</v>
      </c>
      <c r="L110">
        <v>4</v>
      </c>
    </row>
    <row r="111" spans="1:14" x14ac:dyDescent="0.3">
      <c r="A111">
        <v>1</v>
      </c>
      <c r="B111">
        <v>1</v>
      </c>
      <c r="C111" t="s">
        <v>263</v>
      </c>
      <c r="D111" t="s">
        <v>20</v>
      </c>
      <c r="E111">
        <v>36</v>
      </c>
      <c r="F111">
        <v>0</v>
      </c>
      <c r="G111">
        <v>0</v>
      </c>
      <c r="H111" t="s">
        <v>264</v>
      </c>
      <c r="I111">
        <v>26.387499999999999</v>
      </c>
      <c r="J111" t="s">
        <v>265</v>
      </c>
      <c r="K111" t="s">
        <v>17</v>
      </c>
      <c r="L111">
        <v>5</v>
      </c>
      <c r="N111" t="s">
        <v>266</v>
      </c>
    </row>
    <row r="112" spans="1:14" x14ac:dyDescent="0.3">
      <c r="A112">
        <v>1</v>
      </c>
      <c r="B112">
        <v>0</v>
      </c>
      <c r="C112" t="s">
        <v>267</v>
      </c>
      <c r="D112" t="s">
        <v>20</v>
      </c>
      <c r="E112">
        <v>30</v>
      </c>
      <c r="F112">
        <v>0</v>
      </c>
      <c r="G112">
        <v>0</v>
      </c>
      <c r="H112">
        <v>113051</v>
      </c>
      <c r="I112">
        <v>27.75</v>
      </c>
      <c r="J112" t="s">
        <v>268</v>
      </c>
      <c r="K112" t="s">
        <v>41</v>
      </c>
      <c r="N112" t="s">
        <v>28</v>
      </c>
    </row>
    <row r="113" spans="1:14" x14ac:dyDescent="0.3">
      <c r="A113">
        <v>1</v>
      </c>
      <c r="B113">
        <v>1</v>
      </c>
      <c r="C113" t="s">
        <v>269</v>
      </c>
      <c r="D113" t="s">
        <v>15</v>
      </c>
      <c r="E113">
        <v>24</v>
      </c>
      <c r="F113">
        <v>3</v>
      </c>
      <c r="G113">
        <v>2</v>
      </c>
      <c r="H113">
        <v>19950</v>
      </c>
      <c r="I113">
        <v>263</v>
      </c>
      <c r="J113" t="s">
        <v>270</v>
      </c>
      <c r="K113" t="s">
        <v>17</v>
      </c>
      <c r="L113">
        <v>10</v>
      </c>
      <c r="N113" t="s">
        <v>271</v>
      </c>
    </row>
    <row r="114" spans="1:14" x14ac:dyDescent="0.3">
      <c r="A114">
        <v>1</v>
      </c>
      <c r="B114">
        <v>1</v>
      </c>
      <c r="C114" t="s">
        <v>272</v>
      </c>
      <c r="D114" t="s">
        <v>15</v>
      </c>
      <c r="E114">
        <v>28</v>
      </c>
      <c r="F114">
        <v>3</v>
      </c>
      <c r="G114">
        <v>2</v>
      </c>
      <c r="H114">
        <v>19950</v>
      </c>
      <c r="I114">
        <v>263</v>
      </c>
      <c r="J114" t="s">
        <v>270</v>
      </c>
      <c r="K114" t="s">
        <v>17</v>
      </c>
      <c r="L114">
        <v>10</v>
      </c>
      <c r="N114" t="s">
        <v>271</v>
      </c>
    </row>
    <row r="115" spans="1:14" x14ac:dyDescent="0.3">
      <c r="A115">
        <v>1</v>
      </c>
      <c r="B115">
        <v>1</v>
      </c>
      <c r="C115" t="s">
        <v>273</v>
      </c>
      <c r="D115" t="s">
        <v>15</v>
      </c>
      <c r="E115">
        <v>23</v>
      </c>
      <c r="F115">
        <v>3</v>
      </c>
      <c r="G115">
        <v>2</v>
      </c>
      <c r="H115">
        <v>19950</v>
      </c>
      <c r="I115">
        <v>263</v>
      </c>
      <c r="J115" t="s">
        <v>270</v>
      </c>
      <c r="K115" t="s">
        <v>17</v>
      </c>
      <c r="L115">
        <v>10</v>
      </c>
      <c r="N115" t="s">
        <v>271</v>
      </c>
    </row>
    <row r="116" spans="1:14" x14ac:dyDescent="0.3">
      <c r="A116">
        <v>1</v>
      </c>
      <c r="B116">
        <v>0</v>
      </c>
      <c r="C116" t="s">
        <v>274</v>
      </c>
      <c r="D116" t="s">
        <v>20</v>
      </c>
      <c r="E116">
        <v>19</v>
      </c>
      <c r="F116">
        <v>3</v>
      </c>
      <c r="G116">
        <v>2</v>
      </c>
      <c r="H116">
        <v>19950</v>
      </c>
      <c r="I116">
        <v>263</v>
      </c>
      <c r="J116" t="s">
        <v>270</v>
      </c>
      <c r="K116" t="s">
        <v>17</v>
      </c>
      <c r="N116" t="s">
        <v>271</v>
      </c>
    </row>
    <row r="117" spans="1:14" x14ac:dyDescent="0.3">
      <c r="A117">
        <v>1</v>
      </c>
      <c r="B117">
        <v>0</v>
      </c>
      <c r="C117" t="s">
        <v>275</v>
      </c>
      <c r="D117" t="s">
        <v>20</v>
      </c>
      <c r="E117">
        <v>64</v>
      </c>
      <c r="F117">
        <v>1</v>
      </c>
      <c r="G117">
        <v>4</v>
      </c>
      <c r="H117">
        <v>19950</v>
      </c>
      <c r="I117">
        <v>263</v>
      </c>
      <c r="J117" t="s">
        <v>270</v>
      </c>
      <c r="K117" t="s">
        <v>17</v>
      </c>
      <c r="N117" t="s">
        <v>271</v>
      </c>
    </row>
    <row r="118" spans="1:14" x14ac:dyDescent="0.3">
      <c r="A118">
        <v>1</v>
      </c>
      <c r="B118">
        <v>1</v>
      </c>
      <c r="C118" t="s">
        <v>276</v>
      </c>
      <c r="D118" t="s">
        <v>15</v>
      </c>
      <c r="E118">
        <v>60</v>
      </c>
      <c r="F118">
        <v>1</v>
      </c>
      <c r="G118">
        <v>4</v>
      </c>
      <c r="H118">
        <v>19950</v>
      </c>
      <c r="I118">
        <v>263</v>
      </c>
      <c r="J118" t="s">
        <v>270</v>
      </c>
      <c r="K118" t="s">
        <v>17</v>
      </c>
      <c r="L118">
        <v>10</v>
      </c>
      <c r="N118" t="s">
        <v>271</v>
      </c>
    </row>
    <row r="119" spans="1:14" x14ac:dyDescent="0.3">
      <c r="A119">
        <v>1</v>
      </c>
      <c r="B119">
        <v>1</v>
      </c>
      <c r="C119" t="s">
        <v>277</v>
      </c>
      <c r="D119" t="s">
        <v>15</v>
      </c>
      <c r="E119">
        <v>30</v>
      </c>
      <c r="F119">
        <v>0</v>
      </c>
      <c r="G119">
        <v>0</v>
      </c>
      <c r="H119" t="s">
        <v>242</v>
      </c>
      <c r="I119">
        <v>56.929200000000002</v>
      </c>
      <c r="J119" t="s">
        <v>278</v>
      </c>
      <c r="K119" t="s">
        <v>41</v>
      </c>
      <c r="L119">
        <v>1</v>
      </c>
    </row>
    <row r="120" spans="1:14" x14ac:dyDescent="0.3">
      <c r="A120">
        <v>1</v>
      </c>
      <c r="B120">
        <v>0</v>
      </c>
      <c r="C120" t="s">
        <v>279</v>
      </c>
      <c r="D120" t="s">
        <v>20</v>
      </c>
      <c r="F120">
        <v>0</v>
      </c>
      <c r="G120">
        <v>0</v>
      </c>
      <c r="H120">
        <v>113778</v>
      </c>
      <c r="I120">
        <v>26.55</v>
      </c>
      <c r="J120" t="s">
        <v>280</v>
      </c>
      <c r="K120" t="s">
        <v>17</v>
      </c>
      <c r="N120" t="s">
        <v>281</v>
      </c>
    </row>
    <row r="121" spans="1:14" x14ac:dyDescent="0.3">
      <c r="A121">
        <v>1</v>
      </c>
      <c r="B121">
        <v>1</v>
      </c>
      <c r="C121" t="s">
        <v>282</v>
      </c>
      <c r="D121" t="s">
        <v>20</v>
      </c>
      <c r="E121">
        <v>50</v>
      </c>
      <c r="F121">
        <v>2</v>
      </c>
      <c r="G121">
        <v>0</v>
      </c>
      <c r="H121" t="s">
        <v>283</v>
      </c>
      <c r="I121">
        <v>133.65</v>
      </c>
      <c r="K121" t="s">
        <v>17</v>
      </c>
      <c r="L121">
        <v>5</v>
      </c>
      <c r="N121" t="s">
        <v>28</v>
      </c>
    </row>
    <row r="122" spans="1:14" x14ac:dyDescent="0.3">
      <c r="A122">
        <v>1</v>
      </c>
      <c r="B122">
        <v>1</v>
      </c>
      <c r="C122" t="s">
        <v>284</v>
      </c>
      <c r="D122" t="s">
        <v>20</v>
      </c>
      <c r="E122">
        <v>43</v>
      </c>
      <c r="F122">
        <v>1</v>
      </c>
      <c r="G122">
        <v>0</v>
      </c>
      <c r="H122">
        <v>17765</v>
      </c>
      <c r="I122">
        <v>27.720800000000001</v>
      </c>
      <c r="J122" t="s">
        <v>285</v>
      </c>
      <c r="K122" t="s">
        <v>41</v>
      </c>
      <c r="L122">
        <v>5</v>
      </c>
      <c r="N122" t="s">
        <v>28</v>
      </c>
    </row>
    <row r="123" spans="1:14" x14ac:dyDescent="0.3">
      <c r="A123">
        <v>1</v>
      </c>
      <c r="B123">
        <v>1</v>
      </c>
      <c r="C123" t="s">
        <v>286</v>
      </c>
      <c r="D123" t="s">
        <v>15</v>
      </c>
      <c r="F123">
        <v>1</v>
      </c>
      <c r="G123">
        <v>0</v>
      </c>
      <c r="H123" t="s">
        <v>283</v>
      </c>
      <c r="I123">
        <v>133.65</v>
      </c>
      <c r="K123" t="s">
        <v>17</v>
      </c>
      <c r="L123">
        <v>5</v>
      </c>
      <c r="N123" t="s">
        <v>28</v>
      </c>
    </row>
    <row r="124" spans="1:14" x14ac:dyDescent="0.3">
      <c r="A124">
        <v>1</v>
      </c>
      <c r="B124">
        <v>1</v>
      </c>
      <c r="C124" t="s">
        <v>287</v>
      </c>
      <c r="D124" t="s">
        <v>15</v>
      </c>
      <c r="E124">
        <v>22</v>
      </c>
      <c r="F124">
        <v>0</v>
      </c>
      <c r="G124">
        <v>2</v>
      </c>
      <c r="H124">
        <v>13568</v>
      </c>
      <c r="I124">
        <v>49.5</v>
      </c>
      <c r="J124" t="s">
        <v>288</v>
      </c>
      <c r="K124" t="s">
        <v>41</v>
      </c>
      <c r="L124">
        <v>5</v>
      </c>
      <c r="N124" t="s">
        <v>289</v>
      </c>
    </row>
    <row r="125" spans="1:14" x14ac:dyDescent="0.3">
      <c r="A125">
        <v>1</v>
      </c>
      <c r="B125">
        <v>1</v>
      </c>
      <c r="C125" t="s">
        <v>290</v>
      </c>
      <c r="D125" t="s">
        <v>20</v>
      </c>
      <c r="E125">
        <v>60</v>
      </c>
      <c r="F125">
        <v>1</v>
      </c>
      <c r="G125">
        <v>1</v>
      </c>
      <c r="H125">
        <v>13567</v>
      </c>
      <c r="I125">
        <v>79.2</v>
      </c>
      <c r="J125" t="s">
        <v>291</v>
      </c>
      <c r="K125" t="s">
        <v>41</v>
      </c>
      <c r="L125">
        <v>5</v>
      </c>
      <c r="N125" t="s">
        <v>289</v>
      </c>
    </row>
    <row r="126" spans="1:14" x14ac:dyDescent="0.3">
      <c r="A126">
        <v>1</v>
      </c>
      <c r="B126">
        <v>1</v>
      </c>
      <c r="C126" t="s">
        <v>292</v>
      </c>
      <c r="D126" t="s">
        <v>15</v>
      </c>
      <c r="E126">
        <v>48</v>
      </c>
      <c r="F126">
        <v>1</v>
      </c>
      <c r="G126">
        <v>1</v>
      </c>
      <c r="H126">
        <v>13567</v>
      </c>
      <c r="I126">
        <v>79.2</v>
      </c>
      <c r="J126" t="s">
        <v>291</v>
      </c>
      <c r="K126" t="s">
        <v>41</v>
      </c>
      <c r="L126">
        <v>5</v>
      </c>
      <c r="N126" t="s">
        <v>289</v>
      </c>
    </row>
    <row r="127" spans="1:14" x14ac:dyDescent="0.3">
      <c r="A127">
        <v>1</v>
      </c>
      <c r="B127">
        <v>0</v>
      </c>
      <c r="C127" t="s">
        <v>293</v>
      </c>
      <c r="D127" t="s">
        <v>20</v>
      </c>
      <c r="F127">
        <v>0</v>
      </c>
      <c r="G127">
        <v>0</v>
      </c>
      <c r="H127">
        <v>112058</v>
      </c>
      <c r="I127">
        <v>0</v>
      </c>
      <c r="J127" t="s">
        <v>294</v>
      </c>
      <c r="K127" t="s">
        <v>17</v>
      </c>
    </row>
    <row r="128" spans="1:14" x14ac:dyDescent="0.3">
      <c r="A128">
        <v>1</v>
      </c>
      <c r="B128">
        <v>0</v>
      </c>
      <c r="C128" t="s">
        <v>295</v>
      </c>
      <c r="D128" t="s">
        <v>20</v>
      </c>
      <c r="E128">
        <v>37</v>
      </c>
      <c r="F128">
        <v>1</v>
      </c>
      <c r="G128">
        <v>0</v>
      </c>
      <c r="H128">
        <v>113803</v>
      </c>
      <c r="I128">
        <v>53.1</v>
      </c>
      <c r="J128" t="s">
        <v>296</v>
      </c>
      <c r="K128" t="s">
        <v>17</v>
      </c>
      <c r="N128" t="s">
        <v>297</v>
      </c>
    </row>
    <row r="129" spans="1:14" x14ac:dyDescent="0.3">
      <c r="A129">
        <v>1</v>
      </c>
      <c r="B129">
        <v>1</v>
      </c>
      <c r="C129" t="s">
        <v>298</v>
      </c>
      <c r="D129" t="s">
        <v>15</v>
      </c>
      <c r="E129">
        <v>35</v>
      </c>
      <c r="F129">
        <v>1</v>
      </c>
      <c r="G129">
        <v>0</v>
      </c>
      <c r="H129">
        <v>113803</v>
      </c>
      <c r="I129">
        <v>53.1</v>
      </c>
      <c r="J129" t="s">
        <v>296</v>
      </c>
      <c r="K129" t="s">
        <v>17</v>
      </c>
      <c r="L129" t="s">
        <v>37</v>
      </c>
      <c r="N129" t="s">
        <v>297</v>
      </c>
    </row>
    <row r="130" spans="1:14" x14ac:dyDescent="0.3">
      <c r="A130">
        <v>1</v>
      </c>
      <c r="B130">
        <v>0</v>
      </c>
      <c r="C130" t="s">
        <v>299</v>
      </c>
      <c r="D130" t="s">
        <v>20</v>
      </c>
      <c r="E130">
        <v>47</v>
      </c>
      <c r="F130">
        <v>0</v>
      </c>
      <c r="G130">
        <v>0</v>
      </c>
      <c r="H130">
        <v>111320</v>
      </c>
      <c r="I130">
        <v>38.5</v>
      </c>
      <c r="J130" t="s">
        <v>300</v>
      </c>
      <c r="K130" t="s">
        <v>17</v>
      </c>
      <c r="M130">
        <v>275</v>
      </c>
      <c r="N130" t="s">
        <v>301</v>
      </c>
    </row>
    <row r="131" spans="1:14" x14ac:dyDescent="0.3">
      <c r="A131">
        <v>1</v>
      </c>
      <c r="B131">
        <v>1</v>
      </c>
      <c r="C131" t="s">
        <v>302</v>
      </c>
      <c r="D131" t="s">
        <v>15</v>
      </c>
      <c r="E131">
        <v>35</v>
      </c>
      <c r="F131">
        <v>0</v>
      </c>
      <c r="G131">
        <v>0</v>
      </c>
      <c r="H131">
        <v>113503</v>
      </c>
      <c r="I131">
        <v>211.5</v>
      </c>
      <c r="J131" t="s">
        <v>303</v>
      </c>
      <c r="K131" t="s">
        <v>41</v>
      </c>
      <c r="L131">
        <v>4</v>
      </c>
    </row>
    <row r="132" spans="1:14" x14ac:dyDescent="0.3">
      <c r="A132">
        <v>1</v>
      </c>
      <c r="B132">
        <v>1</v>
      </c>
      <c r="C132" t="s">
        <v>304</v>
      </c>
      <c r="D132" t="s">
        <v>15</v>
      </c>
      <c r="E132">
        <v>22</v>
      </c>
      <c r="F132">
        <v>0</v>
      </c>
      <c r="G132">
        <v>1</v>
      </c>
      <c r="H132">
        <v>112378</v>
      </c>
      <c r="I132">
        <v>59.4</v>
      </c>
      <c r="K132" t="s">
        <v>41</v>
      </c>
      <c r="L132">
        <v>7</v>
      </c>
      <c r="N132" t="s">
        <v>28</v>
      </c>
    </row>
    <row r="133" spans="1:14" x14ac:dyDescent="0.3">
      <c r="A133">
        <v>1</v>
      </c>
      <c r="B133">
        <v>1</v>
      </c>
      <c r="C133" t="s">
        <v>305</v>
      </c>
      <c r="D133" t="s">
        <v>15</v>
      </c>
      <c r="E133">
        <v>45</v>
      </c>
      <c r="F133">
        <v>0</v>
      </c>
      <c r="G133">
        <v>1</v>
      </c>
      <c r="H133">
        <v>112378</v>
      </c>
      <c r="I133">
        <v>59.4</v>
      </c>
      <c r="K133" t="s">
        <v>41</v>
      </c>
      <c r="L133">
        <v>7</v>
      </c>
      <c r="N133" t="s">
        <v>28</v>
      </c>
    </row>
    <row r="134" spans="1:14" x14ac:dyDescent="0.3">
      <c r="A134">
        <v>1</v>
      </c>
      <c r="B134">
        <v>0</v>
      </c>
      <c r="C134" t="s">
        <v>306</v>
      </c>
      <c r="D134" t="s">
        <v>20</v>
      </c>
      <c r="E134">
        <v>24</v>
      </c>
      <c r="F134">
        <v>0</v>
      </c>
      <c r="G134">
        <v>0</v>
      </c>
      <c r="H134" t="s">
        <v>307</v>
      </c>
      <c r="I134">
        <v>79.2</v>
      </c>
      <c r="J134" t="s">
        <v>308</v>
      </c>
      <c r="K134" t="s">
        <v>41</v>
      </c>
    </row>
    <row r="135" spans="1:14" x14ac:dyDescent="0.3">
      <c r="A135">
        <v>1</v>
      </c>
      <c r="B135">
        <v>1</v>
      </c>
      <c r="C135" t="s">
        <v>309</v>
      </c>
      <c r="D135" t="s">
        <v>20</v>
      </c>
      <c r="E135">
        <v>49</v>
      </c>
      <c r="F135">
        <v>1</v>
      </c>
      <c r="G135">
        <v>0</v>
      </c>
      <c r="H135">
        <v>17453</v>
      </c>
      <c r="I135">
        <v>89.104200000000006</v>
      </c>
      <c r="J135" t="s">
        <v>310</v>
      </c>
      <c r="K135" t="s">
        <v>41</v>
      </c>
      <c r="L135">
        <v>5</v>
      </c>
      <c r="N135" t="s">
        <v>311</v>
      </c>
    </row>
    <row r="136" spans="1:14" x14ac:dyDescent="0.3">
      <c r="A136">
        <v>1</v>
      </c>
      <c r="B136">
        <v>1</v>
      </c>
      <c r="C136" t="s">
        <v>312</v>
      </c>
      <c r="D136" t="s">
        <v>15</v>
      </c>
      <c r="F136">
        <v>1</v>
      </c>
      <c r="G136">
        <v>0</v>
      </c>
      <c r="H136">
        <v>17453</v>
      </c>
      <c r="I136">
        <v>89.104200000000006</v>
      </c>
      <c r="J136" t="s">
        <v>310</v>
      </c>
      <c r="K136" t="s">
        <v>41</v>
      </c>
      <c r="L136">
        <v>5</v>
      </c>
      <c r="N136" t="s">
        <v>311</v>
      </c>
    </row>
    <row r="137" spans="1:14" x14ac:dyDescent="0.3">
      <c r="A137">
        <v>1</v>
      </c>
      <c r="B137">
        <v>0</v>
      </c>
      <c r="C137" t="s">
        <v>313</v>
      </c>
      <c r="D137" t="s">
        <v>20</v>
      </c>
      <c r="E137">
        <v>71</v>
      </c>
      <c r="F137">
        <v>0</v>
      </c>
      <c r="G137">
        <v>0</v>
      </c>
      <c r="H137" t="s">
        <v>314</v>
      </c>
      <c r="I137">
        <v>34.654200000000003</v>
      </c>
      <c r="J137" t="s">
        <v>315</v>
      </c>
      <c r="K137" t="s">
        <v>41</v>
      </c>
      <c r="N137" t="s">
        <v>28</v>
      </c>
    </row>
    <row r="138" spans="1:14" x14ac:dyDescent="0.3">
      <c r="A138">
        <v>1</v>
      </c>
      <c r="B138">
        <v>1</v>
      </c>
      <c r="C138" t="s">
        <v>316</v>
      </c>
      <c r="D138" t="s">
        <v>20</v>
      </c>
      <c r="E138">
        <v>53</v>
      </c>
      <c r="F138">
        <v>0</v>
      </c>
      <c r="G138">
        <v>0</v>
      </c>
      <c r="H138">
        <v>113780</v>
      </c>
      <c r="I138">
        <v>28.5</v>
      </c>
      <c r="J138" t="s">
        <v>317</v>
      </c>
      <c r="K138" t="s">
        <v>41</v>
      </c>
      <c r="L138" t="s">
        <v>54</v>
      </c>
      <c r="N138" t="s">
        <v>133</v>
      </c>
    </row>
    <row r="139" spans="1:14" x14ac:dyDescent="0.3">
      <c r="A139">
        <v>1</v>
      </c>
      <c r="B139">
        <v>1</v>
      </c>
      <c r="C139" t="s">
        <v>318</v>
      </c>
      <c r="D139" t="s">
        <v>15</v>
      </c>
      <c r="E139">
        <v>19</v>
      </c>
      <c r="F139">
        <v>0</v>
      </c>
      <c r="G139">
        <v>0</v>
      </c>
      <c r="H139">
        <v>112053</v>
      </c>
      <c r="I139">
        <v>30</v>
      </c>
      <c r="J139" t="s">
        <v>319</v>
      </c>
      <c r="K139" t="s">
        <v>17</v>
      </c>
      <c r="L139">
        <v>3</v>
      </c>
      <c r="N139" t="s">
        <v>320</v>
      </c>
    </row>
    <row r="140" spans="1:14" x14ac:dyDescent="0.3">
      <c r="A140">
        <v>1</v>
      </c>
      <c r="B140">
        <v>0</v>
      </c>
      <c r="C140" t="s">
        <v>321</v>
      </c>
      <c r="D140" t="s">
        <v>20</v>
      </c>
      <c r="E140">
        <v>38</v>
      </c>
      <c r="F140">
        <v>0</v>
      </c>
      <c r="G140">
        <v>1</v>
      </c>
      <c r="H140" t="s">
        <v>322</v>
      </c>
      <c r="I140">
        <v>153.46250000000001</v>
      </c>
      <c r="J140" t="s">
        <v>323</v>
      </c>
      <c r="K140" t="s">
        <v>17</v>
      </c>
      <c r="M140">
        <v>147</v>
      </c>
      <c r="N140" t="s">
        <v>271</v>
      </c>
    </row>
    <row r="141" spans="1:14" x14ac:dyDescent="0.3">
      <c r="A141">
        <v>1</v>
      </c>
      <c r="B141">
        <v>1</v>
      </c>
      <c r="C141" t="s">
        <v>324</v>
      </c>
      <c r="D141" t="s">
        <v>15</v>
      </c>
      <c r="E141">
        <v>58</v>
      </c>
      <c r="F141">
        <v>0</v>
      </c>
      <c r="G141">
        <v>1</v>
      </c>
      <c r="H141" t="s">
        <v>322</v>
      </c>
      <c r="I141">
        <v>153.46250000000001</v>
      </c>
      <c r="J141" t="s">
        <v>325</v>
      </c>
      <c r="K141" t="s">
        <v>17</v>
      </c>
      <c r="L141">
        <v>3</v>
      </c>
      <c r="N141" t="s">
        <v>320</v>
      </c>
    </row>
    <row r="142" spans="1:14" x14ac:dyDescent="0.3">
      <c r="A142">
        <v>1</v>
      </c>
      <c r="B142">
        <v>1</v>
      </c>
      <c r="C142" t="s">
        <v>326</v>
      </c>
      <c r="D142" t="s">
        <v>20</v>
      </c>
      <c r="E142">
        <v>23</v>
      </c>
      <c r="F142">
        <v>0</v>
      </c>
      <c r="G142">
        <v>1</v>
      </c>
      <c r="H142" t="s">
        <v>327</v>
      </c>
      <c r="I142">
        <v>63.3583</v>
      </c>
      <c r="J142" t="s">
        <v>328</v>
      </c>
      <c r="K142" t="s">
        <v>41</v>
      </c>
      <c r="L142">
        <v>7</v>
      </c>
      <c r="N142" t="s">
        <v>28</v>
      </c>
    </row>
    <row r="143" spans="1:14" x14ac:dyDescent="0.3">
      <c r="A143">
        <v>1</v>
      </c>
      <c r="B143">
        <v>1</v>
      </c>
      <c r="C143" t="s">
        <v>329</v>
      </c>
      <c r="D143" t="s">
        <v>15</v>
      </c>
      <c r="E143">
        <v>45</v>
      </c>
      <c r="F143">
        <v>0</v>
      </c>
      <c r="G143">
        <v>1</v>
      </c>
      <c r="H143" t="s">
        <v>327</v>
      </c>
      <c r="I143">
        <v>63.3583</v>
      </c>
      <c r="J143" t="s">
        <v>328</v>
      </c>
      <c r="K143" t="s">
        <v>41</v>
      </c>
      <c r="L143">
        <v>7</v>
      </c>
      <c r="N143" t="s">
        <v>28</v>
      </c>
    </row>
    <row r="144" spans="1:14" x14ac:dyDescent="0.3">
      <c r="A144">
        <v>1</v>
      </c>
      <c r="B144">
        <v>0</v>
      </c>
      <c r="C144" t="s">
        <v>330</v>
      </c>
      <c r="D144" t="s">
        <v>20</v>
      </c>
      <c r="E144">
        <v>46</v>
      </c>
      <c r="F144">
        <v>0</v>
      </c>
      <c r="G144">
        <v>0</v>
      </c>
      <c r="H144" t="s">
        <v>307</v>
      </c>
      <c r="I144">
        <v>79.2</v>
      </c>
      <c r="J144" t="s">
        <v>331</v>
      </c>
      <c r="K144" t="s">
        <v>41</v>
      </c>
      <c r="N144" t="s">
        <v>28</v>
      </c>
    </row>
    <row r="145" spans="1:14" x14ac:dyDescent="0.3">
      <c r="A145">
        <v>1</v>
      </c>
      <c r="B145">
        <v>1</v>
      </c>
      <c r="C145" t="s">
        <v>332</v>
      </c>
      <c r="D145" t="s">
        <v>20</v>
      </c>
      <c r="E145">
        <v>25</v>
      </c>
      <c r="F145">
        <v>1</v>
      </c>
      <c r="G145">
        <v>0</v>
      </c>
      <c r="H145">
        <v>11765</v>
      </c>
      <c r="I145">
        <v>55.441699999999997</v>
      </c>
      <c r="J145" t="s">
        <v>333</v>
      </c>
      <c r="K145" t="s">
        <v>41</v>
      </c>
      <c r="L145">
        <v>5</v>
      </c>
      <c r="N145" t="s">
        <v>266</v>
      </c>
    </row>
    <row r="146" spans="1:14" x14ac:dyDescent="0.3">
      <c r="A146">
        <v>1</v>
      </c>
      <c r="B146">
        <v>1</v>
      </c>
      <c r="C146" t="s">
        <v>334</v>
      </c>
      <c r="D146" t="s">
        <v>15</v>
      </c>
      <c r="E146">
        <v>25</v>
      </c>
      <c r="F146">
        <v>1</v>
      </c>
      <c r="G146">
        <v>0</v>
      </c>
      <c r="H146">
        <v>11765</v>
      </c>
      <c r="I146">
        <v>55.441699999999997</v>
      </c>
      <c r="J146" t="s">
        <v>333</v>
      </c>
      <c r="K146" t="s">
        <v>41</v>
      </c>
      <c r="L146">
        <v>5</v>
      </c>
      <c r="N146" t="s">
        <v>266</v>
      </c>
    </row>
    <row r="147" spans="1:14" x14ac:dyDescent="0.3">
      <c r="A147">
        <v>1</v>
      </c>
      <c r="B147">
        <v>1</v>
      </c>
      <c r="C147" t="s">
        <v>335</v>
      </c>
      <c r="D147" t="s">
        <v>20</v>
      </c>
      <c r="E147">
        <v>48</v>
      </c>
      <c r="F147">
        <v>1</v>
      </c>
      <c r="G147">
        <v>0</v>
      </c>
      <c r="H147" t="s">
        <v>336</v>
      </c>
      <c r="I147">
        <v>76.729200000000006</v>
      </c>
      <c r="J147" t="s">
        <v>337</v>
      </c>
      <c r="K147" t="s">
        <v>41</v>
      </c>
      <c r="L147">
        <v>3</v>
      </c>
      <c r="N147" t="s">
        <v>28</v>
      </c>
    </row>
    <row r="148" spans="1:14" x14ac:dyDescent="0.3">
      <c r="A148">
        <v>1</v>
      </c>
      <c r="B148">
        <v>1</v>
      </c>
      <c r="C148" t="s">
        <v>338</v>
      </c>
      <c r="D148" t="s">
        <v>15</v>
      </c>
      <c r="E148">
        <v>49</v>
      </c>
      <c r="F148">
        <v>1</v>
      </c>
      <c r="G148">
        <v>0</v>
      </c>
      <c r="H148" t="s">
        <v>336</v>
      </c>
      <c r="I148">
        <v>76.729200000000006</v>
      </c>
      <c r="J148" t="s">
        <v>337</v>
      </c>
      <c r="K148" t="s">
        <v>41</v>
      </c>
      <c r="L148">
        <v>3</v>
      </c>
      <c r="N148" t="s">
        <v>28</v>
      </c>
    </row>
    <row r="149" spans="1:14" x14ac:dyDescent="0.3">
      <c r="A149">
        <v>1</v>
      </c>
      <c r="B149">
        <v>0</v>
      </c>
      <c r="C149" t="s">
        <v>339</v>
      </c>
      <c r="D149" t="s">
        <v>20</v>
      </c>
      <c r="F149">
        <v>0</v>
      </c>
      <c r="G149">
        <v>0</v>
      </c>
      <c r="H149">
        <v>113796</v>
      </c>
      <c r="I149">
        <v>42.4</v>
      </c>
      <c r="K149" t="s">
        <v>17</v>
      </c>
    </row>
    <row r="150" spans="1:14" x14ac:dyDescent="0.3">
      <c r="A150">
        <v>1</v>
      </c>
      <c r="B150">
        <v>0</v>
      </c>
      <c r="C150" t="s">
        <v>340</v>
      </c>
      <c r="D150" t="s">
        <v>20</v>
      </c>
      <c r="E150">
        <v>45</v>
      </c>
      <c r="F150">
        <v>1</v>
      </c>
      <c r="G150">
        <v>0</v>
      </c>
      <c r="H150">
        <v>36973</v>
      </c>
      <c r="I150">
        <v>83.474999999999994</v>
      </c>
      <c r="J150" t="s">
        <v>341</v>
      </c>
      <c r="K150" t="s">
        <v>17</v>
      </c>
      <c r="N150" t="s">
        <v>28</v>
      </c>
    </row>
    <row r="151" spans="1:14" x14ac:dyDescent="0.3">
      <c r="A151">
        <v>1</v>
      </c>
      <c r="B151">
        <v>1</v>
      </c>
      <c r="C151" t="s">
        <v>342</v>
      </c>
      <c r="D151" t="s">
        <v>15</v>
      </c>
      <c r="E151">
        <v>35</v>
      </c>
      <c r="F151">
        <v>1</v>
      </c>
      <c r="G151">
        <v>0</v>
      </c>
      <c r="H151">
        <v>36973</v>
      </c>
      <c r="I151">
        <v>83.474999999999994</v>
      </c>
      <c r="J151" t="s">
        <v>341</v>
      </c>
      <c r="K151" t="s">
        <v>17</v>
      </c>
      <c r="L151" t="s">
        <v>37</v>
      </c>
      <c r="N151" t="s">
        <v>28</v>
      </c>
    </row>
    <row r="152" spans="1:14" x14ac:dyDescent="0.3">
      <c r="A152">
        <v>1</v>
      </c>
      <c r="B152">
        <v>0</v>
      </c>
      <c r="C152" t="s">
        <v>343</v>
      </c>
      <c r="D152" t="s">
        <v>20</v>
      </c>
      <c r="E152">
        <v>40</v>
      </c>
      <c r="F152">
        <v>0</v>
      </c>
      <c r="G152">
        <v>0</v>
      </c>
      <c r="H152">
        <v>112059</v>
      </c>
      <c r="I152">
        <v>0</v>
      </c>
      <c r="J152" t="s">
        <v>344</v>
      </c>
      <c r="K152" t="s">
        <v>17</v>
      </c>
      <c r="M152">
        <v>110</v>
      </c>
    </row>
    <row r="153" spans="1:14" x14ac:dyDescent="0.3">
      <c r="A153">
        <v>1</v>
      </c>
      <c r="B153">
        <v>1</v>
      </c>
      <c r="C153" t="s">
        <v>345</v>
      </c>
      <c r="D153" t="s">
        <v>20</v>
      </c>
      <c r="E153">
        <v>27</v>
      </c>
      <c r="F153">
        <v>0</v>
      </c>
      <c r="G153">
        <v>0</v>
      </c>
      <c r="H153" t="s">
        <v>336</v>
      </c>
      <c r="I153">
        <v>76.729200000000006</v>
      </c>
      <c r="J153" t="s">
        <v>346</v>
      </c>
      <c r="K153" t="s">
        <v>41</v>
      </c>
      <c r="L153">
        <v>3</v>
      </c>
    </row>
    <row r="154" spans="1:14" x14ac:dyDescent="0.3">
      <c r="A154">
        <v>1</v>
      </c>
      <c r="B154">
        <v>1</v>
      </c>
      <c r="C154" t="s">
        <v>347</v>
      </c>
      <c r="D154" t="s">
        <v>20</v>
      </c>
      <c r="F154">
        <v>0</v>
      </c>
      <c r="G154">
        <v>0</v>
      </c>
      <c r="H154">
        <v>16988</v>
      </c>
      <c r="I154">
        <v>30</v>
      </c>
      <c r="J154" t="s">
        <v>348</v>
      </c>
      <c r="K154" t="s">
        <v>17</v>
      </c>
      <c r="L154">
        <v>3</v>
      </c>
      <c r="N154" t="s">
        <v>349</v>
      </c>
    </row>
    <row r="155" spans="1:14" x14ac:dyDescent="0.3">
      <c r="A155">
        <v>1</v>
      </c>
      <c r="B155">
        <v>1</v>
      </c>
      <c r="C155" t="s">
        <v>350</v>
      </c>
      <c r="D155" t="s">
        <v>15</v>
      </c>
      <c r="E155">
        <v>24</v>
      </c>
      <c r="F155">
        <v>0</v>
      </c>
      <c r="G155">
        <v>0</v>
      </c>
      <c r="H155">
        <v>11767</v>
      </c>
      <c r="I155">
        <v>83.158299999999997</v>
      </c>
      <c r="J155" t="s">
        <v>248</v>
      </c>
      <c r="K155" t="s">
        <v>41</v>
      </c>
      <c r="L155">
        <v>7</v>
      </c>
      <c r="N155" t="s">
        <v>28</v>
      </c>
    </row>
    <row r="156" spans="1:14" x14ac:dyDescent="0.3">
      <c r="A156">
        <v>1</v>
      </c>
      <c r="B156">
        <v>0</v>
      </c>
      <c r="C156" t="s">
        <v>351</v>
      </c>
      <c r="D156" t="s">
        <v>20</v>
      </c>
      <c r="E156">
        <v>55</v>
      </c>
      <c r="F156">
        <v>1</v>
      </c>
      <c r="G156">
        <v>1</v>
      </c>
      <c r="H156">
        <v>12749</v>
      </c>
      <c r="I156">
        <v>93.5</v>
      </c>
      <c r="J156" t="s">
        <v>352</v>
      </c>
      <c r="K156" t="s">
        <v>17</v>
      </c>
      <c r="M156">
        <v>307</v>
      </c>
      <c r="N156" t="s">
        <v>61</v>
      </c>
    </row>
    <row r="157" spans="1:14" x14ac:dyDescent="0.3">
      <c r="A157">
        <v>1</v>
      </c>
      <c r="B157">
        <v>1</v>
      </c>
      <c r="C157" t="s">
        <v>353</v>
      </c>
      <c r="D157" t="s">
        <v>15</v>
      </c>
      <c r="E157">
        <v>52</v>
      </c>
      <c r="F157">
        <v>1</v>
      </c>
      <c r="G157">
        <v>1</v>
      </c>
      <c r="H157">
        <v>12749</v>
      </c>
      <c r="I157">
        <v>93.5</v>
      </c>
      <c r="J157" t="s">
        <v>352</v>
      </c>
      <c r="K157" t="s">
        <v>17</v>
      </c>
      <c r="L157">
        <v>3</v>
      </c>
      <c r="N157" t="s">
        <v>61</v>
      </c>
    </row>
    <row r="158" spans="1:14" x14ac:dyDescent="0.3">
      <c r="A158">
        <v>1</v>
      </c>
      <c r="B158">
        <v>0</v>
      </c>
      <c r="C158" t="s">
        <v>354</v>
      </c>
      <c r="D158" t="s">
        <v>20</v>
      </c>
      <c r="E158">
        <v>42</v>
      </c>
      <c r="F158">
        <v>0</v>
      </c>
      <c r="G158">
        <v>0</v>
      </c>
      <c r="H158">
        <v>113038</v>
      </c>
      <c r="I158">
        <v>42.5</v>
      </c>
      <c r="J158" t="s">
        <v>355</v>
      </c>
      <c r="K158" t="s">
        <v>17</v>
      </c>
      <c r="N158" t="s">
        <v>356</v>
      </c>
    </row>
    <row r="159" spans="1:14" x14ac:dyDescent="0.3">
      <c r="A159">
        <v>1</v>
      </c>
      <c r="B159">
        <v>0</v>
      </c>
      <c r="C159" t="s">
        <v>357</v>
      </c>
      <c r="D159" t="s">
        <v>20</v>
      </c>
      <c r="F159">
        <v>0</v>
      </c>
      <c r="G159">
        <v>0</v>
      </c>
      <c r="H159">
        <v>17463</v>
      </c>
      <c r="I159">
        <v>51.862499999999997</v>
      </c>
      <c r="J159" t="s">
        <v>358</v>
      </c>
      <c r="K159" t="s">
        <v>17</v>
      </c>
      <c r="N159" t="s">
        <v>359</v>
      </c>
    </row>
    <row r="160" spans="1:14" x14ac:dyDescent="0.3">
      <c r="A160">
        <v>1</v>
      </c>
      <c r="B160">
        <v>0</v>
      </c>
      <c r="C160" t="s">
        <v>360</v>
      </c>
      <c r="D160" t="s">
        <v>20</v>
      </c>
      <c r="E160">
        <v>55</v>
      </c>
      <c r="F160">
        <v>0</v>
      </c>
      <c r="G160">
        <v>0</v>
      </c>
      <c r="H160">
        <v>680</v>
      </c>
      <c r="I160">
        <v>50</v>
      </c>
      <c r="J160" t="s">
        <v>361</v>
      </c>
      <c r="K160" t="s">
        <v>17</v>
      </c>
      <c r="N160" t="s">
        <v>362</v>
      </c>
    </row>
    <row r="161" spans="1:14" x14ac:dyDescent="0.3">
      <c r="A161">
        <v>1</v>
      </c>
      <c r="B161">
        <v>1</v>
      </c>
      <c r="C161" t="s">
        <v>363</v>
      </c>
      <c r="D161" t="s">
        <v>15</v>
      </c>
      <c r="E161">
        <v>16</v>
      </c>
      <c r="F161">
        <v>0</v>
      </c>
      <c r="G161">
        <v>1</v>
      </c>
      <c r="H161">
        <v>111361</v>
      </c>
      <c r="I161">
        <v>57.979199999999999</v>
      </c>
      <c r="J161" t="s">
        <v>364</v>
      </c>
      <c r="K161" t="s">
        <v>41</v>
      </c>
      <c r="L161">
        <v>4</v>
      </c>
      <c r="N161" t="s">
        <v>365</v>
      </c>
    </row>
    <row r="162" spans="1:14" x14ac:dyDescent="0.3">
      <c r="A162">
        <v>1</v>
      </c>
      <c r="B162">
        <v>1</v>
      </c>
      <c r="C162" t="s">
        <v>366</v>
      </c>
      <c r="D162" t="s">
        <v>15</v>
      </c>
      <c r="E162">
        <v>44</v>
      </c>
      <c r="F162">
        <v>0</v>
      </c>
      <c r="G162">
        <v>1</v>
      </c>
      <c r="H162">
        <v>111361</v>
      </c>
      <c r="I162">
        <v>57.979199999999999</v>
      </c>
      <c r="J162" t="s">
        <v>364</v>
      </c>
      <c r="K162" t="s">
        <v>41</v>
      </c>
      <c r="L162">
        <v>4</v>
      </c>
      <c r="N162" t="s">
        <v>365</v>
      </c>
    </row>
    <row r="163" spans="1:14" x14ac:dyDescent="0.3">
      <c r="A163">
        <v>1</v>
      </c>
      <c r="B163">
        <v>1</v>
      </c>
      <c r="C163" t="s">
        <v>367</v>
      </c>
      <c r="D163" t="s">
        <v>15</v>
      </c>
      <c r="E163">
        <v>51</v>
      </c>
      <c r="F163">
        <v>1</v>
      </c>
      <c r="G163">
        <v>0</v>
      </c>
      <c r="H163">
        <v>13502</v>
      </c>
      <c r="I163">
        <v>77.958299999999994</v>
      </c>
      <c r="J163" t="s">
        <v>368</v>
      </c>
      <c r="K163" t="s">
        <v>17</v>
      </c>
      <c r="L163">
        <v>10</v>
      </c>
      <c r="N163" t="s">
        <v>31</v>
      </c>
    </row>
    <row r="164" spans="1:14" x14ac:dyDescent="0.3">
      <c r="A164">
        <v>1</v>
      </c>
      <c r="B164">
        <v>0</v>
      </c>
      <c r="C164" t="s">
        <v>369</v>
      </c>
      <c r="D164" t="s">
        <v>20</v>
      </c>
      <c r="E164">
        <v>42</v>
      </c>
      <c r="F164">
        <v>1</v>
      </c>
      <c r="G164">
        <v>0</v>
      </c>
      <c r="H164">
        <v>113789</v>
      </c>
      <c r="I164">
        <v>52</v>
      </c>
      <c r="K164" t="s">
        <v>17</v>
      </c>
      <c r="M164">
        <v>38</v>
      </c>
      <c r="N164" t="s">
        <v>28</v>
      </c>
    </row>
    <row r="165" spans="1:14" x14ac:dyDescent="0.3">
      <c r="A165">
        <v>1</v>
      </c>
      <c r="B165">
        <v>1</v>
      </c>
      <c r="C165" t="s">
        <v>370</v>
      </c>
      <c r="D165" t="s">
        <v>15</v>
      </c>
      <c r="E165">
        <v>35</v>
      </c>
      <c r="F165">
        <v>1</v>
      </c>
      <c r="G165">
        <v>0</v>
      </c>
      <c r="H165">
        <v>113789</v>
      </c>
      <c r="I165">
        <v>52</v>
      </c>
      <c r="K165" t="s">
        <v>17</v>
      </c>
      <c r="L165">
        <v>8</v>
      </c>
      <c r="N165" t="s">
        <v>28</v>
      </c>
    </row>
    <row r="166" spans="1:14" x14ac:dyDescent="0.3">
      <c r="A166">
        <v>1</v>
      </c>
      <c r="B166">
        <v>1</v>
      </c>
      <c r="C166" t="s">
        <v>371</v>
      </c>
      <c r="D166" t="s">
        <v>20</v>
      </c>
      <c r="E166">
        <v>35</v>
      </c>
      <c r="F166">
        <v>0</v>
      </c>
      <c r="G166">
        <v>0</v>
      </c>
      <c r="H166">
        <v>111426</v>
      </c>
      <c r="I166">
        <v>26.55</v>
      </c>
      <c r="K166" t="s">
        <v>41</v>
      </c>
      <c r="L166">
        <v>15</v>
      </c>
      <c r="N166" t="s">
        <v>372</v>
      </c>
    </row>
    <row r="167" spans="1:14" x14ac:dyDescent="0.3">
      <c r="A167">
        <v>1</v>
      </c>
      <c r="B167">
        <v>1</v>
      </c>
      <c r="C167" t="s">
        <v>373</v>
      </c>
      <c r="D167" t="s">
        <v>20</v>
      </c>
      <c r="E167">
        <v>38</v>
      </c>
      <c r="F167">
        <v>1</v>
      </c>
      <c r="G167">
        <v>0</v>
      </c>
      <c r="H167">
        <v>19943</v>
      </c>
      <c r="I167">
        <v>90</v>
      </c>
      <c r="J167" t="s">
        <v>374</v>
      </c>
      <c r="K167" t="s">
        <v>17</v>
      </c>
      <c r="L167" t="s">
        <v>37</v>
      </c>
      <c r="N167" t="s">
        <v>375</v>
      </c>
    </row>
    <row r="168" spans="1:14" x14ac:dyDescent="0.3">
      <c r="A168">
        <v>1</v>
      </c>
      <c r="B168">
        <v>0</v>
      </c>
      <c r="C168" t="s">
        <v>376</v>
      </c>
      <c r="D168" t="s">
        <v>20</v>
      </c>
      <c r="F168">
        <v>0</v>
      </c>
      <c r="G168">
        <v>0</v>
      </c>
      <c r="H168" t="s">
        <v>377</v>
      </c>
      <c r="I168">
        <v>30.695799999999998</v>
      </c>
      <c r="K168" t="s">
        <v>41</v>
      </c>
      <c r="L168">
        <v>14</v>
      </c>
      <c r="N168" t="s">
        <v>28</v>
      </c>
    </row>
    <row r="169" spans="1:14" x14ac:dyDescent="0.3">
      <c r="A169">
        <v>1</v>
      </c>
      <c r="B169">
        <v>1</v>
      </c>
      <c r="C169" t="s">
        <v>378</v>
      </c>
      <c r="D169" t="s">
        <v>15</v>
      </c>
      <c r="E169">
        <v>35</v>
      </c>
      <c r="F169">
        <v>1</v>
      </c>
      <c r="G169">
        <v>0</v>
      </c>
      <c r="H169">
        <v>19943</v>
      </c>
      <c r="I169">
        <v>90</v>
      </c>
      <c r="J169" t="s">
        <v>374</v>
      </c>
      <c r="K169" t="s">
        <v>17</v>
      </c>
      <c r="L169" t="s">
        <v>37</v>
      </c>
      <c r="N169" t="s">
        <v>375</v>
      </c>
    </row>
    <row r="170" spans="1:14" x14ac:dyDescent="0.3">
      <c r="A170">
        <v>1</v>
      </c>
      <c r="B170">
        <v>1</v>
      </c>
      <c r="C170" t="s">
        <v>379</v>
      </c>
      <c r="D170" t="s">
        <v>15</v>
      </c>
      <c r="E170">
        <v>38</v>
      </c>
      <c r="F170">
        <v>0</v>
      </c>
      <c r="G170">
        <v>0</v>
      </c>
      <c r="H170">
        <v>113572</v>
      </c>
      <c r="I170">
        <v>80</v>
      </c>
      <c r="J170" t="s">
        <v>380</v>
      </c>
      <c r="L170">
        <v>6</v>
      </c>
    </row>
    <row r="171" spans="1:14" x14ac:dyDescent="0.3">
      <c r="A171">
        <v>1</v>
      </c>
      <c r="B171">
        <v>0</v>
      </c>
      <c r="C171" t="s">
        <v>381</v>
      </c>
      <c r="D171" t="s">
        <v>15</v>
      </c>
      <c r="E171">
        <v>50</v>
      </c>
      <c r="F171">
        <v>0</v>
      </c>
      <c r="G171">
        <v>0</v>
      </c>
      <c r="H171" t="s">
        <v>382</v>
      </c>
      <c r="I171">
        <v>28.712499999999999</v>
      </c>
      <c r="J171" t="s">
        <v>383</v>
      </c>
      <c r="K171" t="s">
        <v>41</v>
      </c>
      <c r="N171" t="s">
        <v>384</v>
      </c>
    </row>
    <row r="172" spans="1:14" x14ac:dyDescent="0.3">
      <c r="A172">
        <v>1</v>
      </c>
      <c r="B172">
        <v>1</v>
      </c>
      <c r="C172" t="s">
        <v>385</v>
      </c>
      <c r="D172" t="s">
        <v>20</v>
      </c>
      <c r="E172">
        <v>49</v>
      </c>
      <c r="F172">
        <v>0</v>
      </c>
      <c r="G172">
        <v>0</v>
      </c>
      <c r="H172">
        <v>112058</v>
      </c>
      <c r="I172">
        <v>0</v>
      </c>
      <c r="J172" t="s">
        <v>386</v>
      </c>
      <c r="K172" t="s">
        <v>17</v>
      </c>
      <c r="L172" t="s">
        <v>41</v>
      </c>
      <c r="N172" t="s">
        <v>387</v>
      </c>
    </row>
    <row r="173" spans="1:14" x14ac:dyDescent="0.3">
      <c r="A173">
        <v>1</v>
      </c>
      <c r="B173">
        <v>0</v>
      </c>
      <c r="C173" t="s">
        <v>388</v>
      </c>
      <c r="D173" t="s">
        <v>20</v>
      </c>
      <c r="E173">
        <v>46</v>
      </c>
      <c r="F173">
        <v>0</v>
      </c>
      <c r="G173">
        <v>0</v>
      </c>
      <c r="H173">
        <v>694</v>
      </c>
      <c r="I173">
        <v>26</v>
      </c>
      <c r="K173" t="s">
        <v>17</v>
      </c>
      <c r="M173">
        <v>80</v>
      </c>
      <c r="N173" t="s">
        <v>389</v>
      </c>
    </row>
    <row r="174" spans="1:14" x14ac:dyDescent="0.3">
      <c r="A174">
        <v>1</v>
      </c>
      <c r="B174">
        <v>0</v>
      </c>
      <c r="C174" t="s">
        <v>390</v>
      </c>
      <c r="D174" t="s">
        <v>20</v>
      </c>
      <c r="E174">
        <v>50</v>
      </c>
      <c r="F174">
        <v>0</v>
      </c>
      <c r="G174">
        <v>0</v>
      </c>
      <c r="H174">
        <v>113044</v>
      </c>
      <c r="I174">
        <v>26</v>
      </c>
      <c r="J174" t="s">
        <v>391</v>
      </c>
      <c r="K174" t="s">
        <v>17</v>
      </c>
      <c r="N174" t="s">
        <v>392</v>
      </c>
    </row>
    <row r="175" spans="1:14" x14ac:dyDescent="0.3">
      <c r="A175">
        <v>1</v>
      </c>
      <c r="B175">
        <v>0</v>
      </c>
      <c r="C175" t="s">
        <v>393</v>
      </c>
      <c r="D175" t="s">
        <v>20</v>
      </c>
      <c r="E175">
        <v>32.5</v>
      </c>
      <c r="F175">
        <v>0</v>
      </c>
      <c r="G175">
        <v>0</v>
      </c>
      <c r="H175">
        <v>113503</v>
      </c>
      <c r="I175">
        <v>211.5</v>
      </c>
      <c r="J175" t="s">
        <v>394</v>
      </c>
      <c r="K175" t="s">
        <v>41</v>
      </c>
      <c r="M175">
        <v>45</v>
      </c>
    </row>
    <row r="176" spans="1:14" x14ac:dyDescent="0.3">
      <c r="A176">
        <v>1</v>
      </c>
      <c r="B176">
        <v>0</v>
      </c>
      <c r="C176" t="s">
        <v>395</v>
      </c>
      <c r="D176" t="s">
        <v>20</v>
      </c>
      <c r="E176">
        <v>58</v>
      </c>
      <c r="F176">
        <v>0</v>
      </c>
      <c r="G176">
        <v>0</v>
      </c>
      <c r="H176">
        <v>11771</v>
      </c>
      <c r="I176">
        <v>29.7</v>
      </c>
      <c r="J176" t="s">
        <v>396</v>
      </c>
      <c r="K176" t="s">
        <v>41</v>
      </c>
      <c r="M176">
        <v>258</v>
      </c>
      <c r="N176" t="s">
        <v>397</v>
      </c>
    </row>
    <row r="177" spans="1:14" x14ac:dyDescent="0.3">
      <c r="A177">
        <v>1</v>
      </c>
      <c r="B177">
        <v>0</v>
      </c>
      <c r="C177" t="s">
        <v>398</v>
      </c>
      <c r="D177" t="s">
        <v>20</v>
      </c>
      <c r="E177">
        <v>41</v>
      </c>
      <c r="F177">
        <v>1</v>
      </c>
      <c r="G177">
        <v>0</v>
      </c>
      <c r="H177">
        <v>17464</v>
      </c>
      <c r="I177">
        <v>51.862499999999997</v>
      </c>
      <c r="J177" t="s">
        <v>399</v>
      </c>
      <c r="K177" t="s">
        <v>17</v>
      </c>
      <c r="N177" t="s">
        <v>400</v>
      </c>
    </row>
    <row r="178" spans="1:14" x14ac:dyDescent="0.3">
      <c r="A178">
        <v>1</v>
      </c>
      <c r="B178">
        <v>1</v>
      </c>
      <c r="C178" t="s">
        <v>401</v>
      </c>
      <c r="D178" t="s">
        <v>15</v>
      </c>
      <c r="F178">
        <v>1</v>
      </c>
      <c r="G178">
        <v>0</v>
      </c>
      <c r="H178">
        <v>17464</v>
      </c>
      <c r="I178">
        <v>51.862499999999997</v>
      </c>
      <c r="J178" t="s">
        <v>399</v>
      </c>
      <c r="K178" t="s">
        <v>17</v>
      </c>
      <c r="L178">
        <v>8</v>
      </c>
      <c r="N178" t="s">
        <v>400</v>
      </c>
    </row>
    <row r="179" spans="1:14" x14ac:dyDescent="0.3">
      <c r="A179">
        <v>1</v>
      </c>
      <c r="B179">
        <v>1</v>
      </c>
      <c r="C179" t="s">
        <v>402</v>
      </c>
      <c r="D179" t="s">
        <v>20</v>
      </c>
      <c r="E179">
        <v>42</v>
      </c>
      <c r="F179">
        <v>1</v>
      </c>
      <c r="G179">
        <v>0</v>
      </c>
      <c r="H179">
        <v>11753</v>
      </c>
      <c r="I179">
        <v>52.554200000000002</v>
      </c>
      <c r="J179" t="s">
        <v>403</v>
      </c>
      <c r="K179" t="s">
        <v>17</v>
      </c>
      <c r="L179">
        <v>5</v>
      </c>
      <c r="N179" t="s">
        <v>404</v>
      </c>
    </row>
    <row r="180" spans="1:14" x14ac:dyDescent="0.3">
      <c r="A180">
        <v>1</v>
      </c>
      <c r="B180">
        <v>1</v>
      </c>
      <c r="C180" t="s">
        <v>405</v>
      </c>
      <c r="D180" t="s">
        <v>15</v>
      </c>
      <c r="E180">
        <v>45</v>
      </c>
      <c r="F180">
        <v>1</v>
      </c>
      <c r="G180">
        <v>0</v>
      </c>
      <c r="H180">
        <v>11753</v>
      </c>
      <c r="I180">
        <v>52.554200000000002</v>
      </c>
      <c r="J180" t="s">
        <v>403</v>
      </c>
      <c r="K180" t="s">
        <v>17</v>
      </c>
      <c r="L180">
        <v>5</v>
      </c>
      <c r="N180" t="s">
        <v>404</v>
      </c>
    </row>
    <row r="181" spans="1:14" x14ac:dyDescent="0.3">
      <c r="A181">
        <v>1</v>
      </c>
      <c r="B181">
        <v>0</v>
      </c>
      <c r="C181" t="s">
        <v>406</v>
      </c>
      <c r="D181" t="s">
        <v>20</v>
      </c>
      <c r="F181">
        <v>0</v>
      </c>
      <c r="G181">
        <v>0</v>
      </c>
      <c r="H181">
        <v>113028</v>
      </c>
      <c r="I181">
        <v>26.55</v>
      </c>
      <c r="J181" t="s">
        <v>407</v>
      </c>
      <c r="K181" t="s">
        <v>17</v>
      </c>
      <c r="N181" t="s">
        <v>408</v>
      </c>
    </row>
    <row r="182" spans="1:14" x14ac:dyDescent="0.3">
      <c r="A182">
        <v>1</v>
      </c>
      <c r="B182">
        <v>1</v>
      </c>
      <c r="C182" t="s">
        <v>409</v>
      </c>
      <c r="D182" t="s">
        <v>15</v>
      </c>
      <c r="E182">
        <v>39</v>
      </c>
      <c r="F182">
        <v>0</v>
      </c>
      <c r="G182">
        <v>0</v>
      </c>
      <c r="H182">
        <v>24160</v>
      </c>
      <c r="I182">
        <v>211.33750000000001</v>
      </c>
      <c r="K182" t="s">
        <v>17</v>
      </c>
      <c r="L182">
        <v>2</v>
      </c>
    </row>
    <row r="183" spans="1:14" x14ac:dyDescent="0.3">
      <c r="A183">
        <v>1</v>
      </c>
      <c r="B183">
        <v>1</v>
      </c>
      <c r="C183" t="s">
        <v>410</v>
      </c>
      <c r="D183" t="s">
        <v>15</v>
      </c>
      <c r="E183">
        <v>49</v>
      </c>
      <c r="F183">
        <v>0</v>
      </c>
      <c r="G183">
        <v>0</v>
      </c>
      <c r="H183">
        <v>17465</v>
      </c>
      <c r="I183">
        <v>25.929200000000002</v>
      </c>
      <c r="J183" t="s">
        <v>411</v>
      </c>
      <c r="K183" t="s">
        <v>17</v>
      </c>
      <c r="L183">
        <v>8</v>
      </c>
      <c r="N183" t="s">
        <v>28</v>
      </c>
    </row>
    <row r="184" spans="1:14" x14ac:dyDescent="0.3">
      <c r="A184">
        <v>1</v>
      </c>
      <c r="B184">
        <v>1</v>
      </c>
      <c r="C184" t="s">
        <v>412</v>
      </c>
      <c r="D184" t="s">
        <v>15</v>
      </c>
      <c r="E184">
        <v>30</v>
      </c>
      <c r="F184">
        <v>0</v>
      </c>
      <c r="G184">
        <v>0</v>
      </c>
      <c r="H184" t="s">
        <v>233</v>
      </c>
      <c r="I184">
        <v>106.425</v>
      </c>
      <c r="K184" t="s">
        <v>41</v>
      </c>
      <c r="L184">
        <v>2</v>
      </c>
    </row>
    <row r="185" spans="1:14" x14ac:dyDescent="0.3">
      <c r="A185">
        <v>1</v>
      </c>
      <c r="B185">
        <v>1</v>
      </c>
      <c r="C185" t="s">
        <v>413</v>
      </c>
      <c r="D185" t="s">
        <v>20</v>
      </c>
      <c r="E185">
        <v>35</v>
      </c>
      <c r="F185">
        <v>0</v>
      </c>
      <c r="G185">
        <v>0</v>
      </c>
      <c r="H185" t="s">
        <v>141</v>
      </c>
      <c r="I185">
        <v>512.32920000000001</v>
      </c>
      <c r="J185" t="s">
        <v>414</v>
      </c>
      <c r="K185" t="s">
        <v>41</v>
      </c>
      <c r="L185">
        <v>3</v>
      </c>
    </row>
    <row r="186" spans="1:14" x14ac:dyDescent="0.3">
      <c r="A186">
        <v>1</v>
      </c>
      <c r="B186">
        <v>0</v>
      </c>
      <c r="C186" t="s">
        <v>415</v>
      </c>
      <c r="D186" t="s">
        <v>20</v>
      </c>
      <c r="F186">
        <v>0</v>
      </c>
      <c r="G186">
        <v>0</v>
      </c>
      <c r="H186" t="s">
        <v>416</v>
      </c>
      <c r="I186">
        <v>27.720800000000001</v>
      </c>
      <c r="K186" t="s">
        <v>41</v>
      </c>
      <c r="N186" t="s">
        <v>365</v>
      </c>
    </row>
    <row r="187" spans="1:14" x14ac:dyDescent="0.3">
      <c r="A187">
        <v>1</v>
      </c>
      <c r="B187">
        <v>0</v>
      </c>
      <c r="C187" t="s">
        <v>417</v>
      </c>
      <c r="D187" t="s">
        <v>20</v>
      </c>
      <c r="E187">
        <v>42</v>
      </c>
      <c r="F187">
        <v>0</v>
      </c>
      <c r="G187">
        <v>0</v>
      </c>
      <c r="H187">
        <v>17475</v>
      </c>
      <c r="I187">
        <v>26.55</v>
      </c>
      <c r="K187" t="s">
        <v>17</v>
      </c>
      <c r="N187" t="s">
        <v>418</v>
      </c>
    </row>
    <row r="188" spans="1:14" x14ac:dyDescent="0.3">
      <c r="A188">
        <v>1</v>
      </c>
      <c r="B188">
        <v>1</v>
      </c>
      <c r="C188" t="s">
        <v>419</v>
      </c>
      <c r="D188" t="s">
        <v>15</v>
      </c>
      <c r="E188">
        <v>55</v>
      </c>
      <c r="F188">
        <v>0</v>
      </c>
      <c r="G188">
        <v>0</v>
      </c>
      <c r="H188">
        <v>112377</v>
      </c>
      <c r="I188">
        <v>27.720800000000001</v>
      </c>
      <c r="K188" t="s">
        <v>41</v>
      </c>
      <c r="L188">
        <v>6</v>
      </c>
      <c r="N188" t="s">
        <v>418</v>
      </c>
    </row>
    <row r="189" spans="1:14" x14ac:dyDescent="0.3">
      <c r="A189">
        <v>1</v>
      </c>
      <c r="B189">
        <v>1</v>
      </c>
      <c r="C189" t="s">
        <v>420</v>
      </c>
      <c r="D189" t="s">
        <v>15</v>
      </c>
      <c r="E189">
        <v>16</v>
      </c>
      <c r="F189">
        <v>0</v>
      </c>
      <c r="G189">
        <v>1</v>
      </c>
      <c r="H189" t="s">
        <v>421</v>
      </c>
      <c r="I189">
        <v>39.4</v>
      </c>
      <c r="J189" t="s">
        <v>422</v>
      </c>
      <c r="K189" t="s">
        <v>17</v>
      </c>
      <c r="L189">
        <v>9</v>
      </c>
      <c r="N189" t="s">
        <v>50</v>
      </c>
    </row>
    <row r="190" spans="1:14" x14ac:dyDescent="0.3">
      <c r="A190">
        <v>1</v>
      </c>
      <c r="B190">
        <v>1</v>
      </c>
      <c r="C190" t="s">
        <v>423</v>
      </c>
      <c r="D190" t="s">
        <v>15</v>
      </c>
      <c r="E190">
        <v>51</v>
      </c>
      <c r="F190">
        <v>0</v>
      </c>
      <c r="G190">
        <v>1</v>
      </c>
      <c r="H190" t="s">
        <v>421</v>
      </c>
      <c r="I190">
        <v>39.4</v>
      </c>
      <c r="J190" t="s">
        <v>422</v>
      </c>
      <c r="K190" t="s">
        <v>17</v>
      </c>
      <c r="L190">
        <v>9</v>
      </c>
      <c r="N190" t="s">
        <v>50</v>
      </c>
    </row>
    <row r="191" spans="1:14" x14ac:dyDescent="0.3">
      <c r="A191">
        <v>1</v>
      </c>
      <c r="B191">
        <v>0</v>
      </c>
      <c r="C191" t="s">
        <v>424</v>
      </c>
      <c r="D191" t="s">
        <v>20</v>
      </c>
      <c r="E191">
        <v>29</v>
      </c>
      <c r="F191">
        <v>0</v>
      </c>
      <c r="G191">
        <v>0</v>
      </c>
      <c r="H191">
        <v>113501</v>
      </c>
      <c r="I191">
        <v>30</v>
      </c>
      <c r="J191" t="s">
        <v>425</v>
      </c>
      <c r="K191" t="s">
        <v>17</v>
      </c>
      <c r="M191">
        <v>126</v>
      </c>
      <c r="N191" t="s">
        <v>426</v>
      </c>
    </row>
    <row r="192" spans="1:14" x14ac:dyDescent="0.3">
      <c r="A192">
        <v>1</v>
      </c>
      <c r="B192">
        <v>1</v>
      </c>
      <c r="C192" t="s">
        <v>427</v>
      </c>
      <c r="D192" t="s">
        <v>15</v>
      </c>
      <c r="E192">
        <v>21</v>
      </c>
      <c r="F192">
        <v>0</v>
      </c>
      <c r="G192">
        <v>0</v>
      </c>
      <c r="H192">
        <v>13502</v>
      </c>
      <c r="I192">
        <v>77.958299999999994</v>
      </c>
      <c r="J192" t="s">
        <v>428</v>
      </c>
      <c r="K192" t="s">
        <v>17</v>
      </c>
      <c r="L192">
        <v>10</v>
      </c>
      <c r="N192" t="s">
        <v>31</v>
      </c>
    </row>
    <row r="193" spans="1:14" x14ac:dyDescent="0.3">
      <c r="A193">
        <v>1</v>
      </c>
      <c r="B193">
        <v>0</v>
      </c>
      <c r="C193" t="s">
        <v>429</v>
      </c>
      <c r="D193" t="s">
        <v>20</v>
      </c>
      <c r="E193">
        <v>30</v>
      </c>
      <c r="F193">
        <v>0</v>
      </c>
      <c r="G193">
        <v>0</v>
      </c>
      <c r="H193">
        <v>113801</v>
      </c>
      <c r="I193">
        <v>45.5</v>
      </c>
      <c r="K193" t="s">
        <v>17</v>
      </c>
      <c r="N193" t="s">
        <v>430</v>
      </c>
    </row>
    <row r="194" spans="1:14" x14ac:dyDescent="0.3">
      <c r="A194">
        <v>1</v>
      </c>
      <c r="B194">
        <v>1</v>
      </c>
      <c r="C194" t="s">
        <v>431</v>
      </c>
      <c r="D194" t="s">
        <v>15</v>
      </c>
      <c r="E194">
        <v>58</v>
      </c>
      <c r="F194">
        <v>0</v>
      </c>
      <c r="G194">
        <v>0</v>
      </c>
      <c r="H194" t="s">
        <v>432</v>
      </c>
      <c r="I194">
        <v>146.52080000000001</v>
      </c>
      <c r="J194" t="s">
        <v>433</v>
      </c>
      <c r="K194" t="s">
        <v>41</v>
      </c>
    </row>
    <row r="195" spans="1:14" x14ac:dyDescent="0.3">
      <c r="A195">
        <v>1</v>
      </c>
      <c r="B195">
        <v>1</v>
      </c>
      <c r="C195" t="s">
        <v>434</v>
      </c>
      <c r="D195" t="s">
        <v>15</v>
      </c>
      <c r="E195">
        <v>15</v>
      </c>
      <c r="F195">
        <v>0</v>
      </c>
      <c r="G195">
        <v>1</v>
      </c>
      <c r="H195">
        <v>24160</v>
      </c>
      <c r="I195">
        <v>211.33750000000001</v>
      </c>
      <c r="J195" t="s">
        <v>16</v>
      </c>
      <c r="K195" t="s">
        <v>17</v>
      </c>
      <c r="L195">
        <v>2</v>
      </c>
      <c r="N195" t="s">
        <v>18</v>
      </c>
    </row>
    <row r="196" spans="1:14" x14ac:dyDescent="0.3">
      <c r="A196">
        <v>1</v>
      </c>
      <c r="B196">
        <v>0</v>
      </c>
      <c r="C196" t="s">
        <v>435</v>
      </c>
      <c r="D196" t="s">
        <v>20</v>
      </c>
      <c r="E196">
        <v>30</v>
      </c>
      <c r="F196">
        <v>0</v>
      </c>
      <c r="G196">
        <v>0</v>
      </c>
      <c r="H196">
        <v>110469</v>
      </c>
      <c r="I196">
        <v>26</v>
      </c>
      <c r="J196" t="s">
        <v>436</v>
      </c>
      <c r="K196" t="s">
        <v>17</v>
      </c>
      <c r="N196" t="s">
        <v>437</v>
      </c>
    </row>
    <row r="197" spans="1:14" x14ac:dyDescent="0.3">
      <c r="A197">
        <v>1</v>
      </c>
      <c r="B197">
        <v>1</v>
      </c>
      <c r="C197" t="s">
        <v>438</v>
      </c>
      <c r="D197" t="s">
        <v>15</v>
      </c>
      <c r="E197">
        <v>16</v>
      </c>
      <c r="F197">
        <v>0</v>
      </c>
      <c r="G197">
        <v>0</v>
      </c>
      <c r="H197">
        <v>110152</v>
      </c>
      <c r="I197">
        <v>86.5</v>
      </c>
      <c r="J197" t="s">
        <v>439</v>
      </c>
      <c r="K197" t="s">
        <v>17</v>
      </c>
      <c r="L197">
        <v>8</v>
      </c>
    </row>
    <row r="198" spans="1:14" x14ac:dyDescent="0.3">
      <c r="A198">
        <v>1</v>
      </c>
      <c r="B198">
        <v>1</v>
      </c>
      <c r="C198" t="s">
        <v>440</v>
      </c>
      <c r="D198" t="s">
        <v>20</v>
      </c>
      <c r="F198">
        <v>0</v>
      </c>
      <c r="G198">
        <v>0</v>
      </c>
      <c r="H198">
        <v>11774</v>
      </c>
      <c r="I198">
        <v>29.7</v>
      </c>
      <c r="J198" t="s">
        <v>441</v>
      </c>
      <c r="K198" t="s">
        <v>41</v>
      </c>
      <c r="L198">
        <v>7</v>
      </c>
      <c r="N198" t="s">
        <v>50</v>
      </c>
    </row>
    <row r="199" spans="1:14" x14ac:dyDescent="0.3">
      <c r="A199">
        <v>1</v>
      </c>
      <c r="B199">
        <v>0</v>
      </c>
      <c r="C199" t="s">
        <v>442</v>
      </c>
      <c r="D199" t="s">
        <v>20</v>
      </c>
      <c r="E199">
        <v>19</v>
      </c>
      <c r="F199">
        <v>1</v>
      </c>
      <c r="G199">
        <v>0</v>
      </c>
      <c r="H199">
        <v>113773</v>
      </c>
      <c r="I199">
        <v>53.1</v>
      </c>
      <c r="J199" t="s">
        <v>443</v>
      </c>
      <c r="K199" t="s">
        <v>17</v>
      </c>
      <c r="N199" t="s">
        <v>28</v>
      </c>
    </row>
    <row r="200" spans="1:14" x14ac:dyDescent="0.3">
      <c r="A200">
        <v>1</v>
      </c>
      <c r="B200">
        <v>1</v>
      </c>
      <c r="C200" t="s">
        <v>444</v>
      </c>
      <c r="D200" t="s">
        <v>15</v>
      </c>
      <c r="E200">
        <v>18</v>
      </c>
      <c r="F200">
        <v>1</v>
      </c>
      <c r="G200">
        <v>0</v>
      </c>
      <c r="H200">
        <v>113773</v>
      </c>
      <c r="I200">
        <v>53.1</v>
      </c>
      <c r="J200" t="s">
        <v>443</v>
      </c>
      <c r="K200" t="s">
        <v>17</v>
      </c>
      <c r="L200">
        <v>10</v>
      </c>
      <c r="N200" t="s">
        <v>28</v>
      </c>
    </row>
    <row r="201" spans="1:14" x14ac:dyDescent="0.3">
      <c r="A201">
        <v>1</v>
      </c>
      <c r="B201">
        <v>1</v>
      </c>
      <c r="C201" t="s">
        <v>445</v>
      </c>
      <c r="D201" t="s">
        <v>15</v>
      </c>
      <c r="E201">
        <v>24</v>
      </c>
      <c r="F201">
        <v>0</v>
      </c>
      <c r="G201">
        <v>0</v>
      </c>
      <c r="H201" t="s">
        <v>446</v>
      </c>
      <c r="I201">
        <v>49.504199999999997</v>
      </c>
      <c r="J201" t="s">
        <v>447</v>
      </c>
      <c r="K201" t="s">
        <v>41</v>
      </c>
      <c r="L201">
        <v>6</v>
      </c>
      <c r="N201" t="s">
        <v>448</v>
      </c>
    </row>
    <row r="202" spans="1:14" x14ac:dyDescent="0.3">
      <c r="A202">
        <v>1</v>
      </c>
      <c r="B202">
        <v>0</v>
      </c>
      <c r="C202" t="s">
        <v>449</v>
      </c>
      <c r="D202" t="s">
        <v>20</v>
      </c>
      <c r="E202">
        <v>46</v>
      </c>
      <c r="F202">
        <v>0</v>
      </c>
      <c r="G202">
        <v>0</v>
      </c>
      <c r="H202">
        <v>13050</v>
      </c>
      <c r="I202">
        <v>75.241699999999994</v>
      </c>
      <c r="J202" t="s">
        <v>66</v>
      </c>
      <c r="K202" t="s">
        <v>41</v>
      </c>
      <c r="M202">
        <v>292</v>
      </c>
      <c r="N202" t="s">
        <v>450</v>
      </c>
    </row>
    <row r="203" spans="1:14" x14ac:dyDescent="0.3">
      <c r="A203">
        <v>1</v>
      </c>
      <c r="B203">
        <v>0</v>
      </c>
      <c r="C203" t="s">
        <v>451</v>
      </c>
      <c r="D203" t="s">
        <v>20</v>
      </c>
      <c r="E203">
        <v>54</v>
      </c>
      <c r="F203">
        <v>0</v>
      </c>
      <c r="G203">
        <v>0</v>
      </c>
      <c r="H203">
        <v>17463</v>
      </c>
      <c r="I203">
        <v>51.862499999999997</v>
      </c>
      <c r="J203" t="s">
        <v>358</v>
      </c>
      <c r="K203" t="s">
        <v>17</v>
      </c>
      <c r="M203">
        <v>175</v>
      </c>
      <c r="N203" t="s">
        <v>452</v>
      </c>
    </row>
    <row r="204" spans="1:14" x14ac:dyDescent="0.3">
      <c r="A204">
        <v>1</v>
      </c>
      <c r="B204">
        <v>1</v>
      </c>
      <c r="C204" t="s">
        <v>453</v>
      </c>
      <c r="D204" t="s">
        <v>20</v>
      </c>
      <c r="E204">
        <v>36</v>
      </c>
      <c r="F204">
        <v>0</v>
      </c>
      <c r="G204">
        <v>0</v>
      </c>
      <c r="H204" t="s">
        <v>454</v>
      </c>
      <c r="I204">
        <v>26.287500000000001</v>
      </c>
      <c r="J204" t="s">
        <v>265</v>
      </c>
      <c r="K204" t="s">
        <v>17</v>
      </c>
      <c r="L204">
        <v>7</v>
      </c>
      <c r="N204" t="s">
        <v>121</v>
      </c>
    </row>
    <row r="205" spans="1:14" x14ac:dyDescent="0.3">
      <c r="A205">
        <v>1</v>
      </c>
      <c r="B205">
        <v>0</v>
      </c>
      <c r="C205" t="s">
        <v>455</v>
      </c>
      <c r="D205" t="s">
        <v>20</v>
      </c>
      <c r="E205">
        <v>28</v>
      </c>
      <c r="F205">
        <v>1</v>
      </c>
      <c r="G205">
        <v>0</v>
      </c>
      <c r="H205" t="s">
        <v>456</v>
      </c>
      <c r="I205">
        <v>82.1708</v>
      </c>
      <c r="K205" t="s">
        <v>41</v>
      </c>
      <c r="N205" t="s">
        <v>28</v>
      </c>
    </row>
    <row r="206" spans="1:14" x14ac:dyDescent="0.3">
      <c r="A206">
        <v>1</v>
      </c>
      <c r="B206">
        <v>1</v>
      </c>
      <c r="C206" t="s">
        <v>457</v>
      </c>
      <c r="D206" t="s">
        <v>15</v>
      </c>
      <c r="F206">
        <v>1</v>
      </c>
      <c r="G206">
        <v>0</v>
      </c>
      <c r="H206" t="s">
        <v>456</v>
      </c>
      <c r="I206">
        <v>82.1708</v>
      </c>
      <c r="K206" t="s">
        <v>41</v>
      </c>
      <c r="L206">
        <v>6</v>
      </c>
      <c r="N206" t="s">
        <v>28</v>
      </c>
    </row>
    <row r="207" spans="1:14" x14ac:dyDescent="0.3">
      <c r="A207">
        <v>1</v>
      </c>
      <c r="B207">
        <v>0</v>
      </c>
      <c r="C207" t="s">
        <v>458</v>
      </c>
      <c r="D207" t="s">
        <v>20</v>
      </c>
      <c r="E207">
        <v>65</v>
      </c>
      <c r="F207">
        <v>0</v>
      </c>
      <c r="G207">
        <v>0</v>
      </c>
      <c r="H207">
        <v>13509</v>
      </c>
      <c r="I207">
        <v>26.55</v>
      </c>
      <c r="J207" t="s">
        <v>459</v>
      </c>
      <c r="K207" t="s">
        <v>17</v>
      </c>
      <c r="M207">
        <v>249</v>
      </c>
      <c r="N207" t="s">
        <v>460</v>
      </c>
    </row>
    <row r="208" spans="1:14" x14ac:dyDescent="0.3">
      <c r="A208">
        <v>1</v>
      </c>
      <c r="B208">
        <v>0</v>
      </c>
      <c r="C208" t="s">
        <v>461</v>
      </c>
      <c r="D208" t="s">
        <v>20</v>
      </c>
      <c r="E208">
        <v>44</v>
      </c>
      <c r="F208">
        <v>2</v>
      </c>
      <c r="G208">
        <v>0</v>
      </c>
      <c r="H208">
        <v>19928</v>
      </c>
      <c r="I208">
        <v>90</v>
      </c>
      <c r="J208" t="s">
        <v>462</v>
      </c>
      <c r="K208" t="s">
        <v>463</v>
      </c>
      <c r="M208">
        <v>230</v>
      </c>
      <c r="N208" t="s">
        <v>464</v>
      </c>
    </row>
    <row r="209" spans="1:14" x14ac:dyDescent="0.3">
      <c r="A209">
        <v>1</v>
      </c>
      <c r="B209">
        <v>1</v>
      </c>
      <c r="C209" t="s">
        <v>465</v>
      </c>
      <c r="D209" t="s">
        <v>15</v>
      </c>
      <c r="E209">
        <v>33</v>
      </c>
      <c r="F209">
        <v>1</v>
      </c>
      <c r="G209">
        <v>0</v>
      </c>
      <c r="H209">
        <v>19928</v>
      </c>
      <c r="I209">
        <v>90</v>
      </c>
      <c r="J209" t="s">
        <v>462</v>
      </c>
      <c r="K209" t="s">
        <v>463</v>
      </c>
      <c r="L209">
        <v>14</v>
      </c>
      <c r="N209" t="s">
        <v>466</v>
      </c>
    </row>
    <row r="210" spans="1:14" x14ac:dyDescent="0.3">
      <c r="A210">
        <v>1</v>
      </c>
      <c r="B210">
        <v>1</v>
      </c>
      <c r="C210" t="s">
        <v>467</v>
      </c>
      <c r="D210" t="s">
        <v>15</v>
      </c>
      <c r="E210">
        <v>37</v>
      </c>
      <c r="F210">
        <v>1</v>
      </c>
      <c r="G210">
        <v>0</v>
      </c>
      <c r="H210">
        <v>19928</v>
      </c>
      <c r="I210">
        <v>90</v>
      </c>
      <c r="J210" t="s">
        <v>462</v>
      </c>
      <c r="K210" t="s">
        <v>463</v>
      </c>
      <c r="L210">
        <v>14</v>
      </c>
      <c r="N210" t="s">
        <v>464</v>
      </c>
    </row>
    <row r="211" spans="1:14" x14ac:dyDescent="0.3">
      <c r="A211">
        <v>1</v>
      </c>
      <c r="B211">
        <v>1</v>
      </c>
      <c r="C211" t="s">
        <v>468</v>
      </c>
      <c r="D211" t="s">
        <v>20</v>
      </c>
      <c r="E211">
        <v>30</v>
      </c>
      <c r="F211">
        <v>1</v>
      </c>
      <c r="G211">
        <v>0</v>
      </c>
      <c r="H211">
        <v>13236</v>
      </c>
      <c r="I211">
        <v>57.75</v>
      </c>
      <c r="J211" t="s">
        <v>462</v>
      </c>
      <c r="K211" t="s">
        <v>41</v>
      </c>
      <c r="L211">
        <v>11</v>
      </c>
      <c r="N211" t="s">
        <v>28</v>
      </c>
    </row>
    <row r="212" spans="1:14" x14ac:dyDescent="0.3">
      <c r="A212">
        <v>1</v>
      </c>
      <c r="B212">
        <v>0</v>
      </c>
      <c r="C212" t="s">
        <v>469</v>
      </c>
      <c r="D212" t="s">
        <v>20</v>
      </c>
      <c r="E212">
        <v>55</v>
      </c>
      <c r="F212">
        <v>0</v>
      </c>
      <c r="G212">
        <v>0</v>
      </c>
      <c r="H212">
        <v>113787</v>
      </c>
      <c r="I212">
        <v>30.5</v>
      </c>
      <c r="J212" t="s">
        <v>470</v>
      </c>
      <c r="K212" t="s">
        <v>17</v>
      </c>
      <c r="N212" t="s">
        <v>61</v>
      </c>
    </row>
    <row r="213" spans="1:14" x14ac:dyDescent="0.3">
      <c r="A213">
        <v>1</v>
      </c>
      <c r="B213">
        <v>0</v>
      </c>
      <c r="C213" t="s">
        <v>471</v>
      </c>
      <c r="D213" t="s">
        <v>20</v>
      </c>
      <c r="E213">
        <v>47</v>
      </c>
      <c r="F213">
        <v>0</v>
      </c>
      <c r="G213">
        <v>0</v>
      </c>
      <c r="H213">
        <v>113796</v>
      </c>
      <c r="I213">
        <v>42.4</v>
      </c>
      <c r="K213" t="s">
        <v>17</v>
      </c>
      <c r="N213" t="s">
        <v>133</v>
      </c>
    </row>
    <row r="214" spans="1:14" x14ac:dyDescent="0.3">
      <c r="A214">
        <v>1</v>
      </c>
      <c r="B214">
        <v>0</v>
      </c>
      <c r="C214" t="s">
        <v>472</v>
      </c>
      <c r="D214" t="s">
        <v>20</v>
      </c>
      <c r="E214">
        <v>37</v>
      </c>
      <c r="F214">
        <v>0</v>
      </c>
      <c r="G214">
        <v>1</v>
      </c>
      <c r="H214" t="s">
        <v>473</v>
      </c>
      <c r="I214">
        <v>29.7</v>
      </c>
      <c r="J214" t="s">
        <v>474</v>
      </c>
      <c r="K214" t="s">
        <v>41</v>
      </c>
      <c r="N214" t="s">
        <v>266</v>
      </c>
    </row>
    <row r="215" spans="1:14" x14ac:dyDescent="0.3">
      <c r="A215">
        <v>1</v>
      </c>
      <c r="B215">
        <v>1</v>
      </c>
      <c r="C215" t="s">
        <v>475</v>
      </c>
      <c r="D215" t="s">
        <v>15</v>
      </c>
      <c r="E215">
        <v>31</v>
      </c>
      <c r="F215">
        <v>1</v>
      </c>
      <c r="G215">
        <v>0</v>
      </c>
      <c r="H215">
        <v>35273</v>
      </c>
      <c r="I215">
        <v>113.27500000000001</v>
      </c>
      <c r="J215" t="s">
        <v>476</v>
      </c>
      <c r="K215" t="s">
        <v>41</v>
      </c>
      <c r="L215">
        <v>6</v>
      </c>
      <c r="N215" t="s">
        <v>477</v>
      </c>
    </row>
    <row r="216" spans="1:14" x14ac:dyDescent="0.3">
      <c r="A216">
        <v>1</v>
      </c>
      <c r="B216">
        <v>1</v>
      </c>
      <c r="C216" t="s">
        <v>478</v>
      </c>
      <c r="D216" t="s">
        <v>15</v>
      </c>
      <c r="E216">
        <v>23</v>
      </c>
      <c r="F216">
        <v>1</v>
      </c>
      <c r="G216">
        <v>0</v>
      </c>
      <c r="H216">
        <v>35273</v>
      </c>
      <c r="I216">
        <v>113.27500000000001</v>
      </c>
      <c r="J216" t="s">
        <v>476</v>
      </c>
      <c r="K216" t="s">
        <v>41</v>
      </c>
      <c r="L216">
        <v>6</v>
      </c>
      <c r="N216" t="s">
        <v>477</v>
      </c>
    </row>
    <row r="217" spans="1:14" x14ac:dyDescent="0.3">
      <c r="A217">
        <v>1</v>
      </c>
      <c r="B217">
        <v>0</v>
      </c>
      <c r="C217" t="s">
        <v>479</v>
      </c>
      <c r="D217" t="s">
        <v>20</v>
      </c>
      <c r="E217">
        <v>58</v>
      </c>
      <c r="F217">
        <v>0</v>
      </c>
      <c r="G217">
        <v>2</v>
      </c>
      <c r="H217">
        <v>35273</v>
      </c>
      <c r="I217">
        <v>113.27500000000001</v>
      </c>
      <c r="J217" t="s">
        <v>480</v>
      </c>
      <c r="K217" t="s">
        <v>41</v>
      </c>
      <c r="M217">
        <v>122</v>
      </c>
      <c r="N217" t="s">
        <v>477</v>
      </c>
    </row>
    <row r="218" spans="1:14" x14ac:dyDescent="0.3">
      <c r="A218">
        <v>1</v>
      </c>
      <c r="B218">
        <v>1</v>
      </c>
      <c r="C218" t="s">
        <v>481</v>
      </c>
      <c r="D218" t="s">
        <v>15</v>
      </c>
      <c r="E218">
        <v>19</v>
      </c>
      <c r="F218">
        <v>0</v>
      </c>
      <c r="G218">
        <v>2</v>
      </c>
      <c r="H218">
        <v>11752</v>
      </c>
      <c r="I218">
        <v>26.283300000000001</v>
      </c>
      <c r="J218" t="s">
        <v>482</v>
      </c>
      <c r="K218" t="s">
        <v>17</v>
      </c>
      <c r="L218">
        <v>5</v>
      </c>
      <c r="N218" t="s">
        <v>28</v>
      </c>
    </row>
    <row r="219" spans="1:14" x14ac:dyDescent="0.3">
      <c r="A219">
        <v>1</v>
      </c>
      <c r="B219">
        <v>0</v>
      </c>
      <c r="C219" t="s">
        <v>483</v>
      </c>
      <c r="D219" t="s">
        <v>20</v>
      </c>
      <c r="E219">
        <v>64</v>
      </c>
      <c r="F219">
        <v>0</v>
      </c>
      <c r="G219">
        <v>0</v>
      </c>
      <c r="H219">
        <v>693</v>
      </c>
      <c r="I219">
        <v>26</v>
      </c>
      <c r="K219" t="s">
        <v>17</v>
      </c>
      <c r="M219">
        <v>263</v>
      </c>
      <c r="N219" t="s">
        <v>484</v>
      </c>
    </row>
    <row r="220" spans="1:14" x14ac:dyDescent="0.3">
      <c r="A220">
        <v>1</v>
      </c>
      <c r="B220">
        <v>1</v>
      </c>
      <c r="C220" t="s">
        <v>485</v>
      </c>
      <c r="D220" t="s">
        <v>15</v>
      </c>
      <c r="E220">
        <v>39</v>
      </c>
      <c r="F220">
        <v>0</v>
      </c>
      <c r="G220">
        <v>0</v>
      </c>
      <c r="H220" t="s">
        <v>486</v>
      </c>
      <c r="I220">
        <v>108.9</v>
      </c>
      <c r="J220" t="s">
        <v>487</v>
      </c>
      <c r="K220" t="s">
        <v>41</v>
      </c>
      <c r="L220">
        <v>8</v>
      </c>
    </row>
    <row r="221" spans="1:14" x14ac:dyDescent="0.3">
      <c r="A221">
        <v>1</v>
      </c>
      <c r="B221">
        <v>1</v>
      </c>
      <c r="C221" t="s">
        <v>488</v>
      </c>
      <c r="D221" t="s">
        <v>20</v>
      </c>
      <c r="F221">
        <v>0</v>
      </c>
      <c r="G221">
        <v>0</v>
      </c>
      <c r="H221" t="s">
        <v>489</v>
      </c>
      <c r="I221">
        <v>25.741700000000002</v>
      </c>
      <c r="K221" t="s">
        <v>41</v>
      </c>
      <c r="L221">
        <v>7</v>
      </c>
      <c r="N221" t="s">
        <v>50</v>
      </c>
    </row>
    <row r="222" spans="1:14" x14ac:dyDescent="0.3">
      <c r="A222">
        <v>1</v>
      </c>
      <c r="B222">
        <v>1</v>
      </c>
      <c r="C222" t="s">
        <v>490</v>
      </c>
      <c r="D222" t="s">
        <v>15</v>
      </c>
      <c r="E222">
        <v>22</v>
      </c>
      <c r="F222">
        <v>0</v>
      </c>
      <c r="G222">
        <v>1</v>
      </c>
      <c r="H222">
        <v>113509</v>
      </c>
      <c r="I222">
        <v>61.979199999999999</v>
      </c>
      <c r="J222" t="s">
        <v>491</v>
      </c>
      <c r="K222" t="s">
        <v>41</v>
      </c>
      <c r="L222">
        <v>5</v>
      </c>
      <c r="N222" t="s">
        <v>492</v>
      </c>
    </row>
    <row r="223" spans="1:14" x14ac:dyDescent="0.3">
      <c r="A223">
        <v>1</v>
      </c>
      <c r="B223">
        <v>0</v>
      </c>
      <c r="C223" t="s">
        <v>493</v>
      </c>
      <c r="D223" t="s">
        <v>20</v>
      </c>
      <c r="E223">
        <v>65</v>
      </c>
      <c r="F223">
        <v>0</v>
      </c>
      <c r="G223">
        <v>1</v>
      </c>
      <c r="H223">
        <v>113509</v>
      </c>
      <c r="I223">
        <v>61.979199999999999</v>
      </c>
      <c r="J223" t="s">
        <v>494</v>
      </c>
      <c r="K223" t="s">
        <v>41</v>
      </c>
      <c r="M223">
        <v>234</v>
      </c>
      <c r="N223" t="s">
        <v>492</v>
      </c>
    </row>
    <row r="224" spans="1:14" x14ac:dyDescent="0.3">
      <c r="A224">
        <v>1</v>
      </c>
      <c r="B224">
        <v>0</v>
      </c>
      <c r="C224" t="s">
        <v>495</v>
      </c>
      <c r="D224" t="s">
        <v>20</v>
      </c>
      <c r="E224">
        <v>28.5</v>
      </c>
      <c r="F224">
        <v>0</v>
      </c>
      <c r="G224">
        <v>0</v>
      </c>
      <c r="H224" t="s">
        <v>496</v>
      </c>
      <c r="I224">
        <v>27.720800000000001</v>
      </c>
      <c r="J224" t="s">
        <v>497</v>
      </c>
      <c r="K224" t="s">
        <v>41</v>
      </c>
      <c r="M224">
        <v>189</v>
      </c>
      <c r="N224" t="s">
        <v>498</v>
      </c>
    </row>
    <row r="225" spans="1:14" x14ac:dyDescent="0.3">
      <c r="A225">
        <v>1</v>
      </c>
      <c r="B225">
        <v>0</v>
      </c>
      <c r="C225" t="s">
        <v>499</v>
      </c>
      <c r="D225" t="s">
        <v>20</v>
      </c>
      <c r="F225">
        <v>0</v>
      </c>
      <c r="G225">
        <v>0</v>
      </c>
      <c r="H225">
        <v>112052</v>
      </c>
      <c r="I225">
        <v>0</v>
      </c>
      <c r="K225" t="s">
        <v>17</v>
      </c>
      <c r="N225" t="s">
        <v>500</v>
      </c>
    </row>
    <row r="226" spans="1:14" x14ac:dyDescent="0.3">
      <c r="A226">
        <v>1</v>
      </c>
      <c r="B226">
        <v>0</v>
      </c>
      <c r="C226" t="s">
        <v>501</v>
      </c>
      <c r="D226" t="s">
        <v>20</v>
      </c>
      <c r="E226">
        <v>45.5</v>
      </c>
      <c r="F226">
        <v>0</v>
      </c>
      <c r="G226">
        <v>0</v>
      </c>
      <c r="H226">
        <v>113043</v>
      </c>
      <c r="I226">
        <v>28.5</v>
      </c>
      <c r="J226" t="s">
        <v>407</v>
      </c>
      <c r="K226" t="s">
        <v>17</v>
      </c>
      <c r="M226">
        <v>166</v>
      </c>
      <c r="N226" t="s">
        <v>502</v>
      </c>
    </row>
    <row r="227" spans="1:14" x14ac:dyDescent="0.3">
      <c r="A227">
        <v>1</v>
      </c>
      <c r="B227">
        <v>0</v>
      </c>
      <c r="C227" t="s">
        <v>503</v>
      </c>
      <c r="D227" t="s">
        <v>20</v>
      </c>
      <c r="E227">
        <v>23</v>
      </c>
      <c r="F227">
        <v>0</v>
      </c>
      <c r="G227">
        <v>0</v>
      </c>
      <c r="H227">
        <v>12749</v>
      </c>
      <c r="I227">
        <v>93.5</v>
      </c>
      <c r="J227" t="s">
        <v>504</v>
      </c>
      <c r="K227" t="s">
        <v>17</v>
      </c>
      <c r="N227" t="s">
        <v>61</v>
      </c>
    </row>
    <row r="228" spans="1:14" x14ac:dyDescent="0.3">
      <c r="A228">
        <v>1</v>
      </c>
      <c r="B228">
        <v>0</v>
      </c>
      <c r="C228" t="s">
        <v>505</v>
      </c>
      <c r="D228" t="s">
        <v>20</v>
      </c>
      <c r="E228">
        <v>29</v>
      </c>
      <c r="F228">
        <v>1</v>
      </c>
      <c r="G228">
        <v>0</v>
      </c>
      <c r="H228">
        <v>113776</v>
      </c>
      <c r="I228">
        <v>66.599999999999994</v>
      </c>
      <c r="J228" t="s">
        <v>506</v>
      </c>
      <c r="K228" t="s">
        <v>17</v>
      </c>
      <c r="N228" t="s">
        <v>507</v>
      </c>
    </row>
    <row r="229" spans="1:14" x14ac:dyDescent="0.3">
      <c r="A229">
        <v>1</v>
      </c>
      <c r="B229">
        <v>1</v>
      </c>
      <c r="C229" t="s">
        <v>508</v>
      </c>
      <c r="D229" t="s">
        <v>15</v>
      </c>
      <c r="E229">
        <v>22</v>
      </c>
      <c r="F229">
        <v>1</v>
      </c>
      <c r="G229">
        <v>0</v>
      </c>
      <c r="H229">
        <v>113776</v>
      </c>
      <c r="I229">
        <v>66.599999999999994</v>
      </c>
      <c r="J229" t="s">
        <v>506</v>
      </c>
      <c r="K229" t="s">
        <v>17</v>
      </c>
      <c r="L229">
        <v>8</v>
      </c>
      <c r="N229" t="s">
        <v>507</v>
      </c>
    </row>
    <row r="230" spans="1:14" x14ac:dyDescent="0.3">
      <c r="A230">
        <v>1</v>
      </c>
      <c r="B230">
        <v>0</v>
      </c>
      <c r="C230" t="s">
        <v>509</v>
      </c>
      <c r="D230" t="s">
        <v>20</v>
      </c>
      <c r="E230">
        <v>18</v>
      </c>
      <c r="F230">
        <v>1</v>
      </c>
      <c r="G230">
        <v>0</v>
      </c>
      <c r="H230" t="s">
        <v>486</v>
      </c>
      <c r="I230">
        <v>108.9</v>
      </c>
      <c r="J230" t="s">
        <v>510</v>
      </c>
      <c r="K230" t="s">
        <v>41</v>
      </c>
      <c r="N230" t="s">
        <v>511</v>
      </c>
    </row>
    <row r="231" spans="1:14" x14ac:dyDescent="0.3">
      <c r="A231">
        <v>1</v>
      </c>
      <c r="B231">
        <v>1</v>
      </c>
      <c r="C231" t="s">
        <v>512</v>
      </c>
      <c r="D231" t="s">
        <v>15</v>
      </c>
      <c r="E231">
        <v>17</v>
      </c>
      <c r="F231">
        <v>1</v>
      </c>
      <c r="G231">
        <v>0</v>
      </c>
      <c r="H231" t="s">
        <v>486</v>
      </c>
      <c r="I231">
        <v>108.9</v>
      </c>
      <c r="J231" t="s">
        <v>510</v>
      </c>
      <c r="K231" t="s">
        <v>41</v>
      </c>
      <c r="L231">
        <v>8</v>
      </c>
      <c r="N231" t="s">
        <v>511</v>
      </c>
    </row>
    <row r="232" spans="1:14" x14ac:dyDescent="0.3">
      <c r="A232">
        <v>1</v>
      </c>
      <c r="B232">
        <v>1</v>
      </c>
      <c r="C232" t="s">
        <v>513</v>
      </c>
      <c r="D232" t="s">
        <v>15</v>
      </c>
      <c r="E232">
        <v>30</v>
      </c>
      <c r="F232">
        <v>0</v>
      </c>
      <c r="G232">
        <v>0</v>
      </c>
      <c r="H232">
        <v>12749</v>
      </c>
      <c r="I232">
        <v>93.5</v>
      </c>
      <c r="J232" t="s">
        <v>514</v>
      </c>
      <c r="K232" t="s">
        <v>17</v>
      </c>
      <c r="L232">
        <v>3</v>
      </c>
    </row>
    <row r="233" spans="1:14" x14ac:dyDescent="0.3">
      <c r="A233">
        <v>1</v>
      </c>
      <c r="B233">
        <v>1</v>
      </c>
      <c r="C233" t="s">
        <v>515</v>
      </c>
      <c r="D233" t="s">
        <v>20</v>
      </c>
      <c r="E233">
        <v>52</v>
      </c>
      <c r="F233">
        <v>0</v>
      </c>
      <c r="G233">
        <v>0</v>
      </c>
      <c r="H233">
        <v>113786</v>
      </c>
      <c r="I233">
        <v>30.5</v>
      </c>
      <c r="J233" t="s">
        <v>516</v>
      </c>
      <c r="K233" t="s">
        <v>17</v>
      </c>
      <c r="L233">
        <v>6</v>
      </c>
      <c r="N233" t="s">
        <v>517</v>
      </c>
    </row>
    <row r="234" spans="1:14" x14ac:dyDescent="0.3">
      <c r="A234">
        <v>1</v>
      </c>
      <c r="B234">
        <v>0</v>
      </c>
      <c r="C234" t="s">
        <v>518</v>
      </c>
      <c r="D234" t="s">
        <v>20</v>
      </c>
      <c r="E234">
        <v>47</v>
      </c>
      <c r="F234">
        <v>0</v>
      </c>
      <c r="G234">
        <v>0</v>
      </c>
      <c r="H234">
        <v>110465</v>
      </c>
      <c r="I234">
        <v>52</v>
      </c>
      <c r="J234" t="s">
        <v>519</v>
      </c>
      <c r="K234" t="s">
        <v>17</v>
      </c>
      <c r="M234">
        <v>207</v>
      </c>
      <c r="N234" t="s">
        <v>520</v>
      </c>
    </row>
    <row r="235" spans="1:14" x14ac:dyDescent="0.3">
      <c r="A235">
        <v>1</v>
      </c>
      <c r="B235">
        <v>1</v>
      </c>
      <c r="C235" t="s">
        <v>521</v>
      </c>
      <c r="D235" t="s">
        <v>15</v>
      </c>
      <c r="E235">
        <v>56</v>
      </c>
      <c r="F235">
        <v>0</v>
      </c>
      <c r="G235">
        <v>1</v>
      </c>
      <c r="H235">
        <v>11767</v>
      </c>
      <c r="I235">
        <v>83.158299999999997</v>
      </c>
      <c r="J235" t="s">
        <v>522</v>
      </c>
      <c r="K235" t="s">
        <v>41</v>
      </c>
      <c r="L235">
        <v>7</v>
      </c>
      <c r="N235" t="s">
        <v>249</v>
      </c>
    </row>
    <row r="236" spans="1:14" x14ac:dyDescent="0.3">
      <c r="A236">
        <v>1</v>
      </c>
      <c r="B236">
        <v>0</v>
      </c>
      <c r="C236" t="s">
        <v>523</v>
      </c>
      <c r="D236" t="s">
        <v>20</v>
      </c>
      <c r="E236">
        <v>38</v>
      </c>
      <c r="F236">
        <v>0</v>
      </c>
      <c r="G236">
        <v>0</v>
      </c>
      <c r="H236">
        <v>19972</v>
      </c>
      <c r="I236">
        <v>0</v>
      </c>
      <c r="K236" t="s">
        <v>17</v>
      </c>
      <c r="N236" t="s">
        <v>524</v>
      </c>
    </row>
    <row r="237" spans="1:14" x14ac:dyDescent="0.3">
      <c r="A237">
        <v>1</v>
      </c>
      <c r="B237">
        <v>1</v>
      </c>
      <c r="C237" t="s">
        <v>525</v>
      </c>
      <c r="D237" t="s">
        <v>20</v>
      </c>
      <c r="F237">
        <v>0</v>
      </c>
      <c r="G237">
        <v>0</v>
      </c>
      <c r="H237" t="s">
        <v>526</v>
      </c>
      <c r="I237">
        <v>39.6</v>
      </c>
      <c r="K237" t="s">
        <v>17</v>
      </c>
      <c r="L237" t="s">
        <v>67</v>
      </c>
      <c r="N237" t="s">
        <v>527</v>
      </c>
    </row>
    <row r="238" spans="1:14" x14ac:dyDescent="0.3">
      <c r="A238">
        <v>1</v>
      </c>
      <c r="B238">
        <v>0</v>
      </c>
      <c r="C238" t="s">
        <v>528</v>
      </c>
      <c r="D238" t="s">
        <v>20</v>
      </c>
      <c r="E238">
        <v>22</v>
      </c>
      <c r="F238">
        <v>0</v>
      </c>
      <c r="G238">
        <v>0</v>
      </c>
      <c r="H238" t="s">
        <v>85</v>
      </c>
      <c r="I238">
        <v>135.63329999999999</v>
      </c>
      <c r="K238" t="s">
        <v>41</v>
      </c>
      <c r="M238">
        <v>232</v>
      </c>
    </row>
    <row r="239" spans="1:14" x14ac:dyDescent="0.3">
      <c r="A239">
        <v>1</v>
      </c>
      <c r="B239">
        <v>0</v>
      </c>
      <c r="C239" t="s">
        <v>529</v>
      </c>
      <c r="D239" t="s">
        <v>20</v>
      </c>
      <c r="F239">
        <v>0</v>
      </c>
      <c r="G239">
        <v>0</v>
      </c>
      <c r="H239" t="s">
        <v>44</v>
      </c>
      <c r="I239">
        <v>227.52500000000001</v>
      </c>
      <c r="K239" t="s">
        <v>41</v>
      </c>
    </row>
    <row r="240" spans="1:14" x14ac:dyDescent="0.3">
      <c r="A240">
        <v>1</v>
      </c>
      <c r="B240">
        <v>1</v>
      </c>
      <c r="C240" t="s">
        <v>530</v>
      </c>
      <c r="D240" t="s">
        <v>15</v>
      </c>
      <c r="E240">
        <v>43</v>
      </c>
      <c r="F240">
        <v>0</v>
      </c>
      <c r="G240">
        <v>1</v>
      </c>
      <c r="H240">
        <v>24160</v>
      </c>
      <c r="I240">
        <v>211.33750000000001</v>
      </c>
      <c r="J240" t="s">
        <v>531</v>
      </c>
      <c r="K240" t="s">
        <v>17</v>
      </c>
      <c r="L240">
        <v>2</v>
      </c>
      <c r="N240" t="s">
        <v>18</v>
      </c>
    </row>
    <row r="241" spans="1:14" x14ac:dyDescent="0.3">
      <c r="A241">
        <v>1</v>
      </c>
      <c r="B241">
        <v>0</v>
      </c>
      <c r="C241" t="s">
        <v>532</v>
      </c>
      <c r="D241" t="s">
        <v>20</v>
      </c>
      <c r="E241">
        <v>31</v>
      </c>
      <c r="F241">
        <v>0</v>
      </c>
      <c r="G241">
        <v>0</v>
      </c>
      <c r="H241" t="s">
        <v>533</v>
      </c>
      <c r="I241">
        <v>50.495800000000003</v>
      </c>
      <c r="J241" t="s">
        <v>534</v>
      </c>
      <c r="K241" t="s">
        <v>17</v>
      </c>
      <c r="N241" t="s">
        <v>92</v>
      </c>
    </row>
    <row r="242" spans="1:14" x14ac:dyDescent="0.3">
      <c r="A242">
        <v>1</v>
      </c>
      <c r="B242">
        <v>1</v>
      </c>
      <c r="C242" t="s">
        <v>535</v>
      </c>
      <c r="D242" t="s">
        <v>20</v>
      </c>
      <c r="E242">
        <v>45</v>
      </c>
      <c r="F242">
        <v>0</v>
      </c>
      <c r="G242">
        <v>0</v>
      </c>
      <c r="H242">
        <v>111428</v>
      </c>
      <c r="I242">
        <v>26.55</v>
      </c>
      <c r="K242" t="s">
        <v>17</v>
      </c>
      <c r="L242">
        <v>9</v>
      </c>
      <c r="N242" t="s">
        <v>28</v>
      </c>
    </row>
    <row r="243" spans="1:14" x14ac:dyDescent="0.3">
      <c r="A243">
        <v>1</v>
      </c>
      <c r="B243">
        <v>0</v>
      </c>
      <c r="C243" t="s">
        <v>536</v>
      </c>
      <c r="D243" t="s">
        <v>20</v>
      </c>
      <c r="F243">
        <v>0</v>
      </c>
      <c r="G243">
        <v>0</v>
      </c>
      <c r="H243">
        <v>113767</v>
      </c>
      <c r="I243">
        <v>50</v>
      </c>
      <c r="J243" t="s">
        <v>537</v>
      </c>
      <c r="K243" t="s">
        <v>17</v>
      </c>
      <c r="N243" t="s">
        <v>538</v>
      </c>
    </row>
    <row r="244" spans="1:14" x14ac:dyDescent="0.3">
      <c r="A244">
        <v>1</v>
      </c>
      <c r="B244">
        <v>1</v>
      </c>
      <c r="C244" t="s">
        <v>539</v>
      </c>
      <c r="D244" t="s">
        <v>15</v>
      </c>
      <c r="E244">
        <v>33</v>
      </c>
      <c r="F244">
        <v>0</v>
      </c>
      <c r="G244">
        <v>0</v>
      </c>
      <c r="H244" t="s">
        <v>540</v>
      </c>
      <c r="I244">
        <v>27.720800000000001</v>
      </c>
      <c r="J244" t="s">
        <v>541</v>
      </c>
      <c r="K244" t="s">
        <v>41</v>
      </c>
      <c r="L244">
        <v>11</v>
      </c>
      <c r="N244" t="s">
        <v>50</v>
      </c>
    </row>
    <row r="245" spans="1:14" x14ac:dyDescent="0.3">
      <c r="A245">
        <v>1</v>
      </c>
      <c r="B245">
        <v>0</v>
      </c>
      <c r="C245" t="s">
        <v>542</v>
      </c>
      <c r="D245" t="s">
        <v>20</v>
      </c>
      <c r="E245">
        <v>46</v>
      </c>
      <c r="F245">
        <v>0</v>
      </c>
      <c r="G245">
        <v>0</v>
      </c>
      <c r="H245" t="s">
        <v>543</v>
      </c>
      <c r="I245">
        <v>79.2</v>
      </c>
      <c r="K245" t="s">
        <v>41</v>
      </c>
      <c r="M245">
        <v>16</v>
      </c>
      <c r="N245" t="s">
        <v>28</v>
      </c>
    </row>
    <row r="246" spans="1:14" x14ac:dyDescent="0.3">
      <c r="A246">
        <v>1</v>
      </c>
      <c r="B246">
        <v>0</v>
      </c>
      <c r="C246" t="s">
        <v>544</v>
      </c>
      <c r="D246" t="s">
        <v>20</v>
      </c>
      <c r="E246">
        <v>36</v>
      </c>
      <c r="F246">
        <v>0</v>
      </c>
      <c r="G246">
        <v>0</v>
      </c>
      <c r="H246">
        <v>13049</v>
      </c>
      <c r="I246">
        <v>40.125</v>
      </c>
      <c r="J246" t="s">
        <v>545</v>
      </c>
      <c r="K246" t="s">
        <v>41</v>
      </c>
      <c r="N246" t="s">
        <v>271</v>
      </c>
    </row>
    <row r="247" spans="1:14" x14ac:dyDescent="0.3">
      <c r="A247">
        <v>1</v>
      </c>
      <c r="B247">
        <v>1</v>
      </c>
      <c r="C247" t="s">
        <v>546</v>
      </c>
      <c r="D247" t="s">
        <v>15</v>
      </c>
      <c r="E247">
        <v>33</v>
      </c>
      <c r="F247">
        <v>0</v>
      </c>
      <c r="G247">
        <v>0</v>
      </c>
      <c r="H247">
        <v>110152</v>
      </c>
      <c r="I247">
        <v>86.5</v>
      </c>
      <c r="J247" t="s">
        <v>174</v>
      </c>
      <c r="K247" t="s">
        <v>17</v>
      </c>
      <c r="L247">
        <v>8</v>
      </c>
      <c r="N247" t="s">
        <v>547</v>
      </c>
    </row>
    <row r="248" spans="1:14" x14ac:dyDescent="0.3">
      <c r="A248">
        <v>1</v>
      </c>
      <c r="B248">
        <v>0</v>
      </c>
      <c r="C248" t="s">
        <v>548</v>
      </c>
      <c r="D248" t="s">
        <v>20</v>
      </c>
      <c r="E248">
        <v>55</v>
      </c>
      <c r="F248">
        <v>1</v>
      </c>
      <c r="G248">
        <v>0</v>
      </c>
      <c r="H248" t="s">
        <v>549</v>
      </c>
      <c r="I248">
        <v>59.4</v>
      </c>
      <c r="K248" t="s">
        <v>41</v>
      </c>
      <c r="N248" t="s">
        <v>28</v>
      </c>
    </row>
    <row r="249" spans="1:14" x14ac:dyDescent="0.3">
      <c r="A249">
        <v>1</v>
      </c>
      <c r="B249">
        <v>1</v>
      </c>
      <c r="C249" t="s">
        <v>550</v>
      </c>
      <c r="D249" t="s">
        <v>15</v>
      </c>
      <c r="E249">
        <v>54</v>
      </c>
      <c r="F249">
        <v>1</v>
      </c>
      <c r="G249">
        <v>0</v>
      </c>
      <c r="H249" t="s">
        <v>549</v>
      </c>
      <c r="I249">
        <v>59.4</v>
      </c>
      <c r="K249" t="s">
        <v>41</v>
      </c>
      <c r="L249">
        <v>6</v>
      </c>
      <c r="N249" t="s">
        <v>28</v>
      </c>
    </row>
    <row r="250" spans="1:14" x14ac:dyDescent="0.3">
      <c r="A250">
        <v>1</v>
      </c>
      <c r="B250">
        <v>0</v>
      </c>
      <c r="C250" t="s">
        <v>551</v>
      </c>
      <c r="D250" t="s">
        <v>20</v>
      </c>
      <c r="E250">
        <v>33</v>
      </c>
      <c r="F250">
        <v>0</v>
      </c>
      <c r="G250">
        <v>0</v>
      </c>
      <c r="H250">
        <v>113790</v>
      </c>
      <c r="I250">
        <v>26.55</v>
      </c>
      <c r="K250" t="s">
        <v>17</v>
      </c>
      <c r="M250">
        <v>109</v>
      </c>
      <c r="N250" t="s">
        <v>392</v>
      </c>
    </row>
    <row r="251" spans="1:14" x14ac:dyDescent="0.3">
      <c r="A251">
        <v>1</v>
      </c>
      <c r="B251">
        <v>1</v>
      </c>
      <c r="C251" t="s">
        <v>552</v>
      </c>
      <c r="D251" t="s">
        <v>20</v>
      </c>
      <c r="E251">
        <v>13</v>
      </c>
      <c r="F251">
        <v>2</v>
      </c>
      <c r="G251">
        <v>2</v>
      </c>
      <c r="H251" t="s">
        <v>106</v>
      </c>
      <c r="I251">
        <v>262.375</v>
      </c>
      <c r="J251" t="s">
        <v>553</v>
      </c>
      <c r="K251" t="s">
        <v>41</v>
      </c>
      <c r="L251">
        <v>4</v>
      </c>
      <c r="N251" t="s">
        <v>554</v>
      </c>
    </row>
    <row r="252" spans="1:14" x14ac:dyDescent="0.3">
      <c r="A252">
        <v>1</v>
      </c>
      <c r="B252">
        <v>1</v>
      </c>
      <c r="C252" t="s">
        <v>555</v>
      </c>
      <c r="D252" t="s">
        <v>15</v>
      </c>
      <c r="E252">
        <v>18</v>
      </c>
      <c r="F252">
        <v>2</v>
      </c>
      <c r="G252">
        <v>2</v>
      </c>
      <c r="H252" t="s">
        <v>106</v>
      </c>
      <c r="I252">
        <v>262.375</v>
      </c>
      <c r="J252" t="s">
        <v>553</v>
      </c>
      <c r="K252" t="s">
        <v>41</v>
      </c>
      <c r="L252">
        <v>4</v>
      </c>
      <c r="N252" t="s">
        <v>554</v>
      </c>
    </row>
    <row r="253" spans="1:14" x14ac:dyDescent="0.3">
      <c r="A253">
        <v>1</v>
      </c>
      <c r="B253">
        <v>1</v>
      </c>
      <c r="C253" t="s">
        <v>556</v>
      </c>
      <c r="D253" t="s">
        <v>15</v>
      </c>
      <c r="E253">
        <v>21</v>
      </c>
      <c r="F253">
        <v>2</v>
      </c>
      <c r="G253">
        <v>2</v>
      </c>
      <c r="H253" t="s">
        <v>106</v>
      </c>
      <c r="I253">
        <v>262.375</v>
      </c>
      <c r="J253" t="s">
        <v>553</v>
      </c>
      <c r="K253" t="s">
        <v>41</v>
      </c>
      <c r="L253">
        <v>4</v>
      </c>
      <c r="N253" t="s">
        <v>554</v>
      </c>
    </row>
    <row r="254" spans="1:14" x14ac:dyDescent="0.3">
      <c r="A254">
        <v>1</v>
      </c>
      <c r="B254">
        <v>0</v>
      </c>
      <c r="C254" t="s">
        <v>557</v>
      </c>
      <c r="D254" t="s">
        <v>20</v>
      </c>
      <c r="E254">
        <v>61</v>
      </c>
      <c r="F254">
        <v>1</v>
      </c>
      <c r="G254">
        <v>3</v>
      </c>
      <c r="H254" t="s">
        <v>106</v>
      </c>
      <c r="I254">
        <v>262.375</v>
      </c>
      <c r="J254" t="s">
        <v>553</v>
      </c>
      <c r="K254" t="s">
        <v>41</v>
      </c>
      <c r="N254" t="s">
        <v>554</v>
      </c>
    </row>
    <row r="255" spans="1:14" x14ac:dyDescent="0.3">
      <c r="A255">
        <v>1</v>
      </c>
      <c r="B255">
        <v>1</v>
      </c>
      <c r="C255" t="s">
        <v>558</v>
      </c>
      <c r="D255" t="s">
        <v>15</v>
      </c>
      <c r="E255">
        <v>48</v>
      </c>
      <c r="F255">
        <v>1</v>
      </c>
      <c r="G255">
        <v>3</v>
      </c>
      <c r="H255" t="s">
        <v>106</v>
      </c>
      <c r="I255">
        <v>262.375</v>
      </c>
      <c r="J255" t="s">
        <v>553</v>
      </c>
      <c r="K255" t="s">
        <v>41</v>
      </c>
      <c r="L255">
        <v>4</v>
      </c>
      <c r="N255" t="s">
        <v>554</v>
      </c>
    </row>
    <row r="256" spans="1:14" x14ac:dyDescent="0.3">
      <c r="A256">
        <v>1</v>
      </c>
      <c r="B256">
        <v>1</v>
      </c>
      <c r="C256" t="s">
        <v>559</v>
      </c>
      <c r="D256" t="s">
        <v>20</v>
      </c>
      <c r="F256">
        <v>0</v>
      </c>
      <c r="G256">
        <v>0</v>
      </c>
      <c r="H256">
        <v>19988</v>
      </c>
      <c r="I256">
        <v>30.5</v>
      </c>
      <c r="J256" t="s">
        <v>436</v>
      </c>
      <c r="K256" t="s">
        <v>17</v>
      </c>
      <c r="L256">
        <v>3</v>
      </c>
      <c r="N256" t="s">
        <v>560</v>
      </c>
    </row>
    <row r="257" spans="1:14" x14ac:dyDescent="0.3">
      <c r="A257">
        <v>1</v>
      </c>
      <c r="B257">
        <v>1</v>
      </c>
      <c r="C257" t="s">
        <v>561</v>
      </c>
      <c r="D257" t="s">
        <v>15</v>
      </c>
      <c r="E257">
        <v>24</v>
      </c>
      <c r="F257">
        <v>0</v>
      </c>
      <c r="G257">
        <v>0</v>
      </c>
      <c r="H257" t="s">
        <v>48</v>
      </c>
      <c r="I257">
        <v>69.3</v>
      </c>
      <c r="J257" t="s">
        <v>49</v>
      </c>
      <c r="K257" t="s">
        <v>41</v>
      </c>
      <c r="L257">
        <v>9</v>
      </c>
    </row>
    <row r="258" spans="1:14" x14ac:dyDescent="0.3">
      <c r="A258">
        <v>1</v>
      </c>
      <c r="B258">
        <v>1</v>
      </c>
      <c r="C258" t="s">
        <v>562</v>
      </c>
      <c r="D258" t="s">
        <v>20</v>
      </c>
      <c r="F258">
        <v>0</v>
      </c>
      <c r="G258">
        <v>0</v>
      </c>
      <c r="H258">
        <v>111163</v>
      </c>
      <c r="I258">
        <v>26</v>
      </c>
      <c r="K258" t="s">
        <v>17</v>
      </c>
      <c r="L258">
        <v>1</v>
      </c>
      <c r="N258" t="s">
        <v>28</v>
      </c>
    </row>
    <row r="259" spans="1:14" x14ac:dyDescent="0.3">
      <c r="A259">
        <v>1</v>
      </c>
      <c r="B259">
        <v>1</v>
      </c>
      <c r="C259" t="s">
        <v>563</v>
      </c>
      <c r="D259" t="s">
        <v>15</v>
      </c>
      <c r="E259">
        <v>35</v>
      </c>
      <c r="F259">
        <v>1</v>
      </c>
      <c r="G259">
        <v>0</v>
      </c>
      <c r="H259">
        <v>13236</v>
      </c>
      <c r="I259">
        <v>57.75</v>
      </c>
      <c r="J259" t="s">
        <v>564</v>
      </c>
      <c r="K259" t="s">
        <v>41</v>
      </c>
      <c r="L259">
        <v>11</v>
      </c>
      <c r="N259" t="s">
        <v>28</v>
      </c>
    </row>
    <row r="260" spans="1:14" x14ac:dyDescent="0.3">
      <c r="A260">
        <v>1</v>
      </c>
      <c r="B260">
        <v>1</v>
      </c>
      <c r="C260" t="s">
        <v>565</v>
      </c>
      <c r="D260" t="s">
        <v>15</v>
      </c>
      <c r="E260">
        <v>30</v>
      </c>
      <c r="F260">
        <v>0</v>
      </c>
      <c r="G260">
        <v>0</v>
      </c>
      <c r="H260">
        <v>113798</v>
      </c>
      <c r="I260">
        <v>31</v>
      </c>
      <c r="K260" t="s">
        <v>41</v>
      </c>
      <c r="L260">
        <v>4</v>
      </c>
    </row>
    <row r="261" spans="1:14" x14ac:dyDescent="0.3">
      <c r="A261">
        <v>1</v>
      </c>
      <c r="B261">
        <v>1</v>
      </c>
      <c r="C261" t="s">
        <v>566</v>
      </c>
      <c r="D261" t="s">
        <v>20</v>
      </c>
      <c r="E261">
        <v>34</v>
      </c>
      <c r="F261">
        <v>0</v>
      </c>
      <c r="G261">
        <v>0</v>
      </c>
      <c r="H261">
        <v>113794</v>
      </c>
      <c r="I261">
        <v>26.55</v>
      </c>
      <c r="K261" t="s">
        <v>17</v>
      </c>
      <c r="L261">
        <v>7</v>
      </c>
      <c r="N261" t="s">
        <v>28</v>
      </c>
    </row>
    <row r="262" spans="1:14" x14ac:dyDescent="0.3">
      <c r="A262">
        <v>1</v>
      </c>
      <c r="B262">
        <v>1</v>
      </c>
      <c r="C262" t="s">
        <v>567</v>
      </c>
      <c r="D262" t="s">
        <v>15</v>
      </c>
      <c r="E262">
        <v>40</v>
      </c>
      <c r="F262">
        <v>0</v>
      </c>
      <c r="G262">
        <v>0</v>
      </c>
      <c r="H262" t="s">
        <v>322</v>
      </c>
      <c r="I262">
        <v>153.46250000000001</v>
      </c>
      <c r="J262" t="s">
        <v>325</v>
      </c>
      <c r="K262" t="s">
        <v>17</v>
      </c>
      <c r="L262">
        <v>3</v>
      </c>
      <c r="N262" t="s">
        <v>568</v>
      </c>
    </row>
    <row r="263" spans="1:14" x14ac:dyDescent="0.3">
      <c r="A263">
        <v>1</v>
      </c>
      <c r="B263">
        <v>1</v>
      </c>
      <c r="C263" t="s">
        <v>569</v>
      </c>
      <c r="D263" t="s">
        <v>20</v>
      </c>
      <c r="E263">
        <v>35</v>
      </c>
      <c r="F263">
        <v>0</v>
      </c>
      <c r="G263">
        <v>0</v>
      </c>
      <c r="H263" t="s">
        <v>570</v>
      </c>
      <c r="I263">
        <v>26.287500000000001</v>
      </c>
      <c r="J263" t="s">
        <v>137</v>
      </c>
      <c r="K263" t="s">
        <v>17</v>
      </c>
      <c r="L263">
        <v>5</v>
      </c>
      <c r="N263" t="s">
        <v>18</v>
      </c>
    </row>
    <row r="264" spans="1:14" x14ac:dyDescent="0.3">
      <c r="A264">
        <v>1</v>
      </c>
      <c r="B264">
        <v>0</v>
      </c>
      <c r="C264" t="s">
        <v>571</v>
      </c>
      <c r="D264" t="s">
        <v>20</v>
      </c>
      <c r="E264">
        <v>50</v>
      </c>
      <c r="F264">
        <v>1</v>
      </c>
      <c r="G264">
        <v>0</v>
      </c>
      <c r="H264">
        <v>13507</v>
      </c>
      <c r="I264">
        <v>55.9</v>
      </c>
      <c r="J264" t="s">
        <v>572</v>
      </c>
      <c r="K264" t="s">
        <v>17</v>
      </c>
      <c r="N264" t="s">
        <v>573</v>
      </c>
    </row>
    <row r="265" spans="1:14" x14ac:dyDescent="0.3">
      <c r="A265">
        <v>1</v>
      </c>
      <c r="B265">
        <v>1</v>
      </c>
      <c r="C265" t="s">
        <v>574</v>
      </c>
      <c r="D265" t="s">
        <v>15</v>
      </c>
      <c r="E265">
        <v>39</v>
      </c>
      <c r="F265">
        <v>1</v>
      </c>
      <c r="G265">
        <v>0</v>
      </c>
      <c r="H265">
        <v>13507</v>
      </c>
      <c r="I265">
        <v>55.9</v>
      </c>
      <c r="J265" t="s">
        <v>572</v>
      </c>
      <c r="K265" t="s">
        <v>17</v>
      </c>
      <c r="L265">
        <v>11</v>
      </c>
      <c r="N265" t="s">
        <v>573</v>
      </c>
    </row>
    <row r="266" spans="1:14" x14ac:dyDescent="0.3">
      <c r="A266">
        <v>1</v>
      </c>
      <c r="B266">
        <v>1</v>
      </c>
      <c r="C266" t="s">
        <v>575</v>
      </c>
      <c r="D266" t="s">
        <v>20</v>
      </c>
      <c r="E266">
        <v>56</v>
      </c>
      <c r="F266">
        <v>0</v>
      </c>
      <c r="G266">
        <v>0</v>
      </c>
      <c r="H266">
        <v>13213</v>
      </c>
      <c r="I266">
        <v>35.5</v>
      </c>
      <c r="J266" t="s">
        <v>576</v>
      </c>
      <c r="K266" t="s">
        <v>41</v>
      </c>
      <c r="L266">
        <v>3</v>
      </c>
      <c r="N266" t="s">
        <v>577</v>
      </c>
    </row>
    <row r="267" spans="1:14" x14ac:dyDescent="0.3">
      <c r="A267">
        <v>1</v>
      </c>
      <c r="B267">
        <v>1</v>
      </c>
      <c r="C267" t="s">
        <v>578</v>
      </c>
      <c r="D267" t="s">
        <v>20</v>
      </c>
      <c r="E267">
        <v>28</v>
      </c>
      <c r="F267">
        <v>0</v>
      </c>
      <c r="G267">
        <v>0</v>
      </c>
      <c r="H267">
        <v>113788</v>
      </c>
      <c r="I267">
        <v>35.5</v>
      </c>
      <c r="J267" t="s">
        <v>579</v>
      </c>
      <c r="K267" t="s">
        <v>17</v>
      </c>
      <c r="L267">
        <v>7</v>
      </c>
      <c r="N267" t="s">
        <v>580</v>
      </c>
    </row>
    <row r="268" spans="1:14" x14ac:dyDescent="0.3">
      <c r="A268">
        <v>1</v>
      </c>
      <c r="B268">
        <v>0</v>
      </c>
      <c r="C268" t="s">
        <v>581</v>
      </c>
      <c r="D268" t="s">
        <v>20</v>
      </c>
      <c r="E268">
        <v>56</v>
      </c>
      <c r="F268">
        <v>0</v>
      </c>
      <c r="G268">
        <v>0</v>
      </c>
      <c r="H268">
        <v>113792</v>
      </c>
      <c r="I268">
        <v>26.55</v>
      </c>
      <c r="K268" t="s">
        <v>17</v>
      </c>
      <c r="N268" t="s">
        <v>28</v>
      </c>
    </row>
    <row r="269" spans="1:14" x14ac:dyDescent="0.3">
      <c r="A269">
        <v>1</v>
      </c>
      <c r="B269">
        <v>0</v>
      </c>
      <c r="C269" t="s">
        <v>582</v>
      </c>
      <c r="D269" t="s">
        <v>20</v>
      </c>
      <c r="E269">
        <v>56</v>
      </c>
      <c r="F269">
        <v>0</v>
      </c>
      <c r="G269">
        <v>0</v>
      </c>
      <c r="H269">
        <v>17764</v>
      </c>
      <c r="I269">
        <v>30.695799999999998</v>
      </c>
      <c r="J269" t="s">
        <v>583</v>
      </c>
      <c r="K269" t="s">
        <v>41</v>
      </c>
      <c r="N269" t="s">
        <v>584</v>
      </c>
    </row>
    <row r="270" spans="1:14" x14ac:dyDescent="0.3">
      <c r="A270">
        <v>1</v>
      </c>
      <c r="B270">
        <v>0</v>
      </c>
      <c r="C270" t="s">
        <v>585</v>
      </c>
      <c r="D270" t="s">
        <v>20</v>
      </c>
      <c r="E270">
        <v>24</v>
      </c>
      <c r="F270">
        <v>1</v>
      </c>
      <c r="G270">
        <v>0</v>
      </c>
      <c r="H270">
        <v>13695</v>
      </c>
      <c r="I270">
        <v>60</v>
      </c>
      <c r="J270" t="s">
        <v>586</v>
      </c>
      <c r="K270" t="s">
        <v>17</v>
      </c>
      <c r="N270" t="s">
        <v>587</v>
      </c>
    </row>
    <row r="271" spans="1:14" x14ac:dyDescent="0.3">
      <c r="A271">
        <v>1</v>
      </c>
      <c r="B271">
        <v>0</v>
      </c>
      <c r="C271" t="s">
        <v>588</v>
      </c>
      <c r="D271" t="s">
        <v>20</v>
      </c>
      <c r="F271">
        <v>0</v>
      </c>
      <c r="G271">
        <v>0</v>
      </c>
      <c r="H271">
        <v>113056</v>
      </c>
      <c r="I271">
        <v>26</v>
      </c>
      <c r="J271" t="s">
        <v>589</v>
      </c>
      <c r="K271" t="s">
        <v>17</v>
      </c>
      <c r="N271" t="s">
        <v>590</v>
      </c>
    </row>
    <row r="272" spans="1:14" x14ac:dyDescent="0.3">
      <c r="A272">
        <v>1</v>
      </c>
      <c r="B272">
        <v>1</v>
      </c>
      <c r="C272" t="s">
        <v>591</v>
      </c>
      <c r="D272" t="s">
        <v>15</v>
      </c>
      <c r="E272">
        <v>18</v>
      </c>
      <c r="F272">
        <v>1</v>
      </c>
      <c r="G272">
        <v>0</v>
      </c>
      <c r="H272">
        <v>13695</v>
      </c>
      <c r="I272">
        <v>60</v>
      </c>
      <c r="J272" t="s">
        <v>586</v>
      </c>
      <c r="K272" t="s">
        <v>17</v>
      </c>
      <c r="L272">
        <v>6</v>
      </c>
      <c r="N272" t="s">
        <v>587</v>
      </c>
    </row>
    <row r="273" spans="1:14" x14ac:dyDescent="0.3">
      <c r="A273">
        <v>1</v>
      </c>
      <c r="B273">
        <v>1</v>
      </c>
      <c r="C273" t="s">
        <v>592</v>
      </c>
      <c r="D273" t="s">
        <v>20</v>
      </c>
      <c r="E273">
        <v>24</v>
      </c>
      <c r="F273">
        <v>1</v>
      </c>
      <c r="G273">
        <v>0</v>
      </c>
      <c r="H273">
        <v>21228</v>
      </c>
      <c r="I273">
        <v>82.2667</v>
      </c>
      <c r="J273" t="s">
        <v>593</v>
      </c>
      <c r="K273" t="s">
        <v>17</v>
      </c>
      <c r="L273">
        <v>7</v>
      </c>
      <c r="N273" t="s">
        <v>594</v>
      </c>
    </row>
    <row r="274" spans="1:14" x14ac:dyDescent="0.3">
      <c r="A274">
        <v>1</v>
      </c>
      <c r="B274">
        <v>1</v>
      </c>
      <c r="C274" t="s">
        <v>595</v>
      </c>
      <c r="D274" t="s">
        <v>15</v>
      </c>
      <c r="E274">
        <v>23</v>
      </c>
      <c r="F274">
        <v>1</v>
      </c>
      <c r="G274">
        <v>0</v>
      </c>
      <c r="H274">
        <v>21228</v>
      </c>
      <c r="I274">
        <v>82.2667</v>
      </c>
      <c r="J274" t="s">
        <v>593</v>
      </c>
      <c r="K274" t="s">
        <v>17</v>
      </c>
      <c r="L274">
        <v>7</v>
      </c>
      <c r="N274" t="s">
        <v>594</v>
      </c>
    </row>
    <row r="275" spans="1:14" x14ac:dyDescent="0.3">
      <c r="A275">
        <v>1</v>
      </c>
      <c r="B275">
        <v>1</v>
      </c>
      <c r="C275" t="s">
        <v>596</v>
      </c>
      <c r="D275" t="s">
        <v>20</v>
      </c>
      <c r="E275">
        <v>6</v>
      </c>
      <c r="F275">
        <v>0</v>
      </c>
      <c r="G275">
        <v>2</v>
      </c>
      <c r="H275">
        <v>16966</v>
      </c>
      <c r="I275">
        <v>134.5</v>
      </c>
      <c r="J275" t="s">
        <v>597</v>
      </c>
      <c r="K275" t="s">
        <v>41</v>
      </c>
      <c r="L275">
        <v>3</v>
      </c>
      <c r="N275" t="s">
        <v>598</v>
      </c>
    </row>
    <row r="276" spans="1:14" x14ac:dyDescent="0.3">
      <c r="A276">
        <v>1</v>
      </c>
      <c r="B276">
        <v>1</v>
      </c>
      <c r="C276" t="s">
        <v>599</v>
      </c>
      <c r="D276" t="s">
        <v>20</v>
      </c>
      <c r="E276">
        <v>45</v>
      </c>
      <c r="F276">
        <v>1</v>
      </c>
      <c r="G276">
        <v>1</v>
      </c>
      <c r="H276">
        <v>16966</v>
      </c>
      <c r="I276">
        <v>134.5</v>
      </c>
      <c r="J276" t="s">
        <v>597</v>
      </c>
      <c r="K276" t="s">
        <v>41</v>
      </c>
      <c r="L276">
        <v>3</v>
      </c>
      <c r="N276" t="s">
        <v>598</v>
      </c>
    </row>
    <row r="277" spans="1:14" x14ac:dyDescent="0.3">
      <c r="A277">
        <v>1</v>
      </c>
      <c r="B277">
        <v>1</v>
      </c>
      <c r="C277" t="s">
        <v>600</v>
      </c>
      <c r="D277" t="s">
        <v>15</v>
      </c>
      <c r="E277">
        <v>40</v>
      </c>
      <c r="F277">
        <v>1</v>
      </c>
      <c r="G277">
        <v>1</v>
      </c>
      <c r="H277">
        <v>16966</v>
      </c>
      <c r="I277">
        <v>134.5</v>
      </c>
      <c r="J277" t="s">
        <v>597</v>
      </c>
      <c r="K277" t="s">
        <v>41</v>
      </c>
      <c r="L277">
        <v>3</v>
      </c>
      <c r="N277" t="s">
        <v>598</v>
      </c>
    </row>
    <row r="278" spans="1:14" x14ac:dyDescent="0.3">
      <c r="A278">
        <v>1</v>
      </c>
      <c r="B278">
        <v>0</v>
      </c>
      <c r="C278" t="s">
        <v>601</v>
      </c>
      <c r="D278" t="s">
        <v>20</v>
      </c>
      <c r="E278">
        <v>57</v>
      </c>
      <c r="F278">
        <v>1</v>
      </c>
      <c r="G278">
        <v>0</v>
      </c>
      <c r="H278" t="s">
        <v>432</v>
      </c>
      <c r="I278">
        <v>146.52080000000001</v>
      </c>
      <c r="J278" t="s">
        <v>602</v>
      </c>
      <c r="K278" t="s">
        <v>41</v>
      </c>
      <c r="N278" t="s">
        <v>50</v>
      </c>
    </row>
    <row r="279" spans="1:14" x14ac:dyDescent="0.3">
      <c r="A279">
        <v>1</v>
      </c>
      <c r="B279">
        <v>1</v>
      </c>
      <c r="C279" t="s">
        <v>603</v>
      </c>
      <c r="D279" t="s">
        <v>15</v>
      </c>
      <c r="F279">
        <v>1</v>
      </c>
      <c r="G279">
        <v>0</v>
      </c>
      <c r="H279" t="s">
        <v>432</v>
      </c>
      <c r="I279">
        <v>146.52080000000001</v>
      </c>
      <c r="J279" t="s">
        <v>602</v>
      </c>
      <c r="K279" t="s">
        <v>41</v>
      </c>
      <c r="L279">
        <v>6</v>
      </c>
      <c r="N279" t="s">
        <v>50</v>
      </c>
    </row>
    <row r="280" spans="1:14" x14ac:dyDescent="0.3">
      <c r="A280">
        <v>1</v>
      </c>
      <c r="B280">
        <v>1</v>
      </c>
      <c r="C280" t="s">
        <v>604</v>
      </c>
      <c r="D280" t="s">
        <v>20</v>
      </c>
      <c r="E280">
        <v>32</v>
      </c>
      <c r="F280">
        <v>0</v>
      </c>
      <c r="G280">
        <v>0</v>
      </c>
      <c r="H280">
        <v>13214</v>
      </c>
      <c r="I280">
        <v>30.5</v>
      </c>
      <c r="J280" t="s">
        <v>605</v>
      </c>
      <c r="K280" t="s">
        <v>41</v>
      </c>
      <c r="L280">
        <v>3</v>
      </c>
      <c r="N280" t="s">
        <v>577</v>
      </c>
    </row>
    <row r="281" spans="1:14" x14ac:dyDescent="0.3">
      <c r="A281">
        <v>1</v>
      </c>
      <c r="B281">
        <v>0</v>
      </c>
      <c r="C281" t="s">
        <v>606</v>
      </c>
      <c r="D281" t="s">
        <v>20</v>
      </c>
      <c r="E281">
        <v>62</v>
      </c>
      <c r="F281">
        <v>0</v>
      </c>
      <c r="G281">
        <v>0</v>
      </c>
      <c r="H281">
        <v>113514</v>
      </c>
      <c r="I281">
        <v>26.55</v>
      </c>
      <c r="J281" t="s">
        <v>607</v>
      </c>
      <c r="K281" t="s">
        <v>17</v>
      </c>
      <c r="N281" t="s">
        <v>608</v>
      </c>
    </row>
    <row r="282" spans="1:14" x14ac:dyDescent="0.3">
      <c r="A282">
        <v>1</v>
      </c>
      <c r="B282">
        <v>1</v>
      </c>
      <c r="C282" t="s">
        <v>609</v>
      </c>
      <c r="D282" t="s">
        <v>20</v>
      </c>
      <c r="E282">
        <v>54</v>
      </c>
      <c r="F282">
        <v>1</v>
      </c>
      <c r="G282">
        <v>0</v>
      </c>
      <c r="H282">
        <v>11778</v>
      </c>
      <c r="I282">
        <v>55.441699999999997</v>
      </c>
      <c r="J282" t="s">
        <v>610</v>
      </c>
      <c r="K282" t="s">
        <v>41</v>
      </c>
      <c r="L282">
        <v>1</v>
      </c>
      <c r="N282" t="s">
        <v>611</v>
      </c>
    </row>
    <row r="283" spans="1:14" x14ac:dyDescent="0.3">
      <c r="A283">
        <v>1</v>
      </c>
      <c r="B283">
        <v>1</v>
      </c>
      <c r="C283" t="s">
        <v>612</v>
      </c>
      <c r="D283" t="s">
        <v>15</v>
      </c>
      <c r="E283">
        <v>43</v>
      </c>
      <c r="F283">
        <v>1</v>
      </c>
      <c r="G283">
        <v>0</v>
      </c>
      <c r="H283">
        <v>11778</v>
      </c>
      <c r="I283">
        <v>55.441699999999997</v>
      </c>
      <c r="J283" t="s">
        <v>610</v>
      </c>
      <c r="K283" t="s">
        <v>41</v>
      </c>
      <c r="L283">
        <v>5</v>
      </c>
      <c r="N283" t="s">
        <v>611</v>
      </c>
    </row>
    <row r="284" spans="1:14" x14ac:dyDescent="0.3">
      <c r="A284">
        <v>1</v>
      </c>
      <c r="B284">
        <v>1</v>
      </c>
      <c r="C284" t="s">
        <v>613</v>
      </c>
      <c r="D284" t="s">
        <v>15</v>
      </c>
      <c r="E284">
        <v>52</v>
      </c>
      <c r="F284">
        <v>1</v>
      </c>
      <c r="G284">
        <v>0</v>
      </c>
      <c r="H284">
        <v>36947</v>
      </c>
      <c r="I284">
        <v>78.2667</v>
      </c>
      <c r="J284" t="s">
        <v>253</v>
      </c>
      <c r="K284" t="s">
        <v>41</v>
      </c>
      <c r="L284">
        <v>4</v>
      </c>
      <c r="N284" t="s">
        <v>614</v>
      </c>
    </row>
    <row r="285" spans="1:14" x14ac:dyDescent="0.3">
      <c r="A285">
        <v>1</v>
      </c>
      <c r="B285">
        <v>0</v>
      </c>
      <c r="C285" t="s">
        <v>615</v>
      </c>
      <c r="D285" t="s">
        <v>20</v>
      </c>
      <c r="F285">
        <v>0</v>
      </c>
      <c r="G285">
        <v>0</v>
      </c>
      <c r="H285" t="s">
        <v>616</v>
      </c>
      <c r="I285">
        <v>27.720800000000001</v>
      </c>
      <c r="K285" t="s">
        <v>41</v>
      </c>
      <c r="N285" t="s">
        <v>617</v>
      </c>
    </row>
    <row r="286" spans="1:14" x14ac:dyDescent="0.3">
      <c r="A286">
        <v>1</v>
      </c>
      <c r="B286">
        <v>1</v>
      </c>
      <c r="C286" t="s">
        <v>618</v>
      </c>
      <c r="D286" t="s">
        <v>15</v>
      </c>
      <c r="E286">
        <v>62</v>
      </c>
      <c r="F286">
        <v>0</v>
      </c>
      <c r="G286">
        <v>0</v>
      </c>
      <c r="H286">
        <v>113572</v>
      </c>
      <c r="I286">
        <v>80</v>
      </c>
      <c r="J286" t="s">
        <v>380</v>
      </c>
      <c r="L286">
        <v>6</v>
      </c>
      <c r="N286" t="s">
        <v>619</v>
      </c>
    </row>
    <row r="287" spans="1:14" x14ac:dyDescent="0.3">
      <c r="A287">
        <v>1</v>
      </c>
      <c r="B287">
        <v>0</v>
      </c>
      <c r="C287" t="s">
        <v>620</v>
      </c>
      <c r="D287" t="s">
        <v>20</v>
      </c>
      <c r="E287">
        <v>67</v>
      </c>
      <c r="F287">
        <v>1</v>
      </c>
      <c r="G287">
        <v>0</v>
      </c>
      <c r="H287" t="s">
        <v>76</v>
      </c>
      <c r="I287">
        <v>221.7792</v>
      </c>
      <c r="J287" t="s">
        <v>621</v>
      </c>
      <c r="K287" t="s">
        <v>17</v>
      </c>
      <c r="M287">
        <v>96</v>
      </c>
      <c r="N287" t="s">
        <v>28</v>
      </c>
    </row>
    <row r="288" spans="1:14" x14ac:dyDescent="0.3">
      <c r="A288">
        <v>1</v>
      </c>
      <c r="B288">
        <v>0</v>
      </c>
      <c r="C288" t="s">
        <v>622</v>
      </c>
      <c r="D288" t="s">
        <v>15</v>
      </c>
      <c r="E288">
        <v>63</v>
      </c>
      <c r="F288">
        <v>1</v>
      </c>
      <c r="G288">
        <v>0</v>
      </c>
      <c r="H288" t="s">
        <v>76</v>
      </c>
      <c r="I288">
        <v>221.7792</v>
      </c>
      <c r="J288" t="s">
        <v>621</v>
      </c>
      <c r="K288" t="s">
        <v>17</v>
      </c>
      <c r="N288" t="s">
        <v>28</v>
      </c>
    </row>
    <row r="289" spans="1:14" x14ac:dyDescent="0.3">
      <c r="A289">
        <v>1</v>
      </c>
      <c r="B289">
        <v>0</v>
      </c>
      <c r="C289" t="s">
        <v>623</v>
      </c>
      <c r="D289" t="s">
        <v>20</v>
      </c>
      <c r="E289">
        <v>61</v>
      </c>
      <c r="F289">
        <v>0</v>
      </c>
      <c r="G289">
        <v>0</v>
      </c>
      <c r="H289">
        <v>36963</v>
      </c>
      <c r="I289">
        <v>32.320799999999998</v>
      </c>
      <c r="J289" t="s">
        <v>624</v>
      </c>
      <c r="K289" t="s">
        <v>17</v>
      </c>
      <c r="M289">
        <v>46</v>
      </c>
      <c r="N289" t="s">
        <v>625</v>
      </c>
    </row>
    <row r="290" spans="1:14" x14ac:dyDescent="0.3">
      <c r="A290">
        <v>1</v>
      </c>
      <c r="B290">
        <v>1</v>
      </c>
      <c r="C290" t="s">
        <v>626</v>
      </c>
      <c r="D290" t="s">
        <v>15</v>
      </c>
      <c r="E290">
        <v>48</v>
      </c>
      <c r="F290">
        <v>0</v>
      </c>
      <c r="G290">
        <v>0</v>
      </c>
      <c r="H290">
        <v>17466</v>
      </c>
      <c r="I290">
        <v>25.929200000000002</v>
      </c>
      <c r="J290" t="s">
        <v>411</v>
      </c>
      <c r="K290" t="s">
        <v>17</v>
      </c>
      <c r="L290">
        <v>8</v>
      </c>
      <c r="N290" t="s">
        <v>266</v>
      </c>
    </row>
    <row r="291" spans="1:14" x14ac:dyDescent="0.3">
      <c r="A291">
        <v>1</v>
      </c>
      <c r="B291">
        <v>1</v>
      </c>
      <c r="C291" t="s">
        <v>627</v>
      </c>
      <c r="D291" t="s">
        <v>15</v>
      </c>
      <c r="E291">
        <v>18</v>
      </c>
      <c r="F291">
        <v>0</v>
      </c>
      <c r="G291">
        <v>2</v>
      </c>
      <c r="H291">
        <v>110413</v>
      </c>
      <c r="I291">
        <v>79.650000000000006</v>
      </c>
      <c r="J291" t="s">
        <v>628</v>
      </c>
      <c r="K291" t="s">
        <v>17</v>
      </c>
      <c r="L291">
        <v>8</v>
      </c>
      <c r="N291" t="s">
        <v>28</v>
      </c>
    </row>
    <row r="292" spans="1:14" x14ac:dyDescent="0.3">
      <c r="A292">
        <v>1</v>
      </c>
      <c r="B292">
        <v>0</v>
      </c>
      <c r="C292" t="s">
        <v>629</v>
      </c>
      <c r="D292" t="s">
        <v>20</v>
      </c>
      <c r="E292">
        <v>52</v>
      </c>
      <c r="F292">
        <v>1</v>
      </c>
      <c r="G292">
        <v>1</v>
      </c>
      <c r="H292">
        <v>110413</v>
      </c>
      <c r="I292">
        <v>79.650000000000006</v>
      </c>
      <c r="J292" t="s">
        <v>630</v>
      </c>
      <c r="K292" t="s">
        <v>17</v>
      </c>
      <c r="N292" t="s">
        <v>28</v>
      </c>
    </row>
    <row r="293" spans="1:14" x14ac:dyDescent="0.3">
      <c r="A293">
        <v>1</v>
      </c>
      <c r="B293">
        <v>1</v>
      </c>
      <c r="C293" t="s">
        <v>631</v>
      </c>
      <c r="D293" t="s">
        <v>15</v>
      </c>
      <c r="E293">
        <v>39</v>
      </c>
      <c r="F293">
        <v>1</v>
      </c>
      <c r="G293">
        <v>1</v>
      </c>
      <c r="H293">
        <v>110413</v>
      </c>
      <c r="I293">
        <v>79.650000000000006</v>
      </c>
      <c r="J293" t="s">
        <v>630</v>
      </c>
      <c r="K293" t="s">
        <v>17</v>
      </c>
      <c r="L293">
        <v>8</v>
      </c>
      <c r="N293" t="s">
        <v>28</v>
      </c>
    </row>
    <row r="294" spans="1:14" x14ac:dyDescent="0.3">
      <c r="A294">
        <v>1</v>
      </c>
      <c r="B294">
        <v>1</v>
      </c>
      <c r="C294" t="s">
        <v>632</v>
      </c>
      <c r="D294" t="s">
        <v>20</v>
      </c>
      <c r="E294">
        <v>48</v>
      </c>
      <c r="F294">
        <v>1</v>
      </c>
      <c r="G294">
        <v>0</v>
      </c>
      <c r="H294">
        <v>19996</v>
      </c>
      <c r="I294">
        <v>52</v>
      </c>
      <c r="J294" t="s">
        <v>633</v>
      </c>
      <c r="K294" t="s">
        <v>17</v>
      </c>
      <c r="L294" t="s">
        <v>634</v>
      </c>
      <c r="N294" t="s">
        <v>635</v>
      </c>
    </row>
    <row r="295" spans="1:14" x14ac:dyDescent="0.3">
      <c r="A295">
        <v>1</v>
      </c>
      <c r="B295">
        <v>1</v>
      </c>
      <c r="C295" t="s">
        <v>636</v>
      </c>
      <c r="D295" t="s">
        <v>15</v>
      </c>
      <c r="F295">
        <v>1</v>
      </c>
      <c r="G295">
        <v>0</v>
      </c>
      <c r="H295">
        <v>19996</v>
      </c>
      <c r="I295">
        <v>52</v>
      </c>
      <c r="J295" t="s">
        <v>633</v>
      </c>
      <c r="K295" t="s">
        <v>17</v>
      </c>
      <c r="L295" t="s">
        <v>634</v>
      </c>
      <c r="N295" t="s">
        <v>635</v>
      </c>
    </row>
    <row r="296" spans="1:14" x14ac:dyDescent="0.3">
      <c r="A296">
        <v>1</v>
      </c>
      <c r="B296">
        <v>0</v>
      </c>
      <c r="C296" t="s">
        <v>637</v>
      </c>
      <c r="D296" t="s">
        <v>20</v>
      </c>
      <c r="E296">
        <v>49</v>
      </c>
      <c r="F296">
        <v>1</v>
      </c>
      <c r="G296">
        <v>1</v>
      </c>
      <c r="H296">
        <v>17421</v>
      </c>
      <c r="I296">
        <v>110.88330000000001</v>
      </c>
      <c r="J296" t="s">
        <v>638</v>
      </c>
      <c r="K296" t="s">
        <v>41</v>
      </c>
      <c r="N296" t="s">
        <v>614</v>
      </c>
    </row>
    <row r="297" spans="1:14" x14ac:dyDescent="0.3">
      <c r="A297">
        <v>1</v>
      </c>
      <c r="B297">
        <v>1</v>
      </c>
      <c r="C297" t="s">
        <v>639</v>
      </c>
      <c r="D297" t="s">
        <v>20</v>
      </c>
      <c r="E297">
        <v>17</v>
      </c>
      <c r="F297">
        <v>0</v>
      </c>
      <c r="G297">
        <v>2</v>
      </c>
      <c r="H297">
        <v>17421</v>
      </c>
      <c r="I297">
        <v>110.88330000000001</v>
      </c>
      <c r="J297" t="s">
        <v>640</v>
      </c>
      <c r="K297" t="s">
        <v>41</v>
      </c>
      <c r="L297" t="s">
        <v>54</v>
      </c>
      <c r="N297" t="s">
        <v>614</v>
      </c>
    </row>
    <row r="298" spans="1:14" x14ac:dyDescent="0.3">
      <c r="A298">
        <v>1</v>
      </c>
      <c r="B298">
        <v>1</v>
      </c>
      <c r="C298" t="s">
        <v>641</v>
      </c>
      <c r="D298" t="s">
        <v>15</v>
      </c>
      <c r="E298">
        <v>39</v>
      </c>
      <c r="F298">
        <v>1</v>
      </c>
      <c r="G298">
        <v>1</v>
      </c>
      <c r="H298">
        <v>17421</v>
      </c>
      <c r="I298">
        <v>110.88330000000001</v>
      </c>
      <c r="J298" t="s">
        <v>638</v>
      </c>
      <c r="K298" t="s">
        <v>41</v>
      </c>
      <c r="L298">
        <v>4</v>
      </c>
      <c r="N298" t="s">
        <v>614</v>
      </c>
    </row>
    <row r="299" spans="1:14" x14ac:dyDescent="0.3">
      <c r="A299">
        <v>1</v>
      </c>
      <c r="B299">
        <v>1</v>
      </c>
      <c r="C299" t="s">
        <v>642</v>
      </c>
      <c r="D299" t="s">
        <v>15</v>
      </c>
      <c r="F299">
        <v>0</v>
      </c>
      <c r="G299">
        <v>0</v>
      </c>
      <c r="H299" t="s">
        <v>543</v>
      </c>
      <c r="I299">
        <v>79.2</v>
      </c>
      <c r="K299" t="s">
        <v>41</v>
      </c>
      <c r="L299" t="s">
        <v>37</v>
      </c>
      <c r="N299" t="s">
        <v>28</v>
      </c>
    </row>
    <row r="300" spans="1:14" x14ac:dyDescent="0.3">
      <c r="A300">
        <v>1</v>
      </c>
      <c r="B300">
        <v>1</v>
      </c>
      <c r="C300" t="s">
        <v>643</v>
      </c>
      <c r="D300" t="s">
        <v>20</v>
      </c>
      <c r="E300">
        <v>31</v>
      </c>
      <c r="F300">
        <v>0</v>
      </c>
      <c r="G300">
        <v>0</v>
      </c>
      <c r="H300">
        <v>2543</v>
      </c>
      <c r="I300">
        <v>28.537500000000001</v>
      </c>
      <c r="J300" t="s">
        <v>644</v>
      </c>
      <c r="K300" t="s">
        <v>41</v>
      </c>
      <c r="L300">
        <v>7</v>
      </c>
      <c r="N300" t="s">
        <v>645</v>
      </c>
    </row>
    <row r="301" spans="1:14" x14ac:dyDescent="0.3">
      <c r="A301">
        <v>1</v>
      </c>
      <c r="B301">
        <v>0</v>
      </c>
      <c r="C301" t="s">
        <v>646</v>
      </c>
      <c r="D301" t="s">
        <v>20</v>
      </c>
      <c r="E301">
        <v>40</v>
      </c>
      <c r="F301">
        <v>0</v>
      </c>
      <c r="G301">
        <v>0</v>
      </c>
      <c r="H301" t="s">
        <v>647</v>
      </c>
      <c r="I301">
        <v>27.720800000000001</v>
      </c>
      <c r="K301" t="s">
        <v>41</v>
      </c>
      <c r="N301" t="s">
        <v>648</v>
      </c>
    </row>
    <row r="302" spans="1:14" x14ac:dyDescent="0.3">
      <c r="A302">
        <v>1</v>
      </c>
      <c r="B302">
        <v>0</v>
      </c>
      <c r="C302" t="s">
        <v>649</v>
      </c>
      <c r="D302" t="s">
        <v>20</v>
      </c>
      <c r="E302">
        <v>61</v>
      </c>
      <c r="F302">
        <v>0</v>
      </c>
      <c r="G302">
        <v>0</v>
      </c>
      <c r="H302">
        <v>111240</v>
      </c>
      <c r="I302">
        <v>33.5</v>
      </c>
      <c r="J302" t="s">
        <v>650</v>
      </c>
      <c r="K302" t="s">
        <v>17</v>
      </c>
      <c r="M302">
        <v>245</v>
      </c>
      <c r="N302" t="s">
        <v>266</v>
      </c>
    </row>
    <row r="303" spans="1:14" x14ac:dyDescent="0.3">
      <c r="A303">
        <v>1</v>
      </c>
      <c r="B303">
        <v>0</v>
      </c>
      <c r="C303" t="s">
        <v>651</v>
      </c>
      <c r="D303" t="s">
        <v>20</v>
      </c>
      <c r="E303">
        <v>47</v>
      </c>
      <c r="F303">
        <v>0</v>
      </c>
      <c r="G303">
        <v>0</v>
      </c>
      <c r="H303">
        <v>36967</v>
      </c>
      <c r="I303">
        <v>34.020800000000001</v>
      </c>
      <c r="J303" t="s">
        <v>652</v>
      </c>
      <c r="K303" t="s">
        <v>17</v>
      </c>
      <c r="N303" t="s">
        <v>653</v>
      </c>
    </row>
    <row r="304" spans="1:14" x14ac:dyDescent="0.3">
      <c r="A304">
        <v>1</v>
      </c>
      <c r="B304">
        <v>1</v>
      </c>
      <c r="C304" t="s">
        <v>654</v>
      </c>
      <c r="D304" t="s">
        <v>15</v>
      </c>
      <c r="E304">
        <v>35</v>
      </c>
      <c r="F304">
        <v>0</v>
      </c>
      <c r="G304">
        <v>0</v>
      </c>
      <c r="H304" t="s">
        <v>141</v>
      </c>
      <c r="I304">
        <v>512.32920000000001</v>
      </c>
      <c r="K304" t="s">
        <v>41</v>
      </c>
      <c r="L304">
        <v>3</v>
      </c>
    </row>
    <row r="305" spans="1:14" x14ac:dyDescent="0.3">
      <c r="A305">
        <v>1</v>
      </c>
      <c r="B305">
        <v>0</v>
      </c>
      <c r="C305" t="s">
        <v>655</v>
      </c>
      <c r="D305" t="s">
        <v>20</v>
      </c>
      <c r="E305">
        <v>64</v>
      </c>
      <c r="F305">
        <v>1</v>
      </c>
      <c r="G305">
        <v>0</v>
      </c>
      <c r="H305">
        <v>110813</v>
      </c>
      <c r="I305">
        <v>75.25</v>
      </c>
      <c r="J305" t="s">
        <v>656</v>
      </c>
      <c r="K305" t="s">
        <v>41</v>
      </c>
      <c r="N305" t="s">
        <v>408</v>
      </c>
    </row>
    <row r="306" spans="1:14" x14ac:dyDescent="0.3">
      <c r="A306">
        <v>1</v>
      </c>
      <c r="B306">
        <v>1</v>
      </c>
      <c r="C306" t="s">
        <v>657</v>
      </c>
      <c r="D306" t="s">
        <v>15</v>
      </c>
      <c r="E306">
        <v>60</v>
      </c>
      <c r="F306">
        <v>1</v>
      </c>
      <c r="G306">
        <v>0</v>
      </c>
      <c r="H306">
        <v>110813</v>
      </c>
      <c r="I306">
        <v>75.25</v>
      </c>
      <c r="J306" t="s">
        <v>656</v>
      </c>
      <c r="K306" t="s">
        <v>41</v>
      </c>
      <c r="L306">
        <v>5</v>
      </c>
      <c r="N306" t="s">
        <v>408</v>
      </c>
    </row>
    <row r="307" spans="1:14" x14ac:dyDescent="0.3">
      <c r="A307">
        <v>1</v>
      </c>
      <c r="B307">
        <v>0</v>
      </c>
      <c r="C307" t="s">
        <v>658</v>
      </c>
      <c r="D307" t="s">
        <v>20</v>
      </c>
      <c r="E307">
        <v>60</v>
      </c>
      <c r="F307">
        <v>0</v>
      </c>
      <c r="G307">
        <v>0</v>
      </c>
      <c r="H307">
        <v>113800</v>
      </c>
      <c r="I307">
        <v>26.55</v>
      </c>
      <c r="K307" t="s">
        <v>17</v>
      </c>
      <c r="N307" t="s">
        <v>659</v>
      </c>
    </row>
    <row r="308" spans="1:14" x14ac:dyDescent="0.3">
      <c r="A308">
        <v>1</v>
      </c>
      <c r="B308">
        <v>0</v>
      </c>
      <c r="C308" t="s">
        <v>660</v>
      </c>
      <c r="D308" t="s">
        <v>20</v>
      </c>
      <c r="E308">
        <v>54</v>
      </c>
      <c r="F308">
        <v>0</v>
      </c>
      <c r="G308">
        <v>1</v>
      </c>
      <c r="H308">
        <v>35281</v>
      </c>
      <c r="I308">
        <v>77.287499999999994</v>
      </c>
      <c r="J308" t="s">
        <v>661</v>
      </c>
      <c r="K308" t="s">
        <v>17</v>
      </c>
      <c r="N308" t="s">
        <v>662</v>
      </c>
    </row>
    <row r="309" spans="1:14" x14ac:dyDescent="0.3">
      <c r="A309">
        <v>1</v>
      </c>
      <c r="B309">
        <v>0</v>
      </c>
      <c r="C309" t="s">
        <v>663</v>
      </c>
      <c r="D309" t="s">
        <v>20</v>
      </c>
      <c r="E309">
        <v>21</v>
      </c>
      <c r="F309">
        <v>0</v>
      </c>
      <c r="G309">
        <v>1</v>
      </c>
      <c r="H309">
        <v>35281</v>
      </c>
      <c r="I309">
        <v>77.287499999999994</v>
      </c>
      <c r="J309" t="s">
        <v>661</v>
      </c>
      <c r="K309" t="s">
        <v>17</v>
      </c>
      <c r="M309">
        <v>169</v>
      </c>
      <c r="N309" t="s">
        <v>662</v>
      </c>
    </row>
    <row r="310" spans="1:14" x14ac:dyDescent="0.3">
      <c r="A310">
        <v>1</v>
      </c>
      <c r="B310">
        <v>1</v>
      </c>
      <c r="C310" t="s">
        <v>664</v>
      </c>
      <c r="D310" t="s">
        <v>15</v>
      </c>
      <c r="E310">
        <v>55</v>
      </c>
      <c r="F310">
        <v>0</v>
      </c>
      <c r="G310">
        <v>0</v>
      </c>
      <c r="H310" t="s">
        <v>85</v>
      </c>
      <c r="I310">
        <v>135.63329999999999</v>
      </c>
      <c r="J310" t="s">
        <v>665</v>
      </c>
      <c r="K310" t="s">
        <v>41</v>
      </c>
      <c r="L310">
        <v>8</v>
      </c>
      <c r="N310" t="s">
        <v>666</v>
      </c>
    </row>
    <row r="311" spans="1:14" x14ac:dyDescent="0.3">
      <c r="A311">
        <v>1</v>
      </c>
      <c r="B311">
        <v>1</v>
      </c>
      <c r="C311" t="s">
        <v>667</v>
      </c>
      <c r="D311" t="s">
        <v>15</v>
      </c>
      <c r="E311">
        <v>31</v>
      </c>
      <c r="F311">
        <v>0</v>
      </c>
      <c r="G311">
        <v>2</v>
      </c>
      <c r="H311">
        <v>36928</v>
      </c>
      <c r="I311">
        <v>164.86670000000001</v>
      </c>
      <c r="J311" t="s">
        <v>97</v>
      </c>
      <c r="K311" t="s">
        <v>17</v>
      </c>
      <c r="L311">
        <v>8</v>
      </c>
      <c r="N311" t="s">
        <v>98</v>
      </c>
    </row>
    <row r="312" spans="1:14" x14ac:dyDescent="0.3">
      <c r="A312">
        <v>1</v>
      </c>
      <c r="B312">
        <v>0</v>
      </c>
      <c r="C312" t="s">
        <v>668</v>
      </c>
      <c r="D312" t="s">
        <v>20</v>
      </c>
      <c r="E312">
        <v>57</v>
      </c>
      <c r="F312">
        <v>1</v>
      </c>
      <c r="G312">
        <v>1</v>
      </c>
      <c r="H312">
        <v>36928</v>
      </c>
      <c r="I312">
        <v>164.86670000000001</v>
      </c>
      <c r="K312" t="s">
        <v>17</v>
      </c>
      <c r="N312" t="s">
        <v>98</v>
      </c>
    </row>
    <row r="313" spans="1:14" x14ac:dyDescent="0.3">
      <c r="A313">
        <v>1</v>
      </c>
      <c r="B313">
        <v>1</v>
      </c>
      <c r="C313" t="s">
        <v>669</v>
      </c>
      <c r="D313" t="s">
        <v>15</v>
      </c>
      <c r="E313">
        <v>45</v>
      </c>
      <c r="F313">
        <v>1</v>
      </c>
      <c r="G313">
        <v>1</v>
      </c>
      <c r="H313">
        <v>36928</v>
      </c>
      <c r="I313">
        <v>164.86670000000001</v>
      </c>
      <c r="K313" t="s">
        <v>17</v>
      </c>
      <c r="L313">
        <v>8</v>
      </c>
      <c r="N313" t="s">
        <v>98</v>
      </c>
    </row>
    <row r="314" spans="1:14" x14ac:dyDescent="0.3">
      <c r="A314">
        <v>1</v>
      </c>
      <c r="B314">
        <v>0</v>
      </c>
      <c r="C314" t="s">
        <v>670</v>
      </c>
      <c r="D314" t="s">
        <v>20</v>
      </c>
      <c r="E314">
        <v>50</v>
      </c>
      <c r="F314">
        <v>1</v>
      </c>
      <c r="G314">
        <v>1</v>
      </c>
      <c r="H314">
        <v>113503</v>
      </c>
      <c r="I314">
        <v>211.5</v>
      </c>
      <c r="J314" t="s">
        <v>671</v>
      </c>
      <c r="K314" t="s">
        <v>41</v>
      </c>
      <c r="N314" t="s">
        <v>672</v>
      </c>
    </row>
    <row r="315" spans="1:14" x14ac:dyDescent="0.3">
      <c r="A315">
        <v>1</v>
      </c>
      <c r="B315">
        <v>0</v>
      </c>
      <c r="C315" t="s">
        <v>673</v>
      </c>
      <c r="D315" t="s">
        <v>20</v>
      </c>
      <c r="E315">
        <v>27</v>
      </c>
      <c r="F315">
        <v>0</v>
      </c>
      <c r="G315">
        <v>2</v>
      </c>
      <c r="H315">
        <v>113503</v>
      </c>
      <c r="I315">
        <v>211.5</v>
      </c>
      <c r="J315" t="s">
        <v>674</v>
      </c>
      <c r="K315" t="s">
        <v>41</v>
      </c>
      <c r="N315" t="s">
        <v>672</v>
      </c>
    </row>
    <row r="316" spans="1:14" x14ac:dyDescent="0.3">
      <c r="A316">
        <v>1</v>
      </c>
      <c r="B316">
        <v>1</v>
      </c>
      <c r="C316" t="s">
        <v>675</v>
      </c>
      <c r="D316" t="s">
        <v>15</v>
      </c>
      <c r="E316">
        <v>50</v>
      </c>
      <c r="F316">
        <v>1</v>
      </c>
      <c r="G316">
        <v>1</v>
      </c>
      <c r="H316">
        <v>113503</v>
      </c>
      <c r="I316">
        <v>211.5</v>
      </c>
      <c r="J316" t="s">
        <v>671</v>
      </c>
      <c r="K316" t="s">
        <v>41</v>
      </c>
      <c r="L316">
        <v>4</v>
      </c>
      <c r="N316" t="s">
        <v>672</v>
      </c>
    </row>
    <row r="317" spans="1:14" x14ac:dyDescent="0.3">
      <c r="A317">
        <v>1</v>
      </c>
      <c r="B317">
        <v>1</v>
      </c>
      <c r="C317" t="s">
        <v>676</v>
      </c>
      <c r="D317" t="s">
        <v>15</v>
      </c>
      <c r="E317">
        <v>21</v>
      </c>
      <c r="F317">
        <v>0</v>
      </c>
      <c r="G317">
        <v>0</v>
      </c>
      <c r="H317">
        <v>113795</v>
      </c>
      <c r="I317">
        <v>26.55</v>
      </c>
      <c r="K317" t="s">
        <v>17</v>
      </c>
      <c r="L317" t="s">
        <v>677</v>
      </c>
      <c r="N317" t="s">
        <v>573</v>
      </c>
    </row>
    <row r="318" spans="1:14" x14ac:dyDescent="0.3">
      <c r="A318">
        <v>1</v>
      </c>
      <c r="B318">
        <v>0</v>
      </c>
      <c r="C318" t="s">
        <v>678</v>
      </c>
      <c r="D318" t="s">
        <v>20</v>
      </c>
      <c r="E318">
        <v>51</v>
      </c>
      <c r="F318">
        <v>0</v>
      </c>
      <c r="G318">
        <v>1</v>
      </c>
      <c r="H318" t="s">
        <v>679</v>
      </c>
      <c r="I318">
        <v>61.379199999999997</v>
      </c>
      <c r="K318" t="s">
        <v>41</v>
      </c>
      <c r="N318" t="s">
        <v>680</v>
      </c>
    </row>
    <row r="319" spans="1:14" x14ac:dyDescent="0.3">
      <c r="A319">
        <v>1</v>
      </c>
      <c r="B319">
        <v>1</v>
      </c>
      <c r="C319" t="s">
        <v>681</v>
      </c>
      <c r="D319" t="s">
        <v>20</v>
      </c>
      <c r="E319">
        <v>21</v>
      </c>
      <c r="F319">
        <v>0</v>
      </c>
      <c r="G319">
        <v>1</v>
      </c>
      <c r="H319" t="s">
        <v>679</v>
      </c>
      <c r="I319">
        <v>61.379199999999997</v>
      </c>
      <c r="K319" t="s">
        <v>41</v>
      </c>
      <c r="L319" t="s">
        <v>67</v>
      </c>
      <c r="N319" t="s">
        <v>680</v>
      </c>
    </row>
    <row r="320" spans="1:14" x14ac:dyDescent="0.3">
      <c r="A320">
        <v>1</v>
      </c>
      <c r="B320">
        <v>0</v>
      </c>
      <c r="C320" t="s">
        <v>682</v>
      </c>
      <c r="D320" t="s">
        <v>20</v>
      </c>
      <c r="F320">
        <v>0</v>
      </c>
      <c r="G320">
        <v>0</v>
      </c>
      <c r="H320">
        <v>113510</v>
      </c>
      <c r="I320">
        <v>35</v>
      </c>
      <c r="J320" t="s">
        <v>683</v>
      </c>
      <c r="K320" t="s">
        <v>17</v>
      </c>
      <c r="N320" t="s">
        <v>175</v>
      </c>
    </row>
    <row r="321" spans="1:14" x14ac:dyDescent="0.3">
      <c r="A321">
        <v>1</v>
      </c>
      <c r="B321">
        <v>1</v>
      </c>
      <c r="C321" t="s">
        <v>684</v>
      </c>
      <c r="D321" t="s">
        <v>15</v>
      </c>
      <c r="E321">
        <v>31</v>
      </c>
      <c r="F321">
        <v>0</v>
      </c>
      <c r="G321">
        <v>0</v>
      </c>
      <c r="H321">
        <v>16966</v>
      </c>
      <c r="I321">
        <v>134.5</v>
      </c>
      <c r="J321" t="s">
        <v>685</v>
      </c>
      <c r="K321" t="s">
        <v>41</v>
      </c>
      <c r="L321">
        <v>3</v>
      </c>
    </row>
    <row r="322" spans="1:14" x14ac:dyDescent="0.3">
      <c r="A322">
        <v>1</v>
      </c>
      <c r="B322">
        <v>1</v>
      </c>
      <c r="C322" t="s">
        <v>686</v>
      </c>
      <c r="D322" t="s">
        <v>20</v>
      </c>
      <c r="F322">
        <v>0</v>
      </c>
      <c r="G322">
        <v>0</v>
      </c>
      <c r="H322">
        <v>19947</v>
      </c>
      <c r="I322">
        <v>35.5</v>
      </c>
      <c r="J322" t="s">
        <v>88</v>
      </c>
      <c r="K322" t="s">
        <v>17</v>
      </c>
      <c r="L322" t="s">
        <v>37</v>
      </c>
      <c r="N322" t="s">
        <v>175</v>
      </c>
    </row>
    <row r="323" spans="1:14" x14ac:dyDescent="0.3">
      <c r="A323">
        <v>1</v>
      </c>
      <c r="B323">
        <v>0</v>
      </c>
      <c r="C323" t="s">
        <v>687</v>
      </c>
      <c r="D323" t="s">
        <v>20</v>
      </c>
      <c r="E323">
        <v>62</v>
      </c>
      <c r="F323">
        <v>0</v>
      </c>
      <c r="G323">
        <v>0</v>
      </c>
      <c r="H323">
        <v>113807</v>
      </c>
      <c r="I323">
        <v>26.55</v>
      </c>
      <c r="K323" t="s">
        <v>17</v>
      </c>
      <c r="N323" t="s">
        <v>688</v>
      </c>
    </row>
    <row r="324" spans="1:14" x14ac:dyDescent="0.3">
      <c r="A324">
        <v>1</v>
      </c>
      <c r="B324">
        <v>1</v>
      </c>
      <c r="C324" t="s">
        <v>689</v>
      </c>
      <c r="D324" t="s">
        <v>15</v>
      </c>
      <c r="E324">
        <v>36</v>
      </c>
      <c r="F324">
        <v>0</v>
      </c>
      <c r="G324">
        <v>0</v>
      </c>
      <c r="H324" t="s">
        <v>85</v>
      </c>
      <c r="I324">
        <v>135.63329999999999</v>
      </c>
      <c r="J324" t="s">
        <v>665</v>
      </c>
      <c r="K324" t="s">
        <v>41</v>
      </c>
      <c r="L324">
        <v>8</v>
      </c>
      <c r="N324" t="s">
        <v>690</v>
      </c>
    </row>
    <row r="325" spans="1:14" x14ac:dyDescent="0.3">
      <c r="A325">
        <v>2</v>
      </c>
      <c r="B325">
        <v>0</v>
      </c>
      <c r="C325" t="s">
        <v>691</v>
      </c>
      <c r="D325" t="s">
        <v>20</v>
      </c>
      <c r="E325">
        <v>30</v>
      </c>
      <c r="F325">
        <v>1</v>
      </c>
      <c r="G325">
        <v>0</v>
      </c>
      <c r="H325" t="s">
        <v>692</v>
      </c>
      <c r="I325">
        <v>24</v>
      </c>
      <c r="K325" t="s">
        <v>41</v>
      </c>
      <c r="N325" t="s">
        <v>693</v>
      </c>
    </row>
    <row r="326" spans="1:14" x14ac:dyDescent="0.3">
      <c r="A326">
        <v>2</v>
      </c>
      <c r="B326">
        <v>1</v>
      </c>
      <c r="C326" t="s">
        <v>694</v>
      </c>
      <c r="D326" t="s">
        <v>15</v>
      </c>
      <c r="E326">
        <v>28</v>
      </c>
      <c r="F326">
        <v>1</v>
      </c>
      <c r="G326">
        <v>0</v>
      </c>
      <c r="H326" t="s">
        <v>692</v>
      </c>
      <c r="I326">
        <v>24</v>
      </c>
      <c r="K326" t="s">
        <v>41</v>
      </c>
      <c r="L326">
        <v>10</v>
      </c>
      <c r="N326" t="s">
        <v>693</v>
      </c>
    </row>
    <row r="327" spans="1:14" x14ac:dyDescent="0.3">
      <c r="A327">
        <v>2</v>
      </c>
      <c r="B327">
        <v>0</v>
      </c>
      <c r="C327" t="s">
        <v>695</v>
      </c>
      <c r="D327" t="s">
        <v>20</v>
      </c>
      <c r="E327">
        <v>30</v>
      </c>
      <c r="F327">
        <v>0</v>
      </c>
      <c r="G327">
        <v>0</v>
      </c>
      <c r="H327">
        <v>248744</v>
      </c>
      <c r="I327">
        <v>13</v>
      </c>
      <c r="K327" t="s">
        <v>17</v>
      </c>
      <c r="N327" t="s">
        <v>696</v>
      </c>
    </row>
    <row r="328" spans="1:14" x14ac:dyDescent="0.3">
      <c r="A328">
        <v>2</v>
      </c>
      <c r="B328">
        <v>0</v>
      </c>
      <c r="C328" t="s">
        <v>697</v>
      </c>
      <c r="D328" t="s">
        <v>20</v>
      </c>
      <c r="E328">
        <v>18</v>
      </c>
      <c r="F328">
        <v>0</v>
      </c>
      <c r="G328">
        <v>0</v>
      </c>
      <c r="H328">
        <v>231945</v>
      </c>
      <c r="I328">
        <v>11.5</v>
      </c>
      <c r="K328" t="s">
        <v>17</v>
      </c>
      <c r="N328" t="s">
        <v>698</v>
      </c>
    </row>
    <row r="329" spans="1:14" x14ac:dyDescent="0.3">
      <c r="A329">
        <v>2</v>
      </c>
      <c r="B329">
        <v>0</v>
      </c>
      <c r="C329" t="s">
        <v>699</v>
      </c>
      <c r="D329" t="s">
        <v>20</v>
      </c>
      <c r="E329">
        <v>25</v>
      </c>
      <c r="F329">
        <v>0</v>
      </c>
      <c r="G329">
        <v>0</v>
      </c>
      <c r="H329" t="s">
        <v>700</v>
      </c>
      <c r="I329">
        <v>10.5</v>
      </c>
      <c r="K329" t="s">
        <v>17</v>
      </c>
      <c r="N329" t="s">
        <v>701</v>
      </c>
    </row>
    <row r="330" spans="1:14" x14ac:dyDescent="0.3">
      <c r="A330">
        <v>2</v>
      </c>
      <c r="B330">
        <v>0</v>
      </c>
      <c r="C330" t="s">
        <v>702</v>
      </c>
      <c r="D330" t="s">
        <v>20</v>
      </c>
      <c r="E330">
        <v>34</v>
      </c>
      <c r="F330">
        <v>1</v>
      </c>
      <c r="G330">
        <v>0</v>
      </c>
      <c r="H330">
        <v>226875</v>
      </c>
      <c r="I330">
        <v>26</v>
      </c>
      <c r="K330" t="s">
        <v>17</v>
      </c>
      <c r="N330" t="s">
        <v>703</v>
      </c>
    </row>
    <row r="331" spans="1:14" x14ac:dyDescent="0.3">
      <c r="A331">
        <v>2</v>
      </c>
      <c r="B331">
        <v>1</v>
      </c>
      <c r="C331" t="s">
        <v>704</v>
      </c>
      <c r="D331" t="s">
        <v>15</v>
      </c>
      <c r="E331">
        <v>36</v>
      </c>
      <c r="F331">
        <v>1</v>
      </c>
      <c r="G331">
        <v>0</v>
      </c>
      <c r="H331">
        <v>226875</v>
      </c>
      <c r="I331">
        <v>26</v>
      </c>
      <c r="K331" t="s">
        <v>17</v>
      </c>
      <c r="L331">
        <v>11</v>
      </c>
      <c r="N331" t="s">
        <v>703</v>
      </c>
    </row>
    <row r="332" spans="1:14" x14ac:dyDescent="0.3">
      <c r="A332">
        <v>2</v>
      </c>
      <c r="B332">
        <v>0</v>
      </c>
      <c r="C332" t="s">
        <v>705</v>
      </c>
      <c r="D332" t="s">
        <v>20</v>
      </c>
      <c r="E332">
        <v>57</v>
      </c>
      <c r="F332">
        <v>0</v>
      </c>
      <c r="G332">
        <v>0</v>
      </c>
      <c r="H332">
        <v>244346</v>
      </c>
      <c r="I332">
        <v>13</v>
      </c>
      <c r="K332" t="s">
        <v>17</v>
      </c>
      <c r="N332" t="s">
        <v>706</v>
      </c>
    </row>
    <row r="333" spans="1:14" x14ac:dyDescent="0.3">
      <c r="A333">
        <v>2</v>
      </c>
      <c r="B333">
        <v>0</v>
      </c>
      <c r="C333" t="s">
        <v>707</v>
      </c>
      <c r="D333" t="s">
        <v>20</v>
      </c>
      <c r="E333">
        <v>18</v>
      </c>
      <c r="F333">
        <v>0</v>
      </c>
      <c r="G333">
        <v>0</v>
      </c>
      <c r="H333">
        <v>29108</v>
      </c>
      <c r="I333">
        <v>11.5</v>
      </c>
      <c r="K333" t="s">
        <v>17</v>
      </c>
      <c r="N333" t="s">
        <v>708</v>
      </c>
    </row>
    <row r="334" spans="1:14" x14ac:dyDescent="0.3">
      <c r="A334">
        <v>2</v>
      </c>
      <c r="B334">
        <v>0</v>
      </c>
      <c r="C334" t="s">
        <v>709</v>
      </c>
      <c r="D334" t="s">
        <v>20</v>
      </c>
      <c r="E334">
        <v>23</v>
      </c>
      <c r="F334">
        <v>0</v>
      </c>
      <c r="G334">
        <v>0</v>
      </c>
      <c r="H334" t="s">
        <v>710</v>
      </c>
      <c r="I334">
        <v>10.5</v>
      </c>
      <c r="K334" t="s">
        <v>17</v>
      </c>
      <c r="N334" t="s">
        <v>711</v>
      </c>
    </row>
    <row r="335" spans="1:14" x14ac:dyDescent="0.3">
      <c r="A335">
        <v>2</v>
      </c>
      <c r="B335">
        <v>1</v>
      </c>
      <c r="C335" t="s">
        <v>712</v>
      </c>
      <c r="D335" t="s">
        <v>15</v>
      </c>
      <c r="E335">
        <v>36</v>
      </c>
      <c r="F335">
        <v>0</v>
      </c>
      <c r="G335">
        <v>0</v>
      </c>
      <c r="H335">
        <v>28551</v>
      </c>
      <c r="I335">
        <v>13</v>
      </c>
      <c r="J335" t="s">
        <v>37</v>
      </c>
      <c r="K335" t="s">
        <v>17</v>
      </c>
      <c r="L335">
        <v>10</v>
      </c>
      <c r="N335" t="s">
        <v>713</v>
      </c>
    </row>
    <row r="336" spans="1:14" x14ac:dyDescent="0.3">
      <c r="A336">
        <v>2</v>
      </c>
      <c r="B336">
        <v>0</v>
      </c>
      <c r="C336" t="s">
        <v>714</v>
      </c>
      <c r="D336" t="s">
        <v>20</v>
      </c>
      <c r="E336">
        <v>28</v>
      </c>
      <c r="F336">
        <v>0</v>
      </c>
      <c r="G336">
        <v>0</v>
      </c>
      <c r="H336" t="s">
        <v>715</v>
      </c>
      <c r="I336">
        <v>10.5</v>
      </c>
      <c r="K336" t="s">
        <v>17</v>
      </c>
      <c r="N336" t="s">
        <v>716</v>
      </c>
    </row>
    <row r="337" spans="1:14" x14ac:dyDescent="0.3">
      <c r="A337">
        <v>2</v>
      </c>
      <c r="B337">
        <v>0</v>
      </c>
      <c r="C337" t="s">
        <v>717</v>
      </c>
      <c r="D337" t="s">
        <v>20</v>
      </c>
      <c r="E337">
        <v>51</v>
      </c>
      <c r="F337">
        <v>0</v>
      </c>
      <c r="G337">
        <v>0</v>
      </c>
      <c r="H337" t="s">
        <v>718</v>
      </c>
      <c r="I337">
        <v>12.525</v>
      </c>
      <c r="K337" t="s">
        <v>17</v>
      </c>
      <c r="M337">
        <v>174</v>
      </c>
      <c r="N337" t="s">
        <v>719</v>
      </c>
    </row>
    <row r="338" spans="1:14" x14ac:dyDescent="0.3">
      <c r="A338">
        <v>2</v>
      </c>
      <c r="B338">
        <v>1</v>
      </c>
      <c r="C338" t="s">
        <v>720</v>
      </c>
      <c r="D338" t="s">
        <v>20</v>
      </c>
      <c r="E338">
        <v>32</v>
      </c>
      <c r="F338">
        <v>1</v>
      </c>
      <c r="G338">
        <v>0</v>
      </c>
      <c r="H338">
        <v>2908</v>
      </c>
      <c r="I338">
        <v>26</v>
      </c>
      <c r="K338" t="s">
        <v>17</v>
      </c>
      <c r="L338">
        <v>13</v>
      </c>
      <c r="N338" t="s">
        <v>721</v>
      </c>
    </row>
    <row r="339" spans="1:14" x14ac:dyDescent="0.3">
      <c r="A339">
        <v>2</v>
      </c>
      <c r="B339">
        <v>1</v>
      </c>
      <c r="C339" t="s">
        <v>722</v>
      </c>
      <c r="D339" t="s">
        <v>15</v>
      </c>
      <c r="E339">
        <v>19</v>
      </c>
      <c r="F339">
        <v>1</v>
      </c>
      <c r="G339">
        <v>0</v>
      </c>
      <c r="H339">
        <v>2908</v>
      </c>
      <c r="I339">
        <v>26</v>
      </c>
      <c r="K339" t="s">
        <v>17</v>
      </c>
      <c r="L339">
        <v>13</v>
      </c>
      <c r="N339" t="s">
        <v>721</v>
      </c>
    </row>
    <row r="340" spans="1:14" x14ac:dyDescent="0.3">
      <c r="A340">
        <v>2</v>
      </c>
      <c r="B340">
        <v>0</v>
      </c>
      <c r="C340" t="s">
        <v>723</v>
      </c>
      <c r="D340" t="s">
        <v>20</v>
      </c>
      <c r="E340">
        <v>28</v>
      </c>
      <c r="F340">
        <v>0</v>
      </c>
      <c r="G340">
        <v>0</v>
      </c>
      <c r="H340">
        <v>244358</v>
      </c>
      <c r="I340">
        <v>26</v>
      </c>
      <c r="K340" t="s">
        <v>17</v>
      </c>
      <c r="N340" t="s">
        <v>724</v>
      </c>
    </row>
    <row r="341" spans="1:14" x14ac:dyDescent="0.3">
      <c r="A341">
        <v>2</v>
      </c>
      <c r="B341">
        <v>1</v>
      </c>
      <c r="C341" t="s">
        <v>725</v>
      </c>
      <c r="D341" t="s">
        <v>20</v>
      </c>
      <c r="E341">
        <v>1</v>
      </c>
      <c r="F341">
        <v>2</v>
      </c>
      <c r="G341">
        <v>1</v>
      </c>
      <c r="H341">
        <v>230136</v>
      </c>
      <c r="I341">
        <v>39</v>
      </c>
      <c r="J341" t="s">
        <v>726</v>
      </c>
      <c r="K341" t="s">
        <v>17</v>
      </c>
      <c r="L341">
        <v>11</v>
      </c>
      <c r="N341" t="s">
        <v>727</v>
      </c>
    </row>
    <row r="342" spans="1:14" x14ac:dyDescent="0.3">
      <c r="A342">
        <v>2</v>
      </c>
      <c r="B342">
        <v>1</v>
      </c>
      <c r="C342" t="s">
        <v>728</v>
      </c>
      <c r="D342" t="s">
        <v>15</v>
      </c>
      <c r="E342">
        <v>4</v>
      </c>
      <c r="F342">
        <v>2</v>
      </c>
      <c r="G342">
        <v>1</v>
      </c>
      <c r="H342">
        <v>230136</v>
      </c>
      <c r="I342">
        <v>39</v>
      </c>
      <c r="J342" t="s">
        <v>726</v>
      </c>
      <c r="K342" t="s">
        <v>17</v>
      </c>
      <c r="L342">
        <v>11</v>
      </c>
      <c r="N342" t="s">
        <v>727</v>
      </c>
    </row>
    <row r="343" spans="1:14" x14ac:dyDescent="0.3">
      <c r="A343">
        <v>2</v>
      </c>
      <c r="B343">
        <v>1</v>
      </c>
      <c r="C343" t="s">
        <v>729</v>
      </c>
      <c r="D343" t="s">
        <v>15</v>
      </c>
      <c r="E343">
        <v>12</v>
      </c>
      <c r="F343">
        <v>2</v>
      </c>
      <c r="G343">
        <v>1</v>
      </c>
      <c r="H343">
        <v>230136</v>
      </c>
      <c r="I343">
        <v>39</v>
      </c>
      <c r="J343" t="s">
        <v>726</v>
      </c>
      <c r="K343" t="s">
        <v>17</v>
      </c>
      <c r="L343">
        <v>13</v>
      </c>
      <c r="N343" t="s">
        <v>727</v>
      </c>
    </row>
    <row r="344" spans="1:14" x14ac:dyDescent="0.3">
      <c r="A344">
        <v>2</v>
      </c>
      <c r="B344">
        <v>1</v>
      </c>
      <c r="C344" t="s">
        <v>730</v>
      </c>
      <c r="D344" t="s">
        <v>15</v>
      </c>
      <c r="E344">
        <v>36</v>
      </c>
      <c r="F344">
        <v>0</v>
      </c>
      <c r="G344">
        <v>3</v>
      </c>
      <c r="H344">
        <v>230136</v>
      </c>
      <c r="I344">
        <v>39</v>
      </c>
      <c r="J344" t="s">
        <v>726</v>
      </c>
      <c r="K344" t="s">
        <v>17</v>
      </c>
      <c r="L344">
        <v>11</v>
      </c>
      <c r="N344" t="s">
        <v>727</v>
      </c>
    </row>
    <row r="345" spans="1:14" x14ac:dyDescent="0.3">
      <c r="A345">
        <v>2</v>
      </c>
      <c r="B345">
        <v>1</v>
      </c>
      <c r="C345" t="s">
        <v>731</v>
      </c>
      <c r="D345" t="s">
        <v>20</v>
      </c>
      <c r="E345">
        <v>34</v>
      </c>
      <c r="F345">
        <v>0</v>
      </c>
      <c r="G345">
        <v>0</v>
      </c>
      <c r="H345">
        <v>248698</v>
      </c>
      <c r="I345">
        <v>13</v>
      </c>
      <c r="J345" t="s">
        <v>732</v>
      </c>
      <c r="K345" t="s">
        <v>17</v>
      </c>
      <c r="L345">
        <v>13</v>
      </c>
      <c r="N345" t="s">
        <v>392</v>
      </c>
    </row>
    <row r="346" spans="1:14" x14ac:dyDescent="0.3">
      <c r="A346">
        <v>2</v>
      </c>
      <c r="B346">
        <v>1</v>
      </c>
      <c r="C346" t="s">
        <v>733</v>
      </c>
      <c r="D346" t="s">
        <v>15</v>
      </c>
      <c r="E346">
        <v>19</v>
      </c>
      <c r="F346">
        <v>0</v>
      </c>
      <c r="G346">
        <v>0</v>
      </c>
      <c r="H346">
        <v>28404</v>
      </c>
      <c r="I346">
        <v>13</v>
      </c>
      <c r="K346" t="s">
        <v>17</v>
      </c>
      <c r="L346">
        <v>12</v>
      </c>
      <c r="N346" t="s">
        <v>734</v>
      </c>
    </row>
    <row r="347" spans="1:14" x14ac:dyDescent="0.3">
      <c r="A347">
        <v>2</v>
      </c>
      <c r="B347">
        <v>0</v>
      </c>
      <c r="C347" t="s">
        <v>735</v>
      </c>
      <c r="D347" t="s">
        <v>20</v>
      </c>
      <c r="E347">
        <v>23</v>
      </c>
      <c r="F347">
        <v>0</v>
      </c>
      <c r="G347">
        <v>0</v>
      </c>
      <c r="H347">
        <v>28425</v>
      </c>
      <c r="I347">
        <v>13</v>
      </c>
      <c r="K347" t="s">
        <v>17</v>
      </c>
      <c r="N347" t="s">
        <v>736</v>
      </c>
    </row>
    <row r="348" spans="1:14" x14ac:dyDescent="0.3">
      <c r="A348">
        <v>2</v>
      </c>
      <c r="B348">
        <v>0</v>
      </c>
      <c r="C348" t="s">
        <v>737</v>
      </c>
      <c r="D348" t="s">
        <v>20</v>
      </c>
      <c r="E348">
        <v>26</v>
      </c>
      <c r="F348">
        <v>0</v>
      </c>
      <c r="G348">
        <v>0</v>
      </c>
      <c r="H348">
        <v>237670</v>
      </c>
      <c r="I348">
        <v>13</v>
      </c>
      <c r="K348" t="s">
        <v>17</v>
      </c>
      <c r="N348" t="s">
        <v>738</v>
      </c>
    </row>
    <row r="349" spans="1:14" x14ac:dyDescent="0.3">
      <c r="A349">
        <v>2</v>
      </c>
      <c r="B349">
        <v>0</v>
      </c>
      <c r="C349" t="s">
        <v>739</v>
      </c>
      <c r="D349" t="s">
        <v>20</v>
      </c>
      <c r="E349">
        <v>42</v>
      </c>
      <c r="F349">
        <v>0</v>
      </c>
      <c r="G349">
        <v>0</v>
      </c>
      <c r="H349">
        <v>211535</v>
      </c>
      <c r="I349">
        <v>13</v>
      </c>
      <c r="K349" t="s">
        <v>17</v>
      </c>
      <c r="N349" t="s">
        <v>392</v>
      </c>
    </row>
    <row r="350" spans="1:14" x14ac:dyDescent="0.3">
      <c r="A350">
        <v>2</v>
      </c>
      <c r="B350">
        <v>0</v>
      </c>
      <c r="C350" t="s">
        <v>740</v>
      </c>
      <c r="D350" t="s">
        <v>20</v>
      </c>
      <c r="E350">
        <v>27</v>
      </c>
      <c r="F350">
        <v>0</v>
      </c>
      <c r="G350">
        <v>0</v>
      </c>
      <c r="H350">
        <v>220367</v>
      </c>
      <c r="I350">
        <v>13</v>
      </c>
      <c r="K350" t="s">
        <v>17</v>
      </c>
      <c r="N350" t="s">
        <v>741</v>
      </c>
    </row>
    <row r="351" spans="1:14" x14ac:dyDescent="0.3">
      <c r="A351">
        <v>2</v>
      </c>
      <c r="B351">
        <v>1</v>
      </c>
      <c r="C351" t="s">
        <v>742</v>
      </c>
      <c r="D351" t="s">
        <v>15</v>
      </c>
      <c r="E351">
        <v>24</v>
      </c>
      <c r="F351">
        <v>0</v>
      </c>
      <c r="G351">
        <v>0</v>
      </c>
      <c r="H351">
        <v>248733</v>
      </c>
      <c r="I351">
        <v>13</v>
      </c>
      <c r="J351" t="s">
        <v>743</v>
      </c>
      <c r="K351" t="s">
        <v>17</v>
      </c>
      <c r="L351">
        <v>11</v>
      </c>
      <c r="N351" t="s">
        <v>744</v>
      </c>
    </row>
    <row r="352" spans="1:14" x14ac:dyDescent="0.3">
      <c r="A352">
        <v>2</v>
      </c>
      <c r="B352">
        <v>1</v>
      </c>
      <c r="C352" t="s">
        <v>745</v>
      </c>
      <c r="D352" t="s">
        <v>15</v>
      </c>
      <c r="E352">
        <v>15</v>
      </c>
      <c r="F352">
        <v>0</v>
      </c>
      <c r="G352">
        <v>2</v>
      </c>
      <c r="H352">
        <v>29750</v>
      </c>
      <c r="I352">
        <v>39</v>
      </c>
      <c r="K352" t="s">
        <v>17</v>
      </c>
      <c r="L352">
        <v>14</v>
      </c>
      <c r="N352" t="s">
        <v>746</v>
      </c>
    </row>
    <row r="353" spans="1:14" x14ac:dyDescent="0.3">
      <c r="A353">
        <v>2</v>
      </c>
      <c r="B353">
        <v>0</v>
      </c>
      <c r="C353" t="s">
        <v>747</v>
      </c>
      <c r="D353" t="s">
        <v>20</v>
      </c>
      <c r="E353">
        <v>60</v>
      </c>
      <c r="F353">
        <v>1</v>
      </c>
      <c r="G353">
        <v>1</v>
      </c>
      <c r="H353">
        <v>29750</v>
      </c>
      <c r="I353">
        <v>39</v>
      </c>
      <c r="K353" t="s">
        <v>17</v>
      </c>
      <c r="N353" t="s">
        <v>746</v>
      </c>
    </row>
    <row r="354" spans="1:14" x14ac:dyDescent="0.3">
      <c r="A354">
        <v>2</v>
      </c>
      <c r="B354">
        <v>1</v>
      </c>
      <c r="C354" t="s">
        <v>748</v>
      </c>
      <c r="D354" t="s">
        <v>15</v>
      </c>
      <c r="E354">
        <v>40</v>
      </c>
      <c r="F354">
        <v>1</v>
      </c>
      <c r="G354">
        <v>1</v>
      </c>
      <c r="H354">
        <v>29750</v>
      </c>
      <c r="I354">
        <v>39</v>
      </c>
      <c r="K354" t="s">
        <v>17</v>
      </c>
      <c r="L354">
        <v>14</v>
      </c>
      <c r="N354" t="s">
        <v>746</v>
      </c>
    </row>
    <row r="355" spans="1:14" x14ac:dyDescent="0.3">
      <c r="A355">
        <v>2</v>
      </c>
      <c r="B355">
        <v>1</v>
      </c>
      <c r="C355" t="s">
        <v>749</v>
      </c>
      <c r="D355" t="s">
        <v>15</v>
      </c>
      <c r="E355">
        <v>20</v>
      </c>
      <c r="F355">
        <v>1</v>
      </c>
      <c r="G355">
        <v>0</v>
      </c>
      <c r="H355">
        <v>236853</v>
      </c>
      <c r="I355">
        <v>26</v>
      </c>
      <c r="K355" t="s">
        <v>17</v>
      </c>
      <c r="L355">
        <v>12</v>
      </c>
      <c r="N355" t="s">
        <v>750</v>
      </c>
    </row>
    <row r="356" spans="1:14" x14ac:dyDescent="0.3">
      <c r="A356">
        <v>2</v>
      </c>
      <c r="B356">
        <v>0</v>
      </c>
      <c r="C356" t="s">
        <v>751</v>
      </c>
      <c r="D356" t="s">
        <v>20</v>
      </c>
      <c r="E356">
        <v>25</v>
      </c>
      <c r="F356">
        <v>1</v>
      </c>
      <c r="G356">
        <v>0</v>
      </c>
      <c r="H356">
        <v>236853</v>
      </c>
      <c r="I356">
        <v>26</v>
      </c>
      <c r="K356" t="s">
        <v>17</v>
      </c>
      <c r="N356" t="s">
        <v>750</v>
      </c>
    </row>
    <row r="357" spans="1:14" x14ac:dyDescent="0.3">
      <c r="A357">
        <v>2</v>
      </c>
      <c r="B357">
        <v>1</v>
      </c>
      <c r="C357" t="s">
        <v>752</v>
      </c>
      <c r="D357" t="s">
        <v>15</v>
      </c>
      <c r="E357">
        <v>36</v>
      </c>
      <c r="F357">
        <v>0</v>
      </c>
      <c r="G357">
        <v>0</v>
      </c>
      <c r="H357">
        <v>27849</v>
      </c>
      <c r="I357">
        <v>13</v>
      </c>
      <c r="K357" t="s">
        <v>17</v>
      </c>
      <c r="L357">
        <v>9</v>
      </c>
      <c r="N357" t="s">
        <v>753</v>
      </c>
    </row>
    <row r="358" spans="1:14" x14ac:dyDescent="0.3">
      <c r="A358">
        <v>2</v>
      </c>
      <c r="B358">
        <v>0</v>
      </c>
      <c r="C358" t="s">
        <v>754</v>
      </c>
      <c r="D358" t="s">
        <v>20</v>
      </c>
      <c r="E358">
        <v>25</v>
      </c>
      <c r="F358">
        <v>0</v>
      </c>
      <c r="G358">
        <v>0</v>
      </c>
      <c r="H358">
        <v>234686</v>
      </c>
      <c r="I358">
        <v>13</v>
      </c>
      <c r="K358" t="s">
        <v>17</v>
      </c>
      <c r="M358">
        <v>97</v>
      </c>
      <c r="N358" t="s">
        <v>755</v>
      </c>
    </row>
    <row r="359" spans="1:14" x14ac:dyDescent="0.3">
      <c r="A359">
        <v>2</v>
      </c>
      <c r="B359">
        <v>0</v>
      </c>
      <c r="C359" t="s">
        <v>756</v>
      </c>
      <c r="D359" t="s">
        <v>20</v>
      </c>
      <c r="E359">
        <v>42</v>
      </c>
      <c r="F359">
        <v>0</v>
      </c>
      <c r="G359">
        <v>0</v>
      </c>
      <c r="H359">
        <v>244310</v>
      </c>
      <c r="I359">
        <v>13</v>
      </c>
      <c r="K359" t="s">
        <v>17</v>
      </c>
      <c r="N359" t="s">
        <v>392</v>
      </c>
    </row>
    <row r="360" spans="1:14" x14ac:dyDescent="0.3">
      <c r="A360">
        <v>2</v>
      </c>
      <c r="B360">
        <v>1</v>
      </c>
      <c r="C360" t="s">
        <v>757</v>
      </c>
      <c r="D360" t="s">
        <v>15</v>
      </c>
      <c r="E360">
        <v>42</v>
      </c>
      <c r="F360">
        <v>0</v>
      </c>
      <c r="G360">
        <v>0</v>
      </c>
      <c r="H360">
        <v>236852</v>
      </c>
      <c r="I360">
        <v>13</v>
      </c>
      <c r="K360" t="s">
        <v>17</v>
      </c>
      <c r="N360" t="s">
        <v>28</v>
      </c>
    </row>
    <row r="361" spans="1:14" x14ac:dyDescent="0.3">
      <c r="A361">
        <v>2</v>
      </c>
      <c r="B361">
        <v>1</v>
      </c>
      <c r="C361" t="s">
        <v>758</v>
      </c>
      <c r="D361" t="s">
        <v>20</v>
      </c>
      <c r="E361">
        <v>0.83</v>
      </c>
      <c r="F361">
        <v>0</v>
      </c>
      <c r="G361">
        <v>2</v>
      </c>
      <c r="H361">
        <v>248738</v>
      </c>
      <c r="I361">
        <v>29</v>
      </c>
      <c r="K361" t="s">
        <v>17</v>
      </c>
      <c r="L361">
        <v>13</v>
      </c>
      <c r="N361" t="s">
        <v>759</v>
      </c>
    </row>
    <row r="362" spans="1:14" x14ac:dyDescent="0.3">
      <c r="A362">
        <v>2</v>
      </c>
      <c r="B362">
        <v>1</v>
      </c>
      <c r="C362" t="s">
        <v>760</v>
      </c>
      <c r="D362" t="s">
        <v>20</v>
      </c>
      <c r="E362">
        <v>26</v>
      </c>
      <c r="F362">
        <v>1</v>
      </c>
      <c r="G362">
        <v>1</v>
      </c>
      <c r="H362">
        <v>248738</v>
      </c>
      <c r="I362">
        <v>29</v>
      </c>
      <c r="K362" t="s">
        <v>17</v>
      </c>
      <c r="L362">
        <v>13</v>
      </c>
      <c r="N362" t="s">
        <v>759</v>
      </c>
    </row>
    <row r="363" spans="1:14" x14ac:dyDescent="0.3">
      <c r="A363">
        <v>2</v>
      </c>
      <c r="B363">
        <v>1</v>
      </c>
      <c r="C363" t="s">
        <v>761</v>
      </c>
      <c r="D363" t="s">
        <v>15</v>
      </c>
      <c r="E363">
        <v>22</v>
      </c>
      <c r="F363">
        <v>1</v>
      </c>
      <c r="G363">
        <v>1</v>
      </c>
      <c r="H363">
        <v>248738</v>
      </c>
      <c r="I363">
        <v>29</v>
      </c>
      <c r="K363" t="s">
        <v>17</v>
      </c>
      <c r="L363">
        <v>13</v>
      </c>
      <c r="N363" t="s">
        <v>759</v>
      </c>
    </row>
    <row r="364" spans="1:14" x14ac:dyDescent="0.3">
      <c r="A364">
        <v>2</v>
      </c>
      <c r="B364">
        <v>1</v>
      </c>
      <c r="C364" t="s">
        <v>762</v>
      </c>
      <c r="D364" t="s">
        <v>15</v>
      </c>
      <c r="E364">
        <v>35</v>
      </c>
      <c r="F364">
        <v>0</v>
      </c>
      <c r="G364">
        <v>0</v>
      </c>
      <c r="H364" t="s">
        <v>763</v>
      </c>
      <c r="I364">
        <v>21</v>
      </c>
      <c r="K364" t="s">
        <v>17</v>
      </c>
      <c r="L364">
        <v>14</v>
      </c>
      <c r="N364" t="s">
        <v>764</v>
      </c>
    </row>
    <row r="365" spans="1:14" x14ac:dyDescent="0.3">
      <c r="A365">
        <v>2</v>
      </c>
      <c r="B365">
        <v>0</v>
      </c>
      <c r="C365" t="s">
        <v>765</v>
      </c>
      <c r="D365" t="s">
        <v>20</v>
      </c>
      <c r="F365">
        <v>0</v>
      </c>
      <c r="G365">
        <v>0</v>
      </c>
      <c r="H365">
        <v>239853</v>
      </c>
      <c r="I365">
        <v>0</v>
      </c>
      <c r="K365" t="s">
        <v>17</v>
      </c>
      <c r="N365" t="s">
        <v>500</v>
      </c>
    </row>
    <row r="366" spans="1:14" x14ac:dyDescent="0.3">
      <c r="A366">
        <v>2</v>
      </c>
      <c r="B366">
        <v>0</v>
      </c>
      <c r="C366" t="s">
        <v>766</v>
      </c>
      <c r="D366" t="s">
        <v>20</v>
      </c>
      <c r="E366">
        <v>19</v>
      </c>
      <c r="F366">
        <v>0</v>
      </c>
      <c r="G366">
        <v>0</v>
      </c>
      <c r="H366">
        <v>28424</v>
      </c>
      <c r="I366">
        <v>13</v>
      </c>
      <c r="K366" t="s">
        <v>17</v>
      </c>
      <c r="M366">
        <v>18</v>
      </c>
      <c r="N366" t="s">
        <v>736</v>
      </c>
    </row>
    <row r="367" spans="1:14" x14ac:dyDescent="0.3">
      <c r="A367">
        <v>2</v>
      </c>
      <c r="B367">
        <v>0</v>
      </c>
      <c r="C367" t="s">
        <v>767</v>
      </c>
      <c r="D367" t="s">
        <v>15</v>
      </c>
      <c r="E367">
        <v>44</v>
      </c>
      <c r="F367">
        <v>1</v>
      </c>
      <c r="G367">
        <v>0</v>
      </c>
      <c r="H367">
        <v>244252</v>
      </c>
      <c r="I367">
        <v>26</v>
      </c>
      <c r="K367" t="s">
        <v>17</v>
      </c>
      <c r="N367" t="s">
        <v>392</v>
      </c>
    </row>
    <row r="368" spans="1:14" x14ac:dyDescent="0.3">
      <c r="A368">
        <v>2</v>
      </c>
      <c r="B368">
        <v>0</v>
      </c>
      <c r="C368" t="s">
        <v>768</v>
      </c>
      <c r="D368" t="s">
        <v>20</v>
      </c>
      <c r="E368">
        <v>54</v>
      </c>
      <c r="F368">
        <v>1</v>
      </c>
      <c r="G368">
        <v>0</v>
      </c>
      <c r="H368">
        <v>244252</v>
      </c>
      <c r="I368">
        <v>26</v>
      </c>
      <c r="K368" t="s">
        <v>17</v>
      </c>
      <c r="N368" t="s">
        <v>392</v>
      </c>
    </row>
    <row r="369" spans="1:14" x14ac:dyDescent="0.3">
      <c r="A369">
        <v>2</v>
      </c>
      <c r="B369">
        <v>0</v>
      </c>
      <c r="C369" t="s">
        <v>769</v>
      </c>
      <c r="D369" t="s">
        <v>20</v>
      </c>
      <c r="E369">
        <v>52</v>
      </c>
      <c r="F369">
        <v>0</v>
      </c>
      <c r="G369">
        <v>0</v>
      </c>
      <c r="H369">
        <v>248731</v>
      </c>
      <c r="I369">
        <v>13.5</v>
      </c>
      <c r="K369" t="s">
        <v>17</v>
      </c>
      <c r="M369">
        <v>130</v>
      </c>
      <c r="N369" t="s">
        <v>770</v>
      </c>
    </row>
    <row r="370" spans="1:14" x14ac:dyDescent="0.3">
      <c r="A370">
        <v>2</v>
      </c>
      <c r="B370">
        <v>0</v>
      </c>
      <c r="C370" t="s">
        <v>771</v>
      </c>
      <c r="D370" t="s">
        <v>20</v>
      </c>
      <c r="E370">
        <v>37</v>
      </c>
      <c r="F370">
        <v>1</v>
      </c>
      <c r="G370">
        <v>0</v>
      </c>
      <c r="H370" t="s">
        <v>772</v>
      </c>
      <c r="I370">
        <v>26</v>
      </c>
      <c r="K370" t="s">
        <v>17</v>
      </c>
      <c r="M370">
        <v>17</v>
      </c>
      <c r="N370" t="s">
        <v>773</v>
      </c>
    </row>
    <row r="371" spans="1:14" x14ac:dyDescent="0.3">
      <c r="A371">
        <v>2</v>
      </c>
      <c r="B371">
        <v>0</v>
      </c>
      <c r="C371" t="s">
        <v>774</v>
      </c>
      <c r="D371" t="s">
        <v>15</v>
      </c>
      <c r="E371">
        <v>29</v>
      </c>
      <c r="F371">
        <v>1</v>
      </c>
      <c r="G371">
        <v>0</v>
      </c>
      <c r="H371" t="s">
        <v>772</v>
      </c>
      <c r="I371">
        <v>26</v>
      </c>
      <c r="K371" t="s">
        <v>17</v>
      </c>
      <c r="N371" t="s">
        <v>773</v>
      </c>
    </row>
    <row r="372" spans="1:14" x14ac:dyDescent="0.3">
      <c r="A372">
        <v>2</v>
      </c>
      <c r="B372">
        <v>1</v>
      </c>
      <c r="C372" t="s">
        <v>775</v>
      </c>
      <c r="D372" t="s">
        <v>15</v>
      </c>
      <c r="E372">
        <v>25</v>
      </c>
      <c r="F372">
        <v>1</v>
      </c>
      <c r="G372">
        <v>1</v>
      </c>
      <c r="H372">
        <v>237789</v>
      </c>
      <c r="I372">
        <v>30</v>
      </c>
      <c r="K372" t="s">
        <v>17</v>
      </c>
      <c r="L372">
        <v>12</v>
      </c>
      <c r="N372" t="s">
        <v>392</v>
      </c>
    </row>
    <row r="373" spans="1:14" x14ac:dyDescent="0.3">
      <c r="A373">
        <v>2</v>
      </c>
      <c r="B373">
        <v>1</v>
      </c>
      <c r="C373" t="s">
        <v>776</v>
      </c>
      <c r="D373" t="s">
        <v>15</v>
      </c>
      <c r="E373">
        <v>45</v>
      </c>
      <c r="F373">
        <v>0</v>
      </c>
      <c r="G373">
        <v>2</v>
      </c>
      <c r="H373">
        <v>237789</v>
      </c>
      <c r="I373">
        <v>30</v>
      </c>
      <c r="K373" t="s">
        <v>17</v>
      </c>
      <c r="L373">
        <v>12</v>
      </c>
      <c r="N373" t="s">
        <v>392</v>
      </c>
    </row>
    <row r="374" spans="1:14" x14ac:dyDescent="0.3">
      <c r="A374">
        <v>2</v>
      </c>
      <c r="B374">
        <v>0</v>
      </c>
      <c r="C374" t="s">
        <v>777</v>
      </c>
      <c r="D374" t="s">
        <v>20</v>
      </c>
      <c r="E374">
        <v>29</v>
      </c>
      <c r="F374">
        <v>1</v>
      </c>
      <c r="G374">
        <v>0</v>
      </c>
      <c r="H374">
        <v>2003</v>
      </c>
      <c r="I374">
        <v>26</v>
      </c>
      <c r="K374" t="s">
        <v>17</v>
      </c>
      <c r="N374" t="s">
        <v>778</v>
      </c>
    </row>
    <row r="375" spans="1:14" x14ac:dyDescent="0.3">
      <c r="A375">
        <v>2</v>
      </c>
      <c r="B375">
        <v>1</v>
      </c>
      <c r="C375" t="s">
        <v>779</v>
      </c>
      <c r="D375" t="s">
        <v>15</v>
      </c>
      <c r="E375">
        <v>28</v>
      </c>
      <c r="F375">
        <v>1</v>
      </c>
      <c r="G375">
        <v>0</v>
      </c>
      <c r="H375">
        <v>2003</v>
      </c>
      <c r="I375">
        <v>26</v>
      </c>
      <c r="K375" t="s">
        <v>17</v>
      </c>
      <c r="L375">
        <v>14</v>
      </c>
      <c r="N375" t="s">
        <v>778</v>
      </c>
    </row>
    <row r="376" spans="1:14" x14ac:dyDescent="0.3">
      <c r="A376">
        <v>2</v>
      </c>
      <c r="B376">
        <v>0</v>
      </c>
      <c r="C376" t="s">
        <v>780</v>
      </c>
      <c r="D376" t="s">
        <v>20</v>
      </c>
      <c r="E376">
        <v>29</v>
      </c>
      <c r="F376">
        <v>0</v>
      </c>
      <c r="G376">
        <v>0</v>
      </c>
      <c r="H376" t="s">
        <v>781</v>
      </c>
      <c r="I376">
        <v>10.5</v>
      </c>
      <c r="K376" t="s">
        <v>17</v>
      </c>
      <c r="N376" t="s">
        <v>782</v>
      </c>
    </row>
    <row r="377" spans="1:14" x14ac:dyDescent="0.3">
      <c r="A377">
        <v>2</v>
      </c>
      <c r="B377">
        <v>0</v>
      </c>
      <c r="C377" t="s">
        <v>783</v>
      </c>
      <c r="D377" t="s">
        <v>20</v>
      </c>
      <c r="E377">
        <v>28</v>
      </c>
      <c r="F377">
        <v>0</v>
      </c>
      <c r="G377">
        <v>0</v>
      </c>
      <c r="H377">
        <v>248740</v>
      </c>
      <c r="I377">
        <v>13</v>
      </c>
      <c r="K377" t="s">
        <v>17</v>
      </c>
      <c r="N377" t="s">
        <v>784</v>
      </c>
    </row>
    <row r="378" spans="1:14" x14ac:dyDescent="0.3">
      <c r="A378">
        <v>2</v>
      </c>
      <c r="B378">
        <v>1</v>
      </c>
      <c r="C378" t="s">
        <v>785</v>
      </c>
      <c r="D378" t="s">
        <v>20</v>
      </c>
      <c r="E378">
        <v>24</v>
      </c>
      <c r="F378">
        <v>0</v>
      </c>
      <c r="G378">
        <v>0</v>
      </c>
      <c r="H378">
        <v>28034</v>
      </c>
      <c r="I378">
        <v>10.5</v>
      </c>
      <c r="K378" t="s">
        <v>17</v>
      </c>
      <c r="L378">
        <v>9</v>
      </c>
      <c r="N378" t="s">
        <v>786</v>
      </c>
    </row>
    <row r="379" spans="1:14" x14ac:dyDescent="0.3">
      <c r="A379">
        <v>2</v>
      </c>
      <c r="B379">
        <v>1</v>
      </c>
      <c r="C379" t="s">
        <v>787</v>
      </c>
      <c r="D379" t="s">
        <v>15</v>
      </c>
      <c r="E379">
        <v>8</v>
      </c>
      <c r="F379">
        <v>0</v>
      </c>
      <c r="G379">
        <v>2</v>
      </c>
      <c r="H379" t="s">
        <v>788</v>
      </c>
      <c r="I379">
        <v>26.25</v>
      </c>
      <c r="K379" t="s">
        <v>17</v>
      </c>
      <c r="L379">
        <v>14</v>
      </c>
      <c r="N379" t="s">
        <v>789</v>
      </c>
    </row>
    <row r="380" spans="1:14" x14ac:dyDescent="0.3">
      <c r="A380">
        <v>2</v>
      </c>
      <c r="B380">
        <v>0</v>
      </c>
      <c r="C380" t="s">
        <v>790</v>
      </c>
      <c r="D380" t="s">
        <v>20</v>
      </c>
      <c r="E380">
        <v>31</v>
      </c>
      <c r="F380">
        <v>1</v>
      </c>
      <c r="G380">
        <v>1</v>
      </c>
      <c r="H380" t="s">
        <v>788</v>
      </c>
      <c r="I380">
        <v>26.25</v>
      </c>
      <c r="K380" t="s">
        <v>17</v>
      </c>
      <c r="N380" t="s">
        <v>789</v>
      </c>
    </row>
    <row r="381" spans="1:14" x14ac:dyDescent="0.3">
      <c r="A381">
        <v>2</v>
      </c>
      <c r="B381">
        <v>1</v>
      </c>
      <c r="C381" t="s">
        <v>791</v>
      </c>
      <c r="D381" t="s">
        <v>15</v>
      </c>
      <c r="E381">
        <v>31</v>
      </c>
      <c r="F381">
        <v>1</v>
      </c>
      <c r="G381">
        <v>1</v>
      </c>
      <c r="H381" t="s">
        <v>788</v>
      </c>
      <c r="I381">
        <v>26.25</v>
      </c>
      <c r="K381" t="s">
        <v>17</v>
      </c>
      <c r="L381">
        <v>14</v>
      </c>
      <c r="N381" t="s">
        <v>789</v>
      </c>
    </row>
    <row r="382" spans="1:14" x14ac:dyDescent="0.3">
      <c r="A382">
        <v>2</v>
      </c>
      <c r="B382">
        <v>1</v>
      </c>
      <c r="C382" t="s">
        <v>792</v>
      </c>
      <c r="D382" t="s">
        <v>15</v>
      </c>
      <c r="E382">
        <v>22</v>
      </c>
      <c r="F382">
        <v>0</v>
      </c>
      <c r="G382">
        <v>0</v>
      </c>
      <c r="H382" t="s">
        <v>793</v>
      </c>
      <c r="I382">
        <v>10.5</v>
      </c>
      <c r="J382" t="s">
        <v>743</v>
      </c>
      <c r="K382" t="s">
        <v>17</v>
      </c>
      <c r="L382">
        <v>14</v>
      </c>
      <c r="N382" t="s">
        <v>794</v>
      </c>
    </row>
    <row r="383" spans="1:14" x14ac:dyDescent="0.3">
      <c r="A383">
        <v>2</v>
      </c>
      <c r="B383">
        <v>0</v>
      </c>
      <c r="C383" t="s">
        <v>795</v>
      </c>
      <c r="D383" t="s">
        <v>15</v>
      </c>
      <c r="E383">
        <v>30</v>
      </c>
      <c r="F383">
        <v>0</v>
      </c>
      <c r="G383">
        <v>0</v>
      </c>
      <c r="H383">
        <v>237249</v>
      </c>
      <c r="I383">
        <v>13</v>
      </c>
      <c r="K383" t="s">
        <v>17</v>
      </c>
      <c r="N383" t="s">
        <v>796</v>
      </c>
    </row>
    <row r="384" spans="1:14" x14ac:dyDescent="0.3">
      <c r="A384">
        <v>2</v>
      </c>
      <c r="B384">
        <v>0</v>
      </c>
      <c r="C384" t="s">
        <v>797</v>
      </c>
      <c r="D384" t="s">
        <v>15</v>
      </c>
      <c r="F384">
        <v>0</v>
      </c>
      <c r="G384">
        <v>0</v>
      </c>
      <c r="H384" t="s">
        <v>798</v>
      </c>
      <c r="I384">
        <v>21</v>
      </c>
      <c r="K384" t="s">
        <v>17</v>
      </c>
      <c r="N384" t="s">
        <v>799</v>
      </c>
    </row>
    <row r="385" spans="1:14" x14ac:dyDescent="0.3">
      <c r="A385">
        <v>2</v>
      </c>
      <c r="B385">
        <v>0</v>
      </c>
      <c r="C385" t="s">
        <v>800</v>
      </c>
      <c r="D385" t="s">
        <v>20</v>
      </c>
      <c r="E385">
        <v>21</v>
      </c>
      <c r="F385">
        <v>0</v>
      </c>
      <c r="G385">
        <v>0</v>
      </c>
      <c r="H385">
        <v>29107</v>
      </c>
      <c r="I385">
        <v>11.5</v>
      </c>
      <c r="K385" t="s">
        <v>17</v>
      </c>
      <c r="N385" t="s">
        <v>708</v>
      </c>
    </row>
    <row r="386" spans="1:14" x14ac:dyDescent="0.3">
      <c r="A386">
        <v>2</v>
      </c>
      <c r="B386">
        <v>0</v>
      </c>
      <c r="C386" t="s">
        <v>801</v>
      </c>
      <c r="D386" t="s">
        <v>20</v>
      </c>
      <c r="F386">
        <v>0</v>
      </c>
      <c r="G386">
        <v>0</v>
      </c>
      <c r="H386">
        <v>239853</v>
      </c>
      <c r="I386">
        <v>0</v>
      </c>
      <c r="K386" t="s">
        <v>17</v>
      </c>
      <c r="N386" t="s">
        <v>500</v>
      </c>
    </row>
    <row r="387" spans="1:14" x14ac:dyDescent="0.3">
      <c r="A387">
        <v>2</v>
      </c>
      <c r="B387">
        <v>1</v>
      </c>
      <c r="C387" t="s">
        <v>802</v>
      </c>
      <c r="D387" t="s">
        <v>20</v>
      </c>
      <c r="E387">
        <v>8</v>
      </c>
      <c r="F387">
        <v>1</v>
      </c>
      <c r="G387">
        <v>1</v>
      </c>
      <c r="H387" t="s">
        <v>803</v>
      </c>
      <c r="I387">
        <v>36.75</v>
      </c>
      <c r="K387" t="s">
        <v>17</v>
      </c>
      <c r="L387">
        <v>14</v>
      </c>
      <c r="N387" t="s">
        <v>804</v>
      </c>
    </row>
    <row r="388" spans="1:14" x14ac:dyDescent="0.3">
      <c r="A388">
        <v>2</v>
      </c>
      <c r="B388">
        <v>0</v>
      </c>
      <c r="C388" t="s">
        <v>805</v>
      </c>
      <c r="D388" t="s">
        <v>20</v>
      </c>
      <c r="E388">
        <v>18</v>
      </c>
      <c r="F388">
        <v>0</v>
      </c>
      <c r="G388">
        <v>0</v>
      </c>
      <c r="H388" t="s">
        <v>806</v>
      </c>
      <c r="I388">
        <v>73.5</v>
      </c>
      <c r="K388" t="s">
        <v>17</v>
      </c>
      <c r="N388" t="s">
        <v>807</v>
      </c>
    </row>
    <row r="389" spans="1:14" x14ac:dyDescent="0.3">
      <c r="A389">
        <v>2</v>
      </c>
      <c r="B389">
        <v>1</v>
      </c>
      <c r="C389" t="s">
        <v>808</v>
      </c>
      <c r="D389" t="s">
        <v>15</v>
      </c>
      <c r="E389">
        <v>48</v>
      </c>
      <c r="F389">
        <v>0</v>
      </c>
      <c r="G389">
        <v>2</v>
      </c>
      <c r="H389" t="s">
        <v>803</v>
      </c>
      <c r="I389">
        <v>36.75</v>
      </c>
      <c r="K389" t="s">
        <v>17</v>
      </c>
      <c r="L389">
        <v>14</v>
      </c>
      <c r="N389" t="s">
        <v>804</v>
      </c>
    </row>
    <row r="390" spans="1:14" x14ac:dyDescent="0.3">
      <c r="A390">
        <v>2</v>
      </c>
      <c r="B390">
        <v>1</v>
      </c>
      <c r="C390" t="s">
        <v>809</v>
      </c>
      <c r="D390" t="s">
        <v>15</v>
      </c>
      <c r="E390">
        <v>28</v>
      </c>
      <c r="F390">
        <v>0</v>
      </c>
      <c r="G390">
        <v>0</v>
      </c>
      <c r="H390">
        <v>237668</v>
      </c>
      <c r="I390">
        <v>13</v>
      </c>
      <c r="K390" t="s">
        <v>17</v>
      </c>
      <c r="L390">
        <v>13</v>
      </c>
      <c r="N390" t="s">
        <v>810</v>
      </c>
    </row>
    <row r="391" spans="1:14" x14ac:dyDescent="0.3">
      <c r="A391">
        <v>2</v>
      </c>
      <c r="B391">
        <v>0</v>
      </c>
      <c r="C391" t="s">
        <v>811</v>
      </c>
      <c r="D391" t="s">
        <v>20</v>
      </c>
      <c r="E391">
        <v>32</v>
      </c>
      <c r="F391">
        <v>0</v>
      </c>
      <c r="G391">
        <v>0</v>
      </c>
      <c r="H391">
        <v>244360</v>
      </c>
      <c r="I391">
        <v>13</v>
      </c>
      <c r="K391" t="s">
        <v>17</v>
      </c>
      <c r="N391" t="s">
        <v>812</v>
      </c>
    </row>
    <row r="392" spans="1:14" x14ac:dyDescent="0.3">
      <c r="A392">
        <v>2</v>
      </c>
      <c r="B392">
        <v>0</v>
      </c>
      <c r="C392" t="s">
        <v>813</v>
      </c>
      <c r="D392" t="s">
        <v>20</v>
      </c>
      <c r="E392">
        <v>17</v>
      </c>
      <c r="F392">
        <v>0</v>
      </c>
      <c r="G392">
        <v>0</v>
      </c>
      <c r="H392" t="s">
        <v>806</v>
      </c>
      <c r="I392">
        <v>73.5</v>
      </c>
      <c r="K392" t="s">
        <v>17</v>
      </c>
    </row>
    <row r="393" spans="1:14" x14ac:dyDescent="0.3">
      <c r="A393">
        <v>2</v>
      </c>
      <c r="B393">
        <v>0</v>
      </c>
      <c r="C393" t="s">
        <v>814</v>
      </c>
      <c r="D393" t="s">
        <v>20</v>
      </c>
      <c r="E393">
        <v>29</v>
      </c>
      <c r="F393">
        <v>1</v>
      </c>
      <c r="G393">
        <v>0</v>
      </c>
      <c r="H393" t="s">
        <v>815</v>
      </c>
      <c r="I393">
        <v>27.720800000000001</v>
      </c>
      <c r="K393" t="s">
        <v>41</v>
      </c>
      <c r="M393">
        <v>295</v>
      </c>
      <c r="N393" t="s">
        <v>816</v>
      </c>
    </row>
    <row r="394" spans="1:14" x14ac:dyDescent="0.3">
      <c r="A394">
        <v>2</v>
      </c>
      <c r="B394">
        <v>1</v>
      </c>
      <c r="C394" t="s">
        <v>817</v>
      </c>
      <c r="D394" t="s">
        <v>15</v>
      </c>
      <c r="E394">
        <v>24</v>
      </c>
      <c r="F394">
        <v>1</v>
      </c>
      <c r="G394">
        <v>0</v>
      </c>
      <c r="H394" t="s">
        <v>815</v>
      </c>
      <c r="I394">
        <v>27.720800000000001</v>
      </c>
      <c r="K394" t="s">
        <v>41</v>
      </c>
      <c r="L394">
        <v>12</v>
      </c>
      <c r="N394" t="s">
        <v>816</v>
      </c>
    </row>
    <row r="395" spans="1:14" x14ac:dyDescent="0.3">
      <c r="A395">
        <v>2</v>
      </c>
      <c r="B395">
        <v>0</v>
      </c>
      <c r="C395" t="s">
        <v>818</v>
      </c>
      <c r="D395" t="s">
        <v>20</v>
      </c>
      <c r="E395">
        <v>25</v>
      </c>
      <c r="F395">
        <v>0</v>
      </c>
      <c r="G395">
        <v>0</v>
      </c>
      <c r="H395" t="s">
        <v>819</v>
      </c>
      <c r="I395">
        <v>31.5</v>
      </c>
      <c r="K395" t="s">
        <v>17</v>
      </c>
      <c r="N395" t="s">
        <v>820</v>
      </c>
    </row>
    <row r="396" spans="1:14" x14ac:dyDescent="0.3">
      <c r="A396">
        <v>2</v>
      </c>
      <c r="B396">
        <v>0</v>
      </c>
      <c r="C396" t="s">
        <v>821</v>
      </c>
      <c r="D396" t="s">
        <v>20</v>
      </c>
      <c r="E396">
        <v>18</v>
      </c>
      <c r="F396">
        <v>0</v>
      </c>
      <c r="G396">
        <v>0</v>
      </c>
      <c r="H396" t="s">
        <v>806</v>
      </c>
      <c r="I396">
        <v>73.5</v>
      </c>
      <c r="K396" t="s">
        <v>17</v>
      </c>
      <c r="N396" t="s">
        <v>822</v>
      </c>
    </row>
    <row r="397" spans="1:14" x14ac:dyDescent="0.3">
      <c r="A397">
        <v>2</v>
      </c>
      <c r="B397">
        <v>1</v>
      </c>
      <c r="C397" t="s">
        <v>823</v>
      </c>
      <c r="D397" t="s">
        <v>15</v>
      </c>
      <c r="E397">
        <v>18</v>
      </c>
      <c r="F397">
        <v>0</v>
      </c>
      <c r="G397">
        <v>1</v>
      </c>
      <c r="H397">
        <v>231919</v>
      </c>
      <c r="I397">
        <v>23</v>
      </c>
      <c r="K397" t="s">
        <v>17</v>
      </c>
      <c r="N397" t="s">
        <v>824</v>
      </c>
    </row>
    <row r="398" spans="1:14" x14ac:dyDescent="0.3">
      <c r="A398">
        <v>2</v>
      </c>
      <c r="B398">
        <v>1</v>
      </c>
      <c r="C398" t="s">
        <v>825</v>
      </c>
      <c r="D398" t="s">
        <v>15</v>
      </c>
      <c r="E398">
        <v>34</v>
      </c>
      <c r="F398">
        <v>0</v>
      </c>
      <c r="G398">
        <v>1</v>
      </c>
      <c r="H398">
        <v>231919</v>
      </c>
      <c r="I398">
        <v>23</v>
      </c>
      <c r="K398" t="s">
        <v>17</v>
      </c>
      <c r="N398" t="s">
        <v>824</v>
      </c>
    </row>
    <row r="399" spans="1:14" x14ac:dyDescent="0.3">
      <c r="A399">
        <v>2</v>
      </c>
      <c r="B399">
        <v>0</v>
      </c>
      <c r="C399" t="s">
        <v>826</v>
      </c>
      <c r="D399" t="s">
        <v>20</v>
      </c>
      <c r="E399">
        <v>54</v>
      </c>
      <c r="F399">
        <v>0</v>
      </c>
      <c r="G399">
        <v>0</v>
      </c>
      <c r="H399">
        <v>28403</v>
      </c>
      <c r="I399">
        <v>26</v>
      </c>
      <c r="K399" t="s">
        <v>17</v>
      </c>
      <c r="N399" t="s">
        <v>827</v>
      </c>
    </row>
    <row r="400" spans="1:14" x14ac:dyDescent="0.3">
      <c r="A400">
        <v>2</v>
      </c>
      <c r="B400">
        <v>1</v>
      </c>
      <c r="C400" t="s">
        <v>828</v>
      </c>
      <c r="D400" t="s">
        <v>20</v>
      </c>
      <c r="E400">
        <v>8</v>
      </c>
      <c r="F400">
        <v>0</v>
      </c>
      <c r="G400">
        <v>2</v>
      </c>
      <c r="H400">
        <v>28220</v>
      </c>
      <c r="I400">
        <v>32.5</v>
      </c>
      <c r="K400" t="s">
        <v>17</v>
      </c>
      <c r="L400">
        <v>10</v>
      </c>
      <c r="N400" t="s">
        <v>829</v>
      </c>
    </row>
    <row r="401" spans="1:14" x14ac:dyDescent="0.3">
      <c r="A401">
        <v>2</v>
      </c>
      <c r="B401">
        <v>0</v>
      </c>
      <c r="C401" t="s">
        <v>830</v>
      </c>
      <c r="D401" t="s">
        <v>20</v>
      </c>
      <c r="E401">
        <v>42</v>
      </c>
      <c r="F401">
        <v>1</v>
      </c>
      <c r="G401">
        <v>1</v>
      </c>
      <c r="H401">
        <v>28220</v>
      </c>
      <c r="I401">
        <v>32.5</v>
      </c>
      <c r="K401" t="s">
        <v>17</v>
      </c>
      <c r="N401" t="s">
        <v>829</v>
      </c>
    </row>
    <row r="402" spans="1:14" x14ac:dyDescent="0.3">
      <c r="A402">
        <v>2</v>
      </c>
      <c r="B402">
        <v>1</v>
      </c>
      <c r="C402" t="s">
        <v>831</v>
      </c>
      <c r="D402" t="s">
        <v>15</v>
      </c>
      <c r="E402">
        <v>34</v>
      </c>
      <c r="F402">
        <v>1</v>
      </c>
      <c r="G402">
        <v>1</v>
      </c>
      <c r="H402">
        <v>28220</v>
      </c>
      <c r="I402">
        <v>32.5</v>
      </c>
      <c r="K402" t="s">
        <v>17</v>
      </c>
      <c r="L402">
        <v>10</v>
      </c>
      <c r="N402" t="s">
        <v>829</v>
      </c>
    </row>
    <row r="403" spans="1:14" x14ac:dyDescent="0.3">
      <c r="A403">
        <v>2</v>
      </c>
      <c r="B403">
        <v>1</v>
      </c>
      <c r="C403" t="s">
        <v>832</v>
      </c>
      <c r="D403" t="s">
        <v>15</v>
      </c>
      <c r="E403">
        <v>27</v>
      </c>
      <c r="F403">
        <v>1</v>
      </c>
      <c r="G403">
        <v>0</v>
      </c>
      <c r="H403" t="s">
        <v>833</v>
      </c>
      <c r="I403">
        <v>13.8583</v>
      </c>
      <c r="K403" t="s">
        <v>41</v>
      </c>
      <c r="L403">
        <v>12</v>
      </c>
      <c r="N403" t="s">
        <v>834</v>
      </c>
    </row>
    <row r="404" spans="1:14" x14ac:dyDescent="0.3">
      <c r="A404">
        <v>2</v>
      </c>
      <c r="B404">
        <v>1</v>
      </c>
      <c r="C404" t="s">
        <v>835</v>
      </c>
      <c r="D404" t="s">
        <v>15</v>
      </c>
      <c r="E404">
        <v>30</v>
      </c>
      <c r="F404">
        <v>1</v>
      </c>
      <c r="G404">
        <v>0</v>
      </c>
      <c r="H404" t="s">
        <v>836</v>
      </c>
      <c r="I404">
        <v>13.8583</v>
      </c>
      <c r="K404" t="s">
        <v>41</v>
      </c>
      <c r="L404">
        <v>12</v>
      </c>
      <c r="N404" t="s">
        <v>834</v>
      </c>
    </row>
    <row r="405" spans="1:14" x14ac:dyDescent="0.3">
      <c r="A405">
        <v>2</v>
      </c>
      <c r="B405">
        <v>0</v>
      </c>
      <c r="C405" t="s">
        <v>837</v>
      </c>
      <c r="D405" t="s">
        <v>20</v>
      </c>
      <c r="E405">
        <v>23</v>
      </c>
      <c r="F405">
        <v>0</v>
      </c>
      <c r="G405">
        <v>0</v>
      </c>
      <c r="H405">
        <v>29751</v>
      </c>
      <c r="I405">
        <v>13</v>
      </c>
      <c r="K405" t="s">
        <v>17</v>
      </c>
      <c r="N405" t="s">
        <v>838</v>
      </c>
    </row>
    <row r="406" spans="1:14" x14ac:dyDescent="0.3">
      <c r="A406">
        <v>2</v>
      </c>
      <c r="B406">
        <v>0</v>
      </c>
      <c r="C406" t="s">
        <v>839</v>
      </c>
      <c r="D406" t="s">
        <v>20</v>
      </c>
      <c r="E406">
        <v>21</v>
      </c>
      <c r="F406">
        <v>0</v>
      </c>
      <c r="G406">
        <v>0</v>
      </c>
      <c r="H406">
        <v>236854</v>
      </c>
      <c r="I406">
        <v>13</v>
      </c>
      <c r="K406" t="s">
        <v>17</v>
      </c>
      <c r="N406" t="s">
        <v>840</v>
      </c>
    </row>
    <row r="407" spans="1:14" x14ac:dyDescent="0.3">
      <c r="A407">
        <v>2</v>
      </c>
      <c r="B407">
        <v>0</v>
      </c>
      <c r="C407" t="s">
        <v>841</v>
      </c>
      <c r="D407" t="s">
        <v>20</v>
      </c>
      <c r="E407">
        <v>18</v>
      </c>
      <c r="F407">
        <v>0</v>
      </c>
      <c r="G407">
        <v>0</v>
      </c>
      <c r="H407">
        <v>236171</v>
      </c>
      <c r="I407">
        <v>13</v>
      </c>
      <c r="K407" t="s">
        <v>17</v>
      </c>
      <c r="N407" t="s">
        <v>842</v>
      </c>
    </row>
    <row r="408" spans="1:14" x14ac:dyDescent="0.3">
      <c r="A408">
        <v>2</v>
      </c>
      <c r="B408">
        <v>0</v>
      </c>
      <c r="C408" t="s">
        <v>843</v>
      </c>
      <c r="D408" t="s">
        <v>20</v>
      </c>
      <c r="E408">
        <v>40</v>
      </c>
      <c r="F408">
        <v>1</v>
      </c>
      <c r="G408">
        <v>0</v>
      </c>
      <c r="H408">
        <v>2926</v>
      </c>
      <c r="I408">
        <v>26</v>
      </c>
      <c r="K408" t="s">
        <v>17</v>
      </c>
      <c r="M408">
        <v>286</v>
      </c>
      <c r="N408" t="s">
        <v>844</v>
      </c>
    </row>
    <row r="409" spans="1:14" x14ac:dyDescent="0.3">
      <c r="A409">
        <v>2</v>
      </c>
      <c r="B409">
        <v>1</v>
      </c>
      <c r="C409" t="s">
        <v>845</v>
      </c>
      <c r="D409" t="s">
        <v>15</v>
      </c>
      <c r="E409">
        <v>29</v>
      </c>
      <c r="F409">
        <v>1</v>
      </c>
      <c r="G409">
        <v>0</v>
      </c>
      <c r="H409">
        <v>2926</v>
      </c>
      <c r="I409">
        <v>26</v>
      </c>
      <c r="K409" t="s">
        <v>17</v>
      </c>
      <c r="L409">
        <v>16</v>
      </c>
    </row>
    <row r="410" spans="1:14" x14ac:dyDescent="0.3">
      <c r="A410">
        <v>2</v>
      </c>
      <c r="B410">
        <v>0</v>
      </c>
      <c r="C410" t="s">
        <v>846</v>
      </c>
      <c r="D410" t="s">
        <v>20</v>
      </c>
      <c r="E410">
        <v>18</v>
      </c>
      <c r="F410">
        <v>0</v>
      </c>
      <c r="G410">
        <v>0</v>
      </c>
      <c r="H410" t="s">
        <v>847</v>
      </c>
      <c r="I410">
        <v>10.5</v>
      </c>
      <c r="K410" t="s">
        <v>17</v>
      </c>
      <c r="N410" t="s">
        <v>848</v>
      </c>
    </row>
    <row r="411" spans="1:14" x14ac:dyDescent="0.3">
      <c r="A411">
        <v>2</v>
      </c>
      <c r="B411">
        <v>0</v>
      </c>
      <c r="C411" t="s">
        <v>849</v>
      </c>
      <c r="D411" t="s">
        <v>20</v>
      </c>
      <c r="E411">
        <v>36</v>
      </c>
      <c r="F411">
        <v>0</v>
      </c>
      <c r="G411">
        <v>0</v>
      </c>
      <c r="H411">
        <v>229236</v>
      </c>
      <c r="I411">
        <v>13</v>
      </c>
      <c r="K411" t="s">
        <v>17</v>
      </c>
      <c r="M411">
        <v>236</v>
      </c>
      <c r="N411" t="s">
        <v>734</v>
      </c>
    </row>
    <row r="412" spans="1:14" x14ac:dyDescent="0.3">
      <c r="A412">
        <v>2</v>
      </c>
      <c r="B412">
        <v>0</v>
      </c>
      <c r="C412" t="s">
        <v>850</v>
      </c>
      <c r="D412" t="s">
        <v>20</v>
      </c>
      <c r="F412">
        <v>0</v>
      </c>
      <c r="G412">
        <v>0</v>
      </c>
      <c r="H412">
        <v>239854</v>
      </c>
      <c r="I412">
        <v>0</v>
      </c>
      <c r="K412" t="s">
        <v>17</v>
      </c>
      <c r="N412" t="s">
        <v>500</v>
      </c>
    </row>
    <row r="413" spans="1:14" x14ac:dyDescent="0.3">
      <c r="A413">
        <v>2</v>
      </c>
      <c r="B413">
        <v>0</v>
      </c>
      <c r="C413" t="s">
        <v>851</v>
      </c>
      <c r="D413" t="s">
        <v>15</v>
      </c>
      <c r="E413">
        <v>38</v>
      </c>
      <c r="F413">
        <v>0</v>
      </c>
      <c r="G413">
        <v>0</v>
      </c>
      <c r="H413">
        <v>237671</v>
      </c>
      <c r="I413">
        <v>13</v>
      </c>
      <c r="K413" t="s">
        <v>17</v>
      </c>
      <c r="N413" t="s">
        <v>852</v>
      </c>
    </row>
    <row r="414" spans="1:14" x14ac:dyDescent="0.3">
      <c r="A414">
        <v>2</v>
      </c>
      <c r="B414">
        <v>0</v>
      </c>
      <c r="C414" t="s">
        <v>853</v>
      </c>
      <c r="D414" t="s">
        <v>20</v>
      </c>
      <c r="E414">
        <v>35</v>
      </c>
      <c r="F414">
        <v>0</v>
      </c>
      <c r="G414">
        <v>0</v>
      </c>
      <c r="H414">
        <v>239865</v>
      </c>
      <c r="I414">
        <v>26</v>
      </c>
      <c r="K414" t="s">
        <v>17</v>
      </c>
      <c r="M414">
        <v>322</v>
      </c>
      <c r="N414" t="s">
        <v>854</v>
      </c>
    </row>
    <row r="415" spans="1:14" x14ac:dyDescent="0.3">
      <c r="A415">
        <v>2</v>
      </c>
      <c r="B415">
        <v>0</v>
      </c>
      <c r="C415" t="s">
        <v>855</v>
      </c>
      <c r="D415" t="s">
        <v>20</v>
      </c>
      <c r="E415">
        <v>38</v>
      </c>
      <c r="F415">
        <v>1</v>
      </c>
      <c r="G415">
        <v>0</v>
      </c>
      <c r="H415">
        <v>28664</v>
      </c>
      <c r="I415">
        <v>21</v>
      </c>
      <c r="K415" t="s">
        <v>17</v>
      </c>
      <c r="N415" t="s">
        <v>856</v>
      </c>
    </row>
    <row r="416" spans="1:14" x14ac:dyDescent="0.3">
      <c r="A416">
        <v>2</v>
      </c>
      <c r="B416">
        <v>0</v>
      </c>
      <c r="C416" t="s">
        <v>857</v>
      </c>
      <c r="D416" t="s">
        <v>20</v>
      </c>
      <c r="E416">
        <v>34</v>
      </c>
      <c r="F416">
        <v>1</v>
      </c>
      <c r="G416">
        <v>0</v>
      </c>
      <c r="H416">
        <v>28664</v>
      </c>
      <c r="I416">
        <v>21</v>
      </c>
      <c r="K416" t="s">
        <v>17</v>
      </c>
      <c r="N416" t="s">
        <v>856</v>
      </c>
    </row>
    <row r="417" spans="1:14" x14ac:dyDescent="0.3">
      <c r="A417">
        <v>2</v>
      </c>
      <c r="B417">
        <v>1</v>
      </c>
      <c r="C417" t="s">
        <v>858</v>
      </c>
      <c r="D417" t="s">
        <v>15</v>
      </c>
      <c r="E417">
        <v>34</v>
      </c>
      <c r="F417">
        <v>0</v>
      </c>
      <c r="G417">
        <v>0</v>
      </c>
      <c r="H417">
        <v>243880</v>
      </c>
      <c r="I417">
        <v>13</v>
      </c>
      <c r="K417" t="s">
        <v>17</v>
      </c>
      <c r="L417">
        <v>12</v>
      </c>
      <c r="N417" t="s">
        <v>266</v>
      </c>
    </row>
    <row r="418" spans="1:14" x14ac:dyDescent="0.3">
      <c r="A418">
        <v>2</v>
      </c>
      <c r="B418">
        <v>0</v>
      </c>
      <c r="C418" t="s">
        <v>859</v>
      </c>
      <c r="D418" t="s">
        <v>20</v>
      </c>
      <c r="E418">
        <v>16</v>
      </c>
      <c r="F418">
        <v>0</v>
      </c>
      <c r="G418">
        <v>0</v>
      </c>
      <c r="H418">
        <v>239865</v>
      </c>
      <c r="I418">
        <v>26</v>
      </c>
      <c r="K418" t="s">
        <v>17</v>
      </c>
      <c r="N418" t="s">
        <v>854</v>
      </c>
    </row>
    <row r="419" spans="1:14" x14ac:dyDescent="0.3">
      <c r="A419">
        <v>2</v>
      </c>
      <c r="B419">
        <v>0</v>
      </c>
      <c r="C419" t="s">
        <v>860</v>
      </c>
      <c r="D419" t="s">
        <v>20</v>
      </c>
      <c r="E419">
        <v>26</v>
      </c>
      <c r="F419">
        <v>0</v>
      </c>
      <c r="G419">
        <v>0</v>
      </c>
      <c r="H419">
        <v>31028</v>
      </c>
      <c r="I419">
        <v>10.5</v>
      </c>
      <c r="K419" t="s">
        <v>17</v>
      </c>
      <c r="N419" t="s">
        <v>820</v>
      </c>
    </row>
    <row r="420" spans="1:14" x14ac:dyDescent="0.3">
      <c r="A420">
        <v>2</v>
      </c>
      <c r="B420">
        <v>0</v>
      </c>
      <c r="C420" t="s">
        <v>861</v>
      </c>
      <c r="D420" t="s">
        <v>20</v>
      </c>
      <c r="E420">
        <v>47</v>
      </c>
      <c r="F420">
        <v>0</v>
      </c>
      <c r="G420">
        <v>0</v>
      </c>
      <c r="H420" t="s">
        <v>862</v>
      </c>
      <c r="I420">
        <v>10.5</v>
      </c>
      <c r="K420" t="s">
        <v>17</v>
      </c>
      <c r="N420" t="s">
        <v>863</v>
      </c>
    </row>
    <row r="421" spans="1:14" x14ac:dyDescent="0.3">
      <c r="A421">
        <v>2</v>
      </c>
      <c r="B421">
        <v>0</v>
      </c>
      <c r="C421" t="s">
        <v>864</v>
      </c>
      <c r="D421" t="s">
        <v>20</v>
      </c>
      <c r="E421">
        <v>21</v>
      </c>
      <c r="F421">
        <v>1</v>
      </c>
      <c r="G421">
        <v>0</v>
      </c>
      <c r="H421">
        <v>28133</v>
      </c>
      <c r="I421">
        <v>11.5</v>
      </c>
      <c r="K421" t="s">
        <v>17</v>
      </c>
      <c r="N421" t="s">
        <v>865</v>
      </c>
    </row>
    <row r="422" spans="1:14" x14ac:dyDescent="0.3">
      <c r="A422">
        <v>2</v>
      </c>
      <c r="B422">
        <v>0</v>
      </c>
      <c r="C422" t="s">
        <v>866</v>
      </c>
      <c r="D422" t="s">
        <v>20</v>
      </c>
      <c r="E422">
        <v>21</v>
      </c>
      <c r="F422">
        <v>1</v>
      </c>
      <c r="G422">
        <v>0</v>
      </c>
      <c r="H422">
        <v>28134</v>
      </c>
      <c r="I422">
        <v>11.5</v>
      </c>
      <c r="K422" t="s">
        <v>17</v>
      </c>
      <c r="N422" t="s">
        <v>865</v>
      </c>
    </row>
    <row r="423" spans="1:14" x14ac:dyDescent="0.3">
      <c r="A423">
        <v>2</v>
      </c>
      <c r="B423">
        <v>0</v>
      </c>
      <c r="C423" t="s">
        <v>867</v>
      </c>
      <c r="D423" t="s">
        <v>20</v>
      </c>
      <c r="E423">
        <v>24</v>
      </c>
      <c r="F423">
        <v>0</v>
      </c>
      <c r="G423">
        <v>0</v>
      </c>
      <c r="H423">
        <v>248726</v>
      </c>
      <c r="I423">
        <v>13.5</v>
      </c>
      <c r="K423" t="s">
        <v>17</v>
      </c>
      <c r="M423">
        <v>297</v>
      </c>
      <c r="N423" t="s">
        <v>868</v>
      </c>
    </row>
    <row r="424" spans="1:14" x14ac:dyDescent="0.3">
      <c r="A424">
        <v>2</v>
      </c>
      <c r="B424">
        <v>0</v>
      </c>
      <c r="C424" t="s">
        <v>869</v>
      </c>
      <c r="D424" t="s">
        <v>20</v>
      </c>
      <c r="E424">
        <v>24</v>
      </c>
      <c r="F424">
        <v>0</v>
      </c>
      <c r="G424">
        <v>0</v>
      </c>
      <c r="H424">
        <v>233866</v>
      </c>
      <c r="I424">
        <v>13</v>
      </c>
      <c r="K424" t="s">
        <v>17</v>
      </c>
      <c r="M424">
        <v>155</v>
      </c>
      <c r="N424" t="s">
        <v>870</v>
      </c>
    </row>
    <row r="425" spans="1:14" x14ac:dyDescent="0.3">
      <c r="A425">
        <v>2</v>
      </c>
      <c r="B425">
        <v>0</v>
      </c>
      <c r="C425" t="s">
        <v>871</v>
      </c>
      <c r="D425" t="s">
        <v>20</v>
      </c>
      <c r="E425">
        <v>34</v>
      </c>
      <c r="F425">
        <v>0</v>
      </c>
      <c r="G425">
        <v>0</v>
      </c>
      <c r="H425">
        <v>12233</v>
      </c>
      <c r="I425">
        <v>13</v>
      </c>
      <c r="K425" t="s">
        <v>17</v>
      </c>
      <c r="N425" t="s">
        <v>450</v>
      </c>
    </row>
    <row r="426" spans="1:14" x14ac:dyDescent="0.3">
      <c r="A426">
        <v>2</v>
      </c>
      <c r="B426">
        <v>0</v>
      </c>
      <c r="C426" t="s">
        <v>872</v>
      </c>
      <c r="D426" t="s">
        <v>20</v>
      </c>
      <c r="E426">
        <v>30</v>
      </c>
      <c r="F426">
        <v>0</v>
      </c>
      <c r="G426">
        <v>0</v>
      </c>
      <c r="H426">
        <v>250646</v>
      </c>
      <c r="I426">
        <v>13</v>
      </c>
      <c r="K426" t="s">
        <v>17</v>
      </c>
      <c r="M426">
        <v>305</v>
      </c>
    </row>
    <row r="427" spans="1:14" x14ac:dyDescent="0.3">
      <c r="A427">
        <v>2</v>
      </c>
      <c r="B427">
        <v>0</v>
      </c>
      <c r="C427" t="s">
        <v>873</v>
      </c>
      <c r="D427" t="s">
        <v>20</v>
      </c>
      <c r="E427">
        <v>52</v>
      </c>
      <c r="F427">
        <v>0</v>
      </c>
      <c r="G427">
        <v>0</v>
      </c>
      <c r="H427">
        <v>250647</v>
      </c>
      <c r="I427">
        <v>13</v>
      </c>
      <c r="K427" t="s">
        <v>17</v>
      </c>
      <c r="M427">
        <v>19</v>
      </c>
      <c r="N427" t="s">
        <v>770</v>
      </c>
    </row>
    <row r="428" spans="1:14" x14ac:dyDescent="0.3">
      <c r="A428">
        <v>2</v>
      </c>
      <c r="B428">
        <v>0</v>
      </c>
      <c r="C428" t="s">
        <v>874</v>
      </c>
      <c r="D428" t="s">
        <v>20</v>
      </c>
      <c r="E428">
        <v>30</v>
      </c>
      <c r="F428">
        <v>0</v>
      </c>
      <c r="G428">
        <v>0</v>
      </c>
      <c r="H428">
        <v>250653</v>
      </c>
      <c r="I428">
        <v>13</v>
      </c>
      <c r="K428" t="s">
        <v>17</v>
      </c>
      <c r="M428">
        <v>75</v>
      </c>
      <c r="N428" t="s">
        <v>875</v>
      </c>
    </row>
    <row r="429" spans="1:14" x14ac:dyDescent="0.3">
      <c r="A429">
        <v>2</v>
      </c>
      <c r="B429">
        <v>1</v>
      </c>
      <c r="C429" t="s">
        <v>876</v>
      </c>
      <c r="D429" t="s">
        <v>20</v>
      </c>
      <c r="E429">
        <v>0.67</v>
      </c>
      <c r="F429">
        <v>1</v>
      </c>
      <c r="G429">
        <v>1</v>
      </c>
      <c r="H429">
        <v>250649</v>
      </c>
      <c r="I429">
        <v>14.5</v>
      </c>
      <c r="K429" t="s">
        <v>17</v>
      </c>
      <c r="L429">
        <v>4</v>
      </c>
      <c r="N429" t="s">
        <v>877</v>
      </c>
    </row>
    <row r="430" spans="1:14" x14ac:dyDescent="0.3">
      <c r="A430">
        <v>2</v>
      </c>
      <c r="B430">
        <v>1</v>
      </c>
      <c r="C430" t="s">
        <v>878</v>
      </c>
      <c r="D430" t="s">
        <v>15</v>
      </c>
      <c r="E430">
        <v>24</v>
      </c>
      <c r="F430">
        <v>0</v>
      </c>
      <c r="G430">
        <v>2</v>
      </c>
      <c r="H430">
        <v>250649</v>
      </c>
      <c r="I430">
        <v>14.5</v>
      </c>
      <c r="K430" t="s">
        <v>17</v>
      </c>
      <c r="L430">
        <v>4</v>
      </c>
      <c r="N430" t="s">
        <v>877</v>
      </c>
    </row>
    <row r="431" spans="1:14" x14ac:dyDescent="0.3">
      <c r="A431">
        <v>2</v>
      </c>
      <c r="B431">
        <v>0</v>
      </c>
      <c r="C431" t="s">
        <v>879</v>
      </c>
      <c r="D431" t="s">
        <v>20</v>
      </c>
      <c r="E431">
        <v>44</v>
      </c>
      <c r="F431">
        <v>0</v>
      </c>
      <c r="G431">
        <v>0</v>
      </c>
      <c r="H431">
        <v>248746</v>
      </c>
      <c r="I431">
        <v>13</v>
      </c>
      <c r="K431" t="s">
        <v>17</v>
      </c>
      <c r="M431">
        <v>35</v>
      </c>
      <c r="N431" t="s">
        <v>880</v>
      </c>
    </row>
    <row r="432" spans="1:14" x14ac:dyDescent="0.3">
      <c r="A432">
        <v>2</v>
      </c>
      <c r="B432">
        <v>1</v>
      </c>
      <c r="C432" t="s">
        <v>881</v>
      </c>
      <c r="D432" t="s">
        <v>15</v>
      </c>
      <c r="E432">
        <v>6</v>
      </c>
      <c r="F432">
        <v>0</v>
      </c>
      <c r="G432">
        <v>1</v>
      </c>
      <c r="H432">
        <v>248727</v>
      </c>
      <c r="I432">
        <v>33</v>
      </c>
      <c r="K432" t="s">
        <v>17</v>
      </c>
      <c r="L432">
        <v>11</v>
      </c>
      <c r="N432" t="s">
        <v>882</v>
      </c>
    </row>
    <row r="433" spans="1:14" x14ac:dyDescent="0.3">
      <c r="A433">
        <v>2</v>
      </c>
      <c r="B433">
        <v>0</v>
      </c>
      <c r="C433" t="s">
        <v>883</v>
      </c>
      <c r="D433" t="s">
        <v>20</v>
      </c>
      <c r="E433">
        <v>28</v>
      </c>
      <c r="F433">
        <v>0</v>
      </c>
      <c r="G433">
        <v>1</v>
      </c>
      <c r="H433">
        <v>248727</v>
      </c>
      <c r="I433">
        <v>33</v>
      </c>
      <c r="K433" t="s">
        <v>17</v>
      </c>
      <c r="N433" t="s">
        <v>882</v>
      </c>
    </row>
    <row r="434" spans="1:14" x14ac:dyDescent="0.3">
      <c r="A434">
        <v>2</v>
      </c>
      <c r="B434">
        <v>1</v>
      </c>
      <c r="C434" t="s">
        <v>884</v>
      </c>
      <c r="D434" t="s">
        <v>20</v>
      </c>
      <c r="E434">
        <v>62</v>
      </c>
      <c r="F434">
        <v>0</v>
      </c>
      <c r="G434">
        <v>0</v>
      </c>
      <c r="H434" t="s">
        <v>885</v>
      </c>
      <c r="I434">
        <v>10.5</v>
      </c>
      <c r="K434" t="s">
        <v>17</v>
      </c>
      <c r="L434">
        <v>15</v>
      </c>
      <c r="N434" t="s">
        <v>392</v>
      </c>
    </row>
    <row r="435" spans="1:14" x14ac:dyDescent="0.3">
      <c r="A435">
        <v>2</v>
      </c>
      <c r="B435">
        <v>0</v>
      </c>
      <c r="C435" t="s">
        <v>886</v>
      </c>
      <c r="D435" t="s">
        <v>20</v>
      </c>
      <c r="E435">
        <v>30</v>
      </c>
      <c r="F435">
        <v>0</v>
      </c>
      <c r="G435">
        <v>0</v>
      </c>
      <c r="H435" t="s">
        <v>887</v>
      </c>
      <c r="I435">
        <v>10.5</v>
      </c>
      <c r="K435" t="s">
        <v>17</v>
      </c>
      <c r="N435" t="s">
        <v>888</v>
      </c>
    </row>
    <row r="436" spans="1:14" x14ac:dyDescent="0.3">
      <c r="A436">
        <v>2</v>
      </c>
      <c r="B436">
        <v>1</v>
      </c>
      <c r="C436" t="s">
        <v>889</v>
      </c>
      <c r="D436" t="s">
        <v>15</v>
      </c>
      <c r="E436">
        <v>7</v>
      </c>
      <c r="F436">
        <v>0</v>
      </c>
      <c r="G436">
        <v>2</v>
      </c>
      <c r="H436" t="s">
        <v>890</v>
      </c>
      <c r="I436">
        <v>26.25</v>
      </c>
      <c r="K436" t="s">
        <v>17</v>
      </c>
      <c r="L436">
        <v>14</v>
      </c>
      <c r="N436" t="s">
        <v>891</v>
      </c>
    </row>
    <row r="437" spans="1:14" x14ac:dyDescent="0.3">
      <c r="A437">
        <v>2</v>
      </c>
      <c r="B437">
        <v>0</v>
      </c>
      <c r="C437" t="s">
        <v>892</v>
      </c>
      <c r="D437" t="s">
        <v>20</v>
      </c>
      <c r="E437">
        <v>43</v>
      </c>
      <c r="F437">
        <v>1</v>
      </c>
      <c r="G437">
        <v>1</v>
      </c>
      <c r="H437" t="s">
        <v>890</v>
      </c>
      <c r="I437">
        <v>26.25</v>
      </c>
      <c r="K437" t="s">
        <v>17</v>
      </c>
      <c r="N437" t="s">
        <v>891</v>
      </c>
    </row>
    <row r="438" spans="1:14" x14ac:dyDescent="0.3">
      <c r="A438">
        <v>2</v>
      </c>
      <c r="B438">
        <v>1</v>
      </c>
      <c r="C438" t="s">
        <v>893</v>
      </c>
      <c r="D438" t="s">
        <v>15</v>
      </c>
      <c r="E438">
        <v>45</v>
      </c>
      <c r="F438">
        <v>1</v>
      </c>
      <c r="G438">
        <v>1</v>
      </c>
      <c r="H438" t="s">
        <v>890</v>
      </c>
      <c r="I438">
        <v>26.25</v>
      </c>
      <c r="K438" t="s">
        <v>17</v>
      </c>
      <c r="L438">
        <v>14</v>
      </c>
      <c r="N438" t="s">
        <v>891</v>
      </c>
    </row>
    <row r="439" spans="1:14" x14ac:dyDescent="0.3">
      <c r="A439">
        <v>2</v>
      </c>
      <c r="B439">
        <v>1</v>
      </c>
      <c r="C439" t="s">
        <v>894</v>
      </c>
      <c r="D439" t="s">
        <v>15</v>
      </c>
      <c r="E439">
        <v>24</v>
      </c>
      <c r="F439">
        <v>1</v>
      </c>
      <c r="G439">
        <v>2</v>
      </c>
      <c r="H439">
        <v>220845</v>
      </c>
      <c r="I439">
        <v>65</v>
      </c>
      <c r="K439" t="s">
        <v>17</v>
      </c>
      <c r="L439">
        <v>9</v>
      </c>
      <c r="N439" t="s">
        <v>895</v>
      </c>
    </row>
    <row r="440" spans="1:14" x14ac:dyDescent="0.3">
      <c r="A440">
        <v>2</v>
      </c>
      <c r="B440">
        <v>1</v>
      </c>
      <c r="C440" t="s">
        <v>896</v>
      </c>
      <c r="D440" t="s">
        <v>15</v>
      </c>
      <c r="E440">
        <v>24</v>
      </c>
      <c r="F440">
        <v>1</v>
      </c>
      <c r="G440">
        <v>2</v>
      </c>
      <c r="H440">
        <v>220845</v>
      </c>
      <c r="I440">
        <v>65</v>
      </c>
      <c r="K440" t="s">
        <v>17</v>
      </c>
      <c r="L440">
        <v>9</v>
      </c>
      <c r="N440" t="s">
        <v>895</v>
      </c>
    </row>
    <row r="441" spans="1:14" x14ac:dyDescent="0.3">
      <c r="A441">
        <v>2</v>
      </c>
      <c r="B441">
        <v>0</v>
      </c>
      <c r="C441" t="s">
        <v>897</v>
      </c>
      <c r="D441" t="s">
        <v>20</v>
      </c>
      <c r="E441">
        <v>49</v>
      </c>
      <c r="F441">
        <v>1</v>
      </c>
      <c r="G441">
        <v>2</v>
      </c>
      <c r="H441">
        <v>220845</v>
      </c>
      <c r="I441">
        <v>65</v>
      </c>
      <c r="K441" t="s">
        <v>17</v>
      </c>
      <c r="N441" t="s">
        <v>895</v>
      </c>
    </row>
    <row r="442" spans="1:14" x14ac:dyDescent="0.3">
      <c r="A442">
        <v>2</v>
      </c>
      <c r="B442">
        <v>1</v>
      </c>
      <c r="C442" t="s">
        <v>898</v>
      </c>
      <c r="D442" t="s">
        <v>15</v>
      </c>
      <c r="E442">
        <v>48</v>
      </c>
      <c r="F442">
        <v>1</v>
      </c>
      <c r="G442">
        <v>2</v>
      </c>
      <c r="H442">
        <v>220845</v>
      </c>
      <c r="I442">
        <v>65</v>
      </c>
      <c r="K442" t="s">
        <v>17</v>
      </c>
      <c r="L442">
        <v>9</v>
      </c>
      <c r="N442" t="s">
        <v>895</v>
      </c>
    </row>
    <row r="443" spans="1:14" x14ac:dyDescent="0.3">
      <c r="A443">
        <v>2</v>
      </c>
      <c r="B443">
        <v>1</v>
      </c>
      <c r="C443" t="s">
        <v>899</v>
      </c>
      <c r="D443" t="s">
        <v>15</v>
      </c>
      <c r="E443">
        <v>55</v>
      </c>
      <c r="F443">
        <v>0</v>
      </c>
      <c r="G443">
        <v>0</v>
      </c>
      <c r="H443">
        <v>248706</v>
      </c>
      <c r="I443">
        <v>16</v>
      </c>
      <c r="K443" t="s">
        <v>17</v>
      </c>
      <c r="L443">
        <v>13</v>
      </c>
      <c r="N443" t="s">
        <v>900</v>
      </c>
    </row>
    <row r="444" spans="1:14" x14ac:dyDescent="0.3">
      <c r="A444">
        <v>2</v>
      </c>
      <c r="B444">
        <v>0</v>
      </c>
      <c r="C444" t="s">
        <v>901</v>
      </c>
      <c r="D444" t="s">
        <v>20</v>
      </c>
      <c r="E444">
        <v>24</v>
      </c>
      <c r="F444">
        <v>2</v>
      </c>
      <c r="G444">
        <v>0</v>
      </c>
      <c r="H444" t="s">
        <v>806</v>
      </c>
      <c r="I444">
        <v>73.5</v>
      </c>
      <c r="K444" t="s">
        <v>17</v>
      </c>
      <c r="N444" t="s">
        <v>902</v>
      </c>
    </row>
    <row r="445" spans="1:14" x14ac:dyDescent="0.3">
      <c r="A445">
        <v>2</v>
      </c>
      <c r="B445">
        <v>0</v>
      </c>
      <c r="C445" t="s">
        <v>903</v>
      </c>
      <c r="D445" t="s">
        <v>20</v>
      </c>
      <c r="E445">
        <v>32</v>
      </c>
      <c r="F445">
        <v>2</v>
      </c>
      <c r="G445">
        <v>0</v>
      </c>
      <c r="H445" t="s">
        <v>806</v>
      </c>
      <c r="I445">
        <v>73.5</v>
      </c>
      <c r="K445" t="s">
        <v>17</v>
      </c>
      <c r="M445">
        <v>256</v>
      </c>
      <c r="N445" t="s">
        <v>902</v>
      </c>
    </row>
    <row r="446" spans="1:14" x14ac:dyDescent="0.3">
      <c r="A446">
        <v>2</v>
      </c>
      <c r="B446">
        <v>0</v>
      </c>
      <c r="C446" t="s">
        <v>904</v>
      </c>
      <c r="D446" t="s">
        <v>20</v>
      </c>
      <c r="E446">
        <v>21</v>
      </c>
      <c r="F446">
        <v>2</v>
      </c>
      <c r="G446">
        <v>0</v>
      </c>
      <c r="H446" t="s">
        <v>806</v>
      </c>
      <c r="I446">
        <v>73.5</v>
      </c>
      <c r="K446" t="s">
        <v>17</v>
      </c>
      <c r="N446" t="s">
        <v>902</v>
      </c>
    </row>
    <row r="447" spans="1:14" x14ac:dyDescent="0.3">
      <c r="A447">
        <v>2</v>
      </c>
      <c r="B447">
        <v>0</v>
      </c>
      <c r="C447" t="s">
        <v>905</v>
      </c>
      <c r="D447" t="s">
        <v>15</v>
      </c>
      <c r="E447">
        <v>18</v>
      </c>
      <c r="F447">
        <v>1</v>
      </c>
      <c r="G447">
        <v>1</v>
      </c>
      <c r="H447">
        <v>250650</v>
      </c>
      <c r="I447">
        <v>13</v>
      </c>
      <c r="K447" t="s">
        <v>17</v>
      </c>
      <c r="N447" t="s">
        <v>906</v>
      </c>
    </row>
    <row r="448" spans="1:14" x14ac:dyDescent="0.3">
      <c r="A448">
        <v>2</v>
      </c>
      <c r="B448">
        <v>1</v>
      </c>
      <c r="C448" t="s">
        <v>907</v>
      </c>
      <c r="D448" t="s">
        <v>15</v>
      </c>
      <c r="E448">
        <v>20</v>
      </c>
      <c r="F448">
        <v>2</v>
      </c>
      <c r="G448">
        <v>1</v>
      </c>
      <c r="H448">
        <v>29105</v>
      </c>
      <c r="I448">
        <v>23</v>
      </c>
      <c r="K448" t="s">
        <v>17</v>
      </c>
      <c r="L448">
        <v>4</v>
      </c>
      <c r="N448" t="s">
        <v>908</v>
      </c>
    </row>
    <row r="449" spans="1:14" x14ac:dyDescent="0.3">
      <c r="A449">
        <v>2</v>
      </c>
      <c r="B449">
        <v>0</v>
      </c>
      <c r="C449" t="s">
        <v>909</v>
      </c>
      <c r="D449" t="s">
        <v>20</v>
      </c>
      <c r="E449">
        <v>23</v>
      </c>
      <c r="F449">
        <v>2</v>
      </c>
      <c r="G449">
        <v>1</v>
      </c>
      <c r="H449">
        <v>29104</v>
      </c>
      <c r="I449">
        <v>11.5</v>
      </c>
      <c r="K449" t="s">
        <v>17</v>
      </c>
      <c r="N449" t="s">
        <v>908</v>
      </c>
    </row>
    <row r="450" spans="1:14" x14ac:dyDescent="0.3">
      <c r="A450">
        <v>2</v>
      </c>
      <c r="B450">
        <v>0</v>
      </c>
      <c r="C450" t="s">
        <v>910</v>
      </c>
      <c r="D450" t="s">
        <v>20</v>
      </c>
      <c r="E450">
        <v>36</v>
      </c>
      <c r="F450">
        <v>0</v>
      </c>
      <c r="G450">
        <v>0</v>
      </c>
      <c r="H450">
        <v>242963</v>
      </c>
      <c r="I450">
        <v>13</v>
      </c>
      <c r="K450" t="s">
        <v>17</v>
      </c>
      <c r="N450" t="s">
        <v>911</v>
      </c>
    </row>
    <row r="451" spans="1:14" x14ac:dyDescent="0.3">
      <c r="A451">
        <v>2</v>
      </c>
      <c r="B451">
        <v>1</v>
      </c>
      <c r="C451" t="s">
        <v>912</v>
      </c>
      <c r="D451" t="s">
        <v>15</v>
      </c>
      <c r="E451">
        <v>54</v>
      </c>
      <c r="F451">
        <v>1</v>
      </c>
      <c r="G451">
        <v>3</v>
      </c>
      <c r="H451">
        <v>29105</v>
      </c>
      <c r="I451">
        <v>23</v>
      </c>
      <c r="K451" t="s">
        <v>17</v>
      </c>
      <c r="L451">
        <v>4</v>
      </c>
      <c r="N451" t="s">
        <v>908</v>
      </c>
    </row>
    <row r="452" spans="1:14" x14ac:dyDescent="0.3">
      <c r="A452">
        <v>2</v>
      </c>
      <c r="B452">
        <v>0</v>
      </c>
      <c r="C452" t="s">
        <v>913</v>
      </c>
      <c r="D452" t="s">
        <v>20</v>
      </c>
      <c r="E452">
        <v>50</v>
      </c>
      <c r="F452">
        <v>0</v>
      </c>
      <c r="G452">
        <v>0</v>
      </c>
      <c r="H452">
        <v>250643</v>
      </c>
      <c r="I452">
        <v>13</v>
      </c>
      <c r="K452" t="s">
        <v>17</v>
      </c>
      <c r="M452">
        <v>149</v>
      </c>
      <c r="N452" t="s">
        <v>824</v>
      </c>
    </row>
    <row r="453" spans="1:14" x14ac:dyDescent="0.3">
      <c r="A453">
        <v>2</v>
      </c>
      <c r="B453">
        <v>0</v>
      </c>
      <c r="C453" t="s">
        <v>914</v>
      </c>
      <c r="D453" t="s">
        <v>20</v>
      </c>
      <c r="E453">
        <v>44</v>
      </c>
      <c r="F453">
        <v>1</v>
      </c>
      <c r="G453">
        <v>0</v>
      </c>
      <c r="H453">
        <v>26707</v>
      </c>
      <c r="I453">
        <v>26</v>
      </c>
      <c r="K453" t="s">
        <v>17</v>
      </c>
      <c r="N453" t="s">
        <v>915</v>
      </c>
    </row>
    <row r="454" spans="1:14" x14ac:dyDescent="0.3">
      <c r="A454">
        <v>2</v>
      </c>
      <c r="B454">
        <v>1</v>
      </c>
      <c r="C454" t="s">
        <v>916</v>
      </c>
      <c r="D454" t="s">
        <v>15</v>
      </c>
      <c r="E454">
        <v>29</v>
      </c>
      <c r="F454">
        <v>1</v>
      </c>
      <c r="G454">
        <v>0</v>
      </c>
      <c r="H454">
        <v>26707</v>
      </c>
      <c r="I454">
        <v>26</v>
      </c>
      <c r="K454" t="s">
        <v>17</v>
      </c>
      <c r="L454">
        <v>10</v>
      </c>
      <c r="N454" t="s">
        <v>915</v>
      </c>
    </row>
    <row r="455" spans="1:14" x14ac:dyDescent="0.3">
      <c r="A455">
        <v>2</v>
      </c>
      <c r="B455">
        <v>0</v>
      </c>
      <c r="C455" t="s">
        <v>917</v>
      </c>
      <c r="D455" t="s">
        <v>20</v>
      </c>
      <c r="E455">
        <v>21</v>
      </c>
      <c r="F455">
        <v>0</v>
      </c>
      <c r="G455">
        <v>0</v>
      </c>
      <c r="H455" t="s">
        <v>806</v>
      </c>
      <c r="I455">
        <v>73.5</v>
      </c>
      <c r="K455" t="s">
        <v>17</v>
      </c>
      <c r="N455" t="s">
        <v>822</v>
      </c>
    </row>
    <row r="456" spans="1:14" x14ac:dyDescent="0.3">
      <c r="A456">
        <v>2</v>
      </c>
      <c r="B456">
        <v>1</v>
      </c>
      <c r="C456" t="s">
        <v>918</v>
      </c>
      <c r="D456" t="s">
        <v>20</v>
      </c>
      <c r="E456">
        <v>42</v>
      </c>
      <c r="F456">
        <v>0</v>
      </c>
      <c r="G456">
        <v>0</v>
      </c>
      <c r="H456">
        <v>237798</v>
      </c>
      <c r="I456">
        <v>13</v>
      </c>
      <c r="K456" t="s">
        <v>17</v>
      </c>
      <c r="L456">
        <v>10</v>
      </c>
      <c r="N456" t="s">
        <v>919</v>
      </c>
    </row>
    <row r="457" spans="1:14" x14ac:dyDescent="0.3">
      <c r="A457">
        <v>2</v>
      </c>
      <c r="B457">
        <v>0</v>
      </c>
      <c r="C457" t="s">
        <v>920</v>
      </c>
      <c r="D457" t="s">
        <v>20</v>
      </c>
      <c r="E457">
        <v>63</v>
      </c>
      <c r="F457">
        <v>1</v>
      </c>
      <c r="G457">
        <v>0</v>
      </c>
      <c r="H457">
        <v>24065</v>
      </c>
      <c r="I457">
        <v>26</v>
      </c>
      <c r="K457" t="s">
        <v>17</v>
      </c>
      <c r="N457" t="s">
        <v>921</v>
      </c>
    </row>
    <row r="458" spans="1:14" x14ac:dyDescent="0.3">
      <c r="A458">
        <v>2</v>
      </c>
      <c r="B458">
        <v>0</v>
      </c>
      <c r="C458" t="s">
        <v>922</v>
      </c>
      <c r="D458" t="s">
        <v>15</v>
      </c>
      <c r="E458">
        <v>60</v>
      </c>
      <c r="F458">
        <v>1</v>
      </c>
      <c r="G458">
        <v>0</v>
      </c>
      <c r="H458">
        <v>24065</v>
      </c>
      <c r="I458">
        <v>26</v>
      </c>
      <c r="K458" t="s">
        <v>17</v>
      </c>
      <c r="N458" t="s">
        <v>921</v>
      </c>
    </row>
    <row r="459" spans="1:14" x14ac:dyDescent="0.3">
      <c r="A459">
        <v>2</v>
      </c>
      <c r="B459">
        <v>0</v>
      </c>
      <c r="C459" t="s">
        <v>923</v>
      </c>
      <c r="D459" t="s">
        <v>20</v>
      </c>
      <c r="E459">
        <v>33</v>
      </c>
      <c r="F459">
        <v>0</v>
      </c>
      <c r="G459">
        <v>0</v>
      </c>
      <c r="H459" t="s">
        <v>924</v>
      </c>
      <c r="I459">
        <v>12.275</v>
      </c>
      <c r="K459" t="s">
        <v>17</v>
      </c>
      <c r="N459" t="s">
        <v>121</v>
      </c>
    </row>
    <row r="460" spans="1:14" x14ac:dyDescent="0.3">
      <c r="A460">
        <v>2</v>
      </c>
      <c r="B460">
        <v>1</v>
      </c>
      <c r="C460" t="s">
        <v>925</v>
      </c>
      <c r="D460" t="s">
        <v>15</v>
      </c>
      <c r="E460">
        <v>17</v>
      </c>
      <c r="F460">
        <v>0</v>
      </c>
      <c r="G460">
        <v>0</v>
      </c>
      <c r="H460" t="s">
        <v>926</v>
      </c>
      <c r="I460">
        <v>10.5</v>
      </c>
      <c r="K460" t="s">
        <v>17</v>
      </c>
      <c r="N460" t="s">
        <v>711</v>
      </c>
    </row>
    <row r="461" spans="1:14" x14ac:dyDescent="0.3">
      <c r="A461">
        <v>2</v>
      </c>
      <c r="B461">
        <v>0</v>
      </c>
      <c r="C461" t="s">
        <v>927</v>
      </c>
      <c r="D461" t="s">
        <v>20</v>
      </c>
      <c r="E461">
        <v>42</v>
      </c>
      <c r="F461">
        <v>1</v>
      </c>
      <c r="G461">
        <v>0</v>
      </c>
      <c r="H461">
        <v>243847</v>
      </c>
      <c r="I461">
        <v>27</v>
      </c>
      <c r="K461" t="s">
        <v>17</v>
      </c>
      <c r="N461" t="s">
        <v>392</v>
      </c>
    </row>
    <row r="462" spans="1:14" x14ac:dyDescent="0.3">
      <c r="A462">
        <v>2</v>
      </c>
      <c r="B462">
        <v>1</v>
      </c>
      <c r="C462" t="s">
        <v>928</v>
      </c>
      <c r="D462" t="s">
        <v>15</v>
      </c>
      <c r="E462">
        <v>24</v>
      </c>
      <c r="F462">
        <v>2</v>
      </c>
      <c r="G462">
        <v>1</v>
      </c>
      <c r="H462">
        <v>243847</v>
      </c>
      <c r="I462">
        <v>27</v>
      </c>
      <c r="K462" t="s">
        <v>17</v>
      </c>
      <c r="L462">
        <v>12</v>
      </c>
      <c r="N462" t="s">
        <v>392</v>
      </c>
    </row>
    <row r="463" spans="1:14" x14ac:dyDescent="0.3">
      <c r="A463">
        <v>2</v>
      </c>
      <c r="B463">
        <v>0</v>
      </c>
      <c r="C463" t="s">
        <v>929</v>
      </c>
      <c r="D463" t="s">
        <v>20</v>
      </c>
      <c r="E463">
        <v>47</v>
      </c>
      <c r="F463">
        <v>0</v>
      </c>
      <c r="G463">
        <v>0</v>
      </c>
      <c r="H463">
        <v>237565</v>
      </c>
      <c r="I463">
        <v>15</v>
      </c>
      <c r="K463" t="s">
        <v>17</v>
      </c>
      <c r="N463" t="s">
        <v>930</v>
      </c>
    </row>
    <row r="464" spans="1:14" x14ac:dyDescent="0.3">
      <c r="A464">
        <v>2</v>
      </c>
      <c r="B464">
        <v>0</v>
      </c>
      <c r="C464" t="s">
        <v>931</v>
      </c>
      <c r="D464" t="s">
        <v>20</v>
      </c>
      <c r="E464">
        <v>24</v>
      </c>
      <c r="F464">
        <v>2</v>
      </c>
      <c r="G464">
        <v>0</v>
      </c>
      <c r="H464" t="s">
        <v>819</v>
      </c>
      <c r="I464">
        <v>31.5</v>
      </c>
      <c r="K464" t="s">
        <v>17</v>
      </c>
      <c r="N464" t="s">
        <v>820</v>
      </c>
    </row>
    <row r="465" spans="1:14" x14ac:dyDescent="0.3">
      <c r="A465">
        <v>2</v>
      </c>
      <c r="B465">
        <v>0</v>
      </c>
      <c r="C465" t="s">
        <v>932</v>
      </c>
      <c r="D465" t="s">
        <v>20</v>
      </c>
      <c r="E465">
        <v>22</v>
      </c>
      <c r="F465">
        <v>2</v>
      </c>
      <c r="G465">
        <v>0</v>
      </c>
      <c r="H465" t="s">
        <v>819</v>
      </c>
      <c r="I465">
        <v>31.5</v>
      </c>
      <c r="K465" t="s">
        <v>17</v>
      </c>
      <c r="N465" t="s">
        <v>820</v>
      </c>
    </row>
    <row r="466" spans="1:14" x14ac:dyDescent="0.3">
      <c r="A466">
        <v>2</v>
      </c>
      <c r="B466">
        <v>0</v>
      </c>
      <c r="C466" t="s">
        <v>933</v>
      </c>
      <c r="D466" t="s">
        <v>20</v>
      </c>
      <c r="E466">
        <v>32</v>
      </c>
      <c r="F466">
        <v>0</v>
      </c>
      <c r="G466">
        <v>0</v>
      </c>
      <c r="H466" t="s">
        <v>934</v>
      </c>
      <c r="I466">
        <v>10.5</v>
      </c>
      <c r="K466" t="s">
        <v>17</v>
      </c>
      <c r="N466" t="s">
        <v>935</v>
      </c>
    </row>
    <row r="467" spans="1:14" x14ac:dyDescent="0.3">
      <c r="A467">
        <v>2</v>
      </c>
      <c r="B467">
        <v>1</v>
      </c>
      <c r="C467" t="s">
        <v>936</v>
      </c>
      <c r="D467" t="s">
        <v>15</v>
      </c>
      <c r="E467">
        <v>23</v>
      </c>
      <c r="F467">
        <v>0</v>
      </c>
      <c r="G467">
        <v>0</v>
      </c>
      <c r="H467" t="s">
        <v>937</v>
      </c>
      <c r="I467">
        <v>13.791700000000001</v>
      </c>
      <c r="J467" t="s">
        <v>37</v>
      </c>
      <c r="K467" t="s">
        <v>41</v>
      </c>
      <c r="L467">
        <v>11</v>
      </c>
      <c r="N467" t="s">
        <v>28</v>
      </c>
    </row>
    <row r="468" spans="1:14" x14ac:dyDescent="0.3">
      <c r="A468">
        <v>2</v>
      </c>
      <c r="B468">
        <v>0</v>
      </c>
      <c r="C468" t="s">
        <v>938</v>
      </c>
      <c r="D468" t="s">
        <v>20</v>
      </c>
      <c r="E468">
        <v>34</v>
      </c>
      <c r="F468">
        <v>1</v>
      </c>
      <c r="G468">
        <v>0</v>
      </c>
      <c r="H468">
        <v>244367</v>
      </c>
      <c r="I468">
        <v>26</v>
      </c>
      <c r="K468" t="s">
        <v>17</v>
      </c>
      <c r="M468">
        <v>283</v>
      </c>
      <c r="N468" t="s">
        <v>939</v>
      </c>
    </row>
    <row r="469" spans="1:14" x14ac:dyDescent="0.3">
      <c r="A469">
        <v>2</v>
      </c>
      <c r="B469">
        <v>1</v>
      </c>
      <c r="C469" t="s">
        <v>940</v>
      </c>
      <c r="D469" t="s">
        <v>15</v>
      </c>
      <c r="E469">
        <v>24</v>
      </c>
      <c r="F469">
        <v>1</v>
      </c>
      <c r="G469">
        <v>0</v>
      </c>
      <c r="H469">
        <v>244367</v>
      </c>
      <c r="I469">
        <v>26</v>
      </c>
      <c r="K469" t="s">
        <v>17</v>
      </c>
      <c r="L469">
        <v>12</v>
      </c>
      <c r="N469" t="s">
        <v>939</v>
      </c>
    </row>
    <row r="470" spans="1:14" x14ac:dyDescent="0.3">
      <c r="A470">
        <v>2</v>
      </c>
      <c r="B470">
        <v>0</v>
      </c>
      <c r="C470" t="s">
        <v>941</v>
      </c>
      <c r="D470" t="s">
        <v>15</v>
      </c>
      <c r="E470">
        <v>22</v>
      </c>
      <c r="F470">
        <v>0</v>
      </c>
      <c r="G470">
        <v>0</v>
      </c>
      <c r="H470" t="s">
        <v>798</v>
      </c>
      <c r="I470">
        <v>21</v>
      </c>
      <c r="K470" t="s">
        <v>17</v>
      </c>
      <c r="N470" t="s">
        <v>942</v>
      </c>
    </row>
    <row r="471" spans="1:14" x14ac:dyDescent="0.3">
      <c r="A471">
        <v>2</v>
      </c>
      <c r="B471">
        <v>1</v>
      </c>
      <c r="C471" t="s">
        <v>943</v>
      </c>
      <c r="D471" t="s">
        <v>15</v>
      </c>
      <c r="F471">
        <v>0</v>
      </c>
      <c r="G471">
        <v>0</v>
      </c>
      <c r="H471">
        <v>226593</v>
      </c>
      <c r="I471">
        <v>12.35</v>
      </c>
      <c r="J471" t="s">
        <v>944</v>
      </c>
      <c r="K471" t="s">
        <v>463</v>
      </c>
      <c r="L471">
        <v>10</v>
      </c>
      <c r="N471" t="s">
        <v>945</v>
      </c>
    </row>
    <row r="472" spans="1:14" x14ac:dyDescent="0.3">
      <c r="A472">
        <v>2</v>
      </c>
      <c r="B472">
        <v>0</v>
      </c>
      <c r="C472" t="s">
        <v>946</v>
      </c>
      <c r="D472" t="s">
        <v>20</v>
      </c>
      <c r="E472">
        <v>35</v>
      </c>
      <c r="F472">
        <v>0</v>
      </c>
      <c r="G472">
        <v>0</v>
      </c>
      <c r="H472">
        <v>233734</v>
      </c>
      <c r="I472">
        <v>12.35</v>
      </c>
      <c r="K472" t="s">
        <v>463</v>
      </c>
    </row>
    <row r="473" spans="1:14" x14ac:dyDescent="0.3">
      <c r="A473">
        <v>2</v>
      </c>
      <c r="B473">
        <v>1</v>
      </c>
      <c r="C473" t="s">
        <v>947</v>
      </c>
      <c r="D473" t="s">
        <v>15</v>
      </c>
      <c r="E473">
        <v>45</v>
      </c>
      <c r="F473">
        <v>0</v>
      </c>
      <c r="G473">
        <v>0</v>
      </c>
      <c r="H473">
        <v>223596</v>
      </c>
      <c r="I473">
        <v>13.5</v>
      </c>
      <c r="K473" t="s">
        <v>17</v>
      </c>
      <c r="L473">
        <v>9</v>
      </c>
      <c r="N473" t="s">
        <v>430</v>
      </c>
    </row>
    <row r="474" spans="1:14" x14ac:dyDescent="0.3">
      <c r="A474">
        <v>2</v>
      </c>
      <c r="B474">
        <v>0</v>
      </c>
      <c r="C474" t="s">
        <v>948</v>
      </c>
      <c r="D474" t="s">
        <v>20</v>
      </c>
      <c r="E474">
        <v>57</v>
      </c>
      <c r="F474">
        <v>0</v>
      </c>
      <c r="G474">
        <v>0</v>
      </c>
      <c r="H474">
        <v>219533</v>
      </c>
      <c r="I474">
        <v>12.35</v>
      </c>
      <c r="K474" t="s">
        <v>463</v>
      </c>
      <c r="N474" t="s">
        <v>949</v>
      </c>
    </row>
    <row r="475" spans="1:14" x14ac:dyDescent="0.3">
      <c r="A475">
        <v>2</v>
      </c>
      <c r="B475">
        <v>0</v>
      </c>
      <c r="C475" t="s">
        <v>950</v>
      </c>
      <c r="D475" t="s">
        <v>20</v>
      </c>
      <c r="F475">
        <v>0</v>
      </c>
      <c r="G475">
        <v>0</v>
      </c>
      <c r="H475">
        <v>239855</v>
      </c>
      <c r="I475">
        <v>0</v>
      </c>
      <c r="K475" t="s">
        <v>17</v>
      </c>
      <c r="N475" t="s">
        <v>500</v>
      </c>
    </row>
    <row r="476" spans="1:14" x14ac:dyDescent="0.3">
      <c r="A476">
        <v>2</v>
      </c>
      <c r="B476">
        <v>0</v>
      </c>
      <c r="C476" t="s">
        <v>951</v>
      </c>
      <c r="D476" t="s">
        <v>20</v>
      </c>
      <c r="E476">
        <v>31</v>
      </c>
      <c r="F476">
        <v>0</v>
      </c>
      <c r="G476">
        <v>0</v>
      </c>
      <c r="H476" t="s">
        <v>952</v>
      </c>
      <c r="I476">
        <v>10.5</v>
      </c>
      <c r="K476" t="s">
        <v>17</v>
      </c>
      <c r="M476">
        <v>165</v>
      </c>
      <c r="N476" t="s">
        <v>953</v>
      </c>
    </row>
    <row r="477" spans="1:14" x14ac:dyDescent="0.3">
      <c r="A477">
        <v>2</v>
      </c>
      <c r="B477">
        <v>0</v>
      </c>
      <c r="C477" t="s">
        <v>954</v>
      </c>
      <c r="D477" t="s">
        <v>15</v>
      </c>
      <c r="E477">
        <v>26</v>
      </c>
      <c r="F477">
        <v>1</v>
      </c>
      <c r="G477">
        <v>1</v>
      </c>
      <c r="H477">
        <v>250651</v>
      </c>
      <c r="I477">
        <v>26</v>
      </c>
      <c r="K477" t="s">
        <v>17</v>
      </c>
      <c r="N477" t="s">
        <v>594</v>
      </c>
    </row>
    <row r="478" spans="1:14" x14ac:dyDescent="0.3">
      <c r="A478">
        <v>2</v>
      </c>
      <c r="B478">
        <v>0</v>
      </c>
      <c r="C478" t="s">
        <v>955</v>
      </c>
      <c r="D478" t="s">
        <v>20</v>
      </c>
      <c r="E478">
        <v>30</v>
      </c>
      <c r="F478">
        <v>1</v>
      </c>
      <c r="G478">
        <v>1</v>
      </c>
      <c r="H478">
        <v>250651</v>
      </c>
      <c r="I478">
        <v>26</v>
      </c>
      <c r="K478" t="s">
        <v>17</v>
      </c>
      <c r="N478" t="s">
        <v>594</v>
      </c>
    </row>
    <row r="479" spans="1:14" x14ac:dyDescent="0.3">
      <c r="A479">
        <v>2</v>
      </c>
      <c r="B479">
        <v>0</v>
      </c>
      <c r="C479" t="s">
        <v>956</v>
      </c>
      <c r="D479" t="s">
        <v>20</v>
      </c>
      <c r="F479">
        <v>0</v>
      </c>
      <c r="G479">
        <v>0</v>
      </c>
      <c r="H479">
        <v>240261</v>
      </c>
      <c r="I479">
        <v>10.708299999999999</v>
      </c>
      <c r="K479" t="s">
        <v>463</v>
      </c>
    </row>
    <row r="480" spans="1:14" x14ac:dyDescent="0.3">
      <c r="A480">
        <v>2</v>
      </c>
      <c r="B480">
        <v>1</v>
      </c>
      <c r="C480" t="s">
        <v>957</v>
      </c>
      <c r="D480" t="s">
        <v>15</v>
      </c>
      <c r="E480">
        <v>1</v>
      </c>
      <c r="F480">
        <v>1</v>
      </c>
      <c r="G480">
        <v>2</v>
      </c>
      <c r="H480" t="s">
        <v>958</v>
      </c>
      <c r="I480">
        <v>41.5792</v>
      </c>
      <c r="K480" t="s">
        <v>41</v>
      </c>
      <c r="L480">
        <v>14</v>
      </c>
      <c r="N480" t="s">
        <v>959</v>
      </c>
    </row>
    <row r="481" spans="1:14" x14ac:dyDescent="0.3">
      <c r="A481">
        <v>2</v>
      </c>
      <c r="B481">
        <v>1</v>
      </c>
      <c r="C481" t="s">
        <v>960</v>
      </c>
      <c r="D481" t="s">
        <v>15</v>
      </c>
      <c r="E481">
        <v>3</v>
      </c>
      <c r="F481">
        <v>1</v>
      </c>
      <c r="G481">
        <v>2</v>
      </c>
      <c r="H481" t="s">
        <v>958</v>
      </c>
      <c r="I481">
        <v>41.5792</v>
      </c>
      <c r="K481" t="s">
        <v>41</v>
      </c>
      <c r="L481">
        <v>14</v>
      </c>
      <c r="N481" t="s">
        <v>959</v>
      </c>
    </row>
    <row r="482" spans="1:14" x14ac:dyDescent="0.3">
      <c r="A482">
        <v>2</v>
      </c>
      <c r="B482">
        <v>0</v>
      </c>
      <c r="C482" t="s">
        <v>961</v>
      </c>
      <c r="D482" t="s">
        <v>20</v>
      </c>
      <c r="E482">
        <v>25</v>
      </c>
      <c r="F482">
        <v>1</v>
      </c>
      <c r="G482">
        <v>2</v>
      </c>
      <c r="H482" t="s">
        <v>958</v>
      </c>
      <c r="I482">
        <v>41.5792</v>
      </c>
      <c r="K482" t="s">
        <v>41</v>
      </c>
      <c r="N482" t="s">
        <v>959</v>
      </c>
    </row>
    <row r="483" spans="1:14" x14ac:dyDescent="0.3">
      <c r="A483">
        <v>2</v>
      </c>
      <c r="B483">
        <v>1</v>
      </c>
      <c r="C483" t="s">
        <v>962</v>
      </c>
      <c r="D483" t="s">
        <v>15</v>
      </c>
      <c r="E483">
        <v>22</v>
      </c>
      <c r="F483">
        <v>1</v>
      </c>
      <c r="G483">
        <v>2</v>
      </c>
      <c r="H483" t="s">
        <v>958</v>
      </c>
      <c r="I483">
        <v>41.5792</v>
      </c>
      <c r="K483" t="s">
        <v>41</v>
      </c>
      <c r="L483">
        <v>14</v>
      </c>
      <c r="N483" t="s">
        <v>959</v>
      </c>
    </row>
    <row r="484" spans="1:14" x14ac:dyDescent="0.3">
      <c r="A484">
        <v>2</v>
      </c>
      <c r="B484">
        <v>1</v>
      </c>
      <c r="C484" t="s">
        <v>963</v>
      </c>
      <c r="D484" t="s">
        <v>15</v>
      </c>
      <c r="E484">
        <v>17</v>
      </c>
      <c r="F484">
        <v>0</v>
      </c>
      <c r="G484">
        <v>0</v>
      </c>
      <c r="H484" t="s">
        <v>964</v>
      </c>
      <c r="I484">
        <v>12</v>
      </c>
      <c r="K484" t="s">
        <v>41</v>
      </c>
      <c r="L484">
        <v>12</v>
      </c>
      <c r="N484" t="s">
        <v>965</v>
      </c>
    </row>
    <row r="485" spans="1:14" x14ac:dyDescent="0.3">
      <c r="A485">
        <v>2</v>
      </c>
      <c r="B485">
        <v>1</v>
      </c>
      <c r="C485" t="s">
        <v>966</v>
      </c>
      <c r="D485" t="s">
        <v>15</v>
      </c>
      <c r="F485">
        <v>0</v>
      </c>
      <c r="G485">
        <v>0</v>
      </c>
      <c r="H485">
        <v>248727</v>
      </c>
      <c r="I485">
        <v>33</v>
      </c>
      <c r="K485" t="s">
        <v>17</v>
      </c>
      <c r="L485">
        <v>11</v>
      </c>
      <c r="N485" t="s">
        <v>967</v>
      </c>
    </row>
    <row r="486" spans="1:14" x14ac:dyDescent="0.3">
      <c r="A486">
        <v>2</v>
      </c>
      <c r="B486">
        <v>1</v>
      </c>
      <c r="C486" t="s">
        <v>968</v>
      </c>
      <c r="D486" t="s">
        <v>15</v>
      </c>
      <c r="E486">
        <v>34</v>
      </c>
      <c r="F486">
        <v>0</v>
      </c>
      <c r="G486">
        <v>0</v>
      </c>
      <c r="H486" t="s">
        <v>969</v>
      </c>
      <c r="I486">
        <v>10.5</v>
      </c>
      <c r="J486" t="s">
        <v>743</v>
      </c>
      <c r="K486" t="s">
        <v>17</v>
      </c>
      <c r="L486">
        <v>14</v>
      </c>
      <c r="N486" t="s">
        <v>365</v>
      </c>
    </row>
    <row r="487" spans="1:14" x14ac:dyDescent="0.3">
      <c r="A487">
        <v>2</v>
      </c>
      <c r="B487">
        <v>0</v>
      </c>
      <c r="C487" t="s">
        <v>970</v>
      </c>
      <c r="D487" t="s">
        <v>20</v>
      </c>
      <c r="E487">
        <v>36</v>
      </c>
      <c r="F487">
        <v>0</v>
      </c>
      <c r="G487">
        <v>0</v>
      </c>
      <c r="H487" t="s">
        <v>971</v>
      </c>
      <c r="I487">
        <v>12.875</v>
      </c>
      <c r="J487" t="s">
        <v>37</v>
      </c>
      <c r="K487" t="s">
        <v>41</v>
      </c>
      <c r="N487" t="s">
        <v>61</v>
      </c>
    </row>
    <row r="488" spans="1:14" x14ac:dyDescent="0.3">
      <c r="A488">
        <v>2</v>
      </c>
      <c r="B488">
        <v>0</v>
      </c>
      <c r="C488" t="s">
        <v>972</v>
      </c>
      <c r="D488" t="s">
        <v>20</v>
      </c>
      <c r="E488">
        <v>24</v>
      </c>
      <c r="F488">
        <v>0</v>
      </c>
      <c r="G488">
        <v>0</v>
      </c>
      <c r="H488" t="s">
        <v>973</v>
      </c>
      <c r="I488">
        <v>10.5</v>
      </c>
      <c r="K488" t="s">
        <v>17</v>
      </c>
      <c r="M488">
        <v>108</v>
      </c>
    </row>
    <row r="489" spans="1:14" x14ac:dyDescent="0.3">
      <c r="A489">
        <v>2</v>
      </c>
      <c r="B489">
        <v>0</v>
      </c>
      <c r="C489" t="s">
        <v>974</v>
      </c>
      <c r="D489" t="s">
        <v>20</v>
      </c>
      <c r="E489">
        <v>61</v>
      </c>
      <c r="F489">
        <v>0</v>
      </c>
      <c r="G489">
        <v>0</v>
      </c>
      <c r="H489">
        <v>235509</v>
      </c>
      <c r="I489">
        <v>12.35</v>
      </c>
      <c r="K489" t="s">
        <v>463</v>
      </c>
    </row>
    <row r="490" spans="1:14" x14ac:dyDescent="0.3">
      <c r="A490">
        <v>2</v>
      </c>
      <c r="B490">
        <v>0</v>
      </c>
      <c r="C490" t="s">
        <v>975</v>
      </c>
      <c r="D490" t="s">
        <v>20</v>
      </c>
      <c r="E490">
        <v>50</v>
      </c>
      <c r="F490">
        <v>1</v>
      </c>
      <c r="G490">
        <v>0</v>
      </c>
      <c r="H490" t="s">
        <v>976</v>
      </c>
      <c r="I490">
        <v>26</v>
      </c>
      <c r="K490" t="s">
        <v>17</v>
      </c>
      <c r="M490">
        <v>121</v>
      </c>
      <c r="N490" t="s">
        <v>977</v>
      </c>
    </row>
    <row r="491" spans="1:14" x14ac:dyDescent="0.3">
      <c r="A491">
        <v>2</v>
      </c>
      <c r="B491">
        <v>1</v>
      </c>
      <c r="C491" t="s">
        <v>978</v>
      </c>
      <c r="D491" t="s">
        <v>15</v>
      </c>
      <c r="E491">
        <v>42</v>
      </c>
      <c r="F491">
        <v>1</v>
      </c>
      <c r="G491">
        <v>0</v>
      </c>
      <c r="H491" t="s">
        <v>976</v>
      </c>
      <c r="I491">
        <v>26</v>
      </c>
      <c r="K491" t="s">
        <v>17</v>
      </c>
      <c r="N491" t="s">
        <v>977</v>
      </c>
    </row>
    <row r="492" spans="1:14" x14ac:dyDescent="0.3">
      <c r="A492">
        <v>2</v>
      </c>
      <c r="B492">
        <v>0</v>
      </c>
      <c r="C492" t="s">
        <v>979</v>
      </c>
      <c r="D492" t="s">
        <v>15</v>
      </c>
      <c r="E492">
        <v>57</v>
      </c>
      <c r="F492">
        <v>0</v>
      </c>
      <c r="G492">
        <v>0</v>
      </c>
      <c r="H492" t="s">
        <v>980</v>
      </c>
      <c r="I492">
        <v>10.5</v>
      </c>
      <c r="J492" t="s">
        <v>981</v>
      </c>
      <c r="K492" t="s">
        <v>17</v>
      </c>
      <c r="M492">
        <v>52</v>
      </c>
      <c r="N492" t="s">
        <v>982</v>
      </c>
    </row>
    <row r="493" spans="1:14" x14ac:dyDescent="0.3">
      <c r="A493">
        <v>2</v>
      </c>
      <c r="B493">
        <v>0</v>
      </c>
      <c r="C493" t="s">
        <v>983</v>
      </c>
      <c r="D493" t="s">
        <v>20</v>
      </c>
      <c r="F493">
        <v>0</v>
      </c>
      <c r="G493">
        <v>0</v>
      </c>
      <c r="H493">
        <v>237735</v>
      </c>
      <c r="I493">
        <v>15.0458</v>
      </c>
      <c r="J493" t="s">
        <v>37</v>
      </c>
      <c r="K493" t="s">
        <v>41</v>
      </c>
      <c r="N493" t="s">
        <v>984</v>
      </c>
    </row>
    <row r="494" spans="1:14" x14ac:dyDescent="0.3">
      <c r="A494">
        <v>2</v>
      </c>
      <c r="B494">
        <v>1</v>
      </c>
      <c r="C494" t="s">
        <v>985</v>
      </c>
      <c r="D494" t="s">
        <v>20</v>
      </c>
      <c r="E494">
        <v>1</v>
      </c>
      <c r="F494">
        <v>0</v>
      </c>
      <c r="G494">
        <v>2</v>
      </c>
      <c r="H494" t="s">
        <v>986</v>
      </c>
      <c r="I494">
        <v>37.004199999999997</v>
      </c>
      <c r="K494" t="s">
        <v>41</v>
      </c>
      <c r="L494">
        <v>10</v>
      </c>
      <c r="N494" t="s">
        <v>987</v>
      </c>
    </row>
    <row r="495" spans="1:14" x14ac:dyDescent="0.3">
      <c r="A495">
        <v>2</v>
      </c>
      <c r="B495">
        <v>0</v>
      </c>
      <c r="C495" t="s">
        <v>988</v>
      </c>
      <c r="D495" t="s">
        <v>20</v>
      </c>
      <c r="E495">
        <v>31</v>
      </c>
      <c r="F495">
        <v>1</v>
      </c>
      <c r="G495">
        <v>1</v>
      </c>
      <c r="H495" t="s">
        <v>986</v>
      </c>
      <c r="I495">
        <v>37.004199999999997</v>
      </c>
      <c r="K495" t="s">
        <v>41</v>
      </c>
      <c r="N495" t="s">
        <v>987</v>
      </c>
    </row>
    <row r="496" spans="1:14" x14ac:dyDescent="0.3">
      <c r="A496">
        <v>2</v>
      </c>
      <c r="B496">
        <v>1</v>
      </c>
      <c r="C496" t="s">
        <v>989</v>
      </c>
      <c r="D496" t="s">
        <v>15</v>
      </c>
      <c r="E496">
        <v>24</v>
      </c>
      <c r="F496">
        <v>1</v>
      </c>
      <c r="G496">
        <v>1</v>
      </c>
      <c r="H496" t="s">
        <v>986</v>
      </c>
      <c r="I496">
        <v>37.004199999999997</v>
      </c>
      <c r="K496" t="s">
        <v>41</v>
      </c>
      <c r="L496">
        <v>10</v>
      </c>
      <c r="N496" t="s">
        <v>987</v>
      </c>
    </row>
    <row r="497" spans="1:14" x14ac:dyDescent="0.3">
      <c r="A497">
        <v>2</v>
      </c>
      <c r="B497">
        <v>0</v>
      </c>
      <c r="C497" t="s">
        <v>990</v>
      </c>
      <c r="D497" t="s">
        <v>20</v>
      </c>
      <c r="F497">
        <v>0</v>
      </c>
      <c r="G497">
        <v>0</v>
      </c>
      <c r="H497" t="s">
        <v>991</v>
      </c>
      <c r="I497">
        <v>15.5792</v>
      </c>
      <c r="K497" t="s">
        <v>41</v>
      </c>
      <c r="N497" t="s">
        <v>28</v>
      </c>
    </row>
    <row r="498" spans="1:14" x14ac:dyDescent="0.3">
      <c r="A498">
        <v>2</v>
      </c>
      <c r="B498">
        <v>0</v>
      </c>
      <c r="C498" t="s">
        <v>992</v>
      </c>
      <c r="D498" t="s">
        <v>20</v>
      </c>
      <c r="E498">
        <v>30</v>
      </c>
      <c r="F498">
        <v>0</v>
      </c>
      <c r="G498">
        <v>0</v>
      </c>
      <c r="H498">
        <v>28228</v>
      </c>
      <c r="I498">
        <v>13</v>
      </c>
      <c r="K498" t="s">
        <v>17</v>
      </c>
      <c r="N498" t="s">
        <v>993</v>
      </c>
    </row>
    <row r="499" spans="1:14" x14ac:dyDescent="0.3">
      <c r="A499">
        <v>2</v>
      </c>
      <c r="B499">
        <v>0</v>
      </c>
      <c r="C499" t="s">
        <v>994</v>
      </c>
      <c r="D499" t="s">
        <v>20</v>
      </c>
      <c r="E499">
        <v>40</v>
      </c>
      <c r="F499">
        <v>0</v>
      </c>
      <c r="G499">
        <v>0</v>
      </c>
      <c r="H499">
        <v>239059</v>
      </c>
      <c r="I499">
        <v>16</v>
      </c>
      <c r="K499" t="s">
        <v>17</v>
      </c>
      <c r="N499" t="s">
        <v>995</v>
      </c>
    </row>
    <row r="500" spans="1:14" x14ac:dyDescent="0.3">
      <c r="A500">
        <v>2</v>
      </c>
      <c r="B500">
        <v>0</v>
      </c>
      <c r="C500" t="s">
        <v>996</v>
      </c>
      <c r="D500" t="s">
        <v>20</v>
      </c>
      <c r="E500">
        <v>32</v>
      </c>
      <c r="F500">
        <v>0</v>
      </c>
      <c r="G500">
        <v>0</v>
      </c>
      <c r="H500">
        <v>237216</v>
      </c>
      <c r="I500">
        <v>13.5</v>
      </c>
      <c r="K500" t="s">
        <v>17</v>
      </c>
      <c r="M500">
        <v>209</v>
      </c>
      <c r="N500" t="s">
        <v>997</v>
      </c>
    </row>
    <row r="501" spans="1:14" x14ac:dyDescent="0.3">
      <c r="A501">
        <v>2</v>
      </c>
      <c r="B501">
        <v>0</v>
      </c>
      <c r="C501" t="s">
        <v>998</v>
      </c>
      <c r="D501" t="s">
        <v>20</v>
      </c>
      <c r="E501">
        <v>30</v>
      </c>
      <c r="F501">
        <v>0</v>
      </c>
      <c r="G501">
        <v>0</v>
      </c>
      <c r="H501">
        <v>233478</v>
      </c>
      <c r="I501">
        <v>13</v>
      </c>
      <c r="K501" t="s">
        <v>17</v>
      </c>
      <c r="N501" t="s">
        <v>999</v>
      </c>
    </row>
    <row r="502" spans="1:14" x14ac:dyDescent="0.3">
      <c r="A502">
        <v>2</v>
      </c>
      <c r="B502">
        <v>0</v>
      </c>
      <c r="C502" t="s">
        <v>1000</v>
      </c>
      <c r="D502" t="s">
        <v>20</v>
      </c>
      <c r="E502">
        <v>46</v>
      </c>
      <c r="F502">
        <v>0</v>
      </c>
      <c r="G502">
        <v>0</v>
      </c>
      <c r="H502">
        <v>28403</v>
      </c>
      <c r="I502">
        <v>26</v>
      </c>
      <c r="K502" t="s">
        <v>17</v>
      </c>
      <c r="N502" t="s">
        <v>734</v>
      </c>
    </row>
    <row r="503" spans="1:14" x14ac:dyDescent="0.3">
      <c r="A503">
        <v>2</v>
      </c>
      <c r="B503">
        <v>1</v>
      </c>
      <c r="C503" t="s">
        <v>1001</v>
      </c>
      <c r="D503" t="s">
        <v>15</v>
      </c>
      <c r="E503">
        <v>13</v>
      </c>
      <c r="F503">
        <v>0</v>
      </c>
      <c r="G503">
        <v>1</v>
      </c>
      <c r="H503">
        <v>250644</v>
      </c>
      <c r="I503">
        <v>19.5</v>
      </c>
      <c r="K503" t="s">
        <v>17</v>
      </c>
      <c r="L503">
        <v>14</v>
      </c>
      <c r="N503" t="s">
        <v>1002</v>
      </c>
    </row>
    <row r="504" spans="1:14" x14ac:dyDescent="0.3">
      <c r="A504">
        <v>2</v>
      </c>
      <c r="B504">
        <v>1</v>
      </c>
      <c r="C504" t="s">
        <v>1003</v>
      </c>
      <c r="D504" t="s">
        <v>15</v>
      </c>
      <c r="E504">
        <v>41</v>
      </c>
      <c r="F504">
        <v>0</v>
      </c>
      <c r="G504">
        <v>1</v>
      </c>
      <c r="H504">
        <v>250644</v>
      </c>
      <c r="I504">
        <v>19.5</v>
      </c>
      <c r="K504" t="s">
        <v>17</v>
      </c>
      <c r="L504">
        <v>14</v>
      </c>
      <c r="N504" t="s">
        <v>1002</v>
      </c>
    </row>
    <row r="505" spans="1:14" x14ac:dyDescent="0.3">
      <c r="A505">
        <v>2</v>
      </c>
      <c r="B505">
        <v>1</v>
      </c>
      <c r="C505" t="s">
        <v>1004</v>
      </c>
      <c r="D505" t="s">
        <v>20</v>
      </c>
      <c r="E505">
        <v>19</v>
      </c>
      <c r="F505">
        <v>0</v>
      </c>
      <c r="G505">
        <v>0</v>
      </c>
      <c r="H505" t="s">
        <v>1005</v>
      </c>
      <c r="I505">
        <v>10.5</v>
      </c>
      <c r="K505" t="s">
        <v>17</v>
      </c>
      <c r="L505" t="s">
        <v>54</v>
      </c>
      <c r="N505" t="s">
        <v>1006</v>
      </c>
    </row>
    <row r="506" spans="1:14" x14ac:dyDescent="0.3">
      <c r="A506">
        <v>2</v>
      </c>
      <c r="B506">
        <v>0</v>
      </c>
      <c r="C506" t="s">
        <v>1007</v>
      </c>
      <c r="D506" t="s">
        <v>20</v>
      </c>
      <c r="E506">
        <v>39</v>
      </c>
      <c r="F506">
        <v>0</v>
      </c>
      <c r="G506">
        <v>0</v>
      </c>
      <c r="H506">
        <v>248723</v>
      </c>
      <c r="I506">
        <v>13</v>
      </c>
      <c r="K506" t="s">
        <v>17</v>
      </c>
      <c r="N506" t="s">
        <v>1008</v>
      </c>
    </row>
    <row r="507" spans="1:14" x14ac:dyDescent="0.3">
      <c r="A507">
        <v>2</v>
      </c>
      <c r="B507">
        <v>0</v>
      </c>
      <c r="C507" t="s">
        <v>1009</v>
      </c>
      <c r="D507" t="s">
        <v>20</v>
      </c>
      <c r="E507">
        <v>48</v>
      </c>
      <c r="F507">
        <v>0</v>
      </c>
      <c r="G507">
        <v>0</v>
      </c>
      <c r="H507">
        <v>234360</v>
      </c>
      <c r="I507">
        <v>13</v>
      </c>
      <c r="K507" t="s">
        <v>17</v>
      </c>
      <c r="M507">
        <v>271</v>
      </c>
      <c r="N507" t="s">
        <v>1010</v>
      </c>
    </row>
    <row r="508" spans="1:14" x14ac:dyDescent="0.3">
      <c r="A508">
        <v>2</v>
      </c>
      <c r="B508">
        <v>0</v>
      </c>
      <c r="C508" t="s">
        <v>1011</v>
      </c>
      <c r="D508" t="s">
        <v>20</v>
      </c>
      <c r="E508">
        <v>70</v>
      </c>
      <c r="F508">
        <v>0</v>
      </c>
      <c r="G508">
        <v>0</v>
      </c>
      <c r="H508" t="s">
        <v>1012</v>
      </c>
      <c r="I508">
        <v>10.5</v>
      </c>
      <c r="K508" t="s">
        <v>17</v>
      </c>
      <c r="N508" t="s">
        <v>1013</v>
      </c>
    </row>
    <row r="509" spans="1:14" x14ac:dyDescent="0.3">
      <c r="A509">
        <v>2</v>
      </c>
      <c r="B509">
        <v>0</v>
      </c>
      <c r="C509" t="s">
        <v>1014</v>
      </c>
      <c r="D509" t="s">
        <v>20</v>
      </c>
      <c r="E509">
        <v>27</v>
      </c>
      <c r="F509">
        <v>0</v>
      </c>
      <c r="G509">
        <v>0</v>
      </c>
      <c r="H509">
        <v>211536</v>
      </c>
      <c r="I509">
        <v>13</v>
      </c>
      <c r="K509" t="s">
        <v>17</v>
      </c>
      <c r="N509" t="s">
        <v>520</v>
      </c>
    </row>
    <row r="510" spans="1:14" x14ac:dyDescent="0.3">
      <c r="A510">
        <v>2</v>
      </c>
      <c r="B510">
        <v>0</v>
      </c>
      <c r="C510" t="s">
        <v>1015</v>
      </c>
      <c r="D510" t="s">
        <v>20</v>
      </c>
      <c r="E510">
        <v>54</v>
      </c>
      <c r="F510">
        <v>0</v>
      </c>
      <c r="G510">
        <v>0</v>
      </c>
      <c r="H510">
        <v>29011</v>
      </c>
      <c r="I510">
        <v>14</v>
      </c>
      <c r="K510" t="s">
        <v>17</v>
      </c>
      <c r="N510" t="s">
        <v>1016</v>
      </c>
    </row>
    <row r="511" spans="1:14" x14ac:dyDescent="0.3">
      <c r="A511">
        <v>2</v>
      </c>
      <c r="B511">
        <v>0</v>
      </c>
      <c r="C511" t="s">
        <v>1017</v>
      </c>
      <c r="D511" t="s">
        <v>20</v>
      </c>
      <c r="E511">
        <v>39</v>
      </c>
      <c r="F511">
        <v>0</v>
      </c>
      <c r="G511">
        <v>0</v>
      </c>
      <c r="H511">
        <v>250655</v>
      </c>
      <c r="I511">
        <v>26</v>
      </c>
      <c r="K511" t="s">
        <v>17</v>
      </c>
    </row>
    <row r="512" spans="1:14" x14ac:dyDescent="0.3">
      <c r="A512">
        <v>2</v>
      </c>
      <c r="B512">
        <v>0</v>
      </c>
      <c r="C512" t="s">
        <v>1018</v>
      </c>
      <c r="D512" t="s">
        <v>20</v>
      </c>
      <c r="E512">
        <v>16</v>
      </c>
      <c r="F512">
        <v>0</v>
      </c>
      <c r="G512">
        <v>0</v>
      </c>
      <c r="H512" t="s">
        <v>980</v>
      </c>
      <c r="I512">
        <v>10.5</v>
      </c>
      <c r="K512" t="s">
        <v>17</v>
      </c>
      <c r="N512" t="s">
        <v>1019</v>
      </c>
    </row>
    <row r="513" spans="1:14" x14ac:dyDescent="0.3">
      <c r="A513">
        <v>2</v>
      </c>
      <c r="B513">
        <v>0</v>
      </c>
      <c r="C513" t="s">
        <v>1020</v>
      </c>
      <c r="D513" t="s">
        <v>20</v>
      </c>
      <c r="E513">
        <v>62</v>
      </c>
      <c r="F513">
        <v>0</v>
      </c>
      <c r="G513">
        <v>0</v>
      </c>
      <c r="H513">
        <v>240276</v>
      </c>
      <c r="I513">
        <v>9.6875</v>
      </c>
      <c r="K513" t="s">
        <v>463</v>
      </c>
      <c r="N513" t="s">
        <v>1021</v>
      </c>
    </row>
    <row r="514" spans="1:14" x14ac:dyDescent="0.3">
      <c r="A514">
        <v>2</v>
      </c>
      <c r="B514">
        <v>0</v>
      </c>
      <c r="C514" t="s">
        <v>1022</v>
      </c>
      <c r="D514" t="s">
        <v>20</v>
      </c>
      <c r="E514">
        <v>32.5</v>
      </c>
      <c r="F514">
        <v>1</v>
      </c>
      <c r="G514">
        <v>0</v>
      </c>
      <c r="H514">
        <v>237736</v>
      </c>
      <c r="I514">
        <v>30.070799999999998</v>
      </c>
      <c r="K514" t="s">
        <v>41</v>
      </c>
      <c r="M514">
        <v>43</v>
      </c>
      <c r="N514" t="s">
        <v>28</v>
      </c>
    </row>
    <row r="515" spans="1:14" x14ac:dyDescent="0.3">
      <c r="A515">
        <v>2</v>
      </c>
      <c r="B515">
        <v>1</v>
      </c>
      <c r="C515" t="s">
        <v>1023</v>
      </c>
      <c r="D515" t="s">
        <v>15</v>
      </c>
      <c r="E515">
        <v>14</v>
      </c>
      <c r="F515">
        <v>1</v>
      </c>
      <c r="G515">
        <v>0</v>
      </c>
      <c r="H515">
        <v>237736</v>
      </c>
      <c r="I515">
        <v>30.070799999999998</v>
      </c>
      <c r="K515" t="s">
        <v>41</v>
      </c>
      <c r="N515" t="s">
        <v>28</v>
      </c>
    </row>
    <row r="516" spans="1:14" x14ac:dyDescent="0.3">
      <c r="A516">
        <v>2</v>
      </c>
      <c r="B516">
        <v>1</v>
      </c>
      <c r="C516" t="s">
        <v>1024</v>
      </c>
      <c r="D516" t="s">
        <v>20</v>
      </c>
      <c r="E516">
        <v>2</v>
      </c>
      <c r="F516">
        <v>1</v>
      </c>
      <c r="G516">
        <v>1</v>
      </c>
      <c r="H516">
        <v>230080</v>
      </c>
      <c r="I516">
        <v>26</v>
      </c>
      <c r="J516" t="s">
        <v>1025</v>
      </c>
      <c r="K516" t="s">
        <v>17</v>
      </c>
      <c r="L516" t="s">
        <v>37</v>
      </c>
      <c r="N516" t="s">
        <v>1026</v>
      </c>
    </row>
    <row r="517" spans="1:14" x14ac:dyDescent="0.3">
      <c r="A517">
        <v>2</v>
      </c>
      <c r="B517">
        <v>1</v>
      </c>
      <c r="C517" t="s">
        <v>1027</v>
      </c>
      <c r="D517" t="s">
        <v>20</v>
      </c>
      <c r="E517">
        <v>3</v>
      </c>
      <c r="F517">
        <v>1</v>
      </c>
      <c r="G517">
        <v>1</v>
      </c>
      <c r="H517">
        <v>230080</v>
      </c>
      <c r="I517">
        <v>26</v>
      </c>
      <c r="J517" t="s">
        <v>1025</v>
      </c>
      <c r="K517" t="s">
        <v>17</v>
      </c>
      <c r="L517" t="s">
        <v>37</v>
      </c>
      <c r="N517" t="s">
        <v>1026</v>
      </c>
    </row>
    <row r="518" spans="1:14" x14ac:dyDescent="0.3">
      <c r="A518">
        <v>2</v>
      </c>
      <c r="B518">
        <v>0</v>
      </c>
      <c r="C518" t="s">
        <v>1028</v>
      </c>
      <c r="D518" t="s">
        <v>20</v>
      </c>
      <c r="E518">
        <v>36.5</v>
      </c>
      <c r="F518">
        <v>0</v>
      </c>
      <c r="G518">
        <v>2</v>
      </c>
      <c r="H518">
        <v>230080</v>
      </c>
      <c r="I518">
        <v>26</v>
      </c>
      <c r="J518" t="s">
        <v>1025</v>
      </c>
      <c r="K518" t="s">
        <v>17</v>
      </c>
      <c r="M518">
        <v>15</v>
      </c>
      <c r="N518" t="s">
        <v>1026</v>
      </c>
    </row>
    <row r="519" spans="1:14" x14ac:dyDescent="0.3">
      <c r="A519">
        <v>2</v>
      </c>
      <c r="B519">
        <v>0</v>
      </c>
      <c r="C519" t="s">
        <v>1029</v>
      </c>
      <c r="D519" t="s">
        <v>20</v>
      </c>
      <c r="E519">
        <v>26</v>
      </c>
      <c r="F519">
        <v>0</v>
      </c>
      <c r="G519">
        <v>0</v>
      </c>
      <c r="H519">
        <v>244368</v>
      </c>
      <c r="I519">
        <v>13</v>
      </c>
      <c r="J519" t="s">
        <v>1025</v>
      </c>
      <c r="K519" t="s">
        <v>17</v>
      </c>
      <c r="N519" t="s">
        <v>404</v>
      </c>
    </row>
    <row r="520" spans="1:14" x14ac:dyDescent="0.3">
      <c r="A520">
        <v>2</v>
      </c>
      <c r="B520">
        <v>0</v>
      </c>
      <c r="C520" t="s">
        <v>1030</v>
      </c>
      <c r="D520" t="s">
        <v>20</v>
      </c>
      <c r="E520">
        <v>19</v>
      </c>
      <c r="F520">
        <v>1</v>
      </c>
      <c r="G520">
        <v>1</v>
      </c>
      <c r="H520" t="s">
        <v>803</v>
      </c>
      <c r="I520">
        <v>36.75</v>
      </c>
      <c r="K520" t="s">
        <v>17</v>
      </c>
      <c r="M520">
        <v>101</v>
      </c>
      <c r="N520" t="s">
        <v>1031</v>
      </c>
    </row>
    <row r="521" spans="1:14" x14ac:dyDescent="0.3">
      <c r="A521">
        <v>2</v>
      </c>
      <c r="B521">
        <v>0</v>
      </c>
      <c r="C521" t="s">
        <v>1032</v>
      </c>
      <c r="D521" t="s">
        <v>20</v>
      </c>
      <c r="E521">
        <v>28</v>
      </c>
      <c r="F521">
        <v>0</v>
      </c>
      <c r="G521">
        <v>0</v>
      </c>
      <c r="H521">
        <v>218629</v>
      </c>
      <c r="I521">
        <v>13.5</v>
      </c>
      <c r="K521" t="s">
        <v>17</v>
      </c>
      <c r="M521">
        <v>287</v>
      </c>
      <c r="N521" t="s">
        <v>1033</v>
      </c>
    </row>
    <row r="522" spans="1:14" x14ac:dyDescent="0.3">
      <c r="A522">
        <v>2</v>
      </c>
      <c r="B522">
        <v>1</v>
      </c>
      <c r="C522" t="s">
        <v>1034</v>
      </c>
      <c r="D522" t="s">
        <v>20</v>
      </c>
      <c r="E522">
        <v>20</v>
      </c>
      <c r="F522">
        <v>0</v>
      </c>
      <c r="G522">
        <v>0</v>
      </c>
      <c r="H522" t="s">
        <v>1035</v>
      </c>
      <c r="I522">
        <v>13.862500000000001</v>
      </c>
      <c r="J522" t="s">
        <v>1036</v>
      </c>
      <c r="K522" t="s">
        <v>41</v>
      </c>
      <c r="L522">
        <v>7</v>
      </c>
      <c r="N522" t="s">
        <v>1037</v>
      </c>
    </row>
    <row r="523" spans="1:14" x14ac:dyDescent="0.3">
      <c r="A523">
        <v>2</v>
      </c>
      <c r="B523">
        <v>1</v>
      </c>
      <c r="C523" t="s">
        <v>1038</v>
      </c>
      <c r="D523" t="s">
        <v>15</v>
      </c>
      <c r="E523">
        <v>29</v>
      </c>
      <c r="F523">
        <v>0</v>
      </c>
      <c r="G523">
        <v>0</v>
      </c>
      <c r="H523" t="s">
        <v>1039</v>
      </c>
      <c r="I523">
        <v>10.5</v>
      </c>
      <c r="J523" t="s">
        <v>743</v>
      </c>
      <c r="K523" t="s">
        <v>17</v>
      </c>
      <c r="L523">
        <v>11</v>
      </c>
      <c r="N523" t="s">
        <v>1040</v>
      </c>
    </row>
    <row r="524" spans="1:14" x14ac:dyDescent="0.3">
      <c r="A524">
        <v>2</v>
      </c>
      <c r="B524">
        <v>0</v>
      </c>
      <c r="C524" t="s">
        <v>1041</v>
      </c>
      <c r="D524" t="s">
        <v>20</v>
      </c>
      <c r="E524">
        <v>39</v>
      </c>
      <c r="F524">
        <v>0</v>
      </c>
      <c r="G524">
        <v>0</v>
      </c>
      <c r="H524">
        <v>28213</v>
      </c>
      <c r="I524">
        <v>13</v>
      </c>
      <c r="K524" t="s">
        <v>17</v>
      </c>
      <c r="N524" t="s">
        <v>1042</v>
      </c>
    </row>
    <row r="525" spans="1:14" x14ac:dyDescent="0.3">
      <c r="A525">
        <v>2</v>
      </c>
      <c r="B525">
        <v>1</v>
      </c>
      <c r="C525" t="s">
        <v>1043</v>
      </c>
      <c r="D525" t="s">
        <v>20</v>
      </c>
      <c r="E525">
        <v>22</v>
      </c>
      <c r="F525">
        <v>0</v>
      </c>
      <c r="G525">
        <v>0</v>
      </c>
      <c r="H525" t="s">
        <v>1044</v>
      </c>
      <c r="I525">
        <v>10.5</v>
      </c>
      <c r="K525" t="s">
        <v>17</v>
      </c>
      <c r="L525">
        <v>13</v>
      </c>
      <c r="N525" t="s">
        <v>1045</v>
      </c>
    </row>
    <row r="526" spans="1:14" x14ac:dyDescent="0.3">
      <c r="A526">
        <v>2</v>
      </c>
      <c r="B526">
        <v>1</v>
      </c>
      <c r="C526" t="s">
        <v>1046</v>
      </c>
      <c r="D526" t="s">
        <v>20</v>
      </c>
      <c r="F526">
        <v>0</v>
      </c>
      <c r="G526">
        <v>0</v>
      </c>
      <c r="H526" t="s">
        <v>1047</v>
      </c>
      <c r="I526">
        <v>13.862500000000001</v>
      </c>
      <c r="K526" t="s">
        <v>41</v>
      </c>
      <c r="L526">
        <v>9</v>
      </c>
      <c r="N526" t="s">
        <v>1048</v>
      </c>
    </row>
    <row r="527" spans="1:14" x14ac:dyDescent="0.3">
      <c r="A527">
        <v>2</v>
      </c>
      <c r="B527">
        <v>0</v>
      </c>
      <c r="C527" t="s">
        <v>1049</v>
      </c>
      <c r="D527" t="s">
        <v>20</v>
      </c>
      <c r="E527">
        <v>23</v>
      </c>
      <c r="F527">
        <v>0</v>
      </c>
      <c r="G527">
        <v>0</v>
      </c>
      <c r="H527">
        <v>244278</v>
      </c>
      <c r="I527">
        <v>10.5</v>
      </c>
      <c r="K527" t="s">
        <v>17</v>
      </c>
      <c r="N527" t="s">
        <v>1050</v>
      </c>
    </row>
    <row r="528" spans="1:14" x14ac:dyDescent="0.3">
      <c r="A528">
        <v>2</v>
      </c>
      <c r="B528">
        <v>1</v>
      </c>
      <c r="C528" t="s">
        <v>1051</v>
      </c>
      <c r="D528" t="s">
        <v>20</v>
      </c>
      <c r="E528">
        <v>29</v>
      </c>
      <c r="F528">
        <v>0</v>
      </c>
      <c r="G528">
        <v>0</v>
      </c>
      <c r="H528" t="s">
        <v>1052</v>
      </c>
      <c r="I528">
        <v>13.8583</v>
      </c>
      <c r="K528" t="s">
        <v>41</v>
      </c>
      <c r="L528">
        <v>9</v>
      </c>
      <c r="N528" t="s">
        <v>1048</v>
      </c>
    </row>
    <row r="529" spans="1:14" x14ac:dyDescent="0.3">
      <c r="A529">
        <v>2</v>
      </c>
      <c r="B529">
        <v>0</v>
      </c>
      <c r="C529" t="s">
        <v>1053</v>
      </c>
      <c r="D529" t="s">
        <v>20</v>
      </c>
      <c r="E529">
        <v>28</v>
      </c>
      <c r="F529">
        <v>0</v>
      </c>
      <c r="G529">
        <v>0</v>
      </c>
      <c r="H529" t="s">
        <v>1054</v>
      </c>
      <c r="I529">
        <v>10.5</v>
      </c>
      <c r="K529" t="s">
        <v>17</v>
      </c>
      <c r="N529" t="s">
        <v>1055</v>
      </c>
    </row>
    <row r="530" spans="1:14" x14ac:dyDescent="0.3">
      <c r="A530">
        <v>2</v>
      </c>
      <c r="B530">
        <v>0</v>
      </c>
      <c r="C530" t="s">
        <v>1056</v>
      </c>
      <c r="D530" t="s">
        <v>20</v>
      </c>
      <c r="F530">
        <v>0</v>
      </c>
      <c r="G530">
        <v>0</v>
      </c>
      <c r="H530">
        <v>239853</v>
      </c>
      <c r="I530">
        <v>0</v>
      </c>
      <c r="K530" t="s">
        <v>17</v>
      </c>
      <c r="N530" t="s">
        <v>500</v>
      </c>
    </row>
    <row r="531" spans="1:14" x14ac:dyDescent="0.3">
      <c r="A531">
        <v>2</v>
      </c>
      <c r="B531">
        <v>1</v>
      </c>
      <c r="C531" t="s">
        <v>1057</v>
      </c>
      <c r="D531" t="s">
        <v>15</v>
      </c>
      <c r="E531">
        <v>50</v>
      </c>
      <c r="F531">
        <v>0</v>
      </c>
      <c r="G531">
        <v>1</v>
      </c>
      <c r="H531">
        <v>230433</v>
      </c>
      <c r="I531">
        <v>26</v>
      </c>
      <c r="K531" t="s">
        <v>17</v>
      </c>
      <c r="L531">
        <v>12</v>
      </c>
      <c r="N531" t="s">
        <v>1058</v>
      </c>
    </row>
    <row r="532" spans="1:14" x14ac:dyDescent="0.3">
      <c r="A532">
        <v>2</v>
      </c>
      <c r="B532">
        <v>0</v>
      </c>
      <c r="C532" t="s">
        <v>1059</v>
      </c>
      <c r="D532" t="s">
        <v>20</v>
      </c>
      <c r="E532">
        <v>19</v>
      </c>
      <c r="F532">
        <v>0</v>
      </c>
      <c r="G532">
        <v>0</v>
      </c>
      <c r="H532">
        <v>28665</v>
      </c>
      <c r="I532">
        <v>10.5</v>
      </c>
      <c r="K532" t="s">
        <v>17</v>
      </c>
      <c r="N532" t="s">
        <v>1060</v>
      </c>
    </row>
    <row r="533" spans="1:14" x14ac:dyDescent="0.3">
      <c r="A533">
        <v>2</v>
      </c>
      <c r="B533">
        <v>0</v>
      </c>
      <c r="C533" t="s">
        <v>1061</v>
      </c>
      <c r="D533" t="s">
        <v>20</v>
      </c>
      <c r="F533">
        <v>0</v>
      </c>
      <c r="G533">
        <v>0</v>
      </c>
      <c r="H533" t="s">
        <v>1062</v>
      </c>
      <c r="I533">
        <v>15.05</v>
      </c>
      <c r="K533" t="s">
        <v>41</v>
      </c>
    </row>
    <row r="534" spans="1:14" x14ac:dyDescent="0.3">
      <c r="A534">
        <v>2</v>
      </c>
      <c r="B534">
        <v>0</v>
      </c>
      <c r="C534" t="s">
        <v>1063</v>
      </c>
      <c r="D534" t="s">
        <v>20</v>
      </c>
      <c r="E534">
        <v>41</v>
      </c>
      <c r="F534">
        <v>0</v>
      </c>
      <c r="G534">
        <v>0</v>
      </c>
      <c r="H534">
        <v>237393</v>
      </c>
      <c r="I534">
        <v>13</v>
      </c>
      <c r="K534" t="s">
        <v>17</v>
      </c>
    </row>
    <row r="535" spans="1:14" x14ac:dyDescent="0.3">
      <c r="A535">
        <v>2</v>
      </c>
      <c r="B535">
        <v>1</v>
      </c>
      <c r="C535" t="s">
        <v>1064</v>
      </c>
      <c r="D535" t="s">
        <v>15</v>
      </c>
      <c r="E535">
        <v>21</v>
      </c>
      <c r="F535">
        <v>0</v>
      </c>
      <c r="G535">
        <v>1</v>
      </c>
      <c r="H535" t="s">
        <v>1065</v>
      </c>
      <c r="I535">
        <v>21</v>
      </c>
      <c r="K535" t="s">
        <v>17</v>
      </c>
      <c r="L535">
        <v>12</v>
      </c>
      <c r="N535" t="s">
        <v>1066</v>
      </c>
    </row>
    <row r="536" spans="1:14" x14ac:dyDescent="0.3">
      <c r="A536">
        <v>2</v>
      </c>
      <c r="B536">
        <v>1</v>
      </c>
      <c r="C536" t="s">
        <v>1067</v>
      </c>
      <c r="D536" t="s">
        <v>15</v>
      </c>
      <c r="E536">
        <v>19</v>
      </c>
      <c r="F536">
        <v>0</v>
      </c>
      <c r="G536">
        <v>0</v>
      </c>
      <c r="H536">
        <v>250655</v>
      </c>
      <c r="I536">
        <v>26</v>
      </c>
      <c r="K536" t="s">
        <v>17</v>
      </c>
      <c r="L536">
        <v>11</v>
      </c>
      <c r="N536" t="s">
        <v>1068</v>
      </c>
    </row>
    <row r="537" spans="1:14" x14ac:dyDescent="0.3">
      <c r="A537">
        <v>2</v>
      </c>
      <c r="B537">
        <v>0</v>
      </c>
      <c r="C537" t="s">
        <v>1069</v>
      </c>
      <c r="D537" t="s">
        <v>20</v>
      </c>
      <c r="E537">
        <v>43</v>
      </c>
      <c r="F537">
        <v>0</v>
      </c>
      <c r="G537">
        <v>1</v>
      </c>
      <c r="H537" t="s">
        <v>1065</v>
      </c>
      <c r="I537">
        <v>21</v>
      </c>
      <c r="K537" t="s">
        <v>17</v>
      </c>
      <c r="N537" t="s">
        <v>1066</v>
      </c>
    </row>
    <row r="538" spans="1:14" x14ac:dyDescent="0.3">
      <c r="A538">
        <v>2</v>
      </c>
      <c r="B538">
        <v>1</v>
      </c>
      <c r="C538" t="s">
        <v>1070</v>
      </c>
      <c r="D538" t="s">
        <v>15</v>
      </c>
      <c r="E538">
        <v>32</v>
      </c>
      <c r="F538">
        <v>0</v>
      </c>
      <c r="G538">
        <v>0</v>
      </c>
      <c r="H538">
        <v>234604</v>
      </c>
      <c r="I538">
        <v>13</v>
      </c>
      <c r="K538" t="s">
        <v>17</v>
      </c>
      <c r="L538">
        <v>9</v>
      </c>
      <c r="N538" t="s">
        <v>1071</v>
      </c>
    </row>
    <row r="539" spans="1:14" x14ac:dyDescent="0.3">
      <c r="A539">
        <v>2</v>
      </c>
      <c r="B539">
        <v>0</v>
      </c>
      <c r="C539" t="s">
        <v>1072</v>
      </c>
      <c r="D539" t="s">
        <v>20</v>
      </c>
      <c r="E539">
        <v>34</v>
      </c>
      <c r="F539">
        <v>0</v>
      </c>
      <c r="G539">
        <v>0</v>
      </c>
      <c r="H539">
        <v>250647</v>
      </c>
      <c r="I539">
        <v>13</v>
      </c>
      <c r="K539" t="s">
        <v>17</v>
      </c>
      <c r="N539" t="s">
        <v>1073</v>
      </c>
    </row>
    <row r="540" spans="1:14" x14ac:dyDescent="0.3">
      <c r="A540">
        <v>2</v>
      </c>
      <c r="B540">
        <v>1</v>
      </c>
      <c r="C540" t="s">
        <v>1074</v>
      </c>
      <c r="D540" t="s">
        <v>20</v>
      </c>
      <c r="E540">
        <v>30</v>
      </c>
      <c r="F540">
        <v>0</v>
      </c>
      <c r="G540">
        <v>0</v>
      </c>
      <c r="H540" t="s">
        <v>1075</v>
      </c>
      <c r="I540">
        <v>12.737500000000001</v>
      </c>
      <c r="K540" t="s">
        <v>41</v>
      </c>
      <c r="L540">
        <v>14</v>
      </c>
      <c r="N540" t="s">
        <v>1076</v>
      </c>
    </row>
    <row r="541" spans="1:14" x14ac:dyDescent="0.3">
      <c r="A541">
        <v>2</v>
      </c>
      <c r="B541">
        <v>0</v>
      </c>
      <c r="C541" t="s">
        <v>1077</v>
      </c>
      <c r="D541" t="s">
        <v>20</v>
      </c>
      <c r="E541">
        <v>27</v>
      </c>
      <c r="F541">
        <v>0</v>
      </c>
      <c r="G541">
        <v>0</v>
      </c>
      <c r="H541" t="s">
        <v>1078</v>
      </c>
      <c r="I541">
        <v>15.033300000000001</v>
      </c>
      <c r="K541" t="s">
        <v>41</v>
      </c>
      <c r="N541" t="s">
        <v>984</v>
      </c>
    </row>
    <row r="542" spans="1:14" x14ac:dyDescent="0.3">
      <c r="A542">
        <v>2</v>
      </c>
      <c r="B542">
        <v>1</v>
      </c>
      <c r="C542" t="s">
        <v>1079</v>
      </c>
      <c r="D542" t="s">
        <v>15</v>
      </c>
      <c r="E542">
        <v>2</v>
      </c>
      <c r="F542">
        <v>1</v>
      </c>
      <c r="G542">
        <v>1</v>
      </c>
      <c r="H542">
        <v>26360</v>
      </c>
      <c r="I542">
        <v>26</v>
      </c>
      <c r="K542" t="s">
        <v>17</v>
      </c>
      <c r="L542">
        <v>11</v>
      </c>
      <c r="N542" t="s">
        <v>1080</v>
      </c>
    </row>
    <row r="543" spans="1:14" x14ac:dyDescent="0.3">
      <c r="A543">
        <v>2</v>
      </c>
      <c r="B543">
        <v>1</v>
      </c>
      <c r="C543" t="s">
        <v>1081</v>
      </c>
      <c r="D543" t="s">
        <v>15</v>
      </c>
      <c r="E543">
        <v>8</v>
      </c>
      <c r="F543">
        <v>1</v>
      </c>
      <c r="G543">
        <v>1</v>
      </c>
      <c r="H543">
        <v>26360</v>
      </c>
      <c r="I543">
        <v>26</v>
      </c>
      <c r="K543" t="s">
        <v>17</v>
      </c>
      <c r="L543">
        <v>11</v>
      </c>
      <c r="N543" t="s">
        <v>1080</v>
      </c>
    </row>
    <row r="544" spans="1:14" x14ac:dyDescent="0.3">
      <c r="A544">
        <v>2</v>
      </c>
      <c r="B544">
        <v>1</v>
      </c>
      <c r="C544" t="s">
        <v>1082</v>
      </c>
      <c r="D544" t="s">
        <v>15</v>
      </c>
      <c r="E544">
        <v>33</v>
      </c>
      <c r="F544">
        <v>0</v>
      </c>
      <c r="G544">
        <v>2</v>
      </c>
      <c r="H544">
        <v>26360</v>
      </c>
      <c r="I544">
        <v>26</v>
      </c>
      <c r="K544" t="s">
        <v>17</v>
      </c>
      <c r="L544">
        <v>11</v>
      </c>
      <c r="N544" t="s">
        <v>1080</v>
      </c>
    </row>
    <row r="545" spans="1:14" x14ac:dyDescent="0.3">
      <c r="A545">
        <v>2</v>
      </c>
      <c r="B545">
        <v>0</v>
      </c>
      <c r="C545" t="s">
        <v>1083</v>
      </c>
      <c r="D545" t="s">
        <v>20</v>
      </c>
      <c r="E545">
        <v>36</v>
      </c>
      <c r="F545">
        <v>0</v>
      </c>
      <c r="G545">
        <v>0</v>
      </c>
      <c r="H545" t="s">
        <v>1084</v>
      </c>
      <c r="I545">
        <v>10.5</v>
      </c>
      <c r="K545" t="s">
        <v>17</v>
      </c>
      <c r="N545" t="s">
        <v>1085</v>
      </c>
    </row>
    <row r="546" spans="1:14" x14ac:dyDescent="0.3">
      <c r="A546">
        <v>2</v>
      </c>
      <c r="B546">
        <v>0</v>
      </c>
      <c r="C546" t="s">
        <v>1086</v>
      </c>
      <c r="D546" t="s">
        <v>20</v>
      </c>
      <c r="E546">
        <v>34</v>
      </c>
      <c r="F546">
        <v>1</v>
      </c>
      <c r="G546">
        <v>0</v>
      </c>
      <c r="H546">
        <v>31027</v>
      </c>
      <c r="I546">
        <v>21</v>
      </c>
      <c r="K546" t="s">
        <v>17</v>
      </c>
      <c r="L546">
        <v>12</v>
      </c>
      <c r="N546" t="s">
        <v>1087</v>
      </c>
    </row>
    <row r="547" spans="1:14" x14ac:dyDescent="0.3">
      <c r="A547">
        <v>2</v>
      </c>
      <c r="B547">
        <v>1</v>
      </c>
      <c r="C547" t="s">
        <v>1088</v>
      </c>
      <c r="D547" t="s">
        <v>15</v>
      </c>
      <c r="E547">
        <v>30</v>
      </c>
      <c r="F547">
        <v>3</v>
      </c>
      <c r="G547">
        <v>0</v>
      </c>
      <c r="H547">
        <v>31027</v>
      </c>
      <c r="I547">
        <v>21</v>
      </c>
      <c r="K547" t="s">
        <v>17</v>
      </c>
      <c r="N547" t="s">
        <v>1087</v>
      </c>
    </row>
    <row r="548" spans="1:14" x14ac:dyDescent="0.3">
      <c r="A548">
        <v>2</v>
      </c>
      <c r="B548">
        <v>1</v>
      </c>
      <c r="C548" t="s">
        <v>1089</v>
      </c>
      <c r="D548" t="s">
        <v>15</v>
      </c>
      <c r="E548">
        <v>28</v>
      </c>
      <c r="F548">
        <v>0</v>
      </c>
      <c r="G548">
        <v>0</v>
      </c>
      <c r="H548">
        <v>230434</v>
      </c>
      <c r="I548">
        <v>13</v>
      </c>
      <c r="K548" t="s">
        <v>17</v>
      </c>
      <c r="L548">
        <v>9</v>
      </c>
      <c r="N548" t="s">
        <v>1090</v>
      </c>
    </row>
    <row r="549" spans="1:14" x14ac:dyDescent="0.3">
      <c r="A549">
        <v>2</v>
      </c>
      <c r="B549">
        <v>0</v>
      </c>
      <c r="C549" t="s">
        <v>1091</v>
      </c>
      <c r="D549" t="s">
        <v>20</v>
      </c>
      <c r="E549">
        <v>23</v>
      </c>
      <c r="F549">
        <v>0</v>
      </c>
      <c r="G549">
        <v>0</v>
      </c>
      <c r="H549" t="s">
        <v>1092</v>
      </c>
      <c r="I549">
        <v>15.0458</v>
      </c>
      <c r="K549" t="s">
        <v>41</v>
      </c>
      <c r="N549" t="s">
        <v>987</v>
      </c>
    </row>
    <row r="550" spans="1:14" x14ac:dyDescent="0.3">
      <c r="A550">
        <v>2</v>
      </c>
      <c r="B550">
        <v>1</v>
      </c>
      <c r="C550" t="s">
        <v>1093</v>
      </c>
      <c r="D550" t="s">
        <v>20</v>
      </c>
      <c r="E550">
        <v>0.83</v>
      </c>
      <c r="F550">
        <v>1</v>
      </c>
      <c r="G550">
        <v>1</v>
      </c>
      <c r="H550">
        <v>29106</v>
      </c>
      <c r="I550">
        <v>18.75</v>
      </c>
      <c r="K550" t="s">
        <v>17</v>
      </c>
      <c r="L550">
        <v>4</v>
      </c>
      <c r="N550" t="s">
        <v>908</v>
      </c>
    </row>
    <row r="551" spans="1:14" x14ac:dyDescent="0.3">
      <c r="A551">
        <v>2</v>
      </c>
      <c r="B551">
        <v>1</v>
      </c>
      <c r="C551" t="s">
        <v>1094</v>
      </c>
      <c r="D551" t="s">
        <v>20</v>
      </c>
      <c r="E551">
        <v>3</v>
      </c>
      <c r="F551">
        <v>1</v>
      </c>
      <c r="G551">
        <v>1</v>
      </c>
      <c r="H551">
        <v>29106</v>
      </c>
      <c r="I551">
        <v>18.75</v>
      </c>
      <c r="K551" t="s">
        <v>17</v>
      </c>
      <c r="L551">
        <v>4</v>
      </c>
      <c r="N551" t="s">
        <v>908</v>
      </c>
    </row>
    <row r="552" spans="1:14" x14ac:dyDescent="0.3">
      <c r="A552">
        <v>2</v>
      </c>
      <c r="B552">
        <v>1</v>
      </c>
      <c r="C552" t="s">
        <v>1095</v>
      </c>
      <c r="D552" t="s">
        <v>15</v>
      </c>
      <c r="E552">
        <v>24</v>
      </c>
      <c r="F552">
        <v>2</v>
      </c>
      <c r="G552">
        <v>3</v>
      </c>
      <c r="H552">
        <v>29106</v>
      </c>
      <c r="I552">
        <v>18.75</v>
      </c>
      <c r="K552" t="s">
        <v>17</v>
      </c>
      <c r="L552">
        <v>4</v>
      </c>
      <c r="N552" t="s">
        <v>908</v>
      </c>
    </row>
    <row r="553" spans="1:14" x14ac:dyDescent="0.3">
      <c r="A553">
        <v>2</v>
      </c>
      <c r="B553">
        <v>1</v>
      </c>
      <c r="C553" t="s">
        <v>1096</v>
      </c>
      <c r="D553" t="s">
        <v>15</v>
      </c>
      <c r="E553">
        <v>50</v>
      </c>
      <c r="F553">
        <v>0</v>
      </c>
      <c r="G553">
        <v>0</v>
      </c>
      <c r="H553" t="s">
        <v>1097</v>
      </c>
      <c r="I553">
        <v>10.5</v>
      </c>
      <c r="K553" t="s">
        <v>17</v>
      </c>
      <c r="L553">
        <v>13</v>
      </c>
      <c r="N553" t="s">
        <v>1098</v>
      </c>
    </row>
    <row r="554" spans="1:14" x14ac:dyDescent="0.3">
      <c r="A554">
        <v>2</v>
      </c>
      <c r="B554">
        <v>0</v>
      </c>
      <c r="C554" t="s">
        <v>1099</v>
      </c>
      <c r="D554" t="s">
        <v>20</v>
      </c>
      <c r="E554">
        <v>19</v>
      </c>
      <c r="F554">
        <v>0</v>
      </c>
      <c r="G554">
        <v>0</v>
      </c>
      <c r="H554">
        <v>28004</v>
      </c>
      <c r="I554">
        <v>10.5</v>
      </c>
      <c r="K554" t="s">
        <v>17</v>
      </c>
    </row>
    <row r="555" spans="1:14" x14ac:dyDescent="0.3">
      <c r="A555">
        <v>2</v>
      </c>
      <c r="B555">
        <v>1</v>
      </c>
      <c r="C555" t="s">
        <v>1100</v>
      </c>
      <c r="D555" t="s">
        <v>15</v>
      </c>
      <c r="E555">
        <v>21</v>
      </c>
      <c r="F555">
        <v>0</v>
      </c>
      <c r="G555">
        <v>0</v>
      </c>
      <c r="H555" t="s">
        <v>1101</v>
      </c>
      <c r="I555">
        <v>10.5</v>
      </c>
      <c r="K555" t="s">
        <v>17</v>
      </c>
      <c r="L555">
        <v>12</v>
      </c>
      <c r="N555" t="s">
        <v>1102</v>
      </c>
    </row>
    <row r="556" spans="1:14" x14ac:dyDescent="0.3">
      <c r="A556">
        <v>2</v>
      </c>
      <c r="B556">
        <v>0</v>
      </c>
      <c r="C556" t="s">
        <v>1103</v>
      </c>
      <c r="D556" t="s">
        <v>20</v>
      </c>
      <c r="E556">
        <v>26</v>
      </c>
      <c r="F556">
        <v>0</v>
      </c>
      <c r="G556">
        <v>0</v>
      </c>
      <c r="H556">
        <v>248659</v>
      </c>
      <c r="I556">
        <v>13</v>
      </c>
      <c r="K556" t="s">
        <v>17</v>
      </c>
      <c r="N556" t="s">
        <v>611</v>
      </c>
    </row>
    <row r="557" spans="1:14" x14ac:dyDescent="0.3">
      <c r="A557">
        <v>2</v>
      </c>
      <c r="B557">
        <v>0</v>
      </c>
      <c r="C557" t="s">
        <v>1104</v>
      </c>
      <c r="D557" t="s">
        <v>20</v>
      </c>
      <c r="E557">
        <v>25</v>
      </c>
      <c r="F557">
        <v>0</v>
      </c>
      <c r="G557">
        <v>0</v>
      </c>
      <c r="H557">
        <v>244361</v>
      </c>
      <c r="I557">
        <v>13</v>
      </c>
      <c r="K557" t="s">
        <v>17</v>
      </c>
      <c r="N557" t="s">
        <v>387</v>
      </c>
    </row>
    <row r="558" spans="1:14" x14ac:dyDescent="0.3">
      <c r="A558">
        <v>2</v>
      </c>
      <c r="B558">
        <v>0</v>
      </c>
      <c r="C558" t="s">
        <v>1105</v>
      </c>
      <c r="D558" t="s">
        <v>20</v>
      </c>
      <c r="E558">
        <v>27</v>
      </c>
      <c r="F558">
        <v>0</v>
      </c>
      <c r="G558">
        <v>0</v>
      </c>
      <c r="H558">
        <v>244358</v>
      </c>
      <c r="I558">
        <v>26</v>
      </c>
      <c r="K558" t="s">
        <v>17</v>
      </c>
      <c r="N558" t="s">
        <v>1106</v>
      </c>
    </row>
    <row r="559" spans="1:14" x14ac:dyDescent="0.3">
      <c r="A559">
        <v>2</v>
      </c>
      <c r="B559">
        <v>1</v>
      </c>
      <c r="C559" t="s">
        <v>1107</v>
      </c>
      <c r="D559" t="s">
        <v>15</v>
      </c>
      <c r="E559">
        <v>25</v>
      </c>
      <c r="F559">
        <v>0</v>
      </c>
      <c r="G559">
        <v>1</v>
      </c>
      <c r="H559">
        <v>230433</v>
      </c>
      <c r="I559">
        <v>26</v>
      </c>
      <c r="K559" t="s">
        <v>17</v>
      </c>
      <c r="L559">
        <v>12</v>
      </c>
      <c r="N559" t="s">
        <v>1108</v>
      </c>
    </row>
    <row r="560" spans="1:14" x14ac:dyDescent="0.3">
      <c r="A560">
        <v>2</v>
      </c>
      <c r="B560">
        <v>1</v>
      </c>
      <c r="C560" t="s">
        <v>1109</v>
      </c>
      <c r="D560" t="s">
        <v>15</v>
      </c>
      <c r="E560">
        <v>18</v>
      </c>
      <c r="F560">
        <v>0</v>
      </c>
      <c r="G560">
        <v>2</v>
      </c>
      <c r="H560">
        <v>250652</v>
      </c>
      <c r="I560">
        <v>13</v>
      </c>
      <c r="K560" t="s">
        <v>17</v>
      </c>
      <c r="L560">
        <v>16</v>
      </c>
      <c r="N560" t="s">
        <v>1110</v>
      </c>
    </row>
    <row r="561" spans="1:14" x14ac:dyDescent="0.3">
      <c r="A561">
        <v>2</v>
      </c>
      <c r="B561">
        <v>1</v>
      </c>
      <c r="C561" t="s">
        <v>1111</v>
      </c>
      <c r="D561" t="s">
        <v>15</v>
      </c>
      <c r="E561">
        <v>20</v>
      </c>
      <c r="F561">
        <v>0</v>
      </c>
      <c r="G561">
        <v>0</v>
      </c>
      <c r="H561" t="s">
        <v>803</v>
      </c>
      <c r="I561">
        <v>36.75</v>
      </c>
      <c r="K561" t="s">
        <v>17</v>
      </c>
      <c r="L561">
        <v>11</v>
      </c>
      <c r="N561" t="s">
        <v>1031</v>
      </c>
    </row>
    <row r="562" spans="1:14" x14ac:dyDescent="0.3">
      <c r="A562">
        <v>2</v>
      </c>
      <c r="B562">
        <v>1</v>
      </c>
      <c r="C562" t="s">
        <v>1112</v>
      </c>
      <c r="D562" t="s">
        <v>15</v>
      </c>
      <c r="E562">
        <v>30</v>
      </c>
      <c r="F562">
        <v>0</v>
      </c>
      <c r="G562">
        <v>0</v>
      </c>
      <c r="H562">
        <v>250648</v>
      </c>
      <c r="I562">
        <v>13</v>
      </c>
      <c r="K562" t="s">
        <v>17</v>
      </c>
      <c r="L562">
        <v>10</v>
      </c>
      <c r="N562" t="s">
        <v>1113</v>
      </c>
    </row>
    <row r="563" spans="1:14" x14ac:dyDescent="0.3">
      <c r="A563">
        <v>2</v>
      </c>
      <c r="B563">
        <v>0</v>
      </c>
      <c r="C563" t="s">
        <v>1114</v>
      </c>
      <c r="D563" t="s">
        <v>20</v>
      </c>
      <c r="E563">
        <v>59</v>
      </c>
      <c r="F563">
        <v>0</v>
      </c>
      <c r="G563">
        <v>0</v>
      </c>
      <c r="H563">
        <v>237442</v>
      </c>
      <c r="I563">
        <v>13.5</v>
      </c>
      <c r="K563" t="s">
        <v>17</v>
      </c>
      <c r="N563" t="s">
        <v>1115</v>
      </c>
    </row>
    <row r="564" spans="1:14" x14ac:dyDescent="0.3">
      <c r="A564">
        <v>2</v>
      </c>
      <c r="B564">
        <v>1</v>
      </c>
      <c r="C564" t="s">
        <v>1116</v>
      </c>
      <c r="D564" t="s">
        <v>15</v>
      </c>
      <c r="E564">
        <v>30</v>
      </c>
      <c r="F564">
        <v>0</v>
      </c>
      <c r="G564">
        <v>0</v>
      </c>
      <c r="H564">
        <v>234818</v>
      </c>
      <c r="I564">
        <v>12.35</v>
      </c>
      <c r="K564" t="s">
        <v>463</v>
      </c>
      <c r="L564">
        <v>13</v>
      </c>
      <c r="N564" t="s">
        <v>688</v>
      </c>
    </row>
    <row r="565" spans="1:14" x14ac:dyDescent="0.3">
      <c r="A565">
        <v>2</v>
      </c>
      <c r="B565">
        <v>0</v>
      </c>
      <c r="C565" t="s">
        <v>1117</v>
      </c>
      <c r="D565" t="s">
        <v>20</v>
      </c>
      <c r="E565">
        <v>35</v>
      </c>
      <c r="F565">
        <v>0</v>
      </c>
      <c r="G565">
        <v>0</v>
      </c>
      <c r="H565">
        <v>28206</v>
      </c>
      <c r="I565">
        <v>10.5</v>
      </c>
      <c r="K565" t="s">
        <v>17</v>
      </c>
      <c r="N565" t="s">
        <v>863</v>
      </c>
    </row>
    <row r="566" spans="1:14" x14ac:dyDescent="0.3">
      <c r="A566">
        <v>2</v>
      </c>
      <c r="B566">
        <v>1</v>
      </c>
      <c r="C566" t="s">
        <v>1118</v>
      </c>
      <c r="D566" t="s">
        <v>15</v>
      </c>
      <c r="E566">
        <v>40</v>
      </c>
      <c r="F566">
        <v>0</v>
      </c>
      <c r="G566">
        <v>0</v>
      </c>
      <c r="H566">
        <v>31418</v>
      </c>
      <c r="I566">
        <v>13</v>
      </c>
      <c r="K566" t="s">
        <v>17</v>
      </c>
      <c r="L566">
        <v>9</v>
      </c>
    </row>
    <row r="567" spans="1:14" x14ac:dyDescent="0.3">
      <c r="A567">
        <v>2</v>
      </c>
      <c r="B567">
        <v>0</v>
      </c>
      <c r="C567" t="s">
        <v>1119</v>
      </c>
      <c r="D567" t="s">
        <v>20</v>
      </c>
      <c r="E567">
        <v>25</v>
      </c>
      <c r="F567">
        <v>0</v>
      </c>
      <c r="G567">
        <v>0</v>
      </c>
      <c r="H567" t="s">
        <v>1120</v>
      </c>
      <c r="I567">
        <v>13</v>
      </c>
      <c r="K567" t="s">
        <v>17</v>
      </c>
      <c r="N567" t="s">
        <v>848</v>
      </c>
    </row>
    <row r="568" spans="1:14" x14ac:dyDescent="0.3">
      <c r="A568">
        <v>2</v>
      </c>
      <c r="B568">
        <v>0</v>
      </c>
      <c r="C568" t="s">
        <v>1121</v>
      </c>
      <c r="D568" t="s">
        <v>20</v>
      </c>
      <c r="E568">
        <v>41</v>
      </c>
      <c r="F568">
        <v>0</v>
      </c>
      <c r="G568">
        <v>0</v>
      </c>
      <c r="H568">
        <v>237734</v>
      </c>
      <c r="I568">
        <v>15.0458</v>
      </c>
      <c r="K568" t="s">
        <v>41</v>
      </c>
      <c r="N568" t="s">
        <v>28</v>
      </c>
    </row>
    <row r="569" spans="1:14" x14ac:dyDescent="0.3">
      <c r="A569">
        <v>2</v>
      </c>
      <c r="B569">
        <v>0</v>
      </c>
      <c r="C569" t="s">
        <v>1122</v>
      </c>
      <c r="D569" t="s">
        <v>20</v>
      </c>
      <c r="E569">
        <v>25</v>
      </c>
      <c r="F569">
        <v>0</v>
      </c>
      <c r="G569">
        <v>0</v>
      </c>
      <c r="H569" t="s">
        <v>1123</v>
      </c>
      <c r="I569">
        <v>10.5</v>
      </c>
      <c r="K569" t="s">
        <v>17</v>
      </c>
      <c r="M569">
        <v>81</v>
      </c>
      <c r="N569" t="s">
        <v>1124</v>
      </c>
    </row>
    <row r="570" spans="1:14" x14ac:dyDescent="0.3">
      <c r="A570">
        <v>2</v>
      </c>
      <c r="B570">
        <v>0</v>
      </c>
      <c r="C570" t="s">
        <v>1125</v>
      </c>
      <c r="D570" t="s">
        <v>20</v>
      </c>
      <c r="E570">
        <v>18.5</v>
      </c>
      <c r="F570">
        <v>0</v>
      </c>
      <c r="G570">
        <v>0</v>
      </c>
      <c r="H570">
        <v>248734</v>
      </c>
      <c r="I570">
        <v>13</v>
      </c>
      <c r="J570" t="s">
        <v>1126</v>
      </c>
      <c r="K570" t="s">
        <v>17</v>
      </c>
      <c r="M570">
        <v>294</v>
      </c>
    </row>
    <row r="571" spans="1:14" x14ac:dyDescent="0.3">
      <c r="A571">
        <v>2</v>
      </c>
      <c r="B571">
        <v>0</v>
      </c>
      <c r="C571" t="s">
        <v>1127</v>
      </c>
      <c r="D571" t="s">
        <v>20</v>
      </c>
      <c r="E571">
        <v>14</v>
      </c>
      <c r="F571">
        <v>0</v>
      </c>
      <c r="G571">
        <v>0</v>
      </c>
      <c r="H571">
        <v>220845</v>
      </c>
      <c r="I571">
        <v>65</v>
      </c>
      <c r="K571" t="s">
        <v>17</v>
      </c>
      <c r="N571" t="s">
        <v>895</v>
      </c>
    </row>
    <row r="572" spans="1:14" x14ac:dyDescent="0.3">
      <c r="A572">
        <v>2</v>
      </c>
      <c r="B572">
        <v>1</v>
      </c>
      <c r="C572" t="s">
        <v>1128</v>
      </c>
      <c r="D572" t="s">
        <v>15</v>
      </c>
      <c r="E572">
        <v>50</v>
      </c>
      <c r="F572">
        <v>0</v>
      </c>
      <c r="G572">
        <v>0</v>
      </c>
      <c r="H572" t="s">
        <v>1129</v>
      </c>
      <c r="I572">
        <v>10.5</v>
      </c>
      <c r="K572" t="s">
        <v>17</v>
      </c>
      <c r="L572">
        <v>9</v>
      </c>
      <c r="N572" t="s">
        <v>372</v>
      </c>
    </row>
    <row r="573" spans="1:14" x14ac:dyDescent="0.3">
      <c r="A573">
        <v>2</v>
      </c>
      <c r="B573">
        <v>0</v>
      </c>
      <c r="C573" t="s">
        <v>1130</v>
      </c>
      <c r="D573" t="s">
        <v>20</v>
      </c>
      <c r="E573">
        <v>23</v>
      </c>
      <c r="F573">
        <v>0</v>
      </c>
      <c r="G573">
        <v>0</v>
      </c>
      <c r="H573">
        <v>233639</v>
      </c>
      <c r="I573">
        <v>13</v>
      </c>
      <c r="K573" t="s">
        <v>17</v>
      </c>
    </row>
    <row r="574" spans="1:14" x14ac:dyDescent="0.3">
      <c r="A574">
        <v>2</v>
      </c>
      <c r="B574">
        <v>1</v>
      </c>
      <c r="C574" t="s">
        <v>1131</v>
      </c>
      <c r="D574" t="s">
        <v>15</v>
      </c>
      <c r="E574">
        <v>28</v>
      </c>
      <c r="F574">
        <v>0</v>
      </c>
      <c r="G574">
        <v>0</v>
      </c>
      <c r="H574">
        <v>240929</v>
      </c>
      <c r="I574">
        <v>12.65</v>
      </c>
      <c r="K574" t="s">
        <v>17</v>
      </c>
      <c r="N574" t="s">
        <v>1132</v>
      </c>
    </row>
    <row r="575" spans="1:14" x14ac:dyDescent="0.3">
      <c r="A575">
        <v>2</v>
      </c>
      <c r="B575">
        <v>1</v>
      </c>
      <c r="C575" t="s">
        <v>1133</v>
      </c>
      <c r="D575" t="s">
        <v>15</v>
      </c>
      <c r="E575">
        <v>27</v>
      </c>
      <c r="F575">
        <v>0</v>
      </c>
      <c r="G575">
        <v>0</v>
      </c>
      <c r="H575">
        <v>34218</v>
      </c>
      <c r="I575">
        <v>10.5</v>
      </c>
      <c r="J575" t="s">
        <v>944</v>
      </c>
      <c r="K575" t="s">
        <v>17</v>
      </c>
      <c r="L575">
        <v>16</v>
      </c>
      <c r="N575" t="s">
        <v>1134</v>
      </c>
    </row>
    <row r="576" spans="1:14" x14ac:dyDescent="0.3">
      <c r="A576">
        <v>2</v>
      </c>
      <c r="B576">
        <v>0</v>
      </c>
      <c r="C576" t="s">
        <v>1135</v>
      </c>
      <c r="D576" t="s">
        <v>20</v>
      </c>
      <c r="E576">
        <v>29</v>
      </c>
      <c r="F576">
        <v>1</v>
      </c>
      <c r="G576">
        <v>0</v>
      </c>
      <c r="H576">
        <v>11668</v>
      </c>
      <c r="I576">
        <v>21</v>
      </c>
      <c r="K576" t="s">
        <v>17</v>
      </c>
      <c r="N576" t="s">
        <v>1136</v>
      </c>
    </row>
    <row r="577" spans="1:14" x14ac:dyDescent="0.3">
      <c r="A577">
        <v>2</v>
      </c>
      <c r="B577">
        <v>0</v>
      </c>
      <c r="C577" t="s">
        <v>1137</v>
      </c>
      <c r="D577" t="s">
        <v>15</v>
      </c>
      <c r="E577">
        <v>27</v>
      </c>
      <c r="F577">
        <v>1</v>
      </c>
      <c r="G577">
        <v>0</v>
      </c>
      <c r="H577">
        <v>11668</v>
      </c>
      <c r="I577">
        <v>21</v>
      </c>
      <c r="K577" t="s">
        <v>17</v>
      </c>
      <c r="N577" t="s">
        <v>1136</v>
      </c>
    </row>
    <row r="578" spans="1:14" x14ac:dyDescent="0.3">
      <c r="A578">
        <v>2</v>
      </c>
      <c r="B578">
        <v>0</v>
      </c>
      <c r="C578" t="s">
        <v>1138</v>
      </c>
      <c r="D578" t="s">
        <v>20</v>
      </c>
      <c r="E578">
        <v>40</v>
      </c>
      <c r="F578">
        <v>0</v>
      </c>
      <c r="G578">
        <v>0</v>
      </c>
      <c r="H578">
        <v>28221</v>
      </c>
      <c r="I578">
        <v>13</v>
      </c>
      <c r="K578" t="s">
        <v>17</v>
      </c>
      <c r="N578" t="s">
        <v>1139</v>
      </c>
    </row>
    <row r="579" spans="1:14" x14ac:dyDescent="0.3">
      <c r="A579">
        <v>2</v>
      </c>
      <c r="B579">
        <v>1</v>
      </c>
      <c r="C579" t="s">
        <v>1140</v>
      </c>
      <c r="D579" t="s">
        <v>15</v>
      </c>
      <c r="E579">
        <v>31</v>
      </c>
      <c r="F579">
        <v>0</v>
      </c>
      <c r="G579">
        <v>0</v>
      </c>
      <c r="H579" t="s">
        <v>763</v>
      </c>
      <c r="I579">
        <v>21</v>
      </c>
      <c r="K579" t="s">
        <v>17</v>
      </c>
      <c r="L579">
        <v>14</v>
      </c>
      <c r="N579" t="s">
        <v>764</v>
      </c>
    </row>
    <row r="580" spans="1:14" x14ac:dyDescent="0.3">
      <c r="A580">
        <v>2</v>
      </c>
      <c r="B580">
        <v>0</v>
      </c>
      <c r="C580" t="s">
        <v>1141</v>
      </c>
      <c r="D580" t="s">
        <v>20</v>
      </c>
      <c r="E580">
        <v>30</v>
      </c>
      <c r="F580">
        <v>1</v>
      </c>
      <c r="G580">
        <v>0</v>
      </c>
      <c r="H580" t="s">
        <v>1142</v>
      </c>
      <c r="I580">
        <v>21</v>
      </c>
      <c r="K580" t="s">
        <v>17</v>
      </c>
      <c r="N580" t="s">
        <v>1143</v>
      </c>
    </row>
    <row r="581" spans="1:14" x14ac:dyDescent="0.3">
      <c r="A581">
        <v>2</v>
      </c>
      <c r="B581">
        <v>0</v>
      </c>
      <c r="C581" t="s">
        <v>1144</v>
      </c>
      <c r="D581" t="s">
        <v>20</v>
      </c>
      <c r="E581">
        <v>23</v>
      </c>
      <c r="F581">
        <v>1</v>
      </c>
      <c r="G581">
        <v>0</v>
      </c>
      <c r="H581">
        <v>28666</v>
      </c>
      <c r="I581">
        <v>10.5</v>
      </c>
      <c r="K581" t="s">
        <v>17</v>
      </c>
    </row>
    <row r="582" spans="1:14" x14ac:dyDescent="0.3">
      <c r="A582">
        <v>2</v>
      </c>
      <c r="B582">
        <v>1</v>
      </c>
      <c r="C582" t="s">
        <v>1145</v>
      </c>
      <c r="D582" t="s">
        <v>15</v>
      </c>
      <c r="E582">
        <v>31</v>
      </c>
      <c r="F582">
        <v>0</v>
      </c>
      <c r="G582">
        <v>0</v>
      </c>
      <c r="H582" t="s">
        <v>1142</v>
      </c>
      <c r="I582">
        <v>21</v>
      </c>
      <c r="K582" t="s">
        <v>17</v>
      </c>
      <c r="L582">
        <v>10</v>
      </c>
      <c r="N582" t="s">
        <v>1143</v>
      </c>
    </row>
    <row r="583" spans="1:14" x14ac:dyDescent="0.3">
      <c r="A583">
        <v>2</v>
      </c>
      <c r="B583">
        <v>0</v>
      </c>
      <c r="C583" t="s">
        <v>1146</v>
      </c>
      <c r="D583" t="s">
        <v>20</v>
      </c>
      <c r="F583">
        <v>0</v>
      </c>
      <c r="G583">
        <v>0</v>
      </c>
      <c r="H583">
        <v>239856</v>
      </c>
      <c r="I583">
        <v>0</v>
      </c>
      <c r="K583" t="s">
        <v>17</v>
      </c>
      <c r="N583" t="s">
        <v>500</v>
      </c>
    </row>
    <row r="584" spans="1:14" x14ac:dyDescent="0.3">
      <c r="A584">
        <v>2</v>
      </c>
      <c r="B584">
        <v>1</v>
      </c>
      <c r="C584" t="s">
        <v>1147</v>
      </c>
      <c r="D584" t="s">
        <v>15</v>
      </c>
      <c r="E584">
        <v>12</v>
      </c>
      <c r="F584">
        <v>0</v>
      </c>
      <c r="G584">
        <v>0</v>
      </c>
      <c r="H584" t="s">
        <v>1148</v>
      </c>
      <c r="I584">
        <v>15.75</v>
      </c>
      <c r="K584" t="s">
        <v>17</v>
      </c>
      <c r="L584">
        <v>9</v>
      </c>
      <c r="N584" t="s">
        <v>1149</v>
      </c>
    </row>
    <row r="585" spans="1:14" x14ac:dyDescent="0.3">
      <c r="A585">
        <v>2</v>
      </c>
      <c r="B585">
        <v>1</v>
      </c>
      <c r="C585" t="s">
        <v>1150</v>
      </c>
      <c r="D585" t="s">
        <v>15</v>
      </c>
      <c r="E585">
        <v>40</v>
      </c>
      <c r="F585">
        <v>0</v>
      </c>
      <c r="G585">
        <v>0</v>
      </c>
      <c r="H585" t="s">
        <v>1148</v>
      </c>
      <c r="I585">
        <v>15.75</v>
      </c>
      <c r="K585" t="s">
        <v>17</v>
      </c>
      <c r="L585">
        <v>9</v>
      </c>
      <c r="N585" t="s">
        <v>1149</v>
      </c>
    </row>
    <row r="586" spans="1:14" x14ac:dyDescent="0.3">
      <c r="A586">
        <v>2</v>
      </c>
      <c r="B586">
        <v>1</v>
      </c>
      <c r="C586" t="s">
        <v>1151</v>
      </c>
      <c r="D586" t="s">
        <v>15</v>
      </c>
      <c r="E586">
        <v>32.5</v>
      </c>
      <c r="F586">
        <v>0</v>
      </c>
      <c r="G586">
        <v>0</v>
      </c>
      <c r="H586">
        <v>27267</v>
      </c>
      <c r="I586">
        <v>13</v>
      </c>
      <c r="J586" t="s">
        <v>944</v>
      </c>
      <c r="K586" t="s">
        <v>17</v>
      </c>
      <c r="L586">
        <v>12</v>
      </c>
      <c r="N586" t="s">
        <v>1152</v>
      </c>
    </row>
    <row r="587" spans="1:14" x14ac:dyDescent="0.3">
      <c r="A587">
        <v>2</v>
      </c>
      <c r="B587">
        <v>0</v>
      </c>
      <c r="C587" t="s">
        <v>1153</v>
      </c>
      <c r="D587" t="s">
        <v>20</v>
      </c>
      <c r="E587">
        <v>27</v>
      </c>
      <c r="F587">
        <v>1</v>
      </c>
      <c r="G587">
        <v>0</v>
      </c>
      <c r="H587">
        <v>228414</v>
      </c>
      <c r="I587">
        <v>26</v>
      </c>
      <c r="K587" t="s">
        <v>17</v>
      </c>
      <c r="M587">
        <v>293</v>
      </c>
      <c r="N587" t="s">
        <v>1154</v>
      </c>
    </row>
    <row r="588" spans="1:14" x14ac:dyDescent="0.3">
      <c r="A588">
        <v>2</v>
      </c>
      <c r="B588">
        <v>1</v>
      </c>
      <c r="C588" t="s">
        <v>1155</v>
      </c>
      <c r="D588" t="s">
        <v>15</v>
      </c>
      <c r="E588">
        <v>29</v>
      </c>
      <c r="F588">
        <v>1</v>
      </c>
      <c r="G588">
        <v>0</v>
      </c>
      <c r="H588">
        <v>228414</v>
      </c>
      <c r="I588">
        <v>26</v>
      </c>
      <c r="K588" t="s">
        <v>17</v>
      </c>
      <c r="L588">
        <v>10</v>
      </c>
      <c r="N588" t="s">
        <v>1154</v>
      </c>
    </row>
    <row r="589" spans="1:14" x14ac:dyDescent="0.3">
      <c r="A589">
        <v>2</v>
      </c>
      <c r="B589">
        <v>1</v>
      </c>
      <c r="C589" t="s">
        <v>1156</v>
      </c>
      <c r="D589" t="s">
        <v>20</v>
      </c>
      <c r="E589">
        <v>2</v>
      </c>
      <c r="F589">
        <v>1</v>
      </c>
      <c r="G589">
        <v>1</v>
      </c>
      <c r="H589">
        <v>29103</v>
      </c>
      <c r="I589">
        <v>23</v>
      </c>
      <c r="K589" t="s">
        <v>17</v>
      </c>
      <c r="L589">
        <v>14</v>
      </c>
      <c r="N589" t="s">
        <v>908</v>
      </c>
    </row>
    <row r="590" spans="1:14" x14ac:dyDescent="0.3">
      <c r="A590">
        <v>2</v>
      </c>
      <c r="B590">
        <v>1</v>
      </c>
      <c r="C590" t="s">
        <v>1157</v>
      </c>
      <c r="D590" t="s">
        <v>15</v>
      </c>
      <c r="E590">
        <v>4</v>
      </c>
      <c r="F590">
        <v>1</v>
      </c>
      <c r="G590">
        <v>1</v>
      </c>
      <c r="H590">
        <v>29103</v>
      </c>
      <c r="I590">
        <v>23</v>
      </c>
      <c r="K590" t="s">
        <v>17</v>
      </c>
      <c r="L590">
        <v>14</v>
      </c>
      <c r="N590" t="s">
        <v>908</v>
      </c>
    </row>
    <row r="591" spans="1:14" x14ac:dyDescent="0.3">
      <c r="A591">
        <v>2</v>
      </c>
      <c r="B591">
        <v>1</v>
      </c>
      <c r="C591" t="s">
        <v>1158</v>
      </c>
      <c r="D591" t="s">
        <v>15</v>
      </c>
      <c r="E591">
        <v>29</v>
      </c>
      <c r="F591">
        <v>0</v>
      </c>
      <c r="G591">
        <v>2</v>
      </c>
      <c r="H591">
        <v>29103</v>
      </c>
      <c r="I591">
        <v>23</v>
      </c>
      <c r="K591" t="s">
        <v>17</v>
      </c>
      <c r="L591">
        <v>14</v>
      </c>
      <c r="N591" t="s">
        <v>908</v>
      </c>
    </row>
    <row r="592" spans="1:14" x14ac:dyDescent="0.3">
      <c r="A592">
        <v>2</v>
      </c>
      <c r="B592">
        <v>1</v>
      </c>
      <c r="C592" t="s">
        <v>1159</v>
      </c>
      <c r="D592" t="s">
        <v>15</v>
      </c>
      <c r="E592">
        <v>0.92</v>
      </c>
      <c r="F592">
        <v>1</v>
      </c>
      <c r="G592">
        <v>2</v>
      </c>
      <c r="H592" t="s">
        <v>1160</v>
      </c>
      <c r="I592">
        <v>27.75</v>
      </c>
      <c r="K592" t="s">
        <v>17</v>
      </c>
      <c r="L592">
        <v>10</v>
      </c>
      <c r="N592" t="s">
        <v>1161</v>
      </c>
    </row>
    <row r="593" spans="1:14" x14ac:dyDescent="0.3">
      <c r="A593">
        <v>2</v>
      </c>
      <c r="B593">
        <v>1</v>
      </c>
      <c r="C593" t="s">
        <v>1162</v>
      </c>
      <c r="D593" t="s">
        <v>15</v>
      </c>
      <c r="E593">
        <v>5</v>
      </c>
      <c r="F593">
        <v>1</v>
      </c>
      <c r="G593">
        <v>2</v>
      </c>
      <c r="H593" t="s">
        <v>1160</v>
      </c>
      <c r="I593">
        <v>27.75</v>
      </c>
      <c r="K593" t="s">
        <v>17</v>
      </c>
      <c r="L593">
        <v>10</v>
      </c>
      <c r="N593" t="s">
        <v>1161</v>
      </c>
    </row>
    <row r="594" spans="1:14" x14ac:dyDescent="0.3">
      <c r="A594">
        <v>2</v>
      </c>
      <c r="B594">
        <v>0</v>
      </c>
      <c r="C594" t="s">
        <v>1163</v>
      </c>
      <c r="D594" t="s">
        <v>20</v>
      </c>
      <c r="E594">
        <v>36</v>
      </c>
      <c r="F594">
        <v>1</v>
      </c>
      <c r="G594">
        <v>2</v>
      </c>
      <c r="H594" t="s">
        <v>1160</v>
      </c>
      <c r="I594">
        <v>27.75</v>
      </c>
      <c r="K594" t="s">
        <v>17</v>
      </c>
      <c r="N594" t="s">
        <v>1161</v>
      </c>
    </row>
    <row r="595" spans="1:14" x14ac:dyDescent="0.3">
      <c r="A595">
        <v>2</v>
      </c>
      <c r="B595">
        <v>1</v>
      </c>
      <c r="C595" t="s">
        <v>1164</v>
      </c>
      <c r="D595" t="s">
        <v>15</v>
      </c>
      <c r="E595">
        <v>33</v>
      </c>
      <c r="F595">
        <v>1</v>
      </c>
      <c r="G595">
        <v>2</v>
      </c>
      <c r="H595" t="s">
        <v>1160</v>
      </c>
      <c r="I595">
        <v>27.75</v>
      </c>
      <c r="K595" t="s">
        <v>17</v>
      </c>
      <c r="L595">
        <v>10</v>
      </c>
      <c r="N595" t="s">
        <v>1161</v>
      </c>
    </row>
    <row r="596" spans="1:14" x14ac:dyDescent="0.3">
      <c r="A596">
        <v>2</v>
      </c>
      <c r="B596">
        <v>0</v>
      </c>
      <c r="C596" t="s">
        <v>1165</v>
      </c>
      <c r="D596" t="s">
        <v>20</v>
      </c>
      <c r="E596">
        <v>66</v>
      </c>
      <c r="F596">
        <v>0</v>
      </c>
      <c r="G596">
        <v>0</v>
      </c>
      <c r="H596" t="s">
        <v>1166</v>
      </c>
      <c r="I596">
        <v>10.5</v>
      </c>
      <c r="K596" t="s">
        <v>17</v>
      </c>
      <c r="N596" t="s">
        <v>1167</v>
      </c>
    </row>
    <row r="597" spans="1:14" x14ac:dyDescent="0.3">
      <c r="A597">
        <v>2</v>
      </c>
      <c r="B597">
        <v>0</v>
      </c>
      <c r="C597" t="s">
        <v>1168</v>
      </c>
      <c r="D597" t="s">
        <v>20</v>
      </c>
      <c r="F597">
        <v>0</v>
      </c>
      <c r="G597">
        <v>0</v>
      </c>
      <c r="H597" t="s">
        <v>1169</v>
      </c>
      <c r="I597">
        <v>12.875</v>
      </c>
      <c r="K597" t="s">
        <v>17</v>
      </c>
    </row>
    <row r="598" spans="1:14" x14ac:dyDescent="0.3">
      <c r="A598">
        <v>2</v>
      </c>
      <c r="B598">
        <v>1</v>
      </c>
      <c r="C598" t="s">
        <v>1170</v>
      </c>
      <c r="D598" t="s">
        <v>20</v>
      </c>
      <c r="E598">
        <v>31</v>
      </c>
      <c r="F598">
        <v>0</v>
      </c>
      <c r="G598">
        <v>0</v>
      </c>
      <c r="H598">
        <v>244270</v>
      </c>
      <c r="I598">
        <v>13</v>
      </c>
      <c r="K598" t="s">
        <v>17</v>
      </c>
      <c r="L598">
        <v>9</v>
      </c>
      <c r="N598" t="s">
        <v>175</v>
      </c>
    </row>
    <row r="599" spans="1:14" x14ac:dyDescent="0.3">
      <c r="A599">
        <v>2</v>
      </c>
      <c r="B599">
        <v>1</v>
      </c>
      <c r="C599" t="s">
        <v>1171</v>
      </c>
      <c r="D599" t="s">
        <v>20</v>
      </c>
      <c r="F599">
        <v>0</v>
      </c>
      <c r="G599">
        <v>0</v>
      </c>
      <c r="H599">
        <v>244373</v>
      </c>
      <c r="I599">
        <v>13</v>
      </c>
      <c r="K599" t="s">
        <v>17</v>
      </c>
      <c r="L599">
        <v>14</v>
      </c>
      <c r="N599" t="s">
        <v>1172</v>
      </c>
    </row>
    <row r="600" spans="1:14" x14ac:dyDescent="0.3">
      <c r="A600">
        <v>2</v>
      </c>
      <c r="B600">
        <v>1</v>
      </c>
      <c r="C600" t="s">
        <v>1173</v>
      </c>
      <c r="D600" t="s">
        <v>15</v>
      </c>
      <c r="E600">
        <v>26</v>
      </c>
      <c r="F600">
        <v>0</v>
      </c>
      <c r="G600">
        <v>0</v>
      </c>
      <c r="H600">
        <v>220844</v>
      </c>
      <c r="I600">
        <v>13.5</v>
      </c>
      <c r="K600" t="s">
        <v>17</v>
      </c>
      <c r="L600">
        <v>9</v>
      </c>
      <c r="N600" t="s">
        <v>1174</v>
      </c>
    </row>
    <row r="601" spans="1:14" x14ac:dyDescent="0.3">
      <c r="A601">
        <v>2</v>
      </c>
      <c r="B601">
        <v>0</v>
      </c>
      <c r="C601" t="s">
        <v>1175</v>
      </c>
      <c r="D601" t="s">
        <v>15</v>
      </c>
      <c r="E601">
        <v>24</v>
      </c>
      <c r="F601">
        <v>0</v>
      </c>
      <c r="G601">
        <v>0</v>
      </c>
      <c r="H601">
        <v>248747</v>
      </c>
      <c r="I601">
        <v>13</v>
      </c>
      <c r="K601" t="s">
        <v>17</v>
      </c>
      <c r="N601" t="s">
        <v>984</v>
      </c>
    </row>
    <row r="602" spans="1:14" x14ac:dyDescent="0.3">
      <c r="A602">
        <v>3</v>
      </c>
      <c r="B602">
        <v>0</v>
      </c>
      <c r="C602" t="s">
        <v>1176</v>
      </c>
      <c r="D602" t="s">
        <v>20</v>
      </c>
      <c r="E602">
        <v>42</v>
      </c>
      <c r="F602">
        <v>0</v>
      </c>
      <c r="G602">
        <v>0</v>
      </c>
      <c r="H602" t="s">
        <v>1177</v>
      </c>
      <c r="I602">
        <v>7.55</v>
      </c>
      <c r="K602" t="s">
        <v>17</v>
      </c>
    </row>
    <row r="603" spans="1:14" x14ac:dyDescent="0.3">
      <c r="A603">
        <v>3</v>
      </c>
      <c r="B603">
        <v>0</v>
      </c>
      <c r="C603" t="s">
        <v>1178</v>
      </c>
      <c r="D603" t="s">
        <v>20</v>
      </c>
      <c r="E603">
        <v>13</v>
      </c>
      <c r="F603">
        <v>0</v>
      </c>
      <c r="G603">
        <v>2</v>
      </c>
      <c r="H603" t="s">
        <v>1179</v>
      </c>
      <c r="I603">
        <v>20.25</v>
      </c>
      <c r="K603" t="s">
        <v>17</v>
      </c>
      <c r="N603" t="s">
        <v>1180</v>
      </c>
    </row>
    <row r="604" spans="1:14" x14ac:dyDescent="0.3">
      <c r="A604">
        <v>3</v>
      </c>
      <c r="B604">
        <v>0</v>
      </c>
      <c r="C604" t="s">
        <v>1181</v>
      </c>
      <c r="D604" t="s">
        <v>20</v>
      </c>
      <c r="E604">
        <v>16</v>
      </c>
      <c r="F604">
        <v>1</v>
      </c>
      <c r="G604">
        <v>1</v>
      </c>
      <c r="H604" t="s">
        <v>1179</v>
      </c>
      <c r="I604">
        <v>20.25</v>
      </c>
      <c r="K604" t="s">
        <v>17</v>
      </c>
      <c r="M604">
        <v>190</v>
      </c>
      <c r="N604" t="s">
        <v>1180</v>
      </c>
    </row>
    <row r="605" spans="1:14" x14ac:dyDescent="0.3">
      <c r="A605">
        <v>3</v>
      </c>
      <c r="B605">
        <v>1</v>
      </c>
      <c r="C605" t="s">
        <v>1182</v>
      </c>
      <c r="D605" t="s">
        <v>15</v>
      </c>
      <c r="E605">
        <v>35</v>
      </c>
      <c r="F605">
        <v>1</v>
      </c>
      <c r="G605">
        <v>1</v>
      </c>
      <c r="H605" t="s">
        <v>1179</v>
      </c>
      <c r="I605">
        <v>20.25</v>
      </c>
      <c r="K605" t="s">
        <v>17</v>
      </c>
      <c r="L605" t="s">
        <v>67</v>
      </c>
      <c r="N605" t="s">
        <v>1180</v>
      </c>
    </row>
    <row r="606" spans="1:14" x14ac:dyDescent="0.3">
      <c r="A606">
        <v>3</v>
      </c>
      <c r="B606">
        <v>1</v>
      </c>
      <c r="C606" t="s">
        <v>1183</v>
      </c>
      <c r="D606" t="s">
        <v>15</v>
      </c>
      <c r="E606">
        <v>16</v>
      </c>
      <c r="F606">
        <v>0</v>
      </c>
      <c r="G606">
        <v>0</v>
      </c>
      <c r="H606">
        <v>348125</v>
      </c>
      <c r="I606">
        <v>7.65</v>
      </c>
      <c r="K606" t="s">
        <v>17</v>
      </c>
      <c r="L606">
        <v>16</v>
      </c>
      <c r="N606" t="s">
        <v>1184</v>
      </c>
    </row>
    <row r="607" spans="1:14" x14ac:dyDescent="0.3">
      <c r="A607">
        <v>3</v>
      </c>
      <c r="B607">
        <v>1</v>
      </c>
      <c r="C607" t="s">
        <v>1185</v>
      </c>
      <c r="D607" t="s">
        <v>20</v>
      </c>
      <c r="E607">
        <v>25</v>
      </c>
      <c r="F607">
        <v>0</v>
      </c>
      <c r="G607">
        <v>0</v>
      </c>
      <c r="H607">
        <v>348122</v>
      </c>
      <c r="I607">
        <v>7.65</v>
      </c>
      <c r="J607" t="s">
        <v>1186</v>
      </c>
      <c r="K607" t="s">
        <v>17</v>
      </c>
      <c r="L607" t="s">
        <v>67</v>
      </c>
      <c r="N607" t="s">
        <v>1187</v>
      </c>
    </row>
    <row r="608" spans="1:14" x14ac:dyDescent="0.3">
      <c r="A608">
        <v>3</v>
      </c>
      <c r="B608">
        <v>1</v>
      </c>
      <c r="C608" t="s">
        <v>1188</v>
      </c>
      <c r="D608" t="s">
        <v>20</v>
      </c>
      <c r="E608">
        <v>20</v>
      </c>
      <c r="F608">
        <v>0</v>
      </c>
      <c r="G608">
        <v>0</v>
      </c>
      <c r="H608" t="s">
        <v>1189</v>
      </c>
      <c r="I608">
        <v>7.9249999999999998</v>
      </c>
      <c r="K608" t="s">
        <v>17</v>
      </c>
      <c r="L608">
        <v>15</v>
      </c>
      <c r="N608" t="s">
        <v>1190</v>
      </c>
    </row>
    <row r="609" spans="1:14" x14ac:dyDescent="0.3">
      <c r="A609">
        <v>3</v>
      </c>
      <c r="B609">
        <v>1</v>
      </c>
      <c r="C609" t="s">
        <v>1191</v>
      </c>
      <c r="D609" t="s">
        <v>15</v>
      </c>
      <c r="E609">
        <v>18</v>
      </c>
      <c r="F609">
        <v>0</v>
      </c>
      <c r="G609">
        <v>0</v>
      </c>
      <c r="H609">
        <v>2657</v>
      </c>
      <c r="I609">
        <v>7.2291999999999996</v>
      </c>
      <c r="K609" t="s">
        <v>41</v>
      </c>
      <c r="L609" t="s">
        <v>41</v>
      </c>
      <c r="N609" t="s">
        <v>1192</v>
      </c>
    </row>
    <row r="610" spans="1:14" x14ac:dyDescent="0.3">
      <c r="A610">
        <v>3</v>
      </c>
      <c r="B610">
        <v>0</v>
      </c>
      <c r="C610" t="s">
        <v>1193</v>
      </c>
      <c r="D610" t="s">
        <v>20</v>
      </c>
      <c r="E610">
        <v>30</v>
      </c>
      <c r="F610">
        <v>0</v>
      </c>
      <c r="G610">
        <v>0</v>
      </c>
      <c r="H610" t="s">
        <v>1194</v>
      </c>
      <c r="I610">
        <v>7.25</v>
      </c>
      <c r="K610" t="s">
        <v>17</v>
      </c>
      <c r="M610">
        <v>72</v>
      </c>
      <c r="N610" t="s">
        <v>1195</v>
      </c>
    </row>
    <row r="611" spans="1:14" x14ac:dyDescent="0.3">
      <c r="A611">
        <v>3</v>
      </c>
      <c r="B611">
        <v>0</v>
      </c>
      <c r="C611" t="s">
        <v>1196</v>
      </c>
      <c r="D611" t="s">
        <v>20</v>
      </c>
      <c r="E611">
        <v>26</v>
      </c>
      <c r="F611">
        <v>0</v>
      </c>
      <c r="G611">
        <v>0</v>
      </c>
      <c r="H611">
        <v>341826</v>
      </c>
      <c r="I611">
        <v>8.0500000000000007</v>
      </c>
      <c r="K611" t="s">
        <v>17</v>
      </c>
      <c r="M611">
        <v>103</v>
      </c>
      <c r="N611" t="s">
        <v>1197</v>
      </c>
    </row>
    <row r="612" spans="1:14" x14ac:dyDescent="0.3">
      <c r="A612">
        <v>3</v>
      </c>
      <c r="B612">
        <v>0</v>
      </c>
      <c r="C612" t="s">
        <v>1198</v>
      </c>
      <c r="D612" t="s">
        <v>15</v>
      </c>
      <c r="E612">
        <v>40</v>
      </c>
      <c r="F612">
        <v>1</v>
      </c>
      <c r="G612">
        <v>0</v>
      </c>
      <c r="H612">
        <v>7546</v>
      </c>
      <c r="I612">
        <v>9.4749999999999996</v>
      </c>
      <c r="K612" t="s">
        <v>17</v>
      </c>
      <c r="N612" t="s">
        <v>1199</v>
      </c>
    </row>
    <row r="613" spans="1:14" x14ac:dyDescent="0.3">
      <c r="A613">
        <v>3</v>
      </c>
      <c r="B613">
        <v>1</v>
      </c>
      <c r="C613" t="s">
        <v>1200</v>
      </c>
      <c r="D613" t="s">
        <v>20</v>
      </c>
      <c r="E613">
        <v>0.83</v>
      </c>
      <c r="F613">
        <v>0</v>
      </c>
      <c r="G613">
        <v>1</v>
      </c>
      <c r="H613">
        <v>392091</v>
      </c>
      <c r="I613">
        <v>9.35</v>
      </c>
      <c r="K613" t="s">
        <v>17</v>
      </c>
      <c r="L613">
        <v>11</v>
      </c>
      <c r="N613" t="s">
        <v>1201</v>
      </c>
    </row>
    <row r="614" spans="1:14" x14ac:dyDescent="0.3">
      <c r="A614">
        <v>3</v>
      </c>
      <c r="B614">
        <v>1</v>
      </c>
      <c r="C614" t="s">
        <v>1202</v>
      </c>
      <c r="D614" t="s">
        <v>15</v>
      </c>
      <c r="E614">
        <v>18</v>
      </c>
      <c r="F614">
        <v>0</v>
      </c>
      <c r="G614">
        <v>1</v>
      </c>
      <c r="H614">
        <v>392091</v>
      </c>
      <c r="I614">
        <v>9.35</v>
      </c>
      <c r="K614" t="s">
        <v>17</v>
      </c>
      <c r="L614">
        <v>13</v>
      </c>
      <c r="N614" t="s">
        <v>1201</v>
      </c>
    </row>
    <row r="615" spans="1:14" x14ac:dyDescent="0.3">
      <c r="A615">
        <v>3</v>
      </c>
      <c r="B615">
        <v>1</v>
      </c>
      <c r="C615" t="s">
        <v>1203</v>
      </c>
      <c r="D615" t="s">
        <v>20</v>
      </c>
      <c r="E615">
        <v>26</v>
      </c>
      <c r="F615">
        <v>0</v>
      </c>
      <c r="G615">
        <v>0</v>
      </c>
      <c r="H615">
        <v>2699</v>
      </c>
      <c r="I615">
        <v>18.787500000000001</v>
      </c>
      <c r="K615" t="s">
        <v>41</v>
      </c>
      <c r="L615">
        <v>15</v>
      </c>
      <c r="N615" t="s">
        <v>1204</v>
      </c>
    </row>
    <row r="616" spans="1:14" x14ac:dyDescent="0.3">
      <c r="A616">
        <v>3</v>
      </c>
      <c r="B616">
        <v>0</v>
      </c>
      <c r="C616" t="s">
        <v>1205</v>
      </c>
      <c r="D616" t="s">
        <v>20</v>
      </c>
      <c r="E616">
        <v>26</v>
      </c>
      <c r="F616">
        <v>0</v>
      </c>
      <c r="G616">
        <v>0</v>
      </c>
      <c r="H616">
        <v>3474</v>
      </c>
      <c r="I616">
        <v>7.8875000000000002</v>
      </c>
      <c r="K616" t="s">
        <v>17</v>
      </c>
      <c r="N616" t="s">
        <v>1206</v>
      </c>
    </row>
    <row r="617" spans="1:14" x14ac:dyDescent="0.3">
      <c r="A617">
        <v>3</v>
      </c>
      <c r="B617">
        <v>0</v>
      </c>
      <c r="C617" t="s">
        <v>1207</v>
      </c>
      <c r="D617" t="s">
        <v>20</v>
      </c>
      <c r="E617">
        <v>20</v>
      </c>
      <c r="F617">
        <v>0</v>
      </c>
      <c r="G617">
        <v>0</v>
      </c>
      <c r="H617" t="s">
        <v>1208</v>
      </c>
      <c r="I617">
        <v>7.9249999999999998</v>
      </c>
      <c r="K617" t="s">
        <v>17</v>
      </c>
      <c r="N617" t="s">
        <v>1209</v>
      </c>
    </row>
    <row r="618" spans="1:14" x14ac:dyDescent="0.3">
      <c r="A618">
        <v>3</v>
      </c>
      <c r="B618">
        <v>0</v>
      </c>
      <c r="C618" t="s">
        <v>1210</v>
      </c>
      <c r="D618" t="s">
        <v>20</v>
      </c>
      <c r="E618">
        <v>24</v>
      </c>
      <c r="F618">
        <v>0</v>
      </c>
      <c r="G618">
        <v>0</v>
      </c>
      <c r="H618" t="s">
        <v>1211</v>
      </c>
      <c r="I618">
        <v>7.05</v>
      </c>
      <c r="K618" t="s">
        <v>17</v>
      </c>
    </row>
    <row r="619" spans="1:14" x14ac:dyDescent="0.3">
      <c r="A619">
        <v>3</v>
      </c>
      <c r="B619">
        <v>0</v>
      </c>
      <c r="C619" t="s">
        <v>1212</v>
      </c>
      <c r="D619" t="s">
        <v>20</v>
      </c>
      <c r="E619">
        <v>25</v>
      </c>
      <c r="F619">
        <v>0</v>
      </c>
      <c r="G619">
        <v>0</v>
      </c>
      <c r="H619" t="s">
        <v>1213</v>
      </c>
      <c r="I619">
        <v>7.05</v>
      </c>
      <c r="K619" t="s">
        <v>17</v>
      </c>
      <c r="M619">
        <v>79</v>
      </c>
      <c r="N619" t="s">
        <v>1214</v>
      </c>
    </row>
    <row r="620" spans="1:14" x14ac:dyDescent="0.3">
      <c r="A620">
        <v>3</v>
      </c>
      <c r="B620">
        <v>0</v>
      </c>
      <c r="C620" t="s">
        <v>1215</v>
      </c>
      <c r="D620" t="s">
        <v>20</v>
      </c>
      <c r="E620">
        <v>35</v>
      </c>
      <c r="F620">
        <v>0</v>
      </c>
      <c r="G620">
        <v>0</v>
      </c>
      <c r="H620">
        <v>373450</v>
      </c>
      <c r="I620">
        <v>8.0500000000000007</v>
      </c>
      <c r="K620" t="s">
        <v>17</v>
      </c>
      <c r="N620" t="s">
        <v>1216</v>
      </c>
    </row>
    <row r="621" spans="1:14" x14ac:dyDescent="0.3">
      <c r="A621">
        <v>3</v>
      </c>
      <c r="B621">
        <v>0</v>
      </c>
      <c r="C621" t="s">
        <v>1217</v>
      </c>
      <c r="D621" t="s">
        <v>20</v>
      </c>
      <c r="E621">
        <v>18</v>
      </c>
      <c r="F621">
        <v>0</v>
      </c>
      <c r="G621">
        <v>0</v>
      </c>
      <c r="H621">
        <v>2223</v>
      </c>
      <c r="I621">
        <v>8.3000000000000007</v>
      </c>
      <c r="K621" t="s">
        <v>17</v>
      </c>
      <c r="M621">
        <v>259</v>
      </c>
      <c r="N621" t="s">
        <v>1218</v>
      </c>
    </row>
    <row r="622" spans="1:14" x14ac:dyDescent="0.3">
      <c r="A622">
        <v>3</v>
      </c>
      <c r="B622">
        <v>0</v>
      </c>
      <c r="C622" t="s">
        <v>1219</v>
      </c>
      <c r="D622" t="s">
        <v>20</v>
      </c>
      <c r="E622">
        <v>32</v>
      </c>
      <c r="F622">
        <v>0</v>
      </c>
      <c r="G622">
        <v>0</v>
      </c>
      <c r="H622" t="s">
        <v>1220</v>
      </c>
      <c r="I622">
        <v>22.524999999999999</v>
      </c>
      <c r="K622" t="s">
        <v>17</v>
      </c>
      <c r="M622">
        <v>260</v>
      </c>
      <c r="N622" t="s">
        <v>1221</v>
      </c>
    </row>
    <row r="623" spans="1:14" x14ac:dyDescent="0.3">
      <c r="A623">
        <v>3</v>
      </c>
      <c r="B623">
        <v>1</v>
      </c>
      <c r="C623" t="s">
        <v>1222</v>
      </c>
      <c r="D623" t="s">
        <v>15</v>
      </c>
      <c r="E623">
        <v>19</v>
      </c>
      <c r="F623">
        <v>1</v>
      </c>
      <c r="G623">
        <v>0</v>
      </c>
      <c r="H623">
        <v>350046</v>
      </c>
      <c r="I623">
        <v>7.8541999999999996</v>
      </c>
      <c r="K623" t="s">
        <v>17</v>
      </c>
      <c r="L623">
        <v>16</v>
      </c>
    </row>
    <row r="624" spans="1:14" x14ac:dyDescent="0.3">
      <c r="A624">
        <v>3</v>
      </c>
      <c r="B624">
        <v>0</v>
      </c>
      <c r="C624" t="s">
        <v>1223</v>
      </c>
      <c r="D624" t="s">
        <v>20</v>
      </c>
      <c r="E624">
        <v>4</v>
      </c>
      <c r="F624">
        <v>4</v>
      </c>
      <c r="G624">
        <v>2</v>
      </c>
      <c r="H624">
        <v>347082</v>
      </c>
      <c r="I624">
        <v>31.274999999999999</v>
      </c>
      <c r="K624" t="s">
        <v>17</v>
      </c>
      <c r="N624" t="s">
        <v>1224</v>
      </c>
    </row>
    <row r="625" spans="1:14" x14ac:dyDescent="0.3">
      <c r="A625">
        <v>3</v>
      </c>
      <c r="B625">
        <v>0</v>
      </c>
      <c r="C625" t="s">
        <v>1225</v>
      </c>
      <c r="D625" t="s">
        <v>15</v>
      </c>
      <c r="E625">
        <v>6</v>
      </c>
      <c r="F625">
        <v>4</v>
      </c>
      <c r="G625">
        <v>2</v>
      </c>
      <c r="H625">
        <v>347082</v>
      </c>
      <c r="I625">
        <v>31.274999999999999</v>
      </c>
      <c r="K625" t="s">
        <v>17</v>
      </c>
      <c r="N625" t="s">
        <v>1224</v>
      </c>
    </row>
    <row r="626" spans="1:14" x14ac:dyDescent="0.3">
      <c r="A626">
        <v>3</v>
      </c>
      <c r="B626">
        <v>0</v>
      </c>
      <c r="C626" t="s">
        <v>1226</v>
      </c>
      <c r="D626" t="s">
        <v>15</v>
      </c>
      <c r="E626">
        <v>2</v>
      </c>
      <c r="F626">
        <v>4</v>
      </c>
      <c r="G626">
        <v>2</v>
      </c>
      <c r="H626">
        <v>347082</v>
      </c>
      <c r="I626">
        <v>31.274999999999999</v>
      </c>
      <c r="K626" t="s">
        <v>17</v>
      </c>
      <c r="N626" t="s">
        <v>1224</v>
      </c>
    </row>
    <row r="627" spans="1:14" x14ac:dyDescent="0.3">
      <c r="A627">
        <v>3</v>
      </c>
      <c r="B627">
        <v>1</v>
      </c>
      <c r="C627" t="s">
        <v>1227</v>
      </c>
      <c r="D627" t="s">
        <v>15</v>
      </c>
      <c r="E627">
        <v>17</v>
      </c>
      <c r="F627">
        <v>4</v>
      </c>
      <c r="G627">
        <v>2</v>
      </c>
      <c r="H627">
        <v>3101281</v>
      </c>
      <c r="I627">
        <v>7.9249999999999998</v>
      </c>
      <c r="K627" t="s">
        <v>17</v>
      </c>
      <c r="L627" t="s">
        <v>37</v>
      </c>
      <c r="N627" t="s">
        <v>1228</v>
      </c>
    </row>
    <row r="628" spans="1:14" x14ac:dyDescent="0.3">
      <c r="A628">
        <v>3</v>
      </c>
      <c r="B628">
        <v>0</v>
      </c>
      <c r="C628" t="s">
        <v>1229</v>
      </c>
      <c r="D628" t="s">
        <v>15</v>
      </c>
      <c r="E628">
        <v>38</v>
      </c>
      <c r="F628">
        <v>4</v>
      </c>
      <c r="G628">
        <v>2</v>
      </c>
      <c r="H628">
        <v>347091</v>
      </c>
      <c r="I628">
        <v>7.7750000000000004</v>
      </c>
      <c r="K628" t="s">
        <v>17</v>
      </c>
      <c r="N628" t="s">
        <v>1230</v>
      </c>
    </row>
    <row r="629" spans="1:14" x14ac:dyDescent="0.3">
      <c r="A629">
        <v>3</v>
      </c>
      <c r="B629">
        <v>0</v>
      </c>
      <c r="C629" t="s">
        <v>1231</v>
      </c>
      <c r="D629" t="s">
        <v>15</v>
      </c>
      <c r="E629">
        <v>9</v>
      </c>
      <c r="F629">
        <v>4</v>
      </c>
      <c r="G629">
        <v>2</v>
      </c>
      <c r="H629">
        <v>347082</v>
      </c>
      <c r="I629">
        <v>31.274999999999999</v>
      </c>
      <c r="K629" t="s">
        <v>17</v>
      </c>
      <c r="N629" t="s">
        <v>1224</v>
      </c>
    </row>
    <row r="630" spans="1:14" x14ac:dyDescent="0.3">
      <c r="A630">
        <v>3</v>
      </c>
      <c r="B630">
        <v>0</v>
      </c>
      <c r="C630" t="s">
        <v>1232</v>
      </c>
      <c r="D630" t="s">
        <v>15</v>
      </c>
      <c r="E630">
        <v>11</v>
      </c>
      <c r="F630">
        <v>4</v>
      </c>
      <c r="G630">
        <v>2</v>
      </c>
      <c r="H630">
        <v>347082</v>
      </c>
      <c r="I630">
        <v>31.274999999999999</v>
      </c>
      <c r="K630" t="s">
        <v>17</v>
      </c>
      <c r="N630" t="s">
        <v>1224</v>
      </c>
    </row>
    <row r="631" spans="1:14" x14ac:dyDescent="0.3">
      <c r="A631">
        <v>3</v>
      </c>
      <c r="B631">
        <v>0</v>
      </c>
      <c r="C631" t="s">
        <v>1233</v>
      </c>
      <c r="D631" t="s">
        <v>20</v>
      </c>
      <c r="E631">
        <v>39</v>
      </c>
      <c r="F631">
        <v>1</v>
      </c>
      <c r="G631">
        <v>5</v>
      </c>
      <c r="H631">
        <v>347082</v>
      </c>
      <c r="I631">
        <v>31.274999999999999</v>
      </c>
      <c r="K631" t="s">
        <v>17</v>
      </c>
      <c r="N631" t="s">
        <v>1224</v>
      </c>
    </row>
    <row r="632" spans="1:14" x14ac:dyDescent="0.3">
      <c r="A632">
        <v>3</v>
      </c>
      <c r="B632">
        <v>1</v>
      </c>
      <c r="C632" t="s">
        <v>1234</v>
      </c>
      <c r="D632" t="s">
        <v>20</v>
      </c>
      <c r="E632">
        <v>27</v>
      </c>
      <c r="F632">
        <v>0</v>
      </c>
      <c r="G632">
        <v>0</v>
      </c>
      <c r="H632">
        <v>350043</v>
      </c>
      <c r="I632">
        <v>7.7957999999999998</v>
      </c>
      <c r="K632" t="s">
        <v>17</v>
      </c>
      <c r="L632" t="s">
        <v>67</v>
      </c>
    </row>
    <row r="633" spans="1:14" x14ac:dyDescent="0.3">
      <c r="A633">
        <v>3</v>
      </c>
      <c r="B633">
        <v>0</v>
      </c>
      <c r="C633" t="s">
        <v>1235</v>
      </c>
      <c r="D633" t="s">
        <v>20</v>
      </c>
      <c r="E633">
        <v>26</v>
      </c>
      <c r="F633">
        <v>0</v>
      </c>
      <c r="G633">
        <v>0</v>
      </c>
      <c r="H633">
        <v>347075</v>
      </c>
      <c r="I633">
        <v>7.7750000000000004</v>
      </c>
      <c r="K633" t="s">
        <v>17</v>
      </c>
      <c r="N633" t="s">
        <v>1236</v>
      </c>
    </row>
    <row r="634" spans="1:14" x14ac:dyDescent="0.3">
      <c r="A634">
        <v>3</v>
      </c>
      <c r="B634">
        <v>0</v>
      </c>
      <c r="C634" t="s">
        <v>1237</v>
      </c>
      <c r="D634" t="s">
        <v>15</v>
      </c>
      <c r="E634">
        <v>39</v>
      </c>
      <c r="F634">
        <v>1</v>
      </c>
      <c r="G634">
        <v>5</v>
      </c>
      <c r="H634">
        <v>347082</v>
      </c>
      <c r="I634">
        <v>31.274999999999999</v>
      </c>
      <c r="K634" t="s">
        <v>17</v>
      </c>
      <c r="N634" t="s">
        <v>1224</v>
      </c>
    </row>
    <row r="635" spans="1:14" x14ac:dyDescent="0.3">
      <c r="A635">
        <v>3</v>
      </c>
      <c r="B635">
        <v>0</v>
      </c>
      <c r="C635" t="s">
        <v>1238</v>
      </c>
      <c r="D635" t="s">
        <v>20</v>
      </c>
      <c r="E635">
        <v>20</v>
      </c>
      <c r="F635">
        <v>0</v>
      </c>
      <c r="G635">
        <v>0</v>
      </c>
      <c r="H635">
        <v>347466</v>
      </c>
      <c r="I635">
        <v>7.8541999999999996</v>
      </c>
      <c r="K635" t="s">
        <v>17</v>
      </c>
      <c r="N635" t="s">
        <v>1239</v>
      </c>
    </row>
    <row r="636" spans="1:14" x14ac:dyDescent="0.3">
      <c r="A636">
        <v>3</v>
      </c>
      <c r="B636">
        <v>0</v>
      </c>
      <c r="C636" t="s">
        <v>1240</v>
      </c>
      <c r="D636" t="s">
        <v>20</v>
      </c>
      <c r="E636">
        <v>26</v>
      </c>
      <c r="F636">
        <v>0</v>
      </c>
      <c r="G636">
        <v>0</v>
      </c>
      <c r="H636">
        <v>349202</v>
      </c>
      <c r="I636">
        <v>7.8958000000000004</v>
      </c>
      <c r="K636" t="s">
        <v>17</v>
      </c>
      <c r="N636" t="s">
        <v>1241</v>
      </c>
    </row>
    <row r="637" spans="1:14" x14ac:dyDescent="0.3">
      <c r="A637">
        <v>3</v>
      </c>
      <c r="B637">
        <v>0</v>
      </c>
      <c r="C637" t="s">
        <v>1242</v>
      </c>
      <c r="D637" t="s">
        <v>20</v>
      </c>
      <c r="E637">
        <v>25</v>
      </c>
      <c r="F637">
        <v>1</v>
      </c>
      <c r="G637">
        <v>0</v>
      </c>
      <c r="H637">
        <v>349237</v>
      </c>
      <c r="I637">
        <v>17.8</v>
      </c>
      <c r="K637" t="s">
        <v>17</v>
      </c>
      <c r="N637" t="s">
        <v>1243</v>
      </c>
    </row>
    <row r="638" spans="1:14" x14ac:dyDescent="0.3">
      <c r="A638">
        <v>3</v>
      </c>
      <c r="B638">
        <v>0</v>
      </c>
      <c r="C638" t="s">
        <v>1244</v>
      </c>
      <c r="D638" t="s">
        <v>15</v>
      </c>
      <c r="E638">
        <v>18</v>
      </c>
      <c r="F638">
        <v>1</v>
      </c>
      <c r="G638">
        <v>0</v>
      </c>
      <c r="H638">
        <v>349237</v>
      </c>
      <c r="I638">
        <v>17.8</v>
      </c>
      <c r="K638" t="s">
        <v>17</v>
      </c>
      <c r="N638" t="s">
        <v>1243</v>
      </c>
    </row>
    <row r="639" spans="1:14" x14ac:dyDescent="0.3">
      <c r="A639">
        <v>3</v>
      </c>
      <c r="B639">
        <v>0</v>
      </c>
      <c r="C639" t="s">
        <v>1245</v>
      </c>
      <c r="D639" t="s">
        <v>20</v>
      </c>
      <c r="E639">
        <v>24</v>
      </c>
      <c r="F639">
        <v>0</v>
      </c>
      <c r="G639">
        <v>0</v>
      </c>
      <c r="H639">
        <v>349911</v>
      </c>
      <c r="I639">
        <v>7.7750000000000004</v>
      </c>
      <c r="K639" t="s">
        <v>17</v>
      </c>
      <c r="N639" t="s">
        <v>1246</v>
      </c>
    </row>
    <row r="640" spans="1:14" x14ac:dyDescent="0.3">
      <c r="A640">
        <v>3</v>
      </c>
      <c r="B640">
        <v>0</v>
      </c>
      <c r="C640" t="s">
        <v>1247</v>
      </c>
      <c r="D640" t="s">
        <v>20</v>
      </c>
      <c r="E640">
        <v>35</v>
      </c>
      <c r="F640">
        <v>0</v>
      </c>
      <c r="G640">
        <v>0</v>
      </c>
      <c r="H640" t="s">
        <v>1248</v>
      </c>
      <c r="I640">
        <v>7.05</v>
      </c>
      <c r="K640" t="s">
        <v>17</v>
      </c>
    </row>
    <row r="641" spans="1:14" x14ac:dyDescent="0.3">
      <c r="A641">
        <v>3</v>
      </c>
      <c r="B641">
        <v>0</v>
      </c>
      <c r="C641" t="s">
        <v>1249</v>
      </c>
      <c r="D641" t="s">
        <v>20</v>
      </c>
      <c r="E641">
        <v>5</v>
      </c>
      <c r="F641">
        <v>4</v>
      </c>
      <c r="G641">
        <v>2</v>
      </c>
      <c r="H641">
        <v>347077</v>
      </c>
      <c r="I641">
        <v>31.387499999999999</v>
      </c>
      <c r="K641" t="s">
        <v>17</v>
      </c>
      <c r="N641" t="s">
        <v>1250</v>
      </c>
    </row>
    <row r="642" spans="1:14" x14ac:dyDescent="0.3">
      <c r="A642">
        <v>3</v>
      </c>
      <c r="B642">
        <v>0</v>
      </c>
      <c r="C642" t="s">
        <v>1251</v>
      </c>
      <c r="D642" t="s">
        <v>20</v>
      </c>
      <c r="E642">
        <v>9</v>
      </c>
      <c r="F642">
        <v>4</v>
      </c>
      <c r="G642">
        <v>2</v>
      </c>
      <c r="H642">
        <v>347077</v>
      </c>
      <c r="I642">
        <v>31.387499999999999</v>
      </c>
      <c r="K642" t="s">
        <v>17</v>
      </c>
      <c r="N642" t="s">
        <v>1252</v>
      </c>
    </row>
    <row r="643" spans="1:14" x14ac:dyDescent="0.3">
      <c r="A643">
        <v>3</v>
      </c>
      <c r="B643">
        <v>1</v>
      </c>
      <c r="C643" t="s">
        <v>1253</v>
      </c>
      <c r="D643" t="s">
        <v>20</v>
      </c>
      <c r="E643">
        <v>3</v>
      </c>
      <c r="F643">
        <v>4</v>
      </c>
      <c r="G643">
        <v>2</v>
      </c>
      <c r="H643">
        <v>347077</v>
      </c>
      <c r="I643">
        <v>31.387499999999999</v>
      </c>
      <c r="K643" t="s">
        <v>17</v>
      </c>
      <c r="L643">
        <v>15</v>
      </c>
      <c r="N643" t="s">
        <v>1252</v>
      </c>
    </row>
    <row r="644" spans="1:14" x14ac:dyDescent="0.3">
      <c r="A644">
        <v>3</v>
      </c>
      <c r="B644">
        <v>0</v>
      </c>
      <c r="C644" t="s">
        <v>1254</v>
      </c>
      <c r="D644" t="s">
        <v>20</v>
      </c>
      <c r="E644">
        <v>13</v>
      </c>
      <c r="F644">
        <v>4</v>
      </c>
      <c r="G644">
        <v>2</v>
      </c>
      <c r="H644">
        <v>347077</v>
      </c>
      <c r="I644">
        <v>31.387499999999999</v>
      </c>
      <c r="K644" t="s">
        <v>17</v>
      </c>
      <c r="N644" t="s">
        <v>1252</v>
      </c>
    </row>
    <row r="645" spans="1:14" x14ac:dyDescent="0.3">
      <c r="A645">
        <v>3</v>
      </c>
      <c r="B645">
        <v>1</v>
      </c>
      <c r="C645" t="s">
        <v>1255</v>
      </c>
      <c r="D645" t="s">
        <v>15</v>
      </c>
      <c r="E645">
        <v>5</v>
      </c>
      <c r="F645">
        <v>4</v>
      </c>
      <c r="G645">
        <v>2</v>
      </c>
      <c r="H645">
        <v>347077</v>
      </c>
      <c r="I645">
        <v>31.387499999999999</v>
      </c>
      <c r="K645" t="s">
        <v>17</v>
      </c>
      <c r="L645">
        <v>15</v>
      </c>
      <c r="N645" t="s">
        <v>1252</v>
      </c>
    </row>
    <row r="646" spans="1:14" x14ac:dyDescent="0.3">
      <c r="A646">
        <v>3</v>
      </c>
      <c r="B646">
        <v>0</v>
      </c>
      <c r="C646" t="s">
        <v>1256</v>
      </c>
      <c r="D646" t="s">
        <v>20</v>
      </c>
      <c r="E646">
        <v>40</v>
      </c>
      <c r="F646">
        <v>1</v>
      </c>
      <c r="G646">
        <v>5</v>
      </c>
      <c r="H646">
        <v>347077</v>
      </c>
      <c r="I646">
        <v>31.387499999999999</v>
      </c>
      <c r="K646" t="s">
        <v>17</v>
      </c>
      <c r="M646">
        <v>142</v>
      </c>
      <c r="N646" t="s">
        <v>1250</v>
      </c>
    </row>
    <row r="647" spans="1:14" x14ac:dyDescent="0.3">
      <c r="A647">
        <v>3</v>
      </c>
      <c r="B647">
        <v>1</v>
      </c>
      <c r="C647" t="s">
        <v>1257</v>
      </c>
      <c r="D647" t="s">
        <v>20</v>
      </c>
      <c r="E647">
        <v>23</v>
      </c>
      <c r="F647">
        <v>0</v>
      </c>
      <c r="G647">
        <v>0</v>
      </c>
      <c r="H647">
        <v>350054</v>
      </c>
      <c r="I647">
        <v>7.7957999999999998</v>
      </c>
      <c r="K647" t="s">
        <v>17</v>
      </c>
      <c r="L647">
        <v>13</v>
      </c>
      <c r="N647" t="s">
        <v>1258</v>
      </c>
    </row>
    <row r="648" spans="1:14" x14ac:dyDescent="0.3">
      <c r="A648">
        <v>3</v>
      </c>
      <c r="B648">
        <v>1</v>
      </c>
      <c r="C648" t="s">
        <v>1259</v>
      </c>
      <c r="D648" t="s">
        <v>15</v>
      </c>
      <c r="E648">
        <v>38</v>
      </c>
      <c r="F648">
        <v>1</v>
      </c>
      <c r="G648">
        <v>5</v>
      </c>
      <c r="H648">
        <v>347077</v>
      </c>
      <c r="I648">
        <v>31.387499999999999</v>
      </c>
      <c r="K648" t="s">
        <v>17</v>
      </c>
      <c r="L648">
        <v>15</v>
      </c>
      <c r="N648" t="s">
        <v>1250</v>
      </c>
    </row>
    <row r="649" spans="1:14" x14ac:dyDescent="0.3">
      <c r="A649">
        <v>3</v>
      </c>
      <c r="B649">
        <v>1</v>
      </c>
      <c r="C649" t="s">
        <v>1260</v>
      </c>
      <c r="D649" t="s">
        <v>15</v>
      </c>
      <c r="E649">
        <v>45</v>
      </c>
      <c r="F649">
        <v>0</v>
      </c>
      <c r="G649">
        <v>0</v>
      </c>
      <c r="H649">
        <v>2696</v>
      </c>
      <c r="I649">
        <v>7.2249999999999996</v>
      </c>
      <c r="K649" t="s">
        <v>41</v>
      </c>
      <c r="L649" t="s">
        <v>41</v>
      </c>
      <c r="N649" t="s">
        <v>1261</v>
      </c>
    </row>
    <row r="650" spans="1:14" x14ac:dyDescent="0.3">
      <c r="A650">
        <v>3</v>
      </c>
      <c r="B650">
        <v>0</v>
      </c>
      <c r="C650" t="s">
        <v>1262</v>
      </c>
      <c r="D650" t="s">
        <v>20</v>
      </c>
      <c r="E650">
        <v>21</v>
      </c>
      <c r="F650">
        <v>0</v>
      </c>
      <c r="G650">
        <v>0</v>
      </c>
      <c r="H650">
        <v>2692</v>
      </c>
      <c r="I650">
        <v>7.2249999999999996</v>
      </c>
      <c r="K650" t="s">
        <v>41</v>
      </c>
      <c r="N650" t="s">
        <v>1261</v>
      </c>
    </row>
    <row r="651" spans="1:14" x14ac:dyDescent="0.3">
      <c r="A651">
        <v>3</v>
      </c>
      <c r="B651">
        <v>0</v>
      </c>
      <c r="C651" t="s">
        <v>1263</v>
      </c>
      <c r="D651" t="s">
        <v>20</v>
      </c>
      <c r="E651">
        <v>23</v>
      </c>
      <c r="F651">
        <v>0</v>
      </c>
      <c r="G651">
        <v>0</v>
      </c>
      <c r="H651" t="s">
        <v>1264</v>
      </c>
      <c r="I651">
        <v>7.05</v>
      </c>
      <c r="K651" t="s">
        <v>17</v>
      </c>
    </row>
    <row r="652" spans="1:14" x14ac:dyDescent="0.3">
      <c r="A652">
        <v>3</v>
      </c>
      <c r="B652">
        <v>0</v>
      </c>
      <c r="C652" t="s">
        <v>1265</v>
      </c>
      <c r="D652" t="s">
        <v>15</v>
      </c>
      <c r="E652">
        <v>17</v>
      </c>
      <c r="F652">
        <v>0</v>
      </c>
      <c r="G652">
        <v>0</v>
      </c>
      <c r="H652">
        <v>2627</v>
      </c>
      <c r="I652">
        <v>14.458299999999999</v>
      </c>
      <c r="K652" t="s">
        <v>41</v>
      </c>
    </row>
    <row r="653" spans="1:14" x14ac:dyDescent="0.3">
      <c r="A653">
        <v>3</v>
      </c>
      <c r="B653">
        <v>0</v>
      </c>
      <c r="C653" t="s">
        <v>1266</v>
      </c>
      <c r="D653" t="s">
        <v>20</v>
      </c>
      <c r="E653">
        <v>30</v>
      </c>
      <c r="F653">
        <v>0</v>
      </c>
      <c r="G653">
        <v>0</v>
      </c>
      <c r="H653">
        <v>2694</v>
      </c>
      <c r="I653">
        <v>7.2249999999999996</v>
      </c>
      <c r="K653" t="s">
        <v>41</v>
      </c>
      <c r="N653" t="s">
        <v>1261</v>
      </c>
    </row>
    <row r="654" spans="1:14" x14ac:dyDescent="0.3">
      <c r="A654">
        <v>3</v>
      </c>
      <c r="B654">
        <v>0</v>
      </c>
      <c r="C654" t="s">
        <v>1267</v>
      </c>
      <c r="D654" t="s">
        <v>20</v>
      </c>
      <c r="E654">
        <v>23</v>
      </c>
      <c r="F654">
        <v>0</v>
      </c>
      <c r="G654">
        <v>0</v>
      </c>
      <c r="H654">
        <v>347468</v>
      </c>
      <c r="I654">
        <v>7.8541999999999996</v>
      </c>
      <c r="K654" t="s">
        <v>17</v>
      </c>
      <c r="N654" t="s">
        <v>1268</v>
      </c>
    </row>
    <row r="655" spans="1:14" x14ac:dyDescent="0.3">
      <c r="A655">
        <v>3</v>
      </c>
      <c r="B655">
        <v>1</v>
      </c>
      <c r="C655" t="s">
        <v>1269</v>
      </c>
      <c r="D655" t="s">
        <v>15</v>
      </c>
      <c r="E655">
        <v>13</v>
      </c>
      <c r="F655">
        <v>0</v>
      </c>
      <c r="G655">
        <v>0</v>
      </c>
      <c r="H655">
        <v>2687</v>
      </c>
      <c r="I655">
        <v>7.2291999999999996</v>
      </c>
      <c r="K655" t="s">
        <v>41</v>
      </c>
      <c r="L655" t="s">
        <v>41</v>
      </c>
      <c r="N655" t="s">
        <v>1270</v>
      </c>
    </row>
    <row r="656" spans="1:14" x14ac:dyDescent="0.3">
      <c r="A656">
        <v>3</v>
      </c>
      <c r="B656">
        <v>0</v>
      </c>
      <c r="C656" t="s">
        <v>1271</v>
      </c>
      <c r="D656" t="s">
        <v>20</v>
      </c>
      <c r="E656">
        <v>20</v>
      </c>
      <c r="F656">
        <v>0</v>
      </c>
      <c r="G656">
        <v>0</v>
      </c>
      <c r="H656">
        <v>2679</v>
      </c>
      <c r="I656">
        <v>7.2249999999999996</v>
      </c>
      <c r="K656" t="s">
        <v>41</v>
      </c>
    </row>
    <row r="657" spans="1:14" x14ac:dyDescent="0.3">
      <c r="A657">
        <v>3</v>
      </c>
      <c r="B657">
        <v>0</v>
      </c>
      <c r="C657" t="s">
        <v>1272</v>
      </c>
      <c r="D657" t="s">
        <v>20</v>
      </c>
      <c r="E657">
        <v>32</v>
      </c>
      <c r="F657">
        <v>1</v>
      </c>
      <c r="G657">
        <v>0</v>
      </c>
      <c r="H657">
        <v>3101278</v>
      </c>
      <c r="I657">
        <v>15.85</v>
      </c>
      <c r="K657" t="s">
        <v>17</v>
      </c>
      <c r="L657" t="s">
        <v>37</v>
      </c>
      <c r="N657" t="s">
        <v>1273</v>
      </c>
    </row>
    <row r="658" spans="1:14" x14ac:dyDescent="0.3">
      <c r="A658">
        <v>3</v>
      </c>
      <c r="B658">
        <v>1</v>
      </c>
      <c r="C658" t="s">
        <v>1274</v>
      </c>
      <c r="D658" t="s">
        <v>15</v>
      </c>
      <c r="E658">
        <v>33</v>
      </c>
      <c r="F658">
        <v>3</v>
      </c>
      <c r="G658">
        <v>0</v>
      </c>
      <c r="H658">
        <v>3101278</v>
      </c>
      <c r="I658">
        <v>15.85</v>
      </c>
      <c r="K658" t="s">
        <v>17</v>
      </c>
      <c r="N658" t="s">
        <v>1273</v>
      </c>
    </row>
    <row r="659" spans="1:14" x14ac:dyDescent="0.3">
      <c r="A659">
        <v>3</v>
      </c>
      <c r="B659">
        <v>1</v>
      </c>
      <c r="C659" t="s">
        <v>1275</v>
      </c>
      <c r="D659" t="s">
        <v>15</v>
      </c>
      <c r="E659">
        <v>0.75</v>
      </c>
      <c r="F659">
        <v>2</v>
      </c>
      <c r="G659">
        <v>1</v>
      </c>
      <c r="H659">
        <v>2666</v>
      </c>
      <c r="I659">
        <v>19.258299999999998</v>
      </c>
      <c r="K659" t="s">
        <v>41</v>
      </c>
      <c r="L659" t="s">
        <v>41</v>
      </c>
      <c r="N659" t="s">
        <v>1276</v>
      </c>
    </row>
    <row r="660" spans="1:14" x14ac:dyDescent="0.3">
      <c r="A660">
        <v>3</v>
      </c>
      <c r="B660">
        <v>1</v>
      </c>
      <c r="C660" t="s">
        <v>1277</v>
      </c>
      <c r="D660" t="s">
        <v>15</v>
      </c>
      <c r="E660">
        <v>0.75</v>
      </c>
      <c r="F660">
        <v>2</v>
      </c>
      <c r="G660">
        <v>1</v>
      </c>
      <c r="H660">
        <v>2666</v>
      </c>
      <c r="I660">
        <v>19.258299999999998</v>
      </c>
      <c r="K660" t="s">
        <v>41</v>
      </c>
      <c r="L660" t="s">
        <v>41</v>
      </c>
      <c r="N660" t="s">
        <v>1276</v>
      </c>
    </row>
    <row r="661" spans="1:14" x14ac:dyDescent="0.3">
      <c r="A661">
        <v>3</v>
      </c>
      <c r="B661">
        <v>1</v>
      </c>
      <c r="C661" t="s">
        <v>1278</v>
      </c>
      <c r="D661" t="s">
        <v>15</v>
      </c>
      <c r="E661">
        <v>5</v>
      </c>
      <c r="F661">
        <v>2</v>
      </c>
      <c r="G661">
        <v>1</v>
      </c>
      <c r="H661">
        <v>2666</v>
      </c>
      <c r="I661">
        <v>19.258299999999998</v>
      </c>
      <c r="K661" t="s">
        <v>41</v>
      </c>
      <c r="L661" t="s">
        <v>41</v>
      </c>
      <c r="N661" t="s">
        <v>1276</v>
      </c>
    </row>
    <row r="662" spans="1:14" x14ac:dyDescent="0.3">
      <c r="A662">
        <v>3</v>
      </c>
      <c r="B662">
        <v>1</v>
      </c>
      <c r="C662" t="s">
        <v>1279</v>
      </c>
      <c r="D662" t="s">
        <v>15</v>
      </c>
      <c r="E662">
        <v>24</v>
      </c>
      <c r="F662">
        <v>0</v>
      </c>
      <c r="G662">
        <v>3</v>
      </c>
      <c r="H662">
        <v>2666</v>
      </c>
      <c r="I662">
        <v>19.258299999999998</v>
      </c>
      <c r="K662" t="s">
        <v>41</v>
      </c>
      <c r="L662" t="s">
        <v>41</v>
      </c>
      <c r="N662" t="s">
        <v>1276</v>
      </c>
    </row>
    <row r="663" spans="1:14" x14ac:dyDescent="0.3">
      <c r="A663">
        <v>3</v>
      </c>
      <c r="B663">
        <v>1</v>
      </c>
      <c r="C663" t="s">
        <v>1280</v>
      </c>
      <c r="D663" t="s">
        <v>15</v>
      </c>
      <c r="E663">
        <v>18</v>
      </c>
      <c r="F663">
        <v>0</v>
      </c>
      <c r="G663">
        <v>0</v>
      </c>
      <c r="H663" t="s">
        <v>1281</v>
      </c>
      <c r="I663">
        <v>8.0500000000000007</v>
      </c>
      <c r="K663" t="s">
        <v>17</v>
      </c>
      <c r="L663" t="s">
        <v>41</v>
      </c>
      <c r="N663" t="s">
        <v>1282</v>
      </c>
    </row>
    <row r="664" spans="1:14" x14ac:dyDescent="0.3">
      <c r="A664">
        <v>3</v>
      </c>
      <c r="B664">
        <v>0</v>
      </c>
      <c r="C664" t="s">
        <v>1283</v>
      </c>
      <c r="D664" t="s">
        <v>20</v>
      </c>
      <c r="E664">
        <v>40</v>
      </c>
      <c r="F664">
        <v>0</v>
      </c>
      <c r="G664">
        <v>0</v>
      </c>
      <c r="H664">
        <v>2623</v>
      </c>
      <c r="I664">
        <v>7.2249999999999996</v>
      </c>
      <c r="K664" t="s">
        <v>41</v>
      </c>
    </row>
    <row r="665" spans="1:14" x14ac:dyDescent="0.3">
      <c r="A665">
        <v>3</v>
      </c>
      <c r="B665">
        <v>0</v>
      </c>
      <c r="C665" t="s">
        <v>1284</v>
      </c>
      <c r="D665" t="s">
        <v>20</v>
      </c>
      <c r="E665">
        <v>26</v>
      </c>
      <c r="F665">
        <v>0</v>
      </c>
      <c r="G665">
        <v>0</v>
      </c>
      <c r="H665">
        <v>349248</v>
      </c>
      <c r="I665">
        <v>7.8958000000000004</v>
      </c>
      <c r="K665" t="s">
        <v>17</v>
      </c>
    </row>
    <row r="666" spans="1:14" x14ac:dyDescent="0.3">
      <c r="A666">
        <v>3</v>
      </c>
      <c r="B666">
        <v>1</v>
      </c>
      <c r="C666" t="s">
        <v>1285</v>
      </c>
      <c r="D666" t="s">
        <v>20</v>
      </c>
      <c r="E666">
        <v>20</v>
      </c>
      <c r="F666">
        <v>0</v>
      </c>
      <c r="G666">
        <v>0</v>
      </c>
      <c r="H666">
        <v>2663</v>
      </c>
      <c r="I666">
        <v>7.2291999999999996</v>
      </c>
      <c r="K666" t="s">
        <v>41</v>
      </c>
      <c r="L666">
        <v>15</v>
      </c>
    </row>
    <row r="667" spans="1:14" x14ac:dyDescent="0.3">
      <c r="A667">
        <v>3</v>
      </c>
      <c r="B667">
        <v>0</v>
      </c>
      <c r="C667" t="s">
        <v>1286</v>
      </c>
      <c r="D667" t="s">
        <v>15</v>
      </c>
      <c r="E667">
        <v>18</v>
      </c>
      <c r="F667">
        <v>0</v>
      </c>
      <c r="G667">
        <v>1</v>
      </c>
      <c r="H667">
        <v>2691</v>
      </c>
      <c r="I667">
        <v>14.4542</v>
      </c>
      <c r="K667" t="s">
        <v>41</v>
      </c>
      <c r="N667" t="s">
        <v>1287</v>
      </c>
    </row>
    <row r="668" spans="1:14" x14ac:dyDescent="0.3">
      <c r="A668">
        <v>3</v>
      </c>
      <c r="B668">
        <v>0</v>
      </c>
      <c r="C668" t="s">
        <v>1288</v>
      </c>
      <c r="D668" t="s">
        <v>15</v>
      </c>
      <c r="E668">
        <v>45</v>
      </c>
      <c r="F668">
        <v>0</v>
      </c>
      <c r="G668">
        <v>1</v>
      </c>
      <c r="H668">
        <v>2691</v>
      </c>
      <c r="I668">
        <v>14.4542</v>
      </c>
      <c r="K668" t="s">
        <v>41</v>
      </c>
      <c r="N668" t="s">
        <v>1287</v>
      </c>
    </row>
    <row r="669" spans="1:14" x14ac:dyDescent="0.3">
      <c r="A669">
        <v>3</v>
      </c>
      <c r="B669">
        <v>0</v>
      </c>
      <c r="C669" t="s">
        <v>1289</v>
      </c>
      <c r="D669" t="s">
        <v>15</v>
      </c>
      <c r="E669">
        <v>27</v>
      </c>
      <c r="F669">
        <v>0</v>
      </c>
      <c r="G669">
        <v>0</v>
      </c>
      <c r="H669">
        <v>330844</v>
      </c>
      <c r="I669">
        <v>7.8792</v>
      </c>
      <c r="K669" t="s">
        <v>463</v>
      </c>
      <c r="N669" t="s">
        <v>28</v>
      </c>
    </row>
    <row r="670" spans="1:14" x14ac:dyDescent="0.3">
      <c r="A670">
        <v>3</v>
      </c>
      <c r="B670">
        <v>0</v>
      </c>
      <c r="C670" t="s">
        <v>1290</v>
      </c>
      <c r="D670" t="s">
        <v>20</v>
      </c>
      <c r="E670">
        <v>22</v>
      </c>
      <c r="F670">
        <v>0</v>
      </c>
      <c r="G670">
        <v>0</v>
      </c>
      <c r="H670">
        <v>324669</v>
      </c>
      <c r="I670">
        <v>8.0500000000000007</v>
      </c>
      <c r="K670" t="s">
        <v>17</v>
      </c>
      <c r="N670" t="s">
        <v>1291</v>
      </c>
    </row>
    <row r="671" spans="1:14" x14ac:dyDescent="0.3">
      <c r="A671">
        <v>3</v>
      </c>
      <c r="B671">
        <v>0</v>
      </c>
      <c r="C671" t="s">
        <v>1292</v>
      </c>
      <c r="D671" t="s">
        <v>20</v>
      </c>
      <c r="E671">
        <v>19</v>
      </c>
      <c r="F671">
        <v>0</v>
      </c>
      <c r="G671">
        <v>0</v>
      </c>
      <c r="H671">
        <v>323951</v>
      </c>
      <c r="I671">
        <v>8.0500000000000007</v>
      </c>
      <c r="K671" t="s">
        <v>17</v>
      </c>
      <c r="N671" t="s">
        <v>724</v>
      </c>
    </row>
    <row r="672" spans="1:14" x14ac:dyDescent="0.3">
      <c r="A672">
        <v>3</v>
      </c>
      <c r="B672">
        <v>0</v>
      </c>
      <c r="C672" t="s">
        <v>1293</v>
      </c>
      <c r="D672" t="s">
        <v>20</v>
      </c>
      <c r="E672">
        <v>26</v>
      </c>
      <c r="F672">
        <v>0</v>
      </c>
      <c r="G672">
        <v>0</v>
      </c>
      <c r="H672">
        <v>347068</v>
      </c>
      <c r="I672">
        <v>7.7750000000000004</v>
      </c>
      <c r="K672" t="s">
        <v>17</v>
      </c>
      <c r="N672" t="s">
        <v>1294</v>
      </c>
    </row>
    <row r="673" spans="1:14" x14ac:dyDescent="0.3">
      <c r="A673">
        <v>3</v>
      </c>
      <c r="B673">
        <v>0</v>
      </c>
      <c r="C673" t="s">
        <v>1295</v>
      </c>
      <c r="D673" t="s">
        <v>20</v>
      </c>
      <c r="E673">
        <v>22</v>
      </c>
      <c r="F673">
        <v>0</v>
      </c>
      <c r="G673">
        <v>0</v>
      </c>
      <c r="H673" t="s">
        <v>1296</v>
      </c>
      <c r="I673">
        <v>9.35</v>
      </c>
      <c r="K673" t="s">
        <v>17</v>
      </c>
      <c r="N673" t="s">
        <v>1297</v>
      </c>
    </row>
    <row r="674" spans="1:14" x14ac:dyDescent="0.3">
      <c r="A674">
        <v>3</v>
      </c>
      <c r="B674">
        <v>0</v>
      </c>
      <c r="C674" t="s">
        <v>1298</v>
      </c>
      <c r="D674" t="s">
        <v>20</v>
      </c>
      <c r="F674">
        <v>0</v>
      </c>
      <c r="G674">
        <v>0</v>
      </c>
      <c r="H674">
        <v>2622</v>
      </c>
      <c r="I674">
        <v>7.2291999999999996</v>
      </c>
      <c r="K674" t="s">
        <v>41</v>
      </c>
    </row>
    <row r="675" spans="1:14" x14ac:dyDescent="0.3">
      <c r="A675">
        <v>3</v>
      </c>
      <c r="B675">
        <v>0</v>
      </c>
      <c r="C675" t="s">
        <v>1299</v>
      </c>
      <c r="D675" t="s">
        <v>20</v>
      </c>
      <c r="E675">
        <v>20</v>
      </c>
      <c r="F675">
        <v>0</v>
      </c>
      <c r="G675">
        <v>0</v>
      </c>
      <c r="H675">
        <v>2648</v>
      </c>
      <c r="I675">
        <v>4.0125000000000002</v>
      </c>
      <c r="K675" t="s">
        <v>41</v>
      </c>
      <c r="N675" t="s">
        <v>1300</v>
      </c>
    </row>
    <row r="676" spans="1:14" x14ac:dyDescent="0.3">
      <c r="A676">
        <v>3</v>
      </c>
      <c r="B676">
        <v>1</v>
      </c>
      <c r="C676" t="s">
        <v>1301</v>
      </c>
      <c r="D676" t="s">
        <v>20</v>
      </c>
      <c r="E676">
        <v>32</v>
      </c>
      <c r="F676">
        <v>0</v>
      </c>
      <c r="G676">
        <v>0</v>
      </c>
      <c r="H676">
        <v>1601</v>
      </c>
      <c r="I676">
        <v>56.495800000000003</v>
      </c>
      <c r="K676" t="s">
        <v>17</v>
      </c>
      <c r="L676" t="s">
        <v>41</v>
      </c>
      <c r="N676" t="s">
        <v>1302</v>
      </c>
    </row>
    <row r="677" spans="1:14" x14ac:dyDescent="0.3">
      <c r="A677">
        <v>3</v>
      </c>
      <c r="B677">
        <v>0</v>
      </c>
      <c r="C677" t="s">
        <v>1303</v>
      </c>
      <c r="D677" t="s">
        <v>20</v>
      </c>
      <c r="E677">
        <v>21</v>
      </c>
      <c r="F677">
        <v>0</v>
      </c>
      <c r="G677">
        <v>0</v>
      </c>
      <c r="H677">
        <v>312992</v>
      </c>
      <c r="I677">
        <v>7.7750000000000004</v>
      </c>
      <c r="K677" t="s">
        <v>17</v>
      </c>
      <c r="N677" t="s">
        <v>1304</v>
      </c>
    </row>
    <row r="678" spans="1:14" x14ac:dyDescent="0.3">
      <c r="A678">
        <v>3</v>
      </c>
      <c r="B678">
        <v>0</v>
      </c>
      <c r="C678" t="s">
        <v>1305</v>
      </c>
      <c r="D678" t="s">
        <v>20</v>
      </c>
      <c r="E678">
        <v>18</v>
      </c>
      <c r="F678">
        <v>0</v>
      </c>
      <c r="G678">
        <v>0</v>
      </c>
      <c r="H678">
        <v>347090</v>
      </c>
      <c r="I678">
        <v>7.75</v>
      </c>
      <c r="K678" t="s">
        <v>17</v>
      </c>
      <c r="N678" t="s">
        <v>1306</v>
      </c>
    </row>
    <row r="679" spans="1:14" x14ac:dyDescent="0.3">
      <c r="A679">
        <v>3</v>
      </c>
      <c r="B679">
        <v>0</v>
      </c>
      <c r="C679" t="s">
        <v>1307</v>
      </c>
      <c r="D679" t="s">
        <v>20</v>
      </c>
      <c r="E679">
        <v>26</v>
      </c>
      <c r="F679">
        <v>0</v>
      </c>
      <c r="G679">
        <v>0</v>
      </c>
      <c r="H679">
        <v>349224</v>
      </c>
      <c r="I679">
        <v>7.8958000000000004</v>
      </c>
      <c r="K679" t="s">
        <v>17</v>
      </c>
      <c r="N679" t="s">
        <v>1241</v>
      </c>
    </row>
    <row r="680" spans="1:14" x14ac:dyDescent="0.3">
      <c r="A680">
        <v>3</v>
      </c>
      <c r="B680">
        <v>0</v>
      </c>
      <c r="C680" t="s">
        <v>1308</v>
      </c>
      <c r="D680" t="s">
        <v>20</v>
      </c>
      <c r="E680">
        <v>6</v>
      </c>
      <c r="F680">
        <v>1</v>
      </c>
      <c r="G680">
        <v>1</v>
      </c>
      <c r="H680">
        <v>2678</v>
      </c>
      <c r="I680">
        <v>15.245799999999999</v>
      </c>
      <c r="K680" t="s">
        <v>41</v>
      </c>
      <c r="N680" t="s">
        <v>1309</v>
      </c>
    </row>
    <row r="681" spans="1:14" x14ac:dyDescent="0.3">
      <c r="A681">
        <v>3</v>
      </c>
      <c r="B681">
        <v>0</v>
      </c>
      <c r="C681" t="s">
        <v>1310</v>
      </c>
      <c r="D681" t="s">
        <v>15</v>
      </c>
      <c r="E681">
        <v>9</v>
      </c>
      <c r="F681">
        <v>1</v>
      </c>
      <c r="G681">
        <v>1</v>
      </c>
      <c r="H681">
        <v>2678</v>
      </c>
      <c r="I681">
        <v>15.245799999999999</v>
      </c>
      <c r="K681" t="s">
        <v>41</v>
      </c>
      <c r="N681" t="s">
        <v>1309</v>
      </c>
    </row>
    <row r="682" spans="1:14" x14ac:dyDescent="0.3">
      <c r="A682">
        <v>3</v>
      </c>
      <c r="B682">
        <v>0</v>
      </c>
      <c r="C682" t="s">
        <v>1311</v>
      </c>
      <c r="D682" t="s">
        <v>20</v>
      </c>
      <c r="F682">
        <v>0</v>
      </c>
      <c r="G682">
        <v>0</v>
      </c>
      <c r="H682">
        <v>2664</v>
      </c>
      <c r="I682">
        <v>7.2249999999999996</v>
      </c>
      <c r="K682" t="s">
        <v>41</v>
      </c>
      <c r="N682" t="s">
        <v>1300</v>
      </c>
    </row>
    <row r="683" spans="1:14" x14ac:dyDescent="0.3">
      <c r="A683">
        <v>3</v>
      </c>
      <c r="B683">
        <v>0</v>
      </c>
      <c r="C683" t="s">
        <v>1312</v>
      </c>
      <c r="D683" t="s">
        <v>15</v>
      </c>
      <c r="F683">
        <v>0</v>
      </c>
      <c r="G683">
        <v>2</v>
      </c>
      <c r="H683">
        <v>2678</v>
      </c>
      <c r="I683">
        <v>15.245799999999999</v>
      </c>
      <c r="K683" t="s">
        <v>41</v>
      </c>
      <c r="N683" t="s">
        <v>1309</v>
      </c>
    </row>
    <row r="684" spans="1:14" x14ac:dyDescent="0.3">
      <c r="A684">
        <v>3</v>
      </c>
      <c r="B684">
        <v>0</v>
      </c>
      <c r="C684" t="s">
        <v>1313</v>
      </c>
      <c r="D684" t="s">
        <v>15</v>
      </c>
      <c r="F684">
        <v>0</v>
      </c>
      <c r="G684">
        <v>2</v>
      </c>
      <c r="H684">
        <v>364848</v>
      </c>
      <c r="I684">
        <v>7.75</v>
      </c>
      <c r="K684" t="s">
        <v>463</v>
      </c>
      <c r="N684" t="s">
        <v>1314</v>
      </c>
    </row>
    <row r="685" spans="1:14" x14ac:dyDescent="0.3">
      <c r="A685">
        <v>3</v>
      </c>
      <c r="B685">
        <v>0</v>
      </c>
      <c r="C685" t="s">
        <v>1315</v>
      </c>
      <c r="D685" t="s">
        <v>20</v>
      </c>
      <c r="E685">
        <v>40</v>
      </c>
      <c r="F685">
        <v>1</v>
      </c>
      <c r="G685">
        <v>1</v>
      </c>
      <c r="H685">
        <v>364849</v>
      </c>
      <c r="I685">
        <v>15.5</v>
      </c>
      <c r="K685" t="s">
        <v>463</v>
      </c>
      <c r="N685" t="s">
        <v>1314</v>
      </c>
    </row>
    <row r="686" spans="1:14" x14ac:dyDescent="0.3">
      <c r="A686">
        <v>3</v>
      </c>
      <c r="B686">
        <v>0</v>
      </c>
      <c r="C686" t="s">
        <v>1316</v>
      </c>
      <c r="D686" t="s">
        <v>15</v>
      </c>
      <c r="E686">
        <v>32</v>
      </c>
      <c r="F686">
        <v>1</v>
      </c>
      <c r="G686">
        <v>1</v>
      </c>
      <c r="H686">
        <v>364849</v>
      </c>
      <c r="I686">
        <v>15.5</v>
      </c>
      <c r="K686" t="s">
        <v>463</v>
      </c>
      <c r="N686" t="s">
        <v>1314</v>
      </c>
    </row>
    <row r="687" spans="1:14" x14ac:dyDescent="0.3">
      <c r="A687">
        <v>3</v>
      </c>
      <c r="B687">
        <v>0</v>
      </c>
      <c r="C687" t="s">
        <v>1317</v>
      </c>
      <c r="D687" t="s">
        <v>20</v>
      </c>
      <c r="E687">
        <v>21</v>
      </c>
      <c r="F687">
        <v>0</v>
      </c>
      <c r="G687">
        <v>0</v>
      </c>
      <c r="H687">
        <v>54636</v>
      </c>
      <c r="I687">
        <v>16.100000000000001</v>
      </c>
      <c r="K687" t="s">
        <v>17</v>
      </c>
      <c r="N687" t="s">
        <v>1318</v>
      </c>
    </row>
    <row r="688" spans="1:14" x14ac:dyDescent="0.3">
      <c r="A688">
        <v>3</v>
      </c>
      <c r="B688">
        <v>1</v>
      </c>
      <c r="C688" t="s">
        <v>1319</v>
      </c>
      <c r="D688" t="s">
        <v>15</v>
      </c>
      <c r="E688">
        <v>22</v>
      </c>
      <c r="F688">
        <v>0</v>
      </c>
      <c r="G688">
        <v>0</v>
      </c>
      <c r="H688">
        <v>334914</v>
      </c>
      <c r="I688">
        <v>7.7249999999999996</v>
      </c>
      <c r="K688" t="s">
        <v>463</v>
      </c>
      <c r="L688">
        <v>13</v>
      </c>
      <c r="N688" t="s">
        <v>1320</v>
      </c>
    </row>
    <row r="689" spans="1:14" x14ac:dyDescent="0.3">
      <c r="A689">
        <v>3</v>
      </c>
      <c r="B689">
        <v>0</v>
      </c>
      <c r="C689" t="s">
        <v>1321</v>
      </c>
      <c r="D689" t="s">
        <v>15</v>
      </c>
      <c r="E689">
        <v>20</v>
      </c>
      <c r="F689">
        <v>0</v>
      </c>
      <c r="G689">
        <v>0</v>
      </c>
      <c r="H689">
        <v>347471</v>
      </c>
      <c r="I689">
        <v>7.8541999999999996</v>
      </c>
      <c r="K689" t="s">
        <v>17</v>
      </c>
      <c r="N689" t="s">
        <v>1322</v>
      </c>
    </row>
    <row r="690" spans="1:14" x14ac:dyDescent="0.3">
      <c r="A690">
        <v>3</v>
      </c>
      <c r="B690">
        <v>0</v>
      </c>
      <c r="C690" t="s">
        <v>1323</v>
      </c>
      <c r="D690" t="s">
        <v>20</v>
      </c>
      <c r="E690">
        <v>29</v>
      </c>
      <c r="F690">
        <v>1</v>
      </c>
      <c r="G690">
        <v>0</v>
      </c>
      <c r="H690">
        <v>3460</v>
      </c>
      <c r="I690">
        <v>7.0457999999999998</v>
      </c>
      <c r="K690" t="s">
        <v>17</v>
      </c>
      <c r="N690" t="s">
        <v>1324</v>
      </c>
    </row>
    <row r="691" spans="1:14" x14ac:dyDescent="0.3">
      <c r="A691">
        <v>3</v>
      </c>
      <c r="B691">
        <v>0</v>
      </c>
      <c r="C691" t="s">
        <v>1325</v>
      </c>
      <c r="D691" t="s">
        <v>20</v>
      </c>
      <c r="E691">
        <v>22</v>
      </c>
      <c r="F691">
        <v>1</v>
      </c>
      <c r="G691">
        <v>0</v>
      </c>
      <c r="H691" t="s">
        <v>1326</v>
      </c>
      <c r="I691">
        <v>7.25</v>
      </c>
      <c r="K691" t="s">
        <v>17</v>
      </c>
      <c r="N691" t="s">
        <v>1324</v>
      </c>
    </row>
    <row r="692" spans="1:14" x14ac:dyDescent="0.3">
      <c r="A692">
        <v>3</v>
      </c>
      <c r="B692">
        <v>0</v>
      </c>
      <c r="C692" t="s">
        <v>1327</v>
      </c>
      <c r="D692" t="s">
        <v>20</v>
      </c>
      <c r="E692">
        <v>22</v>
      </c>
      <c r="F692">
        <v>0</v>
      </c>
      <c r="G692">
        <v>0</v>
      </c>
      <c r="H692">
        <v>350045</v>
      </c>
      <c r="I692">
        <v>7.7957999999999998</v>
      </c>
      <c r="K692" t="s">
        <v>17</v>
      </c>
      <c r="N692" t="s">
        <v>1252</v>
      </c>
    </row>
    <row r="693" spans="1:14" x14ac:dyDescent="0.3">
      <c r="A693">
        <v>3</v>
      </c>
      <c r="B693">
        <v>0</v>
      </c>
      <c r="C693" t="s">
        <v>1328</v>
      </c>
      <c r="D693" t="s">
        <v>20</v>
      </c>
      <c r="E693">
        <v>35</v>
      </c>
      <c r="F693">
        <v>0</v>
      </c>
      <c r="G693">
        <v>0</v>
      </c>
      <c r="H693">
        <v>364512</v>
      </c>
      <c r="I693">
        <v>8.0500000000000007</v>
      </c>
      <c r="K693" t="s">
        <v>17</v>
      </c>
      <c r="N693" t="s">
        <v>1329</v>
      </c>
    </row>
    <row r="694" spans="1:14" x14ac:dyDescent="0.3">
      <c r="A694">
        <v>3</v>
      </c>
      <c r="B694">
        <v>0</v>
      </c>
      <c r="C694" t="s">
        <v>1330</v>
      </c>
      <c r="D694" t="s">
        <v>15</v>
      </c>
      <c r="E694">
        <v>18.5</v>
      </c>
      <c r="F694">
        <v>0</v>
      </c>
      <c r="G694">
        <v>0</v>
      </c>
      <c r="H694">
        <v>329944</v>
      </c>
      <c r="I694">
        <v>7.2832999999999997</v>
      </c>
      <c r="K694" t="s">
        <v>463</v>
      </c>
      <c r="M694">
        <v>299</v>
      </c>
      <c r="N694" t="s">
        <v>1331</v>
      </c>
    </row>
    <row r="695" spans="1:14" x14ac:dyDescent="0.3">
      <c r="A695">
        <v>3</v>
      </c>
      <c r="B695">
        <v>1</v>
      </c>
      <c r="C695" t="s">
        <v>1332</v>
      </c>
      <c r="D695" t="s">
        <v>20</v>
      </c>
      <c r="E695">
        <v>21</v>
      </c>
      <c r="F695">
        <v>0</v>
      </c>
      <c r="G695">
        <v>0</v>
      </c>
      <c r="H695">
        <v>330920</v>
      </c>
      <c r="I695">
        <v>7.8208000000000002</v>
      </c>
      <c r="K695" t="s">
        <v>463</v>
      </c>
      <c r="L695">
        <v>13</v>
      </c>
      <c r="N695" t="s">
        <v>1333</v>
      </c>
    </row>
    <row r="696" spans="1:14" x14ac:dyDescent="0.3">
      <c r="A696">
        <v>3</v>
      </c>
      <c r="B696">
        <v>0</v>
      </c>
      <c r="C696" t="s">
        <v>1334</v>
      </c>
      <c r="D696" t="s">
        <v>20</v>
      </c>
      <c r="E696">
        <v>19</v>
      </c>
      <c r="F696">
        <v>0</v>
      </c>
      <c r="G696">
        <v>0</v>
      </c>
      <c r="H696">
        <v>365222</v>
      </c>
      <c r="I696">
        <v>6.75</v>
      </c>
      <c r="K696" t="s">
        <v>463</v>
      </c>
      <c r="N696" t="s">
        <v>1335</v>
      </c>
    </row>
    <row r="697" spans="1:14" x14ac:dyDescent="0.3">
      <c r="A697">
        <v>3</v>
      </c>
      <c r="B697">
        <v>0</v>
      </c>
      <c r="C697" t="s">
        <v>1336</v>
      </c>
      <c r="D697" t="s">
        <v>15</v>
      </c>
      <c r="E697">
        <v>18</v>
      </c>
      <c r="F697">
        <v>0</v>
      </c>
      <c r="G697">
        <v>0</v>
      </c>
      <c r="H697">
        <v>330963</v>
      </c>
      <c r="I697">
        <v>7.8792</v>
      </c>
      <c r="K697" t="s">
        <v>463</v>
      </c>
      <c r="N697" t="s">
        <v>1337</v>
      </c>
    </row>
    <row r="698" spans="1:14" x14ac:dyDescent="0.3">
      <c r="A698">
        <v>3</v>
      </c>
      <c r="B698">
        <v>0</v>
      </c>
      <c r="C698" t="s">
        <v>1338</v>
      </c>
      <c r="D698" t="s">
        <v>15</v>
      </c>
      <c r="E698">
        <v>21</v>
      </c>
      <c r="F698">
        <v>0</v>
      </c>
      <c r="G698">
        <v>0</v>
      </c>
      <c r="H698">
        <v>315087</v>
      </c>
      <c r="I698">
        <v>8.6624999999999996</v>
      </c>
      <c r="K698" t="s">
        <v>17</v>
      </c>
    </row>
    <row r="699" spans="1:14" x14ac:dyDescent="0.3">
      <c r="A699">
        <v>3</v>
      </c>
      <c r="B699">
        <v>0</v>
      </c>
      <c r="C699" t="s">
        <v>1339</v>
      </c>
      <c r="D699" t="s">
        <v>15</v>
      </c>
      <c r="E699">
        <v>30</v>
      </c>
      <c r="F699">
        <v>0</v>
      </c>
      <c r="G699">
        <v>0</v>
      </c>
      <c r="H699">
        <v>315084</v>
      </c>
      <c r="I699">
        <v>8.6624999999999996</v>
      </c>
      <c r="K699" t="s">
        <v>17</v>
      </c>
    </row>
    <row r="700" spans="1:14" x14ac:dyDescent="0.3">
      <c r="A700">
        <v>3</v>
      </c>
      <c r="B700">
        <v>0</v>
      </c>
      <c r="C700" t="s">
        <v>1340</v>
      </c>
      <c r="D700" t="s">
        <v>20</v>
      </c>
      <c r="E700">
        <v>18</v>
      </c>
      <c r="F700">
        <v>0</v>
      </c>
      <c r="G700">
        <v>0</v>
      </c>
      <c r="H700">
        <v>315091</v>
      </c>
      <c r="I700">
        <v>8.6624999999999996</v>
      </c>
      <c r="K700" t="s">
        <v>17</v>
      </c>
    </row>
    <row r="701" spans="1:14" x14ac:dyDescent="0.3">
      <c r="A701">
        <v>3</v>
      </c>
      <c r="B701">
        <v>0</v>
      </c>
      <c r="C701" t="s">
        <v>1341</v>
      </c>
      <c r="D701" t="s">
        <v>20</v>
      </c>
      <c r="E701">
        <v>38</v>
      </c>
      <c r="F701">
        <v>0</v>
      </c>
      <c r="G701">
        <v>0</v>
      </c>
      <c r="H701">
        <v>315089</v>
      </c>
      <c r="I701">
        <v>8.6624999999999996</v>
      </c>
      <c r="K701" t="s">
        <v>17</v>
      </c>
      <c r="N701" t="s">
        <v>1342</v>
      </c>
    </row>
    <row r="702" spans="1:14" x14ac:dyDescent="0.3">
      <c r="A702">
        <v>3</v>
      </c>
      <c r="B702">
        <v>0</v>
      </c>
      <c r="C702" t="s">
        <v>1343</v>
      </c>
      <c r="D702" t="s">
        <v>20</v>
      </c>
      <c r="E702">
        <v>17</v>
      </c>
      <c r="F702">
        <v>0</v>
      </c>
      <c r="G702">
        <v>0</v>
      </c>
      <c r="H702">
        <v>315093</v>
      </c>
      <c r="I702">
        <v>8.6624999999999996</v>
      </c>
      <c r="K702" t="s">
        <v>17</v>
      </c>
    </row>
    <row r="703" spans="1:14" x14ac:dyDescent="0.3">
      <c r="A703">
        <v>3</v>
      </c>
      <c r="B703">
        <v>0</v>
      </c>
      <c r="C703" t="s">
        <v>1344</v>
      </c>
      <c r="D703" t="s">
        <v>20</v>
      </c>
      <c r="E703">
        <v>17</v>
      </c>
      <c r="F703">
        <v>0</v>
      </c>
      <c r="G703">
        <v>0</v>
      </c>
      <c r="H703">
        <v>315086</v>
      </c>
      <c r="I703">
        <v>8.6624999999999996</v>
      </c>
      <c r="K703" t="s">
        <v>17</v>
      </c>
    </row>
    <row r="704" spans="1:14" x14ac:dyDescent="0.3">
      <c r="A704">
        <v>3</v>
      </c>
      <c r="B704">
        <v>0</v>
      </c>
      <c r="C704" t="s">
        <v>1345</v>
      </c>
      <c r="D704" t="s">
        <v>15</v>
      </c>
      <c r="E704">
        <v>21</v>
      </c>
      <c r="F704">
        <v>0</v>
      </c>
      <c r="G704">
        <v>0</v>
      </c>
      <c r="H704">
        <v>364846</v>
      </c>
      <c r="I704">
        <v>7.75</v>
      </c>
      <c r="K704" t="s">
        <v>463</v>
      </c>
    </row>
    <row r="705" spans="1:14" x14ac:dyDescent="0.3">
      <c r="A705">
        <v>3</v>
      </c>
      <c r="B705">
        <v>0</v>
      </c>
      <c r="C705" t="s">
        <v>1346</v>
      </c>
      <c r="D705" t="s">
        <v>20</v>
      </c>
      <c r="E705">
        <v>21</v>
      </c>
      <c r="F705">
        <v>0</v>
      </c>
      <c r="G705">
        <v>0</v>
      </c>
      <c r="H705">
        <v>364858</v>
      </c>
      <c r="I705">
        <v>7.75</v>
      </c>
      <c r="K705" t="s">
        <v>463</v>
      </c>
      <c r="N705" t="s">
        <v>1347</v>
      </c>
    </row>
    <row r="706" spans="1:14" x14ac:dyDescent="0.3">
      <c r="A706">
        <v>3</v>
      </c>
      <c r="B706">
        <v>0</v>
      </c>
      <c r="C706" t="s">
        <v>1348</v>
      </c>
      <c r="D706" t="s">
        <v>20</v>
      </c>
      <c r="E706">
        <v>21</v>
      </c>
      <c r="F706">
        <v>0</v>
      </c>
      <c r="G706">
        <v>0</v>
      </c>
      <c r="H706" t="s">
        <v>1349</v>
      </c>
      <c r="I706">
        <v>8.0500000000000007</v>
      </c>
      <c r="K706" t="s">
        <v>17</v>
      </c>
    </row>
    <row r="707" spans="1:14" x14ac:dyDescent="0.3">
      <c r="A707">
        <v>3</v>
      </c>
      <c r="B707">
        <v>0</v>
      </c>
      <c r="C707" t="s">
        <v>1350</v>
      </c>
      <c r="D707" t="s">
        <v>20</v>
      </c>
      <c r="F707">
        <v>1</v>
      </c>
      <c r="G707">
        <v>0</v>
      </c>
      <c r="H707">
        <v>2689</v>
      </c>
      <c r="I707">
        <v>14.458299999999999</v>
      </c>
      <c r="K707" t="s">
        <v>41</v>
      </c>
      <c r="N707" t="s">
        <v>1261</v>
      </c>
    </row>
    <row r="708" spans="1:14" x14ac:dyDescent="0.3">
      <c r="A708">
        <v>3</v>
      </c>
      <c r="B708">
        <v>0</v>
      </c>
      <c r="C708" t="s">
        <v>1351</v>
      </c>
      <c r="D708" t="s">
        <v>15</v>
      </c>
      <c r="F708">
        <v>1</v>
      </c>
      <c r="G708">
        <v>0</v>
      </c>
      <c r="H708">
        <v>2689</v>
      </c>
      <c r="I708">
        <v>14.458299999999999</v>
      </c>
      <c r="K708" t="s">
        <v>41</v>
      </c>
      <c r="N708" t="s">
        <v>1261</v>
      </c>
    </row>
    <row r="709" spans="1:14" x14ac:dyDescent="0.3">
      <c r="A709">
        <v>3</v>
      </c>
      <c r="B709">
        <v>0</v>
      </c>
      <c r="C709" t="s">
        <v>1352</v>
      </c>
      <c r="D709" t="s">
        <v>20</v>
      </c>
      <c r="E709">
        <v>28</v>
      </c>
      <c r="F709">
        <v>0</v>
      </c>
      <c r="G709">
        <v>0</v>
      </c>
      <c r="H709">
        <v>350042</v>
      </c>
      <c r="I709">
        <v>7.7957999999999998</v>
      </c>
      <c r="K709" t="s">
        <v>17</v>
      </c>
      <c r="N709" t="s">
        <v>1353</v>
      </c>
    </row>
    <row r="710" spans="1:14" x14ac:dyDescent="0.3">
      <c r="A710">
        <v>3</v>
      </c>
      <c r="B710">
        <v>0</v>
      </c>
      <c r="C710" t="s">
        <v>1354</v>
      </c>
      <c r="D710" t="s">
        <v>20</v>
      </c>
      <c r="E710">
        <v>24</v>
      </c>
      <c r="F710">
        <v>0</v>
      </c>
      <c r="G710">
        <v>0</v>
      </c>
      <c r="H710">
        <v>350409</v>
      </c>
      <c r="I710">
        <v>7.8541999999999996</v>
      </c>
      <c r="K710" t="s">
        <v>17</v>
      </c>
      <c r="N710" t="s">
        <v>1355</v>
      </c>
    </row>
    <row r="711" spans="1:14" x14ac:dyDescent="0.3">
      <c r="A711">
        <v>3</v>
      </c>
      <c r="B711">
        <v>1</v>
      </c>
      <c r="C711" t="s">
        <v>1356</v>
      </c>
      <c r="D711" t="s">
        <v>15</v>
      </c>
      <c r="E711">
        <v>16</v>
      </c>
      <c r="F711">
        <v>0</v>
      </c>
      <c r="G711">
        <v>0</v>
      </c>
      <c r="H711">
        <v>367231</v>
      </c>
      <c r="I711">
        <v>7.75</v>
      </c>
      <c r="K711" t="s">
        <v>463</v>
      </c>
      <c r="L711">
        <v>16</v>
      </c>
      <c r="N711" t="s">
        <v>1357</v>
      </c>
    </row>
    <row r="712" spans="1:14" x14ac:dyDescent="0.3">
      <c r="A712">
        <v>3</v>
      </c>
      <c r="B712">
        <v>0</v>
      </c>
      <c r="C712" t="s">
        <v>1358</v>
      </c>
      <c r="D712" t="s">
        <v>15</v>
      </c>
      <c r="E712">
        <v>37</v>
      </c>
      <c r="F712">
        <v>0</v>
      </c>
      <c r="G712">
        <v>0</v>
      </c>
      <c r="H712">
        <v>368364</v>
      </c>
      <c r="I712">
        <v>7.75</v>
      </c>
      <c r="K712" t="s">
        <v>463</v>
      </c>
      <c r="N712" t="s">
        <v>1359</v>
      </c>
    </row>
    <row r="713" spans="1:14" x14ac:dyDescent="0.3">
      <c r="A713">
        <v>3</v>
      </c>
      <c r="B713">
        <v>0</v>
      </c>
      <c r="C713" t="s">
        <v>1360</v>
      </c>
      <c r="D713" t="s">
        <v>20</v>
      </c>
      <c r="E713">
        <v>28</v>
      </c>
      <c r="F713">
        <v>0</v>
      </c>
      <c r="G713">
        <v>0</v>
      </c>
      <c r="H713">
        <v>392095</v>
      </c>
      <c r="I713">
        <v>7.25</v>
      </c>
      <c r="K713" t="s">
        <v>17</v>
      </c>
      <c r="N713" t="s">
        <v>1361</v>
      </c>
    </row>
    <row r="714" spans="1:14" x14ac:dyDescent="0.3">
      <c r="A714">
        <v>3</v>
      </c>
      <c r="B714">
        <v>0</v>
      </c>
      <c r="C714" t="s">
        <v>1362</v>
      </c>
      <c r="D714" t="s">
        <v>20</v>
      </c>
      <c r="E714">
        <v>24</v>
      </c>
      <c r="F714">
        <v>0</v>
      </c>
      <c r="G714">
        <v>0</v>
      </c>
      <c r="H714">
        <v>343275</v>
      </c>
      <c r="I714">
        <v>8.0500000000000007</v>
      </c>
      <c r="K714" t="s">
        <v>17</v>
      </c>
      <c r="N714" t="s">
        <v>392</v>
      </c>
    </row>
    <row r="715" spans="1:14" x14ac:dyDescent="0.3">
      <c r="A715">
        <v>3</v>
      </c>
      <c r="B715">
        <v>0</v>
      </c>
      <c r="C715" t="s">
        <v>1363</v>
      </c>
      <c r="D715" t="s">
        <v>20</v>
      </c>
      <c r="E715">
        <v>21</v>
      </c>
      <c r="F715">
        <v>0</v>
      </c>
      <c r="G715">
        <v>0</v>
      </c>
      <c r="H715" t="s">
        <v>1364</v>
      </c>
      <c r="I715">
        <v>7.7332999999999998</v>
      </c>
      <c r="K715" t="s">
        <v>463</v>
      </c>
      <c r="N715" t="s">
        <v>1365</v>
      </c>
    </row>
    <row r="716" spans="1:14" x14ac:dyDescent="0.3">
      <c r="A716">
        <v>3</v>
      </c>
      <c r="B716">
        <v>1</v>
      </c>
      <c r="C716" t="s">
        <v>1366</v>
      </c>
      <c r="D716" t="s">
        <v>20</v>
      </c>
      <c r="E716">
        <v>32</v>
      </c>
      <c r="F716">
        <v>0</v>
      </c>
      <c r="G716">
        <v>0</v>
      </c>
      <c r="H716">
        <v>1601</v>
      </c>
      <c r="I716">
        <v>56.495800000000003</v>
      </c>
      <c r="K716" t="s">
        <v>17</v>
      </c>
      <c r="L716" t="s">
        <v>41</v>
      </c>
      <c r="N716" t="s">
        <v>1302</v>
      </c>
    </row>
    <row r="717" spans="1:14" x14ac:dyDescent="0.3">
      <c r="A717">
        <v>3</v>
      </c>
      <c r="B717">
        <v>0</v>
      </c>
      <c r="C717" t="s">
        <v>1367</v>
      </c>
      <c r="D717" t="s">
        <v>20</v>
      </c>
      <c r="E717">
        <v>29</v>
      </c>
      <c r="F717">
        <v>0</v>
      </c>
      <c r="G717">
        <v>0</v>
      </c>
      <c r="H717">
        <v>343276</v>
      </c>
      <c r="I717">
        <v>8.0500000000000007</v>
      </c>
      <c r="K717" t="s">
        <v>17</v>
      </c>
    </row>
    <row r="718" spans="1:14" x14ac:dyDescent="0.3">
      <c r="A718">
        <v>3</v>
      </c>
      <c r="B718">
        <v>0</v>
      </c>
      <c r="C718" t="s">
        <v>1368</v>
      </c>
      <c r="D718" t="s">
        <v>20</v>
      </c>
      <c r="E718">
        <v>26</v>
      </c>
      <c r="F718">
        <v>1</v>
      </c>
      <c r="G718">
        <v>0</v>
      </c>
      <c r="H718">
        <v>2680</v>
      </c>
      <c r="I718">
        <v>14.4542</v>
      </c>
      <c r="K718" t="s">
        <v>41</v>
      </c>
      <c r="N718" t="s">
        <v>1369</v>
      </c>
    </row>
    <row r="719" spans="1:14" x14ac:dyDescent="0.3">
      <c r="A719">
        <v>3</v>
      </c>
      <c r="B719">
        <v>0</v>
      </c>
      <c r="C719" t="s">
        <v>1370</v>
      </c>
      <c r="D719" t="s">
        <v>20</v>
      </c>
      <c r="E719">
        <v>18</v>
      </c>
      <c r="F719">
        <v>1</v>
      </c>
      <c r="G719">
        <v>0</v>
      </c>
      <c r="H719">
        <v>2680</v>
      </c>
      <c r="I719">
        <v>14.4542</v>
      </c>
      <c r="K719" t="s">
        <v>41</v>
      </c>
      <c r="N719" t="s">
        <v>1369</v>
      </c>
    </row>
    <row r="720" spans="1:14" x14ac:dyDescent="0.3">
      <c r="A720">
        <v>3</v>
      </c>
      <c r="B720">
        <v>0</v>
      </c>
      <c r="C720" t="s">
        <v>1371</v>
      </c>
      <c r="D720" t="s">
        <v>20</v>
      </c>
      <c r="E720">
        <v>20</v>
      </c>
      <c r="F720">
        <v>0</v>
      </c>
      <c r="G720">
        <v>0</v>
      </c>
      <c r="H720" t="s">
        <v>1372</v>
      </c>
      <c r="I720">
        <v>7.05</v>
      </c>
      <c r="K720" t="s">
        <v>17</v>
      </c>
      <c r="N720" t="s">
        <v>1373</v>
      </c>
    </row>
    <row r="721" spans="1:14" x14ac:dyDescent="0.3">
      <c r="A721">
        <v>3</v>
      </c>
      <c r="B721">
        <v>1</v>
      </c>
      <c r="C721" t="s">
        <v>1374</v>
      </c>
      <c r="D721" t="s">
        <v>20</v>
      </c>
      <c r="E721">
        <v>18</v>
      </c>
      <c r="F721">
        <v>0</v>
      </c>
      <c r="G721">
        <v>0</v>
      </c>
      <c r="H721" t="s">
        <v>1375</v>
      </c>
      <c r="I721">
        <v>8.0500000000000007</v>
      </c>
      <c r="K721" t="s">
        <v>17</v>
      </c>
      <c r="L721">
        <v>12</v>
      </c>
      <c r="N721" t="s">
        <v>1376</v>
      </c>
    </row>
    <row r="722" spans="1:14" x14ac:dyDescent="0.3">
      <c r="A722">
        <v>3</v>
      </c>
      <c r="B722">
        <v>0</v>
      </c>
      <c r="C722" t="s">
        <v>1377</v>
      </c>
      <c r="D722" t="s">
        <v>20</v>
      </c>
      <c r="E722">
        <v>24</v>
      </c>
      <c r="F722">
        <v>0</v>
      </c>
      <c r="G722">
        <v>0</v>
      </c>
      <c r="H722">
        <v>371109</v>
      </c>
      <c r="I722">
        <v>7.25</v>
      </c>
      <c r="K722" t="s">
        <v>463</v>
      </c>
      <c r="N722" t="s">
        <v>1378</v>
      </c>
    </row>
    <row r="723" spans="1:14" x14ac:dyDescent="0.3">
      <c r="A723">
        <v>3</v>
      </c>
      <c r="B723">
        <v>0</v>
      </c>
      <c r="C723" t="s">
        <v>1379</v>
      </c>
      <c r="D723" t="s">
        <v>20</v>
      </c>
      <c r="E723">
        <v>36</v>
      </c>
      <c r="F723">
        <v>0</v>
      </c>
      <c r="G723">
        <v>0</v>
      </c>
      <c r="H723">
        <v>349210</v>
      </c>
      <c r="I723">
        <v>7.4958</v>
      </c>
      <c r="K723" t="s">
        <v>17</v>
      </c>
      <c r="N723" t="s">
        <v>1241</v>
      </c>
    </row>
    <row r="724" spans="1:14" x14ac:dyDescent="0.3">
      <c r="A724">
        <v>3</v>
      </c>
      <c r="B724">
        <v>0</v>
      </c>
      <c r="C724" t="s">
        <v>1380</v>
      </c>
      <c r="D724" t="s">
        <v>20</v>
      </c>
      <c r="E724">
        <v>24</v>
      </c>
      <c r="F724">
        <v>0</v>
      </c>
      <c r="G724">
        <v>0</v>
      </c>
      <c r="H724">
        <v>349209</v>
      </c>
      <c r="I724">
        <v>7.4958</v>
      </c>
      <c r="K724" t="s">
        <v>17</v>
      </c>
    </row>
    <row r="725" spans="1:14" x14ac:dyDescent="0.3">
      <c r="A725">
        <v>3</v>
      </c>
      <c r="B725">
        <v>0</v>
      </c>
      <c r="C725" t="s">
        <v>1381</v>
      </c>
      <c r="D725" t="s">
        <v>20</v>
      </c>
      <c r="E725">
        <v>31</v>
      </c>
      <c r="F725">
        <v>0</v>
      </c>
      <c r="G725">
        <v>0</v>
      </c>
      <c r="H725">
        <v>21332</v>
      </c>
      <c r="I725">
        <v>7.7332999999999998</v>
      </c>
      <c r="K725" t="s">
        <v>463</v>
      </c>
      <c r="N725" t="s">
        <v>121</v>
      </c>
    </row>
    <row r="726" spans="1:14" x14ac:dyDescent="0.3">
      <c r="A726">
        <v>3</v>
      </c>
      <c r="B726">
        <v>0</v>
      </c>
      <c r="C726" t="s">
        <v>1382</v>
      </c>
      <c r="D726" t="s">
        <v>20</v>
      </c>
      <c r="E726">
        <v>31</v>
      </c>
      <c r="F726">
        <v>0</v>
      </c>
      <c r="G726">
        <v>0</v>
      </c>
      <c r="H726">
        <v>335097</v>
      </c>
      <c r="I726">
        <v>7.75</v>
      </c>
      <c r="K726" t="s">
        <v>463</v>
      </c>
      <c r="N726" t="s">
        <v>1383</v>
      </c>
    </row>
    <row r="727" spans="1:14" x14ac:dyDescent="0.3">
      <c r="A727">
        <v>3</v>
      </c>
      <c r="B727">
        <v>1</v>
      </c>
      <c r="C727" t="s">
        <v>1384</v>
      </c>
      <c r="D727" t="s">
        <v>15</v>
      </c>
      <c r="E727">
        <v>22</v>
      </c>
      <c r="F727">
        <v>0</v>
      </c>
      <c r="G727">
        <v>0</v>
      </c>
      <c r="H727">
        <v>370373</v>
      </c>
      <c r="I727">
        <v>7.75</v>
      </c>
      <c r="K727" t="s">
        <v>463</v>
      </c>
      <c r="L727">
        <v>13</v>
      </c>
      <c r="N727" t="s">
        <v>1385</v>
      </c>
    </row>
    <row r="728" spans="1:14" x14ac:dyDescent="0.3">
      <c r="A728">
        <v>3</v>
      </c>
      <c r="B728">
        <v>0</v>
      </c>
      <c r="C728" t="s">
        <v>1384</v>
      </c>
      <c r="D728" t="s">
        <v>15</v>
      </c>
      <c r="E728">
        <v>30</v>
      </c>
      <c r="F728">
        <v>0</v>
      </c>
      <c r="G728">
        <v>0</v>
      </c>
      <c r="H728">
        <v>330972</v>
      </c>
      <c r="I728">
        <v>7.6292</v>
      </c>
      <c r="K728" t="s">
        <v>463</v>
      </c>
      <c r="N728" t="s">
        <v>1385</v>
      </c>
    </row>
    <row r="729" spans="1:14" x14ac:dyDescent="0.3">
      <c r="A729">
        <v>3</v>
      </c>
      <c r="B729">
        <v>0</v>
      </c>
      <c r="C729" t="s">
        <v>1386</v>
      </c>
      <c r="D729" t="s">
        <v>20</v>
      </c>
      <c r="E729">
        <v>70.5</v>
      </c>
      <c r="F729">
        <v>0</v>
      </c>
      <c r="G729">
        <v>0</v>
      </c>
      <c r="H729">
        <v>370369</v>
      </c>
      <c r="I729">
        <v>7.75</v>
      </c>
      <c r="K729" t="s">
        <v>463</v>
      </c>
      <c r="M729">
        <v>171</v>
      </c>
    </row>
    <row r="730" spans="1:14" x14ac:dyDescent="0.3">
      <c r="A730">
        <v>3</v>
      </c>
      <c r="B730">
        <v>0</v>
      </c>
      <c r="C730" t="s">
        <v>1387</v>
      </c>
      <c r="D730" t="s">
        <v>20</v>
      </c>
      <c r="E730">
        <v>43</v>
      </c>
      <c r="F730">
        <v>0</v>
      </c>
      <c r="G730">
        <v>0</v>
      </c>
      <c r="H730" t="s">
        <v>1388</v>
      </c>
      <c r="I730">
        <v>8.0500000000000007</v>
      </c>
      <c r="K730" t="s">
        <v>17</v>
      </c>
    </row>
    <row r="731" spans="1:14" x14ac:dyDescent="0.3">
      <c r="A731">
        <v>3</v>
      </c>
      <c r="B731">
        <v>0</v>
      </c>
      <c r="C731" t="s">
        <v>1389</v>
      </c>
      <c r="D731" t="s">
        <v>20</v>
      </c>
      <c r="E731">
        <v>35</v>
      </c>
      <c r="F731">
        <v>0</v>
      </c>
      <c r="G731">
        <v>0</v>
      </c>
      <c r="H731">
        <v>349230</v>
      </c>
      <c r="I731">
        <v>7.8958000000000004</v>
      </c>
      <c r="K731" t="s">
        <v>17</v>
      </c>
      <c r="N731" t="s">
        <v>1390</v>
      </c>
    </row>
    <row r="732" spans="1:14" x14ac:dyDescent="0.3">
      <c r="A732">
        <v>3</v>
      </c>
      <c r="B732">
        <v>0</v>
      </c>
      <c r="C732" t="s">
        <v>1391</v>
      </c>
      <c r="D732" t="s">
        <v>20</v>
      </c>
      <c r="E732">
        <v>27</v>
      </c>
      <c r="F732">
        <v>0</v>
      </c>
      <c r="G732">
        <v>0</v>
      </c>
      <c r="H732">
        <v>349229</v>
      </c>
      <c r="I732">
        <v>7.8958000000000004</v>
      </c>
      <c r="K732" t="s">
        <v>17</v>
      </c>
      <c r="N732" t="s">
        <v>1390</v>
      </c>
    </row>
    <row r="733" spans="1:14" x14ac:dyDescent="0.3">
      <c r="A733">
        <v>3</v>
      </c>
      <c r="B733">
        <v>0</v>
      </c>
      <c r="C733" t="s">
        <v>1392</v>
      </c>
      <c r="D733" t="s">
        <v>20</v>
      </c>
      <c r="E733">
        <v>19</v>
      </c>
      <c r="F733">
        <v>0</v>
      </c>
      <c r="G733">
        <v>0</v>
      </c>
      <c r="H733">
        <v>349231</v>
      </c>
      <c r="I733">
        <v>7.8958000000000004</v>
      </c>
      <c r="K733" t="s">
        <v>17</v>
      </c>
      <c r="N733" t="s">
        <v>1390</v>
      </c>
    </row>
    <row r="734" spans="1:14" x14ac:dyDescent="0.3">
      <c r="A734">
        <v>3</v>
      </c>
      <c r="B734">
        <v>0</v>
      </c>
      <c r="C734" t="s">
        <v>1393</v>
      </c>
      <c r="D734" t="s">
        <v>20</v>
      </c>
      <c r="E734">
        <v>30</v>
      </c>
      <c r="F734">
        <v>0</v>
      </c>
      <c r="G734">
        <v>0</v>
      </c>
      <c r="H734" t="s">
        <v>1394</v>
      </c>
      <c r="I734">
        <v>8.0500000000000007</v>
      </c>
      <c r="K734" t="s">
        <v>17</v>
      </c>
      <c r="N734" t="s">
        <v>392</v>
      </c>
    </row>
    <row r="735" spans="1:14" x14ac:dyDescent="0.3">
      <c r="A735">
        <v>3</v>
      </c>
      <c r="B735">
        <v>1</v>
      </c>
      <c r="C735" t="s">
        <v>1395</v>
      </c>
      <c r="D735" t="s">
        <v>20</v>
      </c>
      <c r="E735">
        <v>9</v>
      </c>
      <c r="F735">
        <v>1</v>
      </c>
      <c r="G735">
        <v>1</v>
      </c>
      <c r="H735" t="s">
        <v>1396</v>
      </c>
      <c r="I735">
        <v>15.9</v>
      </c>
      <c r="K735" t="s">
        <v>17</v>
      </c>
      <c r="L735">
        <v>2</v>
      </c>
      <c r="N735" t="s">
        <v>1397</v>
      </c>
    </row>
    <row r="736" spans="1:14" x14ac:dyDescent="0.3">
      <c r="A736">
        <v>3</v>
      </c>
      <c r="B736">
        <v>1</v>
      </c>
      <c r="C736" t="s">
        <v>1398</v>
      </c>
      <c r="D736" t="s">
        <v>20</v>
      </c>
      <c r="E736">
        <v>3</v>
      </c>
      <c r="F736">
        <v>1</v>
      </c>
      <c r="G736">
        <v>1</v>
      </c>
      <c r="H736" t="s">
        <v>1396</v>
      </c>
      <c r="I736">
        <v>15.9</v>
      </c>
      <c r="K736" t="s">
        <v>17</v>
      </c>
      <c r="L736">
        <v>2</v>
      </c>
      <c r="N736" t="s">
        <v>1397</v>
      </c>
    </row>
    <row r="737" spans="1:14" x14ac:dyDescent="0.3">
      <c r="A737">
        <v>3</v>
      </c>
      <c r="B737">
        <v>1</v>
      </c>
      <c r="C737" t="s">
        <v>1399</v>
      </c>
      <c r="D737" t="s">
        <v>15</v>
      </c>
      <c r="E737">
        <v>36</v>
      </c>
      <c r="F737">
        <v>0</v>
      </c>
      <c r="G737">
        <v>2</v>
      </c>
      <c r="H737" t="s">
        <v>1396</v>
      </c>
      <c r="I737">
        <v>15.9</v>
      </c>
      <c r="K737" t="s">
        <v>17</v>
      </c>
      <c r="L737">
        <v>2</v>
      </c>
      <c r="N737" t="s">
        <v>1397</v>
      </c>
    </row>
    <row r="738" spans="1:14" x14ac:dyDescent="0.3">
      <c r="A738">
        <v>3</v>
      </c>
      <c r="B738">
        <v>0</v>
      </c>
      <c r="C738" t="s">
        <v>1400</v>
      </c>
      <c r="D738" t="s">
        <v>20</v>
      </c>
      <c r="E738">
        <v>59</v>
      </c>
      <c r="F738">
        <v>0</v>
      </c>
      <c r="G738">
        <v>0</v>
      </c>
      <c r="H738">
        <v>364500</v>
      </c>
      <c r="I738">
        <v>7.25</v>
      </c>
      <c r="K738" t="s">
        <v>17</v>
      </c>
      <c r="N738" t="s">
        <v>1401</v>
      </c>
    </row>
    <row r="739" spans="1:14" x14ac:dyDescent="0.3">
      <c r="A739">
        <v>3</v>
      </c>
      <c r="B739">
        <v>0</v>
      </c>
      <c r="C739" t="s">
        <v>1402</v>
      </c>
      <c r="D739" t="s">
        <v>20</v>
      </c>
      <c r="E739">
        <v>19</v>
      </c>
      <c r="F739">
        <v>0</v>
      </c>
      <c r="G739">
        <v>0</v>
      </c>
      <c r="H739" t="s">
        <v>1403</v>
      </c>
      <c r="I739">
        <v>8.1583000000000006</v>
      </c>
      <c r="K739" t="s">
        <v>17</v>
      </c>
      <c r="N739" t="s">
        <v>1404</v>
      </c>
    </row>
    <row r="740" spans="1:14" x14ac:dyDescent="0.3">
      <c r="A740">
        <v>3</v>
      </c>
      <c r="B740">
        <v>1</v>
      </c>
      <c r="C740" t="s">
        <v>1405</v>
      </c>
      <c r="D740" t="s">
        <v>15</v>
      </c>
      <c r="E740">
        <v>17</v>
      </c>
      <c r="F740">
        <v>0</v>
      </c>
      <c r="G740">
        <v>1</v>
      </c>
      <c r="H740">
        <v>371362</v>
      </c>
      <c r="I740">
        <v>16.100000000000001</v>
      </c>
      <c r="K740" t="s">
        <v>17</v>
      </c>
      <c r="L740">
        <v>12</v>
      </c>
      <c r="N740" t="s">
        <v>1406</v>
      </c>
    </row>
    <row r="741" spans="1:14" x14ac:dyDescent="0.3">
      <c r="A741">
        <v>3</v>
      </c>
      <c r="B741">
        <v>0</v>
      </c>
      <c r="C741" t="s">
        <v>1407</v>
      </c>
      <c r="D741" t="s">
        <v>20</v>
      </c>
      <c r="E741">
        <v>44</v>
      </c>
      <c r="F741">
        <v>0</v>
      </c>
      <c r="G741">
        <v>1</v>
      </c>
      <c r="H741">
        <v>371362</v>
      </c>
      <c r="I741">
        <v>16.100000000000001</v>
      </c>
      <c r="K741" t="s">
        <v>17</v>
      </c>
      <c r="N741" t="s">
        <v>1406</v>
      </c>
    </row>
    <row r="742" spans="1:14" x14ac:dyDescent="0.3">
      <c r="A742">
        <v>3</v>
      </c>
      <c r="B742">
        <v>0</v>
      </c>
      <c r="C742" t="s">
        <v>1408</v>
      </c>
      <c r="D742" t="s">
        <v>20</v>
      </c>
      <c r="E742">
        <v>17</v>
      </c>
      <c r="F742">
        <v>0</v>
      </c>
      <c r="G742">
        <v>0</v>
      </c>
      <c r="H742">
        <v>315090</v>
      </c>
      <c r="I742">
        <v>8.6624999999999996</v>
      </c>
      <c r="K742" t="s">
        <v>17</v>
      </c>
      <c r="N742" t="s">
        <v>1409</v>
      </c>
    </row>
    <row r="743" spans="1:14" x14ac:dyDescent="0.3">
      <c r="A743">
        <v>3</v>
      </c>
      <c r="B743">
        <v>0</v>
      </c>
      <c r="C743" t="s">
        <v>1410</v>
      </c>
      <c r="D743" t="s">
        <v>20</v>
      </c>
      <c r="E743">
        <v>22.5</v>
      </c>
      <c r="F743">
        <v>0</v>
      </c>
      <c r="G743">
        <v>0</v>
      </c>
      <c r="H743">
        <v>2698</v>
      </c>
      <c r="I743">
        <v>7.2249999999999996</v>
      </c>
      <c r="K743" t="s">
        <v>41</v>
      </c>
      <c r="M743">
        <v>9</v>
      </c>
    </row>
    <row r="744" spans="1:14" x14ac:dyDescent="0.3">
      <c r="A744">
        <v>3</v>
      </c>
      <c r="B744">
        <v>1</v>
      </c>
      <c r="C744" t="s">
        <v>1411</v>
      </c>
      <c r="D744" t="s">
        <v>20</v>
      </c>
      <c r="E744">
        <v>45</v>
      </c>
      <c r="F744">
        <v>0</v>
      </c>
      <c r="G744">
        <v>0</v>
      </c>
      <c r="H744">
        <v>7598</v>
      </c>
      <c r="I744">
        <v>8.0500000000000007</v>
      </c>
      <c r="K744" t="s">
        <v>17</v>
      </c>
      <c r="L744">
        <v>15</v>
      </c>
      <c r="N744" t="s">
        <v>1412</v>
      </c>
    </row>
    <row r="745" spans="1:14" x14ac:dyDescent="0.3">
      <c r="A745">
        <v>3</v>
      </c>
      <c r="B745">
        <v>0</v>
      </c>
      <c r="C745" t="s">
        <v>1413</v>
      </c>
      <c r="D745" t="s">
        <v>15</v>
      </c>
      <c r="E745">
        <v>22</v>
      </c>
      <c r="F745">
        <v>0</v>
      </c>
      <c r="G745">
        <v>0</v>
      </c>
      <c r="H745">
        <v>7552</v>
      </c>
      <c r="I745">
        <v>10.5167</v>
      </c>
      <c r="K745" t="s">
        <v>17</v>
      </c>
      <c r="N745" t="s">
        <v>1414</v>
      </c>
    </row>
    <row r="746" spans="1:14" x14ac:dyDescent="0.3">
      <c r="A746">
        <v>3</v>
      </c>
      <c r="B746">
        <v>0</v>
      </c>
      <c r="C746" t="s">
        <v>1415</v>
      </c>
      <c r="D746" t="s">
        <v>20</v>
      </c>
      <c r="E746">
        <v>19</v>
      </c>
      <c r="F746">
        <v>0</v>
      </c>
      <c r="G746">
        <v>0</v>
      </c>
      <c r="H746">
        <v>349228</v>
      </c>
      <c r="I746">
        <v>10.1708</v>
      </c>
      <c r="K746" t="s">
        <v>17</v>
      </c>
      <c r="N746" t="s">
        <v>1390</v>
      </c>
    </row>
    <row r="747" spans="1:14" x14ac:dyDescent="0.3">
      <c r="A747">
        <v>3</v>
      </c>
      <c r="B747">
        <v>1</v>
      </c>
      <c r="C747" t="s">
        <v>1416</v>
      </c>
      <c r="D747" t="s">
        <v>15</v>
      </c>
      <c r="E747">
        <v>30</v>
      </c>
      <c r="F747">
        <v>0</v>
      </c>
      <c r="G747">
        <v>0</v>
      </c>
      <c r="H747">
        <v>382650</v>
      </c>
      <c r="I747">
        <v>6.95</v>
      </c>
      <c r="K747" t="s">
        <v>463</v>
      </c>
      <c r="L747">
        <v>15</v>
      </c>
      <c r="N747" t="s">
        <v>1417</v>
      </c>
    </row>
    <row r="748" spans="1:14" x14ac:dyDescent="0.3">
      <c r="A748">
        <v>3</v>
      </c>
      <c r="B748">
        <v>1</v>
      </c>
      <c r="C748" t="s">
        <v>1418</v>
      </c>
      <c r="D748" t="s">
        <v>20</v>
      </c>
      <c r="E748">
        <v>29</v>
      </c>
      <c r="F748">
        <v>0</v>
      </c>
      <c r="G748">
        <v>0</v>
      </c>
      <c r="H748">
        <v>382651</v>
      </c>
      <c r="I748">
        <v>7.75</v>
      </c>
      <c r="K748" t="s">
        <v>463</v>
      </c>
      <c r="L748" t="s">
        <v>1419</v>
      </c>
      <c r="N748" t="s">
        <v>1417</v>
      </c>
    </row>
    <row r="749" spans="1:14" x14ac:dyDescent="0.3">
      <c r="A749">
        <v>3</v>
      </c>
      <c r="B749">
        <v>0</v>
      </c>
      <c r="C749" t="s">
        <v>1420</v>
      </c>
      <c r="D749" t="s">
        <v>20</v>
      </c>
      <c r="E749">
        <v>0.33</v>
      </c>
      <c r="F749">
        <v>0</v>
      </c>
      <c r="G749">
        <v>2</v>
      </c>
      <c r="H749">
        <v>347080</v>
      </c>
      <c r="I749">
        <v>14.4</v>
      </c>
      <c r="K749" t="s">
        <v>17</v>
      </c>
      <c r="N749" t="s">
        <v>1421</v>
      </c>
    </row>
    <row r="750" spans="1:14" x14ac:dyDescent="0.3">
      <c r="A750">
        <v>3</v>
      </c>
      <c r="B750">
        <v>0</v>
      </c>
      <c r="C750" t="s">
        <v>1422</v>
      </c>
      <c r="D750" t="s">
        <v>20</v>
      </c>
      <c r="E750">
        <v>34</v>
      </c>
      <c r="F750">
        <v>1</v>
      </c>
      <c r="G750">
        <v>1</v>
      </c>
      <c r="H750">
        <v>347080</v>
      </c>
      <c r="I750">
        <v>14.4</v>
      </c>
      <c r="K750" t="s">
        <v>17</v>
      </c>
      <c r="M750">
        <v>197</v>
      </c>
      <c r="N750" t="s">
        <v>1421</v>
      </c>
    </row>
    <row r="751" spans="1:14" x14ac:dyDescent="0.3">
      <c r="A751">
        <v>3</v>
      </c>
      <c r="B751">
        <v>0</v>
      </c>
      <c r="C751" t="s">
        <v>1423</v>
      </c>
      <c r="D751" t="s">
        <v>15</v>
      </c>
      <c r="E751">
        <v>28</v>
      </c>
      <c r="F751">
        <v>1</v>
      </c>
      <c r="G751">
        <v>1</v>
      </c>
      <c r="H751">
        <v>347080</v>
      </c>
      <c r="I751">
        <v>14.4</v>
      </c>
      <c r="K751" t="s">
        <v>17</v>
      </c>
      <c r="N751" t="s">
        <v>1421</v>
      </c>
    </row>
    <row r="752" spans="1:14" x14ac:dyDescent="0.3">
      <c r="A752">
        <v>3</v>
      </c>
      <c r="B752">
        <v>0</v>
      </c>
      <c r="C752" t="s">
        <v>1424</v>
      </c>
      <c r="D752" t="s">
        <v>20</v>
      </c>
      <c r="E752">
        <v>27</v>
      </c>
      <c r="F752">
        <v>0</v>
      </c>
      <c r="G752">
        <v>0</v>
      </c>
      <c r="H752">
        <v>349219</v>
      </c>
      <c r="I752">
        <v>7.8958000000000004</v>
      </c>
      <c r="K752" t="s">
        <v>17</v>
      </c>
      <c r="N752" t="s">
        <v>1241</v>
      </c>
    </row>
    <row r="753" spans="1:14" x14ac:dyDescent="0.3">
      <c r="A753">
        <v>3</v>
      </c>
      <c r="B753">
        <v>0</v>
      </c>
      <c r="C753" t="s">
        <v>1425</v>
      </c>
      <c r="D753" t="s">
        <v>20</v>
      </c>
      <c r="E753">
        <v>25</v>
      </c>
      <c r="F753">
        <v>0</v>
      </c>
      <c r="G753">
        <v>0</v>
      </c>
      <c r="H753">
        <v>349203</v>
      </c>
      <c r="I753">
        <v>7.8958000000000004</v>
      </c>
      <c r="K753" t="s">
        <v>17</v>
      </c>
      <c r="N753" t="s">
        <v>1241</v>
      </c>
    </row>
    <row r="754" spans="1:14" x14ac:dyDescent="0.3">
      <c r="A754">
        <v>3</v>
      </c>
      <c r="B754">
        <v>0</v>
      </c>
      <c r="C754" t="s">
        <v>1426</v>
      </c>
      <c r="D754" t="s">
        <v>20</v>
      </c>
      <c r="E754">
        <v>24</v>
      </c>
      <c r="F754">
        <v>2</v>
      </c>
      <c r="G754">
        <v>0</v>
      </c>
      <c r="H754" t="s">
        <v>1427</v>
      </c>
      <c r="I754">
        <v>24.15</v>
      </c>
      <c r="K754" t="s">
        <v>17</v>
      </c>
      <c r="N754" t="s">
        <v>1428</v>
      </c>
    </row>
    <row r="755" spans="1:14" x14ac:dyDescent="0.3">
      <c r="A755">
        <v>3</v>
      </c>
      <c r="B755">
        <v>0</v>
      </c>
      <c r="C755" t="s">
        <v>1429</v>
      </c>
      <c r="D755" t="s">
        <v>20</v>
      </c>
      <c r="E755">
        <v>22</v>
      </c>
      <c r="F755">
        <v>0</v>
      </c>
      <c r="G755">
        <v>0</v>
      </c>
      <c r="H755" t="s">
        <v>1430</v>
      </c>
      <c r="I755">
        <v>8.0500000000000007</v>
      </c>
      <c r="K755" t="s">
        <v>17</v>
      </c>
    </row>
    <row r="756" spans="1:14" x14ac:dyDescent="0.3">
      <c r="A756">
        <v>3</v>
      </c>
      <c r="B756">
        <v>0</v>
      </c>
      <c r="C756" t="s">
        <v>1431</v>
      </c>
      <c r="D756" t="s">
        <v>20</v>
      </c>
      <c r="E756">
        <v>21</v>
      </c>
      <c r="F756">
        <v>2</v>
      </c>
      <c r="G756">
        <v>0</v>
      </c>
      <c r="H756" t="s">
        <v>1427</v>
      </c>
      <c r="I756">
        <v>24.15</v>
      </c>
      <c r="K756" t="s">
        <v>17</v>
      </c>
      <c r="N756" t="s">
        <v>1428</v>
      </c>
    </row>
    <row r="757" spans="1:14" x14ac:dyDescent="0.3">
      <c r="A757">
        <v>3</v>
      </c>
      <c r="B757">
        <v>0</v>
      </c>
      <c r="C757" t="s">
        <v>1432</v>
      </c>
      <c r="D757" t="s">
        <v>20</v>
      </c>
      <c r="E757">
        <v>17</v>
      </c>
      <c r="F757">
        <v>2</v>
      </c>
      <c r="G757">
        <v>0</v>
      </c>
      <c r="H757" t="s">
        <v>1433</v>
      </c>
      <c r="I757">
        <v>8.0500000000000007</v>
      </c>
      <c r="K757" t="s">
        <v>17</v>
      </c>
      <c r="N757" t="s">
        <v>1428</v>
      </c>
    </row>
    <row r="758" spans="1:14" x14ac:dyDescent="0.3">
      <c r="A758">
        <v>3</v>
      </c>
      <c r="B758">
        <v>0</v>
      </c>
      <c r="C758" t="s">
        <v>1434</v>
      </c>
      <c r="D758" t="s">
        <v>20</v>
      </c>
      <c r="F758">
        <v>1</v>
      </c>
      <c r="G758">
        <v>0</v>
      </c>
      <c r="H758">
        <v>386525</v>
      </c>
      <c r="I758">
        <v>16.100000000000001</v>
      </c>
      <c r="K758" t="s">
        <v>17</v>
      </c>
      <c r="N758" t="s">
        <v>1435</v>
      </c>
    </row>
    <row r="759" spans="1:14" x14ac:dyDescent="0.3">
      <c r="A759">
        <v>3</v>
      </c>
      <c r="B759">
        <v>1</v>
      </c>
      <c r="C759" t="s">
        <v>1436</v>
      </c>
      <c r="D759" t="s">
        <v>15</v>
      </c>
      <c r="F759">
        <v>1</v>
      </c>
      <c r="G759">
        <v>0</v>
      </c>
      <c r="H759">
        <v>386525</v>
      </c>
      <c r="I759">
        <v>16.100000000000001</v>
      </c>
      <c r="K759" t="s">
        <v>17</v>
      </c>
      <c r="L759">
        <v>16</v>
      </c>
      <c r="N759" t="s">
        <v>1435</v>
      </c>
    </row>
    <row r="760" spans="1:14" x14ac:dyDescent="0.3">
      <c r="A760">
        <v>3</v>
      </c>
      <c r="B760">
        <v>1</v>
      </c>
      <c r="C760" t="s">
        <v>1437</v>
      </c>
      <c r="D760" t="s">
        <v>20</v>
      </c>
      <c r="E760">
        <v>36.5</v>
      </c>
      <c r="F760">
        <v>1</v>
      </c>
      <c r="G760">
        <v>0</v>
      </c>
      <c r="H760">
        <v>345572</v>
      </c>
      <c r="I760">
        <v>17.399999999999999</v>
      </c>
      <c r="K760" t="s">
        <v>17</v>
      </c>
      <c r="L760">
        <v>15</v>
      </c>
      <c r="N760" t="s">
        <v>1438</v>
      </c>
    </row>
    <row r="761" spans="1:14" x14ac:dyDescent="0.3">
      <c r="A761">
        <v>3</v>
      </c>
      <c r="B761">
        <v>1</v>
      </c>
      <c r="C761" t="s">
        <v>1439</v>
      </c>
      <c r="D761" t="s">
        <v>15</v>
      </c>
      <c r="E761">
        <v>36</v>
      </c>
      <c r="F761">
        <v>1</v>
      </c>
      <c r="G761">
        <v>0</v>
      </c>
      <c r="H761">
        <v>345572</v>
      </c>
      <c r="I761">
        <v>17.399999999999999</v>
      </c>
      <c r="K761" t="s">
        <v>17</v>
      </c>
      <c r="L761">
        <v>13</v>
      </c>
      <c r="N761" t="s">
        <v>1438</v>
      </c>
    </row>
    <row r="762" spans="1:14" x14ac:dyDescent="0.3">
      <c r="A762">
        <v>3</v>
      </c>
      <c r="B762">
        <v>1</v>
      </c>
      <c r="C762" t="s">
        <v>1440</v>
      </c>
      <c r="D762" t="s">
        <v>20</v>
      </c>
      <c r="E762">
        <v>30</v>
      </c>
      <c r="F762">
        <v>0</v>
      </c>
      <c r="G762">
        <v>0</v>
      </c>
      <c r="H762">
        <v>345774</v>
      </c>
      <c r="I762">
        <v>9.5</v>
      </c>
      <c r="K762" t="s">
        <v>17</v>
      </c>
      <c r="L762">
        <v>11</v>
      </c>
      <c r="N762" t="s">
        <v>1441</v>
      </c>
    </row>
    <row r="763" spans="1:14" x14ac:dyDescent="0.3">
      <c r="A763">
        <v>3</v>
      </c>
      <c r="B763">
        <v>0</v>
      </c>
      <c r="C763" t="s">
        <v>1442</v>
      </c>
      <c r="D763" t="s">
        <v>20</v>
      </c>
      <c r="E763">
        <v>16</v>
      </c>
      <c r="F763">
        <v>0</v>
      </c>
      <c r="G763">
        <v>0</v>
      </c>
      <c r="H763">
        <v>345778</v>
      </c>
      <c r="I763">
        <v>9.5</v>
      </c>
      <c r="K763" t="s">
        <v>17</v>
      </c>
    </row>
    <row r="764" spans="1:14" x14ac:dyDescent="0.3">
      <c r="A764">
        <v>3</v>
      </c>
      <c r="B764">
        <v>1</v>
      </c>
      <c r="C764" t="s">
        <v>1443</v>
      </c>
      <c r="D764" t="s">
        <v>20</v>
      </c>
      <c r="E764">
        <v>1</v>
      </c>
      <c r="F764">
        <v>1</v>
      </c>
      <c r="G764">
        <v>2</v>
      </c>
      <c r="H764" t="s">
        <v>1444</v>
      </c>
      <c r="I764">
        <v>20.574999999999999</v>
      </c>
      <c r="K764" t="s">
        <v>17</v>
      </c>
      <c r="L764">
        <v>10</v>
      </c>
      <c r="N764" t="s">
        <v>1445</v>
      </c>
    </row>
    <row r="765" spans="1:14" x14ac:dyDescent="0.3">
      <c r="A765">
        <v>3</v>
      </c>
      <c r="B765">
        <v>1</v>
      </c>
      <c r="C765" t="s">
        <v>1446</v>
      </c>
      <c r="D765" t="s">
        <v>15</v>
      </c>
      <c r="E765">
        <v>0.17</v>
      </c>
      <c r="F765">
        <v>1</v>
      </c>
      <c r="G765">
        <v>2</v>
      </c>
      <c r="H765" t="s">
        <v>1444</v>
      </c>
      <c r="I765">
        <v>20.574999999999999</v>
      </c>
      <c r="K765" t="s">
        <v>17</v>
      </c>
      <c r="L765">
        <v>10</v>
      </c>
      <c r="N765" t="s">
        <v>1445</v>
      </c>
    </row>
    <row r="766" spans="1:14" x14ac:dyDescent="0.3">
      <c r="A766">
        <v>3</v>
      </c>
      <c r="B766">
        <v>0</v>
      </c>
      <c r="C766" t="s">
        <v>1447</v>
      </c>
      <c r="D766" t="s">
        <v>20</v>
      </c>
      <c r="E766">
        <v>26</v>
      </c>
      <c r="F766">
        <v>1</v>
      </c>
      <c r="G766">
        <v>2</v>
      </c>
      <c r="H766" t="s">
        <v>1444</v>
      </c>
      <c r="I766">
        <v>20.574999999999999</v>
      </c>
      <c r="K766" t="s">
        <v>17</v>
      </c>
      <c r="N766" t="s">
        <v>1445</v>
      </c>
    </row>
    <row r="767" spans="1:14" x14ac:dyDescent="0.3">
      <c r="A767">
        <v>3</v>
      </c>
      <c r="B767">
        <v>1</v>
      </c>
      <c r="C767" t="s">
        <v>1448</v>
      </c>
      <c r="D767" t="s">
        <v>15</v>
      </c>
      <c r="E767">
        <v>33</v>
      </c>
      <c r="F767">
        <v>1</v>
      </c>
      <c r="G767">
        <v>2</v>
      </c>
      <c r="H767" t="s">
        <v>1444</v>
      </c>
      <c r="I767">
        <v>20.574999999999999</v>
      </c>
      <c r="K767" t="s">
        <v>17</v>
      </c>
      <c r="L767">
        <v>10</v>
      </c>
      <c r="N767" t="s">
        <v>1445</v>
      </c>
    </row>
    <row r="768" spans="1:14" x14ac:dyDescent="0.3">
      <c r="A768">
        <v>3</v>
      </c>
      <c r="B768">
        <v>0</v>
      </c>
      <c r="C768" t="s">
        <v>1449</v>
      </c>
      <c r="D768" t="s">
        <v>20</v>
      </c>
      <c r="E768">
        <v>25</v>
      </c>
      <c r="F768">
        <v>0</v>
      </c>
      <c r="G768">
        <v>0</v>
      </c>
      <c r="H768">
        <v>349250</v>
      </c>
      <c r="I768">
        <v>7.8958000000000004</v>
      </c>
      <c r="K768" t="s">
        <v>17</v>
      </c>
    </row>
    <row r="769" spans="1:14" x14ac:dyDescent="0.3">
      <c r="A769">
        <v>3</v>
      </c>
      <c r="B769">
        <v>0</v>
      </c>
      <c r="C769" t="s">
        <v>1450</v>
      </c>
      <c r="D769" t="s">
        <v>20</v>
      </c>
      <c r="F769">
        <v>0</v>
      </c>
      <c r="G769">
        <v>0</v>
      </c>
      <c r="H769">
        <v>349238</v>
      </c>
      <c r="I769">
        <v>7.8958000000000004</v>
      </c>
      <c r="K769" t="s">
        <v>17</v>
      </c>
    </row>
    <row r="770" spans="1:14" x14ac:dyDescent="0.3">
      <c r="A770">
        <v>3</v>
      </c>
      <c r="B770">
        <v>0</v>
      </c>
      <c r="C770" t="s">
        <v>1451</v>
      </c>
      <c r="D770" t="s">
        <v>20</v>
      </c>
      <c r="F770">
        <v>0</v>
      </c>
      <c r="G770">
        <v>0</v>
      </c>
      <c r="H770">
        <v>349225</v>
      </c>
      <c r="I770">
        <v>7.8958000000000004</v>
      </c>
      <c r="K770" t="s">
        <v>17</v>
      </c>
      <c r="N770" t="s">
        <v>1452</v>
      </c>
    </row>
    <row r="771" spans="1:14" x14ac:dyDescent="0.3">
      <c r="A771">
        <v>3</v>
      </c>
      <c r="B771">
        <v>0</v>
      </c>
      <c r="C771" t="s">
        <v>1453</v>
      </c>
      <c r="D771" t="s">
        <v>20</v>
      </c>
      <c r="E771">
        <v>22</v>
      </c>
      <c r="F771">
        <v>0</v>
      </c>
      <c r="G771">
        <v>0</v>
      </c>
      <c r="H771" t="s">
        <v>1454</v>
      </c>
      <c r="I771">
        <v>7.25</v>
      </c>
      <c r="K771" t="s">
        <v>17</v>
      </c>
    </row>
    <row r="772" spans="1:14" x14ac:dyDescent="0.3">
      <c r="A772">
        <v>3</v>
      </c>
      <c r="B772">
        <v>0</v>
      </c>
      <c r="C772" t="s">
        <v>1455</v>
      </c>
      <c r="D772" t="s">
        <v>20</v>
      </c>
      <c r="E772">
        <v>36</v>
      </c>
      <c r="F772">
        <v>0</v>
      </c>
      <c r="G772">
        <v>0</v>
      </c>
      <c r="H772" t="s">
        <v>1456</v>
      </c>
      <c r="I772">
        <v>7.25</v>
      </c>
      <c r="K772" t="s">
        <v>17</v>
      </c>
    </row>
    <row r="773" spans="1:14" x14ac:dyDescent="0.3">
      <c r="A773">
        <v>3</v>
      </c>
      <c r="B773">
        <v>1</v>
      </c>
      <c r="C773" t="s">
        <v>1457</v>
      </c>
      <c r="D773" t="s">
        <v>15</v>
      </c>
      <c r="E773">
        <v>19</v>
      </c>
      <c r="F773">
        <v>0</v>
      </c>
      <c r="G773">
        <v>0</v>
      </c>
      <c r="H773">
        <v>330958</v>
      </c>
      <c r="I773">
        <v>7.8792</v>
      </c>
      <c r="K773" t="s">
        <v>463</v>
      </c>
      <c r="L773" t="s">
        <v>41</v>
      </c>
      <c r="N773" t="s">
        <v>1458</v>
      </c>
    </row>
    <row r="774" spans="1:14" x14ac:dyDescent="0.3">
      <c r="A774">
        <v>3</v>
      </c>
      <c r="B774">
        <v>0</v>
      </c>
      <c r="C774" t="s">
        <v>1459</v>
      </c>
      <c r="D774" t="s">
        <v>20</v>
      </c>
      <c r="E774">
        <v>17</v>
      </c>
      <c r="F774">
        <v>0</v>
      </c>
      <c r="G774">
        <v>0</v>
      </c>
      <c r="H774">
        <v>349232</v>
      </c>
      <c r="I774">
        <v>7.8958000000000004</v>
      </c>
      <c r="K774" t="s">
        <v>17</v>
      </c>
    </row>
    <row r="775" spans="1:14" x14ac:dyDescent="0.3">
      <c r="A775">
        <v>3</v>
      </c>
      <c r="B775">
        <v>0</v>
      </c>
      <c r="C775" t="s">
        <v>1460</v>
      </c>
      <c r="D775" t="s">
        <v>20</v>
      </c>
      <c r="E775">
        <v>42</v>
      </c>
      <c r="F775">
        <v>0</v>
      </c>
      <c r="G775">
        <v>0</v>
      </c>
      <c r="H775">
        <v>315088</v>
      </c>
      <c r="I775">
        <v>8.6624999999999996</v>
      </c>
      <c r="K775" t="s">
        <v>17</v>
      </c>
    </row>
    <row r="776" spans="1:14" x14ac:dyDescent="0.3">
      <c r="A776">
        <v>3</v>
      </c>
      <c r="B776">
        <v>0</v>
      </c>
      <c r="C776" t="s">
        <v>1461</v>
      </c>
      <c r="D776" t="s">
        <v>20</v>
      </c>
      <c r="E776">
        <v>43</v>
      </c>
      <c r="F776">
        <v>0</v>
      </c>
      <c r="G776">
        <v>0</v>
      </c>
      <c r="H776">
        <v>349226</v>
      </c>
      <c r="I776">
        <v>7.8958000000000004</v>
      </c>
      <c r="K776" t="s">
        <v>17</v>
      </c>
    </row>
    <row r="777" spans="1:14" x14ac:dyDescent="0.3">
      <c r="A777">
        <v>3</v>
      </c>
      <c r="B777">
        <v>0</v>
      </c>
      <c r="C777" t="s">
        <v>1462</v>
      </c>
      <c r="D777" t="s">
        <v>20</v>
      </c>
      <c r="F777">
        <v>0</v>
      </c>
      <c r="G777">
        <v>0</v>
      </c>
      <c r="H777">
        <v>2686</v>
      </c>
      <c r="I777">
        <v>7.2291999999999996</v>
      </c>
      <c r="K777" t="s">
        <v>41</v>
      </c>
    </row>
    <row r="778" spans="1:14" x14ac:dyDescent="0.3">
      <c r="A778">
        <v>3</v>
      </c>
      <c r="B778">
        <v>0</v>
      </c>
      <c r="C778" t="s">
        <v>1463</v>
      </c>
      <c r="D778" t="s">
        <v>20</v>
      </c>
      <c r="E778">
        <v>32</v>
      </c>
      <c r="F778">
        <v>0</v>
      </c>
      <c r="G778">
        <v>0</v>
      </c>
      <c r="H778">
        <v>370376</v>
      </c>
      <c r="I778">
        <v>7.75</v>
      </c>
      <c r="K778" t="s">
        <v>463</v>
      </c>
      <c r="N778" t="s">
        <v>1365</v>
      </c>
    </row>
    <row r="779" spans="1:14" x14ac:dyDescent="0.3">
      <c r="A779">
        <v>3</v>
      </c>
      <c r="B779">
        <v>1</v>
      </c>
      <c r="C779" t="s">
        <v>1464</v>
      </c>
      <c r="D779" t="s">
        <v>20</v>
      </c>
      <c r="E779">
        <v>19</v>
      </c>
      <c r="F779">
        <v>0</v>
      </c>
      <c r="G779">
        <v>0</v>
      </c>
      <c r="H779" t="s">
        <v>1465</v>
      </c>
      <c r="I779">
        <v>8.0500000000000007</v>
      </c>
      <c r="K779" t="s">
        <v>17</v>
      </c>
      <c r="L779" t="s">
        <v>54</v>
      </c>
      <c r="N779" t="s">
        <v>1466</v>
      </c>
    </row>
    <row r="780" spans="1:14" x14ac:dyDescent="0.3">
      <c r="A780">
        <v>3</v>
      </c>
      <c r="B780">
        <v>1</v>
      </c>
      <c r="C780" t="s">
        <v>1467</v>
      </c>
      <c r="D780" t="s">
        <v>15</v>
      </c>
      <c r="E780">
        <v>30</v>
      </c>
      <c r="F780">
        <v>0</v>
      </c>
      <c r="G780">
        <v>0</v>
      </c>
      <c r="H780">
        <v>364516</v>
      </c>
      <c r="I780">
        <v>12.475</v>
      </c>
      <c r="K780" t="s">
        <v>17</v>
      </c>
      <c r="L780">
        <v>13</v>
      </c>
      <c r="N780" t="s">
        <v>1468</v>
      </c>
    </row>
    <row r="781" spans="1:14" x14ac:dyDescent="0.3">
      <c r="A781">
        <v>3</v>
      </c>
      <c r="B781">
        <v>0</v>
      </c>
      <c r="C781" t="s">
        <v>1469</v>
      </c>
      <c r="D781" t="s">
        <v>15</v>
      </c>
      <c r="E781">
        <v>24</v>
      </c>
      <c r="F781">
        <v>0</v>
      </c>
      <c r="G781">
        <v>0</v>
      </c>
      <c r="H781">
        <v>368702</v>
      </c>
      <c r="I781">
        <v>7.75</v>
      </c>
      <c r="K781" t="s">
        <v>463</v>
      </c>
      <c r="N781" t="s">
        <v>1365</v>
      </c>
    </row>
    <row r="782" spans="1:14" x14ac:dyDescent="0.3">
      <c r="A782">
        <v>3</v>
      </c>
      <c r="B782">
        <v>1</v>
      </c>
      <c r="C782" t="s">
        <v>1470</v>
      </c>
      <c r="D782" t="s">
        <v>15</v>
      </c>
      <c r="E782">
        <v>23</v>
      </c>
      <c r="F782">
        <v>0</v>
      </c>
      <c r="G782">
        <v>0</v>
      </c>
      <c r="H782" t="s">
        <v>1471</v>
      </c>
      <c r="I782">
        <v>8.0500000000000007</v>
      </c>
      <c r="K782" t="s">
        <v>17</v>
      </c>
      <c r="N782" t="s">
        <v>1472</v>
      </c>
    </row>
    <row r="783" spans="1:14" x14ac:dyDescent="0.3">
      <c r="A783">
        <v>3</v>
      </c>
      <c r="B783">
        <v>0</v>
      </c>
      <c r="C783" t="s">
        <v>1473</v>
      </c>
      <c r="D783" t="s">
        <v>20</v>
      </c>
      <c r="E783">
        <v>33</v>
      </c>
      <c r="F783">
        <v>0</v>
      </c>
      <c r="G783">
        <v>0</v>
      </c>
      <c r="H783">
        <v>349241</v>
      </c>
      <c r="I783">
        <v>7.8958000000000004</v>
      </c>
      <c r="K783" t="s">
        <v>41</v>
      </c>
      <c r="M783">
        <v>51</v>
      </c>
      <c r="N783" t="s">
        <v>1474</v>
      </c>
    </row>
    <row r="784" spans="1:14" x14ac:dyDescent="0.3">
      <c r="A784">
        <v>3</v>
      </c>
      <c r="B784">
        <v>0</v>
      </c>
      <c r="C784" t="s">
        <v>1475</v>
      </c>
      <c r="D784" t="s">
        <v>20</v>
      </c>
      <c r="E784">
        <v>65</v>
      </c>
      <c r="F784">
        <v>0</v>
      </c>
      <c r="G784">
        <v>0</v>
      </c>
      <c r="H784">
        <v>336439</v>
      </c>
      <c r="I784">
        <v>7.75</v>
      </c>
      <c r="K784" t="s">
        <v>463</v>
      </c>
    </row>
    <row r="785" spans="1:14" x14ac:dyDescent="0.3">
      <c r="A785">
        <v>3</v>
      </c>
      <c r="B785">
        <v>1</v>
      </c>
      <c r="C785" t="s">
        <v>1476</v>
      </c>
      <c r="D785" t="s">
        <v>20</v>
      </c>
      <c r="E785">
        <v>24</v>
      </c>
      <c r="F785">
        <v>0</v>
      </c>
      <c r="G785">
        <v>0</v>
      </c>
      <c r="H785" t="s">
        <v>1477</v>
      </c>
      <c r="I785">
        <v>7.55</v>
      </c>
      <c r="K785" t="s">
        <v>17</v>
      </c>
      <c r="L785" t="s">
        <v>37</v>
      </c>
      <c r="N785" t="s">
        <v>1206</v>
      </c>
    </row>
    <row r="786" spans="1:14" x14ac:dyDescent="0.3">
      <c r="A786">
        <v>3</v>
      </c>
      <c r="B786">
        <v>0</v>
      </c>
      <c r="C786" t="s">
        <v>1478</v>
      </c>
      <c r="D786" t="s">
        <v>20</v>
      </c>
      <c r="E786">
        <v>23</v>
      </c>
      <c r="F786">
        <v>1</v>
      </c>
      <c r="G786">
        <v>0</v>
      </c>
      <c r="H786">
        <v>347072</v>
      </c>
      <c r="I786">
        <v>13.9</v>
      </c>
      <c r="K786" t="s">
        <v>17</v>
      </c>
      <c r="N786" t="s">
        <v>1479</v>
      </c>
    </row>
    <row r="787" spans="1:14" x14ac:dyDescent="0.3">
      <c r="A787">
        <v>3</v>
      </c>
      <c r="B787">
        <v>1</v>
      </c>
      <c r="C787" t="s">
        <v>1480</v>
      </c>
      <c r="D787" t="s">
        <v>15</v>
      </c>
      <c r="E787">
        <v>22</v>
      </c>
      <c r="F787">
        <v>1</v>
      </c>
      <c r="G787">
        <v>0</v>
      </c>
      <c r="H787">
        <v>347072</v>
      </c>
      <c r="I787">
        <v>13.9</v>
      </c>
      <c r="K787" t="s">
        <v>17</v>
      </c>
      <c r="L787">
        <v>16</v>
      </c>
      <c r="N787" t="s">
        <v>1479</v>
      </c>
    </row>
    <row r="788" spans="1:14" x14ac:dyDescent="0.3">
      <c r="A788">
        <v>3</v>
      </c>
      <c r="B788">
        <v>0</v>
      </c>
      <c r="C788" t="s">
        <v>1481</v>
      </c>
      <c r="D788" t="s">
        <v>20</v>
      </c>
      <c r="E788">
        <v>18</v>
      </c>
      <c r="F788">
        <v>0</v>
      </c>
      <c r="G788">
        <v>0</v>
      </c>
      <c r="H788">
        <v>349912</v>
      </c>
      <c r="I788">
        <v>7.7750000000000004</v>
      </c>
      <c r="K788" t="s">
        <v>17</v>
      </c>
      <c r="N788" t="s">
        <v>1482</v>
      </c>
    </row>
    <row r="789" spans="1:14" x14ac:dyDescent="0.3">
      <c r="A789">
        <v>3</v>
      </c>
      <c r="B789">
        <v>0</v>
      </c>
      <c r="C789" t="s">
        <v>1483</v>
      </c>
      <c r="D789" t="s">
        <v>20</v>
      </c>
      <c r="E789">
        <v>16</v>
      </c>
      <c r="F789">
        <v>0</v>
      </c>
      <c r="G789">
        <v>0</v>
      </c>
      <c r="H789">
        <v>347074</v>
      </c>
      <c r="I789">
        <v>7.7750000000000004</v>
      </c>
      <c r="K789" t="s">
        <v>17</v>
      </c>
      <c r="N789" t="s">
        <v>1484</v>
      </c>
    </row>
    <row r="790" spans="1:14" x14ac:dyDescent="0.3">
      <c r="A790">
        <v>3</v>
      </c>
      <c r="B790">
        <v>0</v>
      </c>
      <c r="C790" t="s">
        <v>1485</v>
      </c>
      <c r="D790" t="s">
        <v>20</v>
      </c>
      <c r="E790">
        <v>45</v>
      </c>
      <c r="F790">
        <v>0</v>
      </c>
      <c r="G790">
        <v>0</v>
      </c>
      <c r="H790">
        <v>347061</v>
      </c>
      <c r="I790">
        <v>6.9749999999999996</v>
      </c>
      <c r="K790" t="s">
        <v>17</v>
      </c>
      <c r="N790" t="s">
        <v>1486</v>
      </c>
    </row>
    <row r="791" spans="1:14" x14ac:dyDescent="0.3">
      <c r="A791">
        <v>3</v>
      </c>
      <c r="B791">
        <v>0</v>
      </c>
      <c r="C791" t="s">
        <v>1487</v>
      </c>
      <c r="D791" t="s">
        <v>20</v>
      </c>
      <c r="F791">
        <v>0</v>
      </c>
      <c r="G791">
        <v>0</v>
      </c>
      <c r="H791">
        <v>2674</v>
      </c>
      <c r="I791">
        <v>7.2249999999999996</v>
      </c>
      <c r="K791" t="s">
        <v>41</v>
      </c>
    </row>
    <row r="792" spans="1:14" x14ac:dyDescent="0.3">
      <c r="A792">
        <v>3</v>
      </c>
      <c r="B792">
        <v>0</v>
      </c>
      <c r="C792" t="s">
        <v>1488</v>
      </c>
      <c r="D792" t="s">
        <v>20</v>
      </c>
      <c r="E792">
        <v>39</v>
      </c>
      <c r="F792">
        <v>0</v>
      </c>
      <c r="G792">
        <v>2</v>
      </c>
      <c r="H792">
        <v>2675</v>
      </c>
      <c r="I792">
        <v>7.2291999999999996</v>
      </c>
      <c r="K792" t="s">
        <v>41</v>
      </c>
      <c r="N792" t="s">
        <v>1287</v>
      </c>
    </row>
    <row r="793" spans="1:14" x14ac:dyDescent="0.3">
      <c r="A793">
        <v>3</v>
      </c>
      <c r="B793">
        <v>0</v>
      </c>
      <c r="C793" t="s">
        <v>1489</v>
      </c>
      <c r="D793" t="s">
        <v>20</v>
      </c>
      <c r="E793">
        <v>17</v>
      </c>
      <c r="F793">
        <v>1</v>
      </c>
      <c r="G793">
        <v>1</v>
      </c>
      <c r="H793">
        <v>2690</v>
      </c>
      <c r="I793">
        <v>7.2291999999999996</v>
      </c>
      <c r="K793" t="s">
        <v>41</v>
      </c>
    </row>
    <row r="794" spans="1:14" x14ac:dyDescent="0.3">
      <c r="A794">
        <v>3</v>
      </c>
      <c r="B794">
        <v>0</v>
      </c>
      <c r="C794" t="s">
        <v>1490</v>
      </c>
      <c r="D794" t="s">
        <v>20</v>
      </c>
      <c r="E794">
        <v>15</v>
      </c>
      <c r="F794">
        <v>1</v>
      </c>
      <c r="G794">
        <v>1</v>
      </c>
      <c r="H794">
        <v>2695</v>
      </c>
      <c r="I794">
        <v>7.2291999999999996</v>
      </c>
      <c r="K794" t="s">
        <v>41</v>
      </c>
      <c r="N794" t="s">
        <v>1300</v>
      </c>
    </row>
    <row r="795" spans="1:14" x14ac:dyDescent="0.3">
      <c r="A795">
        <v>3</v>
      </c>
      <c r="B795">
        <v>0</v>
      </c>
      <c r="C795" t="s">
        <v>1491</v>
      </c>
      <c r="D795" t="s">
        <v>20</v>
      </c>
      <c r="E795">
        <v>47</v>
      </c>
      <c r="F795">
        <v>0</v>
      </c>
      <c r="G795">
        <v>0</v>
      </c>
      <c r="H795" t="s">
        <v>1492</v>
      </c>
      <c r="I795">
        <v>7.25</v>
      </c>
      <c r="K795" t="s">
        <v>17</v>
      </c>
      <c r="N795" t="s">
        <v>1493</v>
      </c>
    </row>
    <row r="796" spans="1:14" x14ac:dyDescent="0.3">
      <c r="A796">
        <v>3</v>
      </c>
      <c r="B796">
        <v>1</v>
      </c>
      <c r="C796" t="s">
        <v>1494</v>
      </c>
      <c r="D796" t="s">
        <v>15</v>
      </c>
      <c r="E796">
        <v>5</v>
      </c>
      <c r="F796">
        <v>0</v>
      </c>
      <c r="G796">
        <v>0</v>
      </c>
      <c r="H796">
        <v>364516</v>
      </c>
      <c r="I796">
        <v>12.475</v>
      </c>
      <c r="K796" t="s">
        <v>17</v>
      </c>
      <c r="L796">
        <v>13</v>
      </c>
      <c r="N796" t="s">
        <v>28</v>
      </c>
    </row>
    <row r="797" spans="1:14" x14ac:dyDescent="0.3">
      <c r="A797">
        <v>3</v>
      </c>
      <c r="B797">
        <v>0</v>
      </c>
      <c r="C797" t="s">
        <v>1495</v>
      </c>
      <c r="D797" t="s">
        <v>20</v>
      </c>
      <c r="F797">
        <v>0</v>
      </c>
      <c r="G797">
        <v>0</v>
      </c>
      <c r="H797">
        <v>2631</v>
      </c>
      <c r="I797">
        <v>7.2249999999999996</v>
      </c>
      <c r="K797" t="s">
        <v>41</v>
      </c>
    </row>
    <row r="798" spans="1:14" x14ac:dyDescent="0.3">
      <c r="A798">
        <v>3</v>
      </c>
      <c r="B798">
        <v>0</v>
      </c>
      <c r="C798" t="s">
        <v>1496</v>
      </c>
      <c r="D798" t="s">
        <v>20</v>
      </c>
      <c r="E798">
        <v>40.5</v>
      </c>
      <c r="F798">
        <v>0</v>
      </c>
      <c r="G798">
        <v>0</v>
      </c>
      <c r="H798" t="s">
        <v>1497</v>
      </c>
      <c r="I798">
        <v>15.1</v>
      </c>
      <c r="K798" t="s">
        <v>17</v>
      </c>
      <c r="M798">
        <v>187</v>
      </c>
    </row>
    <row r="799" spans="1:14" x14ac:dyDescent="0.3">
      <c r="A799">
        <v>3</v>
      </c>
      <c r="B799">
        <v>0</v>
      </c>
      <c r="C799" t="s">
        <v>1498</v>
      </c>
      <c r="D799" t="s">
        <v>20</v>
      </c>
      <c r="E799">
        <v>40.5</v>
      </c>
      <c r="F799">
        <v>0</v>
      </c>
      <c r="G799">
        <v>0</v>
      </c>
      <c r="H799">
        <v>367232</v>
      </c>
      <c r="I799">
        <v>7.75</v>
      </c>
      <c r="K799" t="s">
        <v>463</v>
      </c>
      <c r="M799">
        <v>68</v>
      </c>
      <c r="N799" t="s">
        <v>1499</v>
      </c>
    </row>
    <row r="800" spans="1:14" x14ac:dyDescent="0.3">
      <c r="A800">
        <v>3</v>
      </c>
      <c r="B800">
        <v>1</v>
      </c>
      <c r="C800" t="s">
        <v>1500</v>
      </c>
      <c r="D800" t="s">
        <v>20</v>
      </c>
      <c r="F800">
        <v>0</v>
      </c>
      <c r="G800">
        <v>0</v>
      </c>
      <c r="H800" t="s">
        <v>1501</v>
      </c>
      <c r="I800">
        <v>7.05</v>
      </c>
      <c r="K800" t="s">
        <v>17</v>
      </c>
      <c r="L800">
        <v>15</v>
      </c>
      <c r="N800" t="s">
        <v>1502</v>
      </c>
    </row>
    <row r="801" spans="1:14" x14ac:dyDescent="0.3">
      <c r="A801">
        <v>3</v>
      </c>
      <c r="B801">
        <v>0</v>
      </c>
      <c r="C801" t="s">
        <v>1503</v>
      </c>
      <c r="D801" t="s">
        <v>20</v>
      </c>
      <c r="E801">
        <v>18</v>
      </c>
      <c r="F801">
        <v>0</v>
      </c>
      <c r="G801">
        <v>0</v>
      </c>
      <c r="H801">
        <v>350036</v>
      </c>
      <c r="I801">
        <v>7.7957999999999998</v>
      </c>
      <c r="K801" t="s">
        <v>17</v>
      </c>
    </row>
    <row r="802" spans="1:14" x14ac:dyDescent="0.3">
      <c r="A802">
        <v>3</v>
      </c>
      <c r="B802">
        <v>0</v>
      </c>
      <c r="C802" t="s">
        <v>1504</v>
      </c>
      <c r="D802" t="s">
        <v>15</v>
      </c>
      <c r="F802">
        <v>0</v>
      </c>
      <c r="G802">
        <v>0</v>
      </c>
      <c r="H802">
        <v>364859</v>
      </c>
      <c r="I802">
        <v>7.75</v>
      </c>
      <c r="K802" t="s">
        <v>463</v>
      </c>
    </row>
    <row r="803" spans="1:14" x14ac:dyDescent="0.3">
      <c r="A803">
        <v>3</v>
      </c>
      <c r="B803">
        <v>0</v>
      </c>
      <c r="C803" t="s">
        <v>1505</v>
      </c>
      <c r="D803" t="s">
        <v>20</v>
      </c>
      <c r="F803">
        <v>0</v>
      </c>
      <c r="G803">
        <v>0</v>
      </c>
      <c r="H803">
        <v>364851</v>
      </c>
      <c r="I803">
        <v>7.75</v>
      </c>
      <c r="K803" t="s">
        <v>463</v>
      </c>
    </row>
    <row r="804" spans="1:14" x14ac:dyDescent="0.3">
      <c r="A804">
        <v>3</v>
      </c>
      <c r="B804">
        <v>0</v>
      </c>
      <c r="C804" t="s">
        <v>1506</v>
      </c>
      <c r="D804" t="s">
        <v>20</v>
      </c>
      <c r="F804">
        <v>0</v>
      </c>
      <c r="G804">
        <v>0</v>
      </c>
      <c r="H804">
        <v>368323</v>
      </c>
      <c r="I804">
        <v>6.95</v>
      </c>
      <c r="K804" t="s">
        <v>463</v>
      </c>
    </row>
    <row r="805" spans="1:14" x14ac:dyDescent="0.3">
      <c r="A805">
        <v>3</v>
      </c>
      <c r="B805">
        <v>0</v>
      </c>
      <c r="C805" t="s">
        <v>1507</v>
      </c>
      <c r="D805" t="s">
        <v>20</v>
      </c>
      <c r="E805">
        <v>26</v>
      </c>
      <c r="F805">
        <v>0</v>
      </c>
      <c r="G805">
        <v>0</v>
      </c>
      <c r="H805">
        <v>330910</v>
      </c>
      <c r="I805">
        <v>7.8792</v>
      </c>
      <c r="K805" t="s">
        <v>463</v>
      </c>
      <c r="N805" t="s">
        <v>1314</v>
      </c>
    </row>
    <row r="806" spans="1:14" x14ac:dyDescent="0.3">
      <c r="A806">
        <v>3</v>
      </c>
      <c r="B806">
        <v>0</v>
      </c>
      <c r="C806" t="s">
        <v>1508</v>
      </c>
      <c r="D806" t="s">
        <v>20</v>
      </c>
      <c r="F806">
        <v>0</v>
      </c>
      <c r="G806">
        <v>0</v>
      </c>
      <c r="H806">
        <v>365235</v>
      </c>
      <c r="I806">
        <v>7.75</v>
      </c>
      <c r="K806" t="s">
        <v>463</v>
      </c>
      <c r="N806" t="s">
        <v>1385</v>
      </c>
    </row>
    <row r="807" spans="1:14" x14ac:dyDescent="0.3">
      <c r="A807">
        <v>3</v>
      </c>
      <c r="B807">
        <v>1</v>
      </c>
      <c r="C807" t="s">
        <v>1509</v>
      </c>
      <c r="D807" t="s">
        <v>20</v>
      </c>
      <c r="F807">
        <v>0</v>
      </c>
      <c r="G807">
        <v>0</v>
      </c>
      <c r="H807">
        <v>1601</v>
      </c>
      <c r="I807">
        <v>56.495800000000003</v>
      </c>
      <c r="K807" t="s">
        <v>17</v>
      </c>
      <c r="L807">
        <v>13</v>
      </c>
      <c r="N807" t="s">
        <v>1302</v>
      </c>
    </row>
    <row r="808" spans="1:14" x14ac:dyDescent="0.3">
      <c r="A808">
        <v>3</v>
      </c>
      <c r="B808">
        <v>0</v>
      </c>
      <c r="C808" t="s">
        <v>1510</v>
      </c>
      <c r="D808" t="s">
        <v>15</v>
      </c>
      <c r="E808">
        <v>21</v>
      </c>
      <c r="F808">
        <v>2</v>
      </c>
      <c r="G808">
        <v>2</v>
      </c>
      <c r="H808" t="s">
        <v>1511</v>
      </c>
      <c r="I808">
        <v>34.375</v>
      </c>
      <c r="K808" t="s">
        <v>17</v>
      </c>
      <c r="N808" t="s">
        <v>1512</v>
      </c>
    </row>
    <row r="809" spans="1:14" x14ac:dyDescent="0.3">
      <c r="A809">
        <v>3</v>
      </c>
      <c r="B809">
        <v>0</v>
      </c>
      <c r="C809" t="s">
        <v>1513</v>
      </c>
      <c r="D809" t="s">
        <v>15</v>
      </c>
      <c r="E809">
        <v>9</v>
      </c>
      <c r="F809">
        <v>2</v>
      </c>
      <c r="G809">
        <v>2</v>
      </c>
      <c r="H809" t="s">
        <v>1511</v>
      </c>
      <c r="I809">
        <v>34.375</v>
      </c>
      <c r="K809" t="s">
        <v>17</v>
      </c>
      <c r="N809" t="s">
        <v>1512</v>
      </c>
    </row>
    <row r="810" spans="1:14" x14ac:dyDescent="0.3">
      <c r="A810">
        <v>3</v>
      </c>
      <c r="B810">
        <v>0</v>
      </c>
      <c r="C810" t="s">
        <v>1514</v>
      </c>
      <c r="D810" t="s">
        <v>20</v>
      </c>
      <c r="F810">
        <v>0</v>
      </c>
      <c r="G810">
        <v>0</v>
      </c>
      <c r="H810" t="s">
        <v>1515</v>
      </c>
      <c r="I810">
        <v>8.0500000000000007</v>
      </c>
      <c r="K810" t="s">
        <v>17</v>
      </c>
      <c r="N810" t="s">
        <v>1516</v>
      </c>
    </row>
    <row r="811" spans="1:14" x14ac:dyDescent="0.3">
      <c r="A811">
        <v>3</v>
      </c>
      <c r="B811">
        <v>0</v>
      </c>
      <c r="C811" t="s">
        <v>1517</v>
      </c>
      <c r="D811" t="s">
        <v>20</v>
      </c>
      <c r="E811">
        <v>18</v>
      </c>
      <c r="F811">
        <v>2</v>
      </c>
      <c r="G811">
        <v>2</v>
      </c>
      <c r="H811" t="s">
        <v>1511</v>
      </c>
      <c r="I811">
        <v>34.375</v>
      </c>
      <c r="K811" t="s">
        <v>17</v>
      </c>
      <c r="N811" t="s">
        <v>1512</v>
      </c>
    </row>
    <row r="812" spans="1:14" x14ac:dyDescent="0.3">
      <c r="A812">
        <v>3</v>
      </c>
      <c r="B812">
        <v>0</v>
      </c>
      <c r="C812" t="s">
        <v>1518</v>
      </c>
      <c r="D812" t="s">
        <v>20</v>
      </c>
      <c r="E812">
        <v>16</v>
      </c>
      <c r="F812">
        <v>1</v>
      </c>
      <c r="G812">
        <v>3</v>
      </c>
      <c r="H812" t="s">
        <v>1511</v>
      </c>
      <c r="I812">
        <v>34.375</v>
      </c>
      <c r="K812" t="s">
        <v>17</v>
      </c>
      <c r="N812" t="s">
        <v>1512</v>
      </c>
    </row>
    <row r="813" spans="1:14" x14ac:dyDescent="0.3">
      <c r="A813">
        <v>3</v>
      </c>
      <c r="B813">
        <v>0</v>
      </c>
      <c r="C813" t="s">
        <v>1519</v>
      </c>
      <c r="D813" t="s">
        <v>15</v>
      </c>
      <c r="E813">
        <v>48</v>
      </c>
      <c r="F813">
        <v>1</v>
      </c>
      <c r="G813">
        <v>3</v>
      </c>
      <c r="H813" t="s">
        <v>1511</v>
      </c>
      <c r="I813">
        <v>34.375</v>
      </c>
      <c r="K813" t="s">
        <v>17</v>
      </c>
      <c r="N813" t="s">
        <v>1512</v>
      </c>
    </row>
    <row r="814" spans="1:14" x14ac:dyDescent="0.3">
      <c r="A814">
        <v>3</v>
      </c>
      <c r="B814">
        <v>0</v>
      </c>
      <c r="C814" t="s">
        <v>1520</v>
      </c>
      <c r="D814" t="s">
        <v>20</v>
      </c>
      <c r="F814">
        <v>0</v>
      </c>
      <c r="G814">
        <v>0</v>
      </c>
      <c r="H814">
        <v>368573</v>
      </c>
      <c r="I814">
        <v>7.75</v>
      </c>
      <c r="K814" t="s">
        <v>463</v>
      </c>
      <c r="N814" t="s">
        <v>1365</v>
      </c>
    </row>
    <row r="815" spans="1:14" x14ac:dyDescent="0.3">
      <c r="A815">
        <v>3</v>
      </c>
      <c r="B815">
        <v>0</v>
      </c>
      <c r="C815" t="s">
        <v>1521</v>
      </c>
      <c r="D815" t="s">
        <v>20</v>
      </c>
      <c r="F815">
        <v>0</v>
      </c>
      <c r="G815">
        <v>0</v>
      </c>
      <c r="H815" t="s">
        <v>1522</v>
      </c>
      <c r="I815">
        <v>7.25</v>
      </c>
      <c r="K815" t="s">
        <v>17</v>
      </c>
    </row>
    <row r="816" spans="1:14" x14ac:dyDescent="0.3">
      <c r="A816">
        <v>3</v>
      </c>
      <c r="B816">
        <v>0</v>
      </c>
      <c r="C816" t="s">
        <v>1523</v>
      </c>
      <c r="D816" t="s">
        <v>20</v>
      </c>
      <c r="E816">
        <v>25</v>
      </c>
      <c r="F816">
        <v>0</v>
      </c>
      <c r="G816">
        <v>0</v>
      </c>
      <c r="H816">
        <v>36864</v>
      </c>
      <c r="I816">
        <v>7.7416999999999998</v>
      </c>
      <c r="K816" t="s">
        <v>463</v>
      </c>
      <c r="N816" t="s">
        <v>28</v>
      </c>
    </row>
    <row r="817" spans="1:14" x14ac:dyDescent="0.3">
      <c r="A817">
        <v>3</v>
      </c>
      <c r="B817">
        <v>0</v>
      </c>
      <c r="C817" t="s">
        <v>1524</v>
      </c>
      <c r="D817" t="s">
        <v>20</v>
      </c>
      <c r="F817">
        <v>0</v>
      </c>
      <c r="G817">
        <v>0</v>
      </c>
      <c r="H817">
        <v>358585</v>
      </c>
      <c r="I817">
        <v>14.5</v>
      </c>
      <c r="K817" t="s">
        <v>17</v>
      </c>
    </row>
    <row r="818" spans="1:14" x14ac:dyDescent="0.3">
      <c r="A818">
        <v>3</v>
      </c>
      <c r="B818">
        <v>0</v>
      </c>
      <c r="C818" t="s">
        <v>1525</v>
      </c>
      <c r="D818" t="s">
        <v>20</v>
      </c>
      <c r="F818">
        <v>0</v>
      </c>
      <c r="G818">
        <v>0</v>
      </c>
      <c r="H818">
        <v>349254</v>
      </c>
      <c r="I818">
        <v>7.8958000000000004</v>
      </c>
      <c r="K818" t="s">
        <v>41</v>
      </c>
    </row>
    <row r="819" spans="1:14" x14ac:dyDescent="0.3">
      <c r="A819">
        <v>3</v>
      </c>
      <c r="B819">
        <v>0</v>
      </c>
      <c r="C819" t="s">
        <v>1526</v>
      </c>
      <c r="D819" t="s">
        <v>20</v>
      </c>
      <c r="E819">
        <v>22</v>
      </c>
      <c r="F819">
        <v>0</v>
      </c>
      <c r="G819">
        <v>0</v>
      </c>
      <c r="H819">
        <v>14973</v>
      </c>
      <c r="I819">
        <v>8.0500000000000007</v>
      </c>
      <c r="K819" t="s">
        <v>17</v>
      </c>
      <c r="M819">
        <v>47</v>
      </c>
    </row>
    <row r="820" spans="1:14" x14ac:dyDescent="0.3">
      <c r="A820">
        <v>3</v>
      </c>
      <c r="B820">
        <v>1</v>
      </c>
      <c r="C820" t="s">
        <v>1527</v>
      </c>
      <c r="D820" t="s">
        <v>15</v>
      </c>
      <c r="E820">
        <v>16</v>
      </c>
      <c r="F820">
        <v>0</v>
      </c>
      <c r="G820">
        <v>0</v>
      </c>
      <c r="H820">
        <v>35851</v>
      </c>
      <c r="I820">
        <v>7.7332999999999998</v>
      </c>
      <c r="K820" t="s">
        <v>463</v>
      </c>
      <c r="L820">
        <v>16</v>
      </c>
      <c r="N820" t="s">
        <v>1357</v>
      </c>
    </row>
    <row r="821" spans="1:14" x14ac:dyDescent="0.3">
      <c r="A821">
        <v>3</v>
      </c>
      <c r="B821">
        <v>1</v>
      </c>
      <c r="C821" t="s">
        <v>1528</v>
      </c>
      <c r="D821" t="s">
        <v>15</v>
      </c>
      <c r="F821">
        <v>0</v>
      </c>
      <c r="G821">
        <v>0</v>
      </c>
      <c r="H821">
        <v>335677</v>
      </c>
      <c r="I821">
        <v>7.75</v>
      </c>
      <c r="K821" t="s">
        <v>463</v>
      </c>
      <c r="L821">
        <v>13</v>
      </c>
      <c r="N821" t="s">
        <v>1529</v>
      </c>
    </row>
    <row r="822" spans="1:14" x14ac:dyDescent="0.3">
      <c r="A822">
        <v>3</v>
      </c>
      <c r="B822">
        <v>1</v>
      </c>
      <c r="C822" t="s">
        <v>1530</v>
      </c>
      <c r="D822" t="s">
        <v>20</v>
      </c>
      <c r="E822">
        <v>9</v>
      </c>
      <c r="F822">
        <v>0</v>
      </c>
      <c r="G822">
        <v>2</v>
      </c>
      <c r="H822">
        <v>363291</v>
      </c>
      <c r="I822">
        <v>20.524999999999999</v>
      </c>
      <c r="K822" t="s">
        <v>17</v>
      </c>
      <c r="L822" t="s">
        <v>1531</v>
      </c>
      <c r="N822" t="s">
        <v>1532</v>
      </c>
    </row>
    <row r="823" spans="1:14" x14ac:dyDescent="0.3">
      <c r="A823">
        <v>3</v>
      </c>
      <c r="B823">
        <v>0</v>
      </c>
      <c r="C823" t="s">
        <v>1533</v>
      </c>
      <c r="D823" t="s">
        <v>20</v>
      </c>
      <c r="E823">
        <v>33</v>
      </c>
      <c r="F823">
        <v>1</v>
      </c>
      <c r="G823">
        <v>1</v>
      </c>
      <c r="H823">
        <v>363291</v>
      </c>
      <c r="I823">
        <v>20.524999999999999</v>
      </c>
      <c r="K823" t="s">
        <v>17</v>
      </c>
      <c r="N823" t="s">
        <v>1532</v>
      </c>
    </row>
    <row r="824" spans="1:14" x14ac:dyDescent="0.3">
      <c r="A824">
        <v>3</v>
      </c>
      <c r="B824">
        <v>0</v>
      </c>
      <c r="C824" t="s">
        <v>1534</v>
      </c>
      <c r="D824" t="s">
        <v>20</v>
      </c>
      <c r="E824">
        <v>41</v>
      </c>
      <c r="F824">
        <v>0</v>
      </c>
      <c r="G824">
        <v>0</v>
      </c>
      <c r="H824" t="s">
        <v>1535</v>
      </c>
      <c r="I824">
        <v>7.85</v>
      </c>
      <c r="K824" t="s">
        <v>17</v>
      </c>
      <c r="N824" t="s">
        <v>121</v>
      </c>
    </row>
    <row r="825" spans="1:14" x14ac:dyDescent="0.3">
      <c r="A825">
        <v>3</v>
      </c>
      <c r="B825">
        <v>1</v>
      </c>
      <c r="C825" t="s">
        <v>1536</v>
      </c>
      <c r="D825" t="s">
        <v>15</v>
      </c>
      <c r="E825">
        <v>31</v>
      </c>
      <c r="F825">
        <v>1</v>
      </c>
      <c r="G825">
        <v>1</v>
      </c>
      <c r="H825">
        <v>363291</v>
      </c>
      <c r="I825">
        <v>20.524999999999999</v>
      </c>
      <c r="K825" t="s">
        <v>17</v>
      </c>
      <c r="L825" t="s">
        <v>1531</v>
      </c>
      <c r="N825" t="s">
        <v>1532</v>
      </c>
    </row>
    <row r="826" spans="1:14" x14ac:dyDescent="0.3">
      <c r="A826">
        <v>3</v>
      </c>
      <c r="B826">
        <v>0</v>
      </c>
      <c r="C826" t="s">
        <v>1537</v>
      </c>
      <c r="D826" t="s">
        <v>20</v>
      </c>
      <c r="E826">
        <v>38</v>
      </c>
      <c r="F826">
        <v>0</v>
      </c>
      <c r="G826">
        <v>0</v>
      </c>
      <c r="H826" t="s">
        <v>1538</v>
      </c>
      <c r="I826">
        <v>7.05</v>
      </c>
      <c r="K826" t="s">
        <v>17</v>
      </c>
      <c r="N826" t="s">
        <v>1373</v>
      </c>
    </row>
    <row r="827" spans="1:14" x14ac:dyDescent="0.3">
      <c r="A827">
        <v>3</v>
      </c>
      <c r="B827">
        <v>0</v>
      </c>
      <c r="C827" t="s">
        <v>1539</v>
      </c>
      <c r="D827" t="s">
        <v>20</v>
      </c>
      <c r="E827">
        <v>9</v>
      </c>
      <c r="F827">
        <v>5</v>
      </c>
      <c r="G827">
        <v>2</v>
      </c>
      <c r="H827" t="s">
        <v>1540</v>
      </c>
      <c r="I827">
        <v>46.9</v>
      </c>
      <c r="K827" t="s">
        <v>17</v>
      </c>
      <c r="N827" t="s">
        <v>1541</v>
      </c>
    </row>
    <row r="828" spans="1:14" x14ac:dyDescent="0.3">
      <c r="A828">
        <v>3</v>
      </c>
      <c r="B828">
        <v>0</v>
      </c>
      <c r="C828" t="s">
        <v>1542</v>
      </c>
      <c r="D828" t="s">
        <v>20</v>
      </c>
      <c r="E828">
        <v>1</v>
      </c>
      <c r="F828">
        <v>5</v>
      </c>
      <c r="G828">
        <v>2</v>
      </c>
      <c r="H828" t="s">
        <v>1540</v>
      </c>
      <c r="I828">
        <v>46.9</v>
      </c>
      <c r="K828" t="s">
        <v>17</v>
      </c>
      <c r="N828" t="s">
        <v>1541</v>
      </c>
    </row>
    <row r="829" spans="1:14" x14ac:dyDescent="0.3">
      <c r="A829">
        <v>3</v>
      </c>
      <c r="B829">
        <v>0</v>
      </c>
      <c r="C829" t="s">
        <v>1543</v>
      </c>
      <c r="D829" t="s">
        <v>20</v>
      </c>
      <c r="E829">
        <v>11</v>
      </c>
      <c r="F829">
        <v>5</v>
      </c>
      <c r="G829">
        <v>2</v>
      </c>
      <c r="H829" t="s">
        <v>1540</v>
      </c>
      <c r="I829">
        <v>46.9</v>
      </c>
      <c r="K829" t="s">
        <v>17</v>
      </c>
      <c r="N829" t="s">
        <v>1541</v>
      </c>
    </row>
    <row r="830" spans="1:14" x14ac:dyDescent="0.3">
      <c r="A830">
        <v>3</v>
      </c>
      <c r="B830">
        <v>0</v>
      </c>
      <c r="C830" t="s">
        <v>1544</v>
      </c>
      <c r="D830" t="s">
        <v>15</v>
      </c>
      <c r="E830">
        <v>10</v>
      </c>
      <c r="F830">
        <v>5</v>
      </c>
      <c r="G830">
        <v>2</v>
      </c>
      <c r="H830" t="s">
        <v>1540</v>
      </c>
      <c r="I830">
        <v>46.9</v>
      </c>
      <c r="K830" t="s">
        <v>17</v>
      </c>
      <c r="N830" t="s">
        <v>1541</v>
      </c>
    </row>
    <row r="831" spans="1:14" x14ac:dyDescent="0.3">
      <c r="A831">
        <v>3</v>
      </c>
      <c r="B831">
        <v>0</v>
      </c>
      <c r="C831" t="s">
        <v>1545</v>
      </c>
      <c r="D831" t="s">
        <v>15</v>
      </c>
      <c r="E831">
        <v>16</v>
      </c>
      <c r="F831">
        <v>5</v>
      </c>
      <c r="G831">
        <v>2</v>
      </c>
      <c r="H831" t="s">
        <v>1540</v>
      </c>
      <c r="I831">
        <v>46.9</v>
      </c>
      <c r="K831" t="s">
        <v>17</v>
      </c>
      <c r="N831" t="s">
        <v>1541</v>
      </c>
    </row>
    <row r="832" spans="1:14" x14ac:dyDescent="0.3">
      <c r="A832">
        <v>3</v>
      </c>
      <c r="B832">
        <v>0</v>
      </c>
      <c r="C832" t="s">
        <v>1546</v>
      </c>
      <c r="D832" t="s">
        <v>20</v>
      </c>
      <c r="E832">
        <v>14</v>
      </c>
      <c r="F832">
        <v>5</v>
      </c>
      <c r="G832">
        <v>2</v>
      </c>
      <c r="H832" t="s">
        <v>1540</v>
      </c>
      <c r="I832">
        <v>46.9</v>
      </c>
      <c r="K832" t="s">
        <v>17</v>
      </c>
      <c r="N832" t="s">
        <v>1541</v>
      </c>
    </row>
    <row r="833" spans="1:14" x14ac:dyDescent="0.3">
      <c r="A833">
        <v>3</v>
      </c>
      <c r="B833">
        <v>0</v>
      </c>
      <c r="C833" t="s">
        <v>1547</v>
      </c>
      <c r="D833" t="s">
        <v>20</v>
      </c>
      <c r="E833">
        <v>40</v>
      </c>
      <c r="F833">
        <v>1</v>
      </c>
      <c r="G833">
        <v>6</v>
      </c>
      <c r="H833" t="s">
        <v>1540</v>
      </c>
      <c r="I833">
        <v>46.9</v>
      </c>
      <c r="K833" t="s">
        <v>17</v>
      </c>
      <c r="N833" t="s">
        <v>1541</v>
      </c>
    </row>
    <row r="834" spans="1:14" x14ac:dyDescent="0.3">
      <c r="A834">
        <v>3</v>
      </c>
      <c r="B834">
        <v>0</v>
      </c>
      <c r="C834" t="s">
        <v>1548</v>
      </c>
      <c r="D834" t="s">
        <v>15</v>
      </c>
      <c r="E834">
        <v>43</v>
      </c>
      <c r="F834">
        <v>1</v>
      </c>
      <c r="G834">
        <v>6</v>
      </c>
      <c r="H834" t="s">
        <v>1540</v>
      </c>
      <c r="I834">
        <v>46.9</v>
      </c>
      <c r="K834" t="s">
        <v>17</v>
      </c>
      <c r="N834" t="s">
        <v>1541</v>
      </c>
    </row>
    <row r="835" spans="1:14" x14ac:dyDescent="0.3">
      <c r="A835">
        <v>3</v>
      </c>
      <c r="B835">
        <v>0</v>
      </c>
      <c r="C835" t="s">
        <v>1549</v>
      </c>
      <c r="D835" t="s">
        <v>20</v>
      </c>
      <c r="E835">
        <v>51</v>
      </c>
      <c r="F835">
        <v>0</v>
      </c>
      <c r="G835">
        <v>0</v>
      </c>
      <c r="H835">
        <v>21440</v>
      </c>
      <c r="I835">
        <v>8.0500000000000007</v>
      </c>
      <c r="K835" t="s">
        <v>17</v>
      </c>
      <c r="N835" t="s">
        <v>1550</v>
      </c>
    </row>
    <row r="836" spans="1:14" x14ac:dyDescent="0.3">
      <c r="A836">
        <v>3</v>
      </c>
      <c r="B836">
        <v>0</v>
      </c>
      <c r="C836" t="s">
        <v>1551</v>
      </c>
      <c r="D836" t="s">
        <v>20</v>
      </c>
      <c r="E836">
        <v>32</v>
      </c>
      <c r="F836">
        <v>0</v>
      </c>
      <c r="G836">
        <v>0</v>
      </c>
      <c r="H836">
        <v>8471</v>
      </c>
      <c r="I836">
        <v>8.3625000000000007</v>
      </c>
      <c r="K836" t="s">
        <v>17</v>
      </c>
      <c r="N836" t="s">
        <v>1552</v>
      </c>
    </row>
    <row r="837" spans="1:14" x14ac:dyDescent="0.3">
      <c r="A837">
        <v>3</v>
      </c>
      <c r="B837">
        <v>0</v>
      </c>
      <c r="C837" t="s">
        <v>1553</v>
      </c>
      <c r="D837" t="s">
        <v>20</v>
      </c>
      <c r="F837">
        <v>0</v>
      </c>
      <c r="G837">
        <v>0</v>
      </c>
      <c r="H837">
        <v>376563</v>
      </c>
      <c r="I837">
        <v>8.0500000000000007</v>
      </c>
      <c r="K837" t="s">
        <v>17</v>
      </c>
    </row>
    <row r="838" spans="1:14" x14ac:dyDescent="0.3">
      <c r="A838">
        <v>3</v>
      </c>
      <c r="B838">
        <v>0</v>
      </c>
      <c r="C838" t="s">
        <v>1554</v>
      </c>
      <c r="D838" t="s">
        <v>20</v>
      </c>
      <c r="E838">
        <v>20</v>
      </c>
      <c r="F838">
        <v>0</v>
      </c>
      <c r="G838">
        <v>0</v>
      </c>
      <c r="H838">
        <v>7534</v>
      </c>
      <c r="I838">
        <v>9.8458000000000006</v>
      </c>
      <c r="K838" t="s">
        <v>17</v>
      </c>
      <c r="N838" t="s">
        <v>1555</v>
      </c>
    </row>
    <row r="839" spans="1:14" x14ac:dyDescent="0.3">
      <c r="A839">
        <v>3</v>
      </c>
      <c r="B839">
        <v>0</v>
      </c>
      <c r="C839" t="s">
        <v>1556</v>
      </c>
      <c r="D839" t="s">
        <v>20</v>
      </c>
      <c r="E839">
        <v>37</v>
      </c>
      <c r="F839">
        <v>2</v>
      </c>
      <c r="G839">
        <v>0</v>
      </c>
      <c r="H839">
        <v>3101276</v>
      </c>
      <c r="I839">
        <v>7.9249999999999998</v>
      </c>
      <c r="K839" t="s">
        <v>17</v>
      </c>
      <c r="M839">
        <v>98</v>
      </c>
      <c r="N839" t="s">
        <v>1273</v>
      </c>
    </row>
    <row r="840" spans="1:14" x14ac:dyDescent="0.3">
      <c r="A840">
        <v>3</v>
      </c>
      <c r="B840">
        <v>0</v>
      </c>
      <c r="C840" t="s">
        <v>1557</v>
      </c>
      <c r="D840" t="s">
        <v>20</v>
      </c>
      <c r="E840">
        <v>28</v>
      </c>
      <c r="F840">
        <v>2</v>
      </c>
      <c r="G840">
        <v>0</v>
      </c>
      <c r="H840">
        <v>3101277</v>
      </c>
      <c r="I840">
        <v>7.9249999999999998</v>
      </c>
      <c r="K840" t="s">
        <v>17</v>
      </c>
      <c r="N840" t="s">
        <v>1273</v>
      </c>
    </row>
    <row r="841" spans="1:14" x14ac:dyDescent="0.3">
      <c r="A841">
        <v>3</v>
      </c>
      <c r="B841">
        <v>0</v>
      </c>
      <c r="C841" t="s">
        <v>1558</v>
      </c>
      <c r="D841" t="s">
        <v>20</v>
      </c>
      <c r="E841">
        <v>19</v>
      </c>
      <c r="F841">
        <v>0</v>
      </c>
      <c r="G841">
        <v>0</v>
      </c>
      <c r="H841">
        <v>347069</v>
      </c>
      <c r="I841">
        <v>7.7750000000000004</v>
      </c>
      <c r="K841" t="s">
        <v>17</v>
      </c>
      <c r="N841" t="s">
        <v>1559</v>
      </c>
    </row>
    <row r="842" spans="1:14" x14ac:dyDescent="0.3">
      <c r="A842">
        <v>3</v>
      </c>
      <c r="B842">
        <v>0</v>
      </c>
      <c r="C842" t="s">
        <v>1560</v>
      </c>
      <c r="D842" t="s">
        <v>15</v>
      </c>
      <c r="E842">
        <v>24</v>
      </c>
      <c r="F842">
        <v>0</v>
      </c>
      <c r="G842">
        <v>0</v>
      </c>
      <c r="H842">
        <v>349236</v>
      </c>
      <c r="I842">
        <v>8.85</v>
      </c>
      <c r="K842" t="s">
        <v>17</v>
      </c>
    </row>
    <row r="843" spans="1:14" x14ac:dyDescent="0.3">
      <c r="A843">
        <v>3</v>
      </c>
      <c r="B843">
        <v>0</v>
      </c>
      <c r="C843" t="s">
        <v>1561</v>
      </c>
      <c r="D843" t="s">
        <v>15</v>
      </c>
      <c r="E843">
        <v>17</v>
      </c>
      <c r="F843">
        <v>0</v>
      </c>
      <c r="G843">
        <v>0</v>
      </c>
      <c r="H843" t="s">
        <v>1562</v>
      </c>
      <c r="I843">
        <v>7.7332999999999998</v>
      </c>
      <c r="K843" t="s">
        <v>463</v>
      </c>
    </row>
    <row r="844" spans="1:14" x14ac:dyDescent="0.3">
      <c r="A844">
        <v>3</v>
      </c>
      <c r="B844">
        <v>0</v>
      </c>
      <c r="C844" t="s">
        <v>1563</v>
      </c>
      <c r="D844" t="s">
        <v>20</v>
      </c>
      <c r="F844">
        <v>1</v>
      </c>
      <c r="G844">
        <v>0</v>
      </c>
      <c r="H844">
        <v>65303</v>
      </c>
      <c r="I844">
        <v>19.966699999999999</v>
      </c>
      <c r="K844" t="s">
        <v>17</v>
      </c>
    </row>
    <row r="845" spans="1:14" x14ac:dyDescent="0.3">
      <c r="A845">
        <v>3</v>
      </c>
      <c r="B845">
        <v>0</v>
      </c>
      <c r="C845" t="s">
        <v>1564</v>
      </c>
      <c r="D845" t="s">
        <v>20</v>
      </c>
      <c r="F845">
        <v>1</v>
      </c>
      <c r="G845">
        <v>0</v>
      </c>
      <c r="H845">
        <v>65304</v>
      </c>
      <c r="I845">
        <v>19.966699999999999</v>
      </c>
      <c r="K845" t="s">
        <v>17</v>
      </c>
    </row>
    <row r="846" spans="1:14" x14ac:dyDescent="0.3">
      <c r="A846">
        <v>3</v>
      </c>
      <c r="B846">
        <v>0</v>
      </c>
      <c r="C846" t="s">
        <v>1565</v>
      </c>
      <c r="D846" t="s">
        <v>20</v>
      </c>
      <c r="E846">
        <v>28</v>
      </c>
      <c r="F846">
        <v>1</v>
      </c>
      <c r="G846">
        <v>0</v>
      </c>
      <c r="H846" t="s">
        <v>1566</v>
      </c>
      <c r="I846">
        <v>15.85</v>
      </c>
      <c r="K846" t="s">
        <v>17</v>
      </c>
    </row>
    <row r="847" spans="1:14" x14ac:dyDescent="0.3">
      <c r="A847">
        <v>3</v>
      </c>
      <c r="B847">
        <v>1</v>
      </c>
      <c r="C847" t="s">
        <v>1567</v>
      </c>
      <c r="D847" t="s">
        <v>15</v>
      </c>
      <c r="E847">
        <v>24</v>
      </c>
      <c r="F847">
        <v>1</v>
      </c>
      <c r="G847">
        <v>0</v>
      </c>
      <c r="H847" t="s">
        <v>1566</v>
      </c>
      <c r="I847">
        <v>15.85</v>
      </c>
      <c r="K847" t="s">
        <v>17</v>
      </c>
      <c r="L847">
        <v>15</v>
      </c>
    </row>
    <row r="848" spans="1:14" x14ac:dyDescent="0.3">
      <c r="A848">
        <v>3</v>
      </c>
      <c r="B848">
        <v>0</v>
      </c>
      <c r="C848" t="s">
        <v>1568</v>
      </c>
      <c r="D848" t="s">
        <v>20</v>
      </c>
      <c r="E848">
        <v>20</v>
      </c>
      <c r="F848">
        <v>0</v>
      </c>
      <c r="G848">
        <v>0</v>
      </c>
      <c r="H848">
        <v>345769</v>
      </c>
      <c r="I848">
        <v>9.5</v>
      </c>
      <c r="K848" t="s">
        <v>17</v>
      </c>
    </row>
    <row r="849" spans="1:13" x14ac:dyDescent="0.3">
      <c r="A849">
        <v>3</v>
      </c>
      <c r="B849">
        <v>0</v>
      </c>
      <c r="C849" t="s">
        <v>1569</v>
      </c>
      <c r="D849" t="s">
        <v>20</v>
      </c>
      <c r="E849">
        <v>23.5</v>
      </c>
      <c r="F849">
        <v>0</v>
      </c>
      <c r="G849">
        <v>0</v>
      </c>
      <c r="H849">
        <v>2693</v>
      </c>
      <c r="I849">
        <v>7.2291999999999996</v>
      </c>
      <c r="K849" t="s">
        <v>41</v>
      </c>
      <c r="M849">
        <v>188</v>
      </c>
    </row>
    <row r="850" spans="1:13" x14ac:dyDescent="0.3">
      <c r="A850">
        <v>3</v>
      </c>
      <c r="B850">
        <v>0</v>
      </c>
      <c r="C850" t="s">
        <v>1570</v>
      </c>
      <c r="D850" t="s">
        <v>20</v>
      </c>
      <c r="E850">
        <v>41</v>
      </c>
      <c r="F850">
        <v>2</v>
      </c>
      <c r="G850">
        <v>0</v>
      </c>
      <c r="H850">
        <v>350026</v>
      </c>
      <c r="I850">
        <v>14.1083</v>
      </c>
      <c r="K850" t="s">
        <v>17</v>
      </c>
    </row>
    <row r="851" spans="1:13" x14ac:dyDescent="0.3">
      <c r="A851">
        <v>3</v>
      </c>
      <c r="B851">
        <v>0</v>
      </c>
      <c r="C851" t="s">
        <v>1571</v>
      </c>
      <c r="D851" t="s">
        <v>20</v>
      </c>
      <c r="E851">
        <v>26</v>
      </c>
      <c r="F851">
        <v>1</v>
      </c>
      <c r="G851">
        <v>0</v>
      </c>
      <c r="H851">
        <v>350025</v>
      </c>
      <c r="I851">
        <v>7.8541999999999996</v>
      </c>
      <c r="K851" t="s">
        <v>17</v>
      </c>
    </row>
    <row r="852" spans="1:13" x14ac:dyDescent="0.3">
      <c r="A852">
        <v>3</v>
      </c>
      <c r="B852">
        <v>0</v>
      </c>
      <c r="C852" t="s">
        <v>1572</v>
      </c>
      <c r="D852" t="s">
        <v>20</v>
      </c>
      <c r="E852">
        <v>21</v>
      </c>
      <c r="F852">
        <v>0</v>
      </c>
      <c r="G852">
        <v>0</v>
      </c>
      <c r="H852">
        <v>350029</v>
      </c>
      <c r="I852">
        <v>7.8541999999999996</v>
      </c>
      <c r="K852" t="s">
        <v>17</v>
      </c>
      <c r="M852">
        <v>69</v>
      </c>
    </row>
    <row r="853" spans="1:13" x14ac:dyDescent="0.3">
      <c r="A853">
        <v>3</v>
      </c>
      <c r="B853">
        <v>1</v>
      </c>
      <c r="C853" t="s">
        <v>1573</v>
      </c>
      <c r="D853" t="s">
        <v>15</v>
      </c>
      <c r="E853">
        <v>45</v>
      </c>
      <c r="F853">
        <v>1</v>
      </c>
      <c r="G853">
        <v>0</v>
      </c>
      <c r="H853">
        <v>350026</v>
      </c>
      <c r="I853">
        <v>14.1083</v>
      </c>
      <c r="K853" t="s">
        <v>17</v>
      </c>
      <c r="L853">
        <v>11</v>
      </c>
    </row>
    <row r="854" spans="1:13" x14ac:dyDescent="0.3">
      <c r="A854">
        <v>3</v>
      </c>
      <c r="B854">
        <v>0</v>
      </c>
      <c r="C854" t="s">
        <v>1574</v>
      </c>
      <c r="D854" t="s">
        <v>15</v>
      </c>
      <c r="F854">
        <v>0</v>
      </c>
      <c r="G854">
        <v>0</v>
      </c>
      <c r="H854" t="s">
        <v>1575</v>
      </c>
      <c r="I854">
        <v>7.55</v>
      </c>
      <c r="K854" t="s">
        <v>17</v>
      </c>
    </row>
    <row r="855" spans="1:13" x14ac:dyDescent="0.3">
      <c r="A855">
        <v>3</v>
      </c>
      <c r="B855">
        <v>0</v>
      </c>
      <c r="C855" t="s">
        <v>1576</v>
      </c>
      <c r="D855" t="s">
        <v>20</v>
      </c>
      <c r="E855">
        <v>25</v>
      </c>
      <c r="F855">
        <v>0</v>
      </c>
      <c r="G855">
        <v>0</v>
      </c>
      <c r="H855">
        <v>374887</v>
      </c>
      <c r="I855">
        <v>7.25</v>
      </c>
      <c r="K855" t="s">
        <v>17</v>
      </c>
      <c r="L855" t="s">
        <v>54</v>
      </c>
    </row>
    <row r="856" spans="1:13" x14ac:dyDescent="0.3">
      <c r="A856">
        <v>3</v>
      </c>
      <c r="B856">
        <v>0</v>
      </c>
      <c r="C856" t="s">
        <v>1577</v>
      </c>
      <c r="D856" t="s">
        <v>20</v>
      </c>
      <c r="F856">
        <v>0</v>
      </c>
      <c r="G856">
        <v>0</v>
      </c>
      <c r="H856">
        <v>394140</v>
      </c>
      <c r="I856">
        <v>6.8582999999999998</v>
      </c>
      <c r="K856" t="s">
        <v>463</v>
      </c>
    </row>
    <row r="857" spans="1:13" x14ac:dyDescent="0.3">
      <c r="A857">
        <v>3</v>
      </c>
      <c r="B857">
        <v>0</v>
      </c>
      <c r="C857" t="s">
        <v>1578</v>
      </c>
      <c r="D857" t="s">
        <v>20</v>
      </c>
      <c r="E857">
        <v>11</v>
      </c>
      <c r="F857">
        <v>0</v>
      </c>
      <c r="G857">
        <v>0</v>
      </c>
      <c r="H857">
        <v>2699</v>
      </c>
      <c r="I857">
        <v>18.787500000000001</v>
      </c>
      <c r="K857" t="s">
        <v>41</v>
      </c>
    </row>
    <row r="858" spans="1:13" x14ac:dyDescent="0.3">
      <c r="A858">
        <v>3</v>
      </c>
      <c r="B858">
        <v>1</v>
      </c>
      <c r="C858" t="s">
        <v>1579</v>
      </c>
      <c r="D858" t="s">
        <v>15</v>
      </c>
      <c r="F858">
        <v>0</v>
      </c>
      <c r="G858">
        <v>0</v>
      </c>
      <c r="H858">
        <v>370375</v>
      </c>
      <c r="I858">
        <v>7.75</v>
      </c>
      <c r="K858" t="s">
        <v>463</v>
      </c>
      <c r="L858">
        <v>16</v>
      </c>
    </row>
    <row r="859" spans="1:13" x14ac:dyDescent="0.3">
      <c r="A859">
        <v>3</v>
      </c>
      <c r="B859">
        <v>1</v>
      </c>
      <c r="C859" t="s">
        <v>1580</v>
      </c>
      <c r="D859" t="s">
        <v>20</v>
      </c>
      <c r="E859">
        <v>27</v>
      </c>
      <c r="F859">
        <v>0</v>
      </c>
      <c r="G859">
        <v>0</v>
      </c>
      <c r="H859">
        <v>347089</v>
      </c>
      <c r="I859">
        <v>6.9749999999999996</v>
      </c>
      <c r="K859" t="s">
        <v>17</v>
      </c>
      <c r="L859">
        <v>15</v>
      </c>
    </row>
    <row r="860" spans="1:13" x14ac:dyDescent="0.3">
      <c r="A860">
        <v>3</v>
      </c>
      <c r="B860">
        <v>1</v>
      </c>
      <c r="C860" t="s">
        <v>1581</v>
      </c>
      <c r="D860" t="s">
        <v>20</v>
      </c>
      <c r="F860">
        <v>0</v>
      </c>
      <c r="G860">
        <v>0</v>
      </c>
      <c r="H860">
        <v>1601</v>
      </c>
      <c r="I860">
        <v>56.495800000000003</v>
      </c>
      <c r="K860" t="s">
        <v>17</v>
      </c>
      <c r="L860" t="s">
        <v>41</v>
      </c>
    </row>
    <row r="861" spans="1:13" x14ac:dyDescent="0.3">
      <c r="A861">
        <v>3</v>
      </c>
      <c r="B861">
        <v>0</v>
      </c>
      <c r="C861" t="s">
        <v>1582</v>
      </c>
      <c r="D861" t="s">
        <v>15</v>
      </c>
      <c r="E861">
        <v>18</v>
      </c>
      <c r="F861">
        <v>0</v>
      </c>
      <c r="G861">
        <v>0</v>
      </c>
      <c r="H861">
        <v>365226</v>
      </c>
      <c r="I861">
        <v>6.75</v>
      </c>
      <c r="K861" t="s">
        <v>463</v>
      </c>
    </row>
    <row r="862" spans="1:13" x14ac:dyDescent="0.3">
      <c r="A862">
        <v>3</v>
      </c>
      <c r="B862">
        <v>1</v>
      </c>
      <c r="C862" t="s">
        <v>1583</v>
      </c>
      <c r="D862" t="s">
        <v>15</v>
      </c>
      <c r="E862">
        <v>26</v>
      </c>
      <c r="F862">
        <v>0</v>
      </c>
      <c r="G862">
        <v>0</v>
      </c>
      <c r="H862" t="s">
        <v>1584</v>
      </c>
      <c r="I862">
        <v>7.9249999999999998</v>
      </c>
      <c r="K862" t="s">
        <v>17</v>
      </c>
    </row>
    <row r="863" spans="1:13" x14ac:dyDescent="0.3">
      <c r="A863">
        <v>3</v>
      </c>
      <c r="B863">
        <v>0</v>
      </c>
      <c r="C863" t="s">
        <v>1585</v>
      </c>
      <c r="D863" t="s">
        <v>15</v>
      </c>
      <c r="E863">
        <v>23</v>
      </c>
      <c r="F863">
        <v>0</v>
      </c>
      <c r="G863">
        <v>0</v>
      </c>
      <c r="H863" t="s">
        <v>1586</v>
      </c>
      <c r="I863">
        <v>7.9249999999999998</v>
      </c>
      <c r="K863" t="s">
        <v>17</v>
      </c>
    </row>
    <row r="864" spans="1:13" x14ac:dyDescent="0.3">
      <c r="A864">
        <v>3</v>
      </c>
      <c r="B864">
        <v>1</v>
      </c>
      <c r="C864" t="s">
        <v>1587</v>
      </c>
      <c r="D864" t="s">
        <v>15</v>
      </c>
      <c r="E864">
        <v>22</v>
      </c>
      <c r="F864">
        <v>0</v>
      </c>
      <c r="G864">
        <v>0</v>
      </c>
      <c r="H864">
        <v>7548</v>
      </c>
      <c r="I864">
        <v>8.9625000000000004</v>
      </c>
      <c r="K864" t="s">
        <v>17</v>
      </c>
      <c r="L864" t="s">
        <v>41</v>
      </c>
    </row>
    <row r="865" spans="1:13" x14ac:dyDescent="0.3">
      <c r="A865">
        <v>3</v>
      </c>
      <c r="B865">
        <v>0</v>
      </c>
      <c r="C865" t="s">
        <v>1588</v>
      </c>
      <c r="D865" t="s">
        <v>20</v>
      </c>
      <c r="E865">
        <v>28</v>
      </c>
      <c r="F865">
        <v>0</v>
      </c>
      <c r="G865">
        <v>0</v>
      </c>
      <c r="H865">
        <v>349243</v>
      </c>
      <c r="I865">
        <v>7.8958000000000004</v>
      </c>
      <c r="K865" t="s">
        <v>17</v>
      </c>
      <c r="M865">
        <v>306</v>
      </c>
    </row>
    <row r="866" spans="1:13" x14ac:dyDescent="0.3">
      <c r="A866">
        <v>3</v>
      </c>
      <c r="B866">
        <v>0</v>
      </c>
      <c r="C866" t="s">
        <v>1589</v>
      </c>
      <c r="D866" t="s">
        <v>15</v>
      </c>
      <c r="E866">
        <v>28</v>
      </c>
      <c r="F866">
        <v>0</v>
      </c>
      <c r="G866">
        <v>0</v>
      </c>
      <c r="H866">
        <v>347086</v>
      </c>
      <c r="I866">
        <v>7.7750000000000004</v>
      </c>
      <c r="K866" t="s">
        <v>17</v>
      </c>
    </row>
    <row r="867" spans="1:13" x14ac:dyDescent="0.3">
      <c r="A867">
        <v>3</v>
      </c>
      <c r="B867">
        <v>0</v>
      </c>
      <c r="C867" t="s">
        <v>1590</v>
      </c>
      <c r="D867" t="s">
        <v>15</v>
      </c>
      <c r="F867">
        <v>0</v>
      </c>
      <c r="G867">
        <v>0</v>
      </c>
      <c r="H867">
        <v>382649</v>
      </c>
      <c r="I867">
        <v>7.75</v>
      </c>
      <c r="K867" t="s">
        <v>463</v>
      </c>
    </row>
    <row r="868" spans="1:13" x14ac:dyDescent="0.3">
      <c r="A868">
        <v>3</v>
      </c>
      <c r="B868">
        <v>1</v>
      </c>
      <c r="C868" t="s">
        <v>1591</v>
      </c>
      <c r="D868" t="s">
        <v>15</v>
      </c>
      <c r="E868">
        <v>2</v>
      </c>
      <c r="F868">
        <v>0</v>
      </c>
      <c r="G868">
        <v>1</v>
      </c>
      <c r="H868">
        <v>3101298</v>
      </c>
      <c r="I868">
        <v>12.2875</v>
      </c>
      <c r="K868" t="s">
        <v>17</v>
      </c>
      <c r="L868">
        <v>15</v>
      </c>
    </row>
    <row r="869" spans="1:13" x14ac:dyDescent="0.3">
      <c r="A869">
        <v>3</v>
      </c>
      <c r="B869">
        <v>1</v>
      </c>
      <c r="C869" t="s">
        <v>1592</v>
      </c>
      <c r="D869" t="s">
        <v>15</v>
      </c>
      <c r="E869">
        <v>22</v>
      </c>
      <c r="F869">
        <v>1</v>
      </c>
      <c r="G869">
        <v>1</v>
      </c>
      <c r="H869">
        <v>3101298</v>
      </c>
      <c r="I869">
        <v>12.2875</v>
      </c>
      <c r="K869" t="s">
        <v>17</v>
      </c>
      <c r="L869">
        <v>15</v>
      </c>
    </row>
    <row r="870" spans="1:13" x14ac:dyDescent="0.3">
      <c r="A870">
        <v>3</v>
      </c>
      <c r="B870">
        <v>0</v>
      </c>
      <c r="C870" t="s">
        <v>1593</v>
      </c>
      <c r="D870" t="s">
        <v>20</v>
      </c>
      <c r="E870">
        <v>43</v>
      </c>
      <c r="F870">
        <v>0</v>
      </c>
      <c r="G870">
        <v>0</v>
      </c>
      <c r="H870" t="s">
        <v>1594</v>
      </c>
      <c r="I870">
        <v>6.45</v>
      </c>
      <c r="K870" t="s">
        <v>17</v>
      </c>
    </row>
    <row r="871" spans="1:13" x14ac:dyDescent="0.3">
      <c r="A871">
        <v>3</v>
      </c>
      <c r="B871">
        <v>0</v>
      </c>
      <c r="C871" t="s">
        <v>1595</v>
      </c>
      <c r="D871" t="s">
        <v>20</v>
      </c>
      <c r="E871">
        <v>28</v>
      </c>
      <c r="F871">
        <v>0</v>
      </c>
      <c r="G871">
        <v>0</v>
      </c>
      <c r="H871" t="s">
        <v>1220</v>
      </c>
      <c r="I871">
        <v>22.524999999999999</v>
      </c>
      <c r="K871" t="s">
        <v>17</v>
      </c>
    </row>
    <row r="872" spans="1:13" x14ac:dyDescent="0.3">
      <c r="A872">
        <v>3</v>
      </c>
      <c r="B872">
        <v>1</v>
      </c>
      <c r="C872" t="s">
        <v>1596</v>
      </c>
      <c r="D872" t="s">
        <v>15</v>
      </c>
      <c r="E872">
        <v>27</v>
      </c>
      <c r="F872">
        <v>0</v>
      </c>
      <c r="G872">
        <v>0</v>
      </c>
      <c r="H872" t="s">
        <v>1597</v>
      </c>
      <c r="I872">
        <v>7.9249999999999998</v>
      </c>
      <c r="K872" t="s">
        <v>17</v>
      </c>
    </row>
    <row r="873" spans="1:13" x14ac:dyDescent="0.3">
      <c r="A873">
        <v>3</v>
      </c>
      <c r="B873">
        <v>0</v>
      </c>
      <c r="C873" t="s">
        <v>1598</v>
      </c>
      <c r="D873" t="s">
        <v>20</v>
      </c>
      <c r="F873">
        <v>0</v>
      </c>
      <c r="G873">
        <v>0</v>
      </c>
      <c r="H873">
        <v>370377</v>
      </c>
      <c r="I873">
        <v>7.75</v>
      </c>
      <c r="K873" t="s">
        <v>463</v>
      </c>
    </row>
    <row r="874" spans="1:13" x14ac:dyDescent="0.3">
      <c r="A874">
        <v>3</v>
      </c>
      <c r="B874">
        <v>1</v>
      </c>
      <c r="C874" t="s">
        <v>1599</v>
      </c>
      <c r="D874" t="s">
        <v>15</v>
      </c>
      <c r="F874">
        <v>0</v>
      </c>
      <c r="G874">
        <v>0</v>
      </c>
      <c r="H874" t="s">
        <v>1600</v>
      </c>
      <c r="I874">
        <v>8.0500000000000007</v>
      </c>
      <c r="K874" t="s">
        <v>17</v>
      </c>
      <c r="L874" t="s">
        <v>41</v>
      </c>
    </row>
    <row r="875" spans="1:13" x14ac:dyDescent="0.3">
      <c r="A875">
        <v>3</v>
      </c>
      <c r="B875">
        <v>0</v>
      </c>
      <c r="C875" t="s">
        <v>1601</v>
      </c>
      <c r="D875" t="s">
        <v>20</v>
      </c>
      <c r="E875">
        <v>42</v>
      </c>
      <c r="F875">
        <v>0</v>
      </c>
      <c r="G875">
        <v>0</v>
      </c>
      <c r="H875">
        <v>348121</v>
      </c>
      <c r="I875">
        <v>7.65</v>
      </c>
      <c r="J875" t="s">
        <v>1186</v>
      </c>
      <c r="K875" t="s">
        <v>17</v>
      </c>
      <c r="M875">
        <v>120</v>
      </c>
    </row>
    <row r="876" spans="1:13" x14ac:dyDescent="0.3">
      <c r="A876">
        <v>3</v>
      </c>
      <c r="B876">
        <v>1</v>
      </c>
      <c r="C876" t="s">
        <v>1602</v>
      </c>
      <c r="D876" t="s">
        <v>20</v>
      </c>
      <c r="F876">
        <v>0</v>
      </c>
      <c r="G876">
        <v>0</v>
      </c>
      <c r="H876">
        <v>3470</v>
      </c>
      <c r="I876">
        <v>7.8875000000000002</v>
      </c>
      <c r="K876" t="s">
        <v>17</v>
      </c>
      <c r="L876" t="s">
        <v>41</v>
      </c>
    </row>
    <row r="877" spans="1:13" x14ac:dyDescent="0.3">
      <c r="A877">
        <v>3</v>
      </c>
      <c r="B877">
        <v>0</v>
      </c>
      <c r="C877" t="s">
        <v>1603</v>
      </c>
      <c r="D877" t="s">
        <v>20</v>
      </c>
      <c r="E877">
        <v>30</v>
      </c>
      <c r="F877">
        <v>0</v>
      </c>
      <c r="G877">
        <v>0</v>
      </c>
      <c r="H877">
        <v>2685</v>
      </c>
      <c r="I877">
        <v>7.2291999999999996</v>
      </c>
      <c r="K877" t="s">
        <v>41</v>
      </c>
    </row>
    <row r="878" spans="1:13" x14ac:dyDescent="0.3">
      <c r="A878">
        <v>3</v>
      </c>
      <c r="B878">
        <v>0</v>
      </c>
      <c r="C878" t="s">
        <v>1604</v>
      </c>
      <c r="D878" t="s">
        <v>20</v>
      </c>
      <c r="F878">
        <v>0</v>
      </c>
      <c r="G878">
        <v>0</v>
      </c>
      <c r="H878">
        <v>349220</v>
      </c>
      <c r="I878">
        <v>7.8958000000000004</v>
      </c>
      <c r="K878" t="s">
        <v>17</v>
      </c>
    </row>
    <row r="879" spans="1:13" x14ac:dyDescent="0.3">
      <c r="A879">
        <v>3</v>
      </c>
      <c r="B879">
        <v>0</v>
      </c>
      <c r="C879" t="s">
        <v>1605</v>
      </c>
      <c r="D879" t="s">
        <v>15</v>
      </c>
      <c r="E879">
        <v>27</v>
      </c>
      <c r="F879">
        <v>1</v>
      </c>
      <c r="G879">
        <v>0</v>
      </c>
      <c r="H879" t="s">
        <v>1606</v>
      </c>
      <c r="I879">
        <v>7.9249999999999998</v>
      </c>
      <c r="K879" t="s">
        <v>17</v>
      </c>
    </row>
    <row r="880" spans="1:13" x14ac:dyDescent="0.3">
      <c r="A880">
        <v>3</v>
      </c>
      <c r="B880">
        <v>0</v>
      </c>
      <c r="C880" t="s">
        <v>1607</v>
      </c>
      <c r="D880" t="s">
        <v>15</v>
      </c>
      <c r="E880">
        <v>25</v>
      </c>
      <c r="F880">
        <v>1</v>
      </c>
      <c r="G880">
        <v>0</v>
      </c>
      <c r="H880" t="s">
        <v>1608</v>
      </c>
      <c r="I880">
        <v>7.9249999999999998</v>
      </c>
      <c r="K880" t="s">
        <v>17</v>
      </c>
    </row>
    <row r="881" spans="1:13" x14ac:dyDescent="0.3">
      <c r="A881">
        <v>3</v>
      </c>
      <c r="B881">
        <v>0</v>
      </c>
      <c r="C881" t="s">
        <v>1609</v>
      </c>
      <c r="D881" t="s">
        <v>20</v>
      </c>
      <c r="F881">
        <v>0</v>
      </c>
      <c r="G881">
        <v>0</v>
      </c>
      <c r="H881">
        <v>349201</v>
      </c>
      <c r="I881">
        <v>7.8958000000000004</v>
      </c>
      <c r="K881" t="s">
        <v>17</v>
      </c>
    </row>
    <row r="882" spans="1:13" x14ac:dyDescent="0.3">
      <c r="A882">
        <v>3</v>
      </c>
      <c r="B882">
        <v>1</v>
      </c>
      <c r="C882" t="s">
        <v>1610</v>
      </c>
      <c r="D882" t="s">
        <v>20</v>
      </c>
      <c r="E882">
        <v>29</v>
      </c>
      <c r="F882">
        <v>0</v>
      </c>
      <c r="G882">
        <v>0</v>
      </c>
      <c r="H882">
        <v>349240</v>
      </c>
      <c r="I882">
        <v>7.8958000000000004</v>
      </c>
      <c r="K882" t="s">
        <v>41</v>
      </c>
      <c r="L882">
        <v>15</v>
      </c>
    </row>
    <row r="883" spans="1:13" x14ac:dyDescent="0.3">
      <c r="A883">
        <v>3</v>
      </c>
      <c r="B883">
        <v>1</v>
      </c>
      <c r="C883" t="s">
        <v>1611</v>
      </c>
      <c r="D883" t="s">
        <v>20</v>
      </c>
      <c r="E883">
        <v>21</v>
      </c>
      <c r="F883">
        <v>0</v>
      </c>
      <c r="G883">
        <v>0</v>
      </c>
      <c r="H883">
        <v>350034</v>
      </c>
      <c r="I883">
        <v>7.7957999999999998</v>
      </c>
      <c r="K883" t="s">
        <v>17</v>
      </c>
      <c r="L883" t="s">
        <v>67</v>
      </c>
    </row>
    <row r="884" spans="1:13" x14ac:dyDescent="0.3">
      <c r="A884">
        <v>3</v>
      </c>
      <c r="B884">
        <v>0</v>
      </c>
      <c r="C884" t="s">
        <v>1612</v>
      </c>
      <c r="D884" t="s">
        <v>20</v>
      </c>
      <c r="F884">
        <v>0</v>
      </c>
      <c r="G884">
        <v>0</v>
      </c>
      <c r="H884" t="s">
        <v>1613</v>
      </c>
      <c r="I884">
        <v>7.05</v>
      </c>
      <c r="K884" t="s">
        <v>17</v>
      </c>
    </row>
    <row r="885" spans="1:13" x14ac:dyDescent="0.3">
      <c r="A885">
        <v>3</v>
      </c>
      <c r="B885">
        <v>0</v>
      </c>
      <c r="C885" t="s">
        <v>1614</v>
      </c>
      <c r="D885" t="s">
        <v>20</v>
      </c>
      <c r="E885">
        <v>20</v>
      </c>
      <c r="F885">
        <v>0</v>
      </c>
      <c r="G885">
        <v>0</v>
      </c>
      <c r="H885">
        <v>350050</v>
      </c>
      <c r="I885">
        <v>7.8541999999999996</v>
      </c>
      <c r="K885" t="s">
        <v>17</v>
      </c>
    </row>
    <row r="886" spans="1:13" x14ac:dyDescent="0.3">
      <c r="A886">
        <v>3</v>
      </c>
      <c r="B886">
        <v>0</v>
      </c>
      <c r="C886" t="s">
        <v>1615</v>
      </c>
      <c r="D886" t="s">
        <v>20</v>
      </c>
      <c r="E886">
        <v>48</v>
      </c>
      <c r="F886">
        <v>0</v>
      </c>
      <c r="G886">
        <v>0</v>
      </c>
      <c r="H886">
        <v>350047</v>
      </c>
      <c r="I886">
        <v>7.8541999999999996</v>
      </c>
      <c r="K886" t="s">
        <v>17</v>
      </c>
    </row>
    <row r="887" spans="1:13" x14ac:dyDescent="0.3">
      <c r="A887">
        <v>3</v>
      </c>
      <c r="B887">
        <v>0</v>
      </c>
      <c r="C887" t="s">
        <v>1616</v>
      </c>
      <c r="D887" t="s">
        <v>20</v>
      </c>
      <c r="E887">
        <v>17</v>
      </c>
      <c r="F887">
        <v>1</v>
      </c>
      <c r="G887">
        <v>0</v>
      </c>
      <c r="H887">
        <v>350048</v>
      </c>
      <c r="I887">
        <v>7.0541999999999998</v>
      </c>
      <c r="K887" t="s">
        <v>17</v>
      </c>
    </row>
    <row r="888" spans="1:13" x14ac:dyDescent="0.3">
      <c r="A888">
        <v>3</v>
      </c>
      <c r="B888">
        <v>1</v>
      </c>
      <c r="C888" t="s">
        <v>1617</v>
      </c>
      <c r="D888" t="s">
        <v>15</v>
      </c>
      <c r="F888">
        <v>0</v>
      </c>
      <c r="G888">
        <v>0</v>
      </c>
      <c r="H888">
        <v>14313</v>
      </c>
      <c r="I888">
        <v>7.75</v>
      </c>
      <c r="K888" t="s">
        <v>463</v>
      </c>
      <c r="L888" t="s">
        <v>37</v>
      </c>
    </row>
    <row r="889" spans="1:13" x14ac:dyDescent="0.3">
      <c r="A889">
        <v>3</v>
      </c>
      <c r="B889">
        <v>1</v>
      </c>
      <c r="C889" t="s">
        <v>1618</v>
      </c>
      <c r="D889" t="s">
        <v>20</v>
      </c>
      <c r="F889">
        <v>0</v>
      </c>
      <c r="G889">
        <v>0</v>
      </c>
      <c r="H889">
        <v>65306</v>
      </c>
      <c r="I889">
        <v>8.1125000000000007</v>
      </c>
      <c r="K889" t="s">
        <v>17</v>
      </c>
      <c r="L889">
        <v>13</v>
      </c>
    </row>
    <row r="890" spans="1:13" x14ac:dyDescent="0.3">
      <c r="A890">
        <v>3</v>
      </c>
      <c r="B890">
        <v>0</v>
      </c>
      <c r="C890" t="s">
        <v>1619</v>
      </c>
      <c r="D890" t="s">
        <v>20</v>
      </c>
      <c r="E890">
        <v>34</v>
      </c>
      <c r="F890">
        <v>0</v>
      </c>
      <c r="G890">
        <v>0</v>
      </c>
      <c r="H890">
        <v>3101264</v>
      </c>
      <c r="I890">
        <v>6.4958</v>
      </c>
      <c r="K890" t="s">
        <v>17</v>
      </c>
      <c r="M890">
        <v>143</v>
      </c>
    </row>
    <row r="891" spans="1:13" x14ac:dyDescent="0.3">
      <c r="A891">
        <v>3</v>
      </c>
      <c r="B891">
        <v>1</v>
      </c>
      <c r="C891" t="s">
        <v>1620</v>
      </c>
      <c r="D891" t="s">
        <v>20</v>
      </c>
      <c r="E891">
        <v>26</v>
      </c>
      <c r="F891">
        <v>0</v>
      </c>
      <c r="G891">
        <v>0</v>
      </c>
      <c r="H891">
        <v>347070</v>
      </c>
      <c r="I891">
        <v>7.7750000000000004</v>
      </c>
      <c r="K891" t="s">
        <v>17</v>
      </c>
      <c r="L891">
        <v>15</v>
      </c>
    </row>
    <row r="892" spans="1:13" x14ac:dyDescent="0.3">
      <c r="A892">
        <v>3</v>
      </c>
      <c r="B892">
        <v>0</v>
      </c>
      <c r="C892" t="s">
        <v>1621</v>
      </c>
      <c r="D892" t="s">
        <v>20</v>
      </c>
      <c r="E892">
        <v>22</v>
      </c>
      <c r="F892">
        <v>0</v>
      </c>
      <c r="G892">
        <v>0</v>
      </c>
      <c r="H892">
        <v>350052</v>
      </c>
      <c r="I892">
        <v>7.7957999999999998</v>
      </c>
      <c r="K892" t="s">
        <v>17</v>
      </c>
      <c r="M892">
        <v>156</v>
      </c>
    </row>
    <row r="893" spans="1:13" x14ac:dyDescent="0.3">
      <c r="A893">
        <v>3</v>
      </c>
      <c r="B893">
        <v>0</v>
      </c>
      <c r="C893" t="s">
        <v>1622</v>
      </c>
      <c r="D893" t="s">
        <v>20</v>
      </c>
      <c r="E893">
        <v>33</v>
      </c>
      <c r="F893">
        <v>0</v>
      </c>
      <c r="G893">
        <v>0</v>
      </c>
      <c r="H893">
        <v>7540</v>
      </c>
      <c r="I893">
        <v>8.6541999999999994</v>
      </c>
      <c r="K893" t="s">
        <v>17</v>
      </c>
      <c r="M893">
        <v>285</v>
      </c>
    </row>
    <row r="894" spans="1:13" x14ac:dyDescent="0.3">
      <c r="A894">
        <v>3</v>
      </c>
      <c r="B894">
        <v>0</v>
      </c>
      <c r="C894" t="s">
        <v>1623</v>
      </c>
      <c r="D894" t="s">
        <v>20</v>
      </c>
      <c r="E894">
        <v>31</v>
      </c>
      <c r="F894">
        <v>0</v>
      </c>
      <c r="G894">
        <v>0</v>
      </c>
      <c r="H894">
        <v>347063</v>
      </c>
      <c r="I894">
        <v>7.7750000000000004</v>
      </c>
      <c r="K894" t="s">
        <v>17</v>
      </c>
    </row>
    <row r="895" spans="1:13" x14ac:dyDescent="0.3">
      <c r="A895">
        <v>3</v>
      </c>
      <c r="B895">
        <v>0</v>
      </c>
      <c r="C895" t="s">
        <v>1624</v>
      </c>
      <c r="D895" t="s">
        <v>20</v>
      </c>
      <c r="E895">
        <v>29</v>
      </c>
      <c r="F895">
        <v>0</v>
      </c>
      <c r="G895">
        <v>0</v>
      </c>
      <c r="H895">
        <v>347467</v>
      </c>
      <c r="I895">
        <v>7.8541999999999996</v>
      </c>
      <c r="K895" t="s">
        <v>17</v>
      </c>
    </row>
    <row r="896" spans="1:13" x14ac:dyDescent="0.3">
      <c r="A896">
        <v>3</v>
      </c>
      <c r="B896">
        <v>1</v>
      </c>
      <c r="C896" t="s">
        <v>1625</v>
      </c>
      <c r="D896" t="s">
        <v>20</v>
      </c>
      <c r="E896">
        <v>4</v>
      </c>
      <c r="F896">
        <v>1</v>
      </c>
      <c r="G896">
        <v>1</v>
      </c>
      <c r="H896">
        <v>347742</v>
      </c>
      <c r="I896">
        <v>11.1333</v>
      </c>
      <c r="K896" t="s">
        <v>17</v>
      </c>
      <c r="L896">
        <v>15</v>
      </c>
    </row>
    <row r="897" spans="1:13" x14ac:dyDescent="0.3">
      <c r="A897">
        <v>3</v>
      </c>
      <c r="B897">
        <v>1</v>
      </c>
      <c r="C897" t="s">
        <v>1626</v>
      </c>
      <c r="D897" t="s">
        <v>15</v>
      </c>
      <c r="E897">
        <v>1</v>
      </c>
      <c r="F897">
        <v>1</v>
      </c>
      <c r="G897">
        <v>1</v>
      </c>
      <c r="H897">
        <v>347742</v>
      </c>
      <c r="I897">
        <v>11.1333</v>
      </c>
      <c r="K897" t="s">
        <v>17</v>
      </c>
      <c r="L897">
        <v>15</v>
      </c>
    </row>
    <row r="898" spans="1:13" x14ac:dyDescent="0.3">
      <c r="A898">
        <v>3</v>
      </c>
      <c r="B898">
        <v>0</v>
      </c>
      <c r="C898" t="s">
        <v>1627</v>
      </c>
      <c r="D898" t="s">
        <v>20</v>
      </c>
      <c r="E898">
        <v>49</v>
      </c>
      <c r="F898">
        <v>0</v>
      </c>
      <c r="G898">
        <v>0</v>
      </c>
      <c r="H898" t="s">
        <v>1628</v>
      </c>
      <c r="I898">
        <v>0</v>
      </c>
      <c r="K898" t="s">
        <v>17</v>
      </c>
    </row>
    <row r="899" spans="1:13" x14ac:dyDescent="0.3">
      <c r="A899">
        <v>3</v>
      </c>
      <c r="B899">
        <v>0</v>
      </c>
      <c r="C899" t="s">
        <v>1629</v>
      </c>
      <c r="D899" t="s">
        <v>20</v>
      </c>
      <c r="E899">
        <v>33</v>
      </c>
      <c r="F899">
        <v>0</v>
      </c>
      <c r="G899">
        <v>0</v>
      </c>
      <c r="H899">
        <v>347062</v>
      </c>
      <c r="I899">
        <v>7.7750000000000004</v>
      </c>
      <c r="K899" t="s">
        <v>17</v>
      </c>
      <c r="M899">
        <v>37</v>
      </c>
    </row>
    <row r="900" spans="1:13" x14ac:dyDescent="0.3">
      <c r="A900">
        <v>3</v>
      </c>
      <c r="B900">
        <v>0</v>
      </c>
      <c r="C900" t="s">
        <v>1630</v>
      </c>
      <c r="D900" t="s">
        <v>20</v>
      </c>
      <c r="E900">
        <v>19</v>
      </c>
      <c r="F900">
        <v>0</v>
      </c>
      <c r="G900">
        <v>0</v>
      </c>
      <c r="H900" t="s">
        <v>1628</v>
      </c>
      <c r="I900">
        <v>0</v>
      </c>
      <c r="K900" t="s">
        <v>17</v>
      </c>
    </row>
    <row r="901" spans="1:13" x14ac:dyDescent="0.3">
      <c r="A901">
        <v>3</v>
      </c>
      <c r="B901">
        <v>1</v>
      </c>
      <c r="C901" t="s">
        <v>1631</v>
      </c>
      <c r="D901" t="s">
        <v>15</v>
      </c>
      <c r="E901">
        <v>27</v>
      </c>
      <c r="F901">
        <v>0</v>
      </c>
      <c r="G901">
        <v>2</v>
      </c>
      <c r="H901">
        <v>347742</v>
      </c>
      <c r="I901">
        <v>11.1333</v>
      </c>
      <c r="K901" t="s">
        <v>17</v>
      </c>
      <c r="L901">
        <v>15</v>
      </c>
    </row>
    <row r="902" spans="1:13" x14ac:dyDescent="0.3">
      <c r="A902">
        <v>3</v>
      </c>
      <c r="B902">
        <v>0</v>
      </c>
      <c r="C902" t="s">
        <v>1632</v>
      </c>
      <c r="D902" t="s">
        <v>20</v>
      </c>
      <c r="F902">
        <v>1</v>
      </c>
      <c r="G902">
        <v>2</v>
      </c>
      <c r="H902" t="s">
        <v>1633</v>
      </c>
      <c r="I902">
        <v>23.45</v>
      </c>
      <c r="K902" t="s">
        <v>17</v>
      </c>
    </row>
    <row r="903" spans="1:13" x14ac:dyDescent="0.3">
      <c r="A903">
        <v>3</v>
      </c>
      <c r="B903">
        <v>0</v>
      </c>
      <c r="C903" t="s">
        <v>1634</v>
      </c>
      <c r="D903" t="s">
        <v>15</v>
      </c>
      <c r="F903">
        <v>1</v>
      </c>
      <c r="G903">
        <v>2</v>
      </c>
      <c r="H903" t="s">
        <v>1633</v>
      </c>
      <c r="I903">
        <v>23.45</v>
      </c>
      <c r="K903" t="s">
        <v>17</v>
      </c>
    </row>
    <row r="904" spans="1:13" x14ac:dyDescent="0.3">
      <c r="A904">
        <v>3</v>
      </c>
      <c r="B904">
        <v>0</v>
      </c>
      <c r="C904" t="s">
        <v>1635</v>
      </c>
      <c r="D904" t="s">
        <v>20</v>
      </c>
      <c r="F904">
        <v>1</v>
      </c>
      <c r="G904">
        <v>2</v>
      </c>
      <c r="H904" t="s">
        <v>1633</v>
      </c>
      <c r="I904">
        <v>23.45</v>
      </c>
      <c r="K904" t="s">
        <v>17</v>
      </c>
    </row>
    <row r="905" spans="1:13" x14ac:dyDescent="0.3">
      <c r="A905">
        <v>3</v>
      </c>
      <c r="B905">
        <v>0</v>
      </c>
      <c r="C905" t="s">
        <v>1636</v>
      </c>
      <c r="D905" t="s">
        <v>15</v>
      </c>
      <c r="F905">
        <v>1</v>
      </c>
      <c r="G905">
        <v>2</v>
      </c>
      <c r="H905" t="s">
        <v>1633</v>
      </c>
      <c r="I905">
        <v>23.45</v>
      </c>
      <c r="K905" t="s">
        <v>17</v>
      </c>
    </row>
    <row r="906" spans="1:13" x14ac:dyDescent="0.3">
      <c r="A906">
        <v>3</v>
      </c>
      <c r="B906">
        <v>0</v>
      </c>
      <c r="C906" t="s">
        <v>1637</v>
      </c>
      <c r="D906" t="s">
        <v>20</v>
      </c>
      <c r="E906">
        <v>23</v>
      </c>
      <c r="F906">
        <v>0</v>
      </c>
      <c r="G906">
        <v>0</v>
      </c>
      <c r="H906">
        <v>349204</v>
      </c>
      <c r="I906">
        <v>7.8958000000000004</v>
      </c>
      <c r="K906" t="s">
        <v>17</v>
      </c>
    </row>
    <row r="907" spans="1:13" x14ac:dyDescent="0.3">
      <c r="A907">
        <v>3</v>
      </c>
      <c r="B907">
        <v>1</v>
      </c>
      <c r="C907" t="s">
        <v>1638</v>
      </c>
      <c r="D907" t="s">
        <v>20</v>
      </c>
      <c r="E907">
        <v>32</v>
      </c>
      <c r="F907">
        <v>0</v>
      </c>
      <c r="G907">
        <v>0</v>
      </c>
      <c r="H907">
        <v>350417</v>
      </c>
      <c r="I907">
        <v>7.8541999999999996</v>
      </c>
      <c r="K907" t="s">
        <v>17</v>
      </c>
      <c r="L907">
        <v>15</v>
      </c>
    </row>
    <row r="908" spans="1:13" x14ac:dyDescent="0.3">
      <c r="A908">
        <v>3</v>
      </c>
      <c r="B908">
        <v>0</v>
      </c>
      <c r="C908" t="s">
        <v>1639</v>
      </c>
      <c r="D908" t="s">
        <v>20</v>
      </c>
      <c r="E908">
        <v>27</v>
      </c>
      <c r="F908">
        <v>0</v>
      </c>
      <c r="G908">
        <v>0</v>
      </c>
      <c r="H908">
        <v>350408</v>
      </c>
      <c r="I908">
        <v>7.8541999999999996</v>
      </c>
      <c r="K908" t="s">
        <v>17</v>
      </c>
    </row>
    <row r="909" spans="1:13" x14ac:dyDescent="0.3">
      <c r="A909">
        <v>3</v>
      </c>
      <c r="B909">
        <v>0</v>
      </c>
      <c r="C909" t="s">
        <v>1640</v>
      </c>
      <c r="D909" t="s">
        <v>15</v>
      </c>
      <c r="E909">
        <v>20</v>
      </c>
      <c r="F909">
        <v>1</v>
      </c>
      <c r="G909">
        <v>0</v>
      </c>
      <c r="H909">
        <v>4136</v>
      </c>
      <c r="I909">
        <v>9.8249999999999993</v>
      </c>
      <c r="K909" t="s">
        <v>17</v>
      </c>
    </row>
    <row r="910" spans="1:13" x14ac:dyDescent="0.3">
      <c r="A910">
        <v>3</v>
      </c>
      <c r="B910">
        <v>0</v>
      </c>
      <c r="C910" t="s">
        <v>1641</v>
      </c>
      <c r="D910" t="s">
        <v>15</v>
      </c>
      <c r="E910">
        <v>21</v>
      </c>
      <c r="F910">
        <v>1</v>
      </c>
      <c r="G910">
        <v>0</v>
      </c>
      <c r="H910">
        <v>4137</v>
      </c>
      <c r="I910">
        <v>9.8249999999999993</v>
      </c>
      <c r="K910" t="s">
        <v>17</v>
      </c>
    </row>
    <row r="911" spans="1:13" x14ac:dyDescent="0.3">
      <c r="A911">
        <v>3</v>
      </c>
      <c r="B911">
        <v>1</v>
      </c>
      <c r="C911" t="s">
        <v>1642</v>
      </c>
      <c r="D911" t="s">
        <v>20</v>
      </c>
      <c r="E911">
        <v>32</v>
      </c>
      <c r="F911">
        <v>0</v>
      </c>
      <c r="G911">
        <v>0</v>
      </c>
      <c r="H911" t="s">
        <v>1643</v>
      </c>
      <c r="I911">
        <v>7.9249999999999998</v>
      </c>
      <c r="K911" t="s">
        <v>17</v>
      </c>
      <c r="L911">
        <v>15</v>
      </c>
    </row>
    <row r="912" spans="1:13" x14ac:dyDescent="0.3">
      <c r="A912">
        <v>3</v>
      </c>
      <c r="B912">
        <v>0</v>
      </c>
      <c r="C912" t="s">
        <v>1644</v>
      </c>
      <c r="D912" t="s">
        <v>20</v>
      </c>
      <c r="E912">
        <v>17</v>
      </c>
      <c r="F912">
        <v>0</v>
      </c>
      <c r="G912">
        <v>0</v>
      </c>
      <c r="H912" t="s">
        <v>1645</v>
      </c>
      <c r="I912">
        <v>7.125</v>
      </c>
      <c r="K912" t="s">
        <v>17</v>
      </c>
    </row>
    <row r="913" spans="1:13" x14ac:dyDescent="0.3">
      <c r="A913">
        <v>3</v>
      </c>
      <c r="B913">
        <v>0</v>
      </c>
      <c r="C913" t="s">
        <v>1646</v>
      </c>
      <c r="D913" t="s">
        <v>20</v>
      </c>
      <c r="E913">
        <v>21</v>
      </c>
      <c r="F913">
        <v>0</v>
      </c>
      <c r="G913">
        <v>0</v>
      </c>
      <c r="H913">
        <v>8475</v>
      </c>
      <c r="I913">
        <v>8.4332999999999991</v>
      </c>
      <c r="K913" t="s">
        <v>17</v>
      </c>
    </row>
    <row r="914" spans="1:13" x14ac:dyDescent="0.3">
      <c r="A914">
        <v>3</v>
      </c>
      <c r="B914">
        <v>0</v>
      </c>
      <c r="C914" t="s">
        <v>1647</v>
      </c>
      <c r="D914" t="s">
        <v>20</v>
      </c>
      <c r="E914">
        <v>30</v>
      </c>
      <c r="F914">
        <v>0</v>
      </c>
      <c r="G914">
        <v>0</v>
      </c>
      <c r="H914">
        <v>349246</v>
      </c>
      <c r="I914">
        <v>7.8958000000000004</v>
      </c>
      <c r="K914" t="s">
        <v>17</v>
      </c>
    </row>
    <row r="915" spans="1:13" x14ac:dyDescent="0.3">
      <c r="A915">
        <v>3</v>
      </c>
      <c r="B915">
        <v>1</v>
      </c>
      <c r="C915" t="s">
        <v>1648</v>
      </c>
      <c r="D915" t="s">
        <v>20</v>
      </c>
      <c r="E915">
        <v>21</v>
      </c>
      <c r="F915">
        <v>0</v>
      </c>
      <c r="G915">
        <v>0</v>
      </c>
      <c r="H915">
        <v>350053</v>
      </c>
      <c r="I915">
        <v>7.7957999999999998</v>
      </c>
      <c r="K915" t="s">
        <v>17</v>
      </c>
      <c r="L915">
        <v>13</v>
      </c>
    </row>
    <row r="916" spans="1:13" x14ac:dyDescent="0.3">
      <c r="A916">
        <v>3</v>
      </c>
      <c r="B916">
        <v>0</v>
      </c>
      <c r="C916" t="s">
        <v>1649</v>
      </c>
      <c r="D916" t="s">
        <v>20</v>
      </c>
      <c r="E916">
        <v>33</v>
      </c>
      <c r="F916">
        <v>0</v>
      </c>
      <c r="G916">
        <v>0</v>
      </c>
      <c r="H916">
        <v>347465</v>
      </c>
      <c r="I916">
        <v>7.8541999999999996</v>
      </c>
      <c r="K916" t="s">
        <v>17</v>
      </c>
    </row>
    <row r="917" spans="1:13" x14ac:dyDescent="0.3">
      <c r="A917">
        <v>3</v>
      </c>
      <c r="B917">
        <v>0</v>
      </c>
      <c r="C917" t="s">
        <v>1650</v>
      </c>
      <c r="D917" t="s">
        <v>20</v>
      </c>
      <c r="E917">
        <v>22</v>
      </c>
      <c r="F917">
        <v>0</v>
      </c>
      <c r="G917">
        <v>0</v>
      </c>
      <c r="H917">
        <v>350060</v>
      </c>
      <c r="I917">
        <v>7.5208000000000004</v>
      </c>
      <c r="K917" t="s">
        <v>17</v>
      </c>
    </row>
    <row r="918" spans="1:13" x14ac:dyDescent="0.3">
      <c r="A918">
        <v>3</v>
      </c>
      <c r="B918">
        <v>1</v>
      </c>
      <c r="C918" t="s">
        <v>1651</v>
      </c>
      <c r="D918" t="s">
        <v>15</v>
      </c>
      <c r="E918">
        <v>4</v>
      </c>
      <c r="F918">
        <v>0</v>
      </c>
      <c r="G918">
        <v>1</v>
      </c>
      <c r="H918">
        <v>349256</v>
      </c>
      <c r="I918">
        <v>13.416700000000001</v>
      </c>
      <c r="K918" t="s">
        <v>41</v>
      </c>
      <c r="L918">
        <v>15</v>
      </c>
    </row>
    <row r="919" spans="1:13" x14ac:dyDescent="0.3">
      <c r="A919">
        <v>3</v>
      </c>
      <c r="B919">
        <v>1</v>
      </c>
      <c r="C919" t="s">
        <v>1652</v>
      </c>
      <c r="D919" t="s">
        <v>20</v>
      </c>
      <c r="E919">
        <v>39</v>
      </c>
      <c r="F919">
        <v>0</v>
      </c>
      <c r="G919">
        <v>1</v>
      </c>
      <c r="H919">
        <v>349256</v>
      </c>
      <c r="I919">
        <v>13.416700000000001</v>
      </c>
      <c r="K919" t="s">
        <v>41</v>
      </c>
      <c r="L919">
        <v>15</v>
      </c>
    </row>
    <row r="920" spans="1:13" x14ac:dyDescent="0.3">
      <c r="A920">
        <v>3</v>
      </c>
      <c r="B920">
        <v>0</v>
      </c>
      <c r="C920" t="s">
        <v>1653</v>
      </c>
      <c r="D920" t="s">
        <v>20</v>
      </c>
      <c r="F920">
        <v>0</v>
      </c>
      <c r="G920">
        <v>0</v>
      </c>
      <c r="H920">
        <v>2700</v>
      </c>
      <c r="I920">
        <v>7.2291999999999996</v>
      </c>
      <c r="K920" t="s">
        <v>41</v>
      </c>
    </row>
    <row r="921" spans="1:13" x14ac:dyDescent="0.3">
      <c r="A921">
        <v>3</v>
      </c>
      <c r="B921">
        <v>0</v>
      </c>
      <c r="C921" t="s">
        <v>1654</v>
      </c>
      <c r="D921" t="s">
        <v>20</v>
      </c>
      <c r="E921">
        <v>18.5</v>
      </c>
      <c r="F921">
        <v>0</v>
      </c>
      <c r="G921">
        <v>0</v>
      </c>
      <c r="H921">
        <v>2682</v>
      </c>
      <c r="I921">
        <v>7.2291999999999996</v>
      </c>
      <c r="K921" t="s">
        <v>41</v>
      </c>
      <c r="M921">
        <v>58</v>
      </c>
    </row>
    <row r="922" spans="1:13" x14ac:dyDescent="0.3">
      <c r="A922">
        <v>3</v>
      </c>
      <c r="B922">
        <v>0</v>
      </c>
      <c r="C922" t="s">
        <v>1655</v>
      </c>
      <c r="D922" t="s">
        <v>20</v>
      </c>
      <c r="F922">
        <v>0</v>
      </c>
      <c r="G922">
        <v>0</v>
      </c>
      <c r="H922">
        <v>12460</v>
      </c>
      <c r="I922">
        <v>7.75</v>
      </c>
      <c r="K922" t="s">
        <v>463</v>
      </c>
    </row>
    <row r="923" spans="1:13" x14ac:dyDescent="0.3">
      <c r="A923">
        <v>3</v>
      </c>
      <c r="B923">
        <v>0</v>
      </c>
      <c r="C923" t="s">
        <v>1656</v>
      </c>
      <c r="D923" t="s">
        <v>20</v>
      </c>
      <c r="F923">
        <v>0</v>
      </c>
      <c r="G923">
        <v>0</v>
      </c>
      <c r="H923">
        <v>323592</v>
      </c>
      <c r="I923">
        <v>7.25</v>
      </c>
      <c r="K923" t="s">
        <v>17</v>
      </c>
      <c r="L923" t="s">
        <v>67</v>
      </c>
    </row>
    <row r="924" spans="1:13" x14ac:dyDescent="0.3">
      <c r="A924">
        <v>3</v>
      </c>
      <c r="B924">
        <v>1</v>
      </c>
      <c r="C924" t="s">
        <v>1657</v>
      </c>
      <c r="D924" t="s">
        <v>15</v>
      </c>
      <c r="F924">
        <v>0</v>
      </c>
      <c r="G924">
        <v>0</v>
      </c>
      <c r="H924">
        <v>9234</v>
      </c>
      <c r="I924">
        <v>7.75</v>
      </c>
      <c r="K924" t="s">
        <v>463</v>
      </c>
      <c r="L924">
        <v>16</v>
      </c>
    </row>
    <row r="925" spans="1:13" x14ac:dyDescent="0.3">
      <c r="A925">
        <v>3</v>
      </c>
      <c r="B925">
        <v>1</v>
      </c>
      <c r="C925" t="s">
        <v>1658</v>
      </c>
      <c r="D925" t="s">
        <v>15</v>
      </c>
      <c r="F925">
        <v>0</v>
      </c>
      <c r="G925">
        <v>0</v>
      </c>
      <c r="H925">
        <v>14312</v>
      </c>
      <c r="I925">
        <v>7.75</v>
      </c>
      <c r="K925" t="s">
        <v>463</v>
      </c>
      <c r="L925" t="s">
        <v>37</v>
      </c>
    </row>
    <row r="926" spans="1:13" x14ac:dyDescent="0.3">
      <c r="A926">
        <v>3</v>
      </c>
      <c r="B926">
        <v>0</v>
      </c>
      <c r="C926" t="s">
        <v>1659</v>
      </c>
      <c r="D926" t="s">
        <v>20</v>
      </c>
      <c r="E926">
        <v>34.5</v>
      </c>
      <c r="F926">
        <v>0</v>
      </c>
      <c r="G926">
        <v>0</v>
      </c>
      <c r="H926">
        <v>330911</v>
      </c>
      <c r="I926">
        <v>7.8292000000000002</v>
      </c>
      <c r="K926" t="s">
        <v>463</v>
      </c>
      <c r="M926">
        <v>70</v>
      </c>
    </row>
    <row r="927" spans="1:13" x14ac:dyDescent="0.3">
      <c r="A927">
        <v>3</v>
      </c>
      <c r="B927">
        <v>0</v>
      </c>
      <c r="C927" t="s">
        <v>1659</v>
      </c>
      <c r="D927" t="s">
        <v>20</v>
      </c>
      <c r="E927">
        <v>44</v>
      </c>
      <c r="F927">
        <v>0</v>
      </c>
      <c r="G927">
        <v>0</v>
      </c>
      <c r="H927">
        <v>363592</v>
      </c>
      <c r="I927">
        <v>8.0500000000000007</v>
      </c>
      <c r="K927" t="s">
        <v>17</v>
      </c>
    </row>
    <row r="928" spans="1:13" x14ac:dyDescent="0.3">
      <c r="A928">
        <v>3</v>
      </c>
      <c r="B928">
        <v>1</v>
      </c>
      <c r="C928" t="s">
        <v>1660</v>
      </c>
      <c r="D928" t="s">
        <v>20</v>
      </c>
      <c r="F928">
        <v>0</v>
      </c>
      <c r="G928">
        <v>0</v>
      </c>
      <c r="H928">
        <v>368783</v>
      </c>
      <c r="I928">
        <v>7.75</v>
      </c>
      <c r="K928" t="s">
        <v>463</v>
      </c>
    </row>
    <row r="929" spans="1:12" x14ac:dyDescent="0.3">
      <c r="A929">
        <v>3</v>
      </c>
      <c r="B929">
        <v>0</v>
      </c>
      <c r="C929" t="s">
        <v>1661</v>
      </c>
      <c r="D929" t="s">
        <v>20</v>
      </c>
      <c r="F929">
        <v>1</v>
      </c>
      <c r="G929">
        <v>0</v>
      </c>
      <c r="H929">
        <v>2660</v>
      </c>
      <c r="I929">
        <v>14.4542</v>
      </c>
      <c r="K929" t="s">
        <v>41</v>
      </c>
    </row>
    <row r="930" spans="1:12" x14ac:dyDescent="0.3">
      <c r="A930">
        <v>3</v>
      </c>
      <c r="B930">
        <v>0</v>
      </c>
      <c r="C930" t="s">
        <v>1662</v>
      </c>
      <c r="D930" t="s">
        <v>15</v>
      </c>
      <c r="F930">
        <v>1</v>
      </c>
      <c r="G930">
        <v>0</v>
      </c>
      <c r="H930">
        <v>2660</v>
      </c>
      <c r="I930">
        <v>14.4542</v>
      </c>
      <c r="K930" t="s">
        <v>41</v>
      </c>
    </row>
    <row r="931" spans="1:12" x14ac:dyDescent="0.3">
      <c r="A931">
        <v>3</v>
      </c>
      <c r="B931">
        <v>0</v>
      </c>
      <c r="C931" t="s">
        <v>1663</v>
      </c>
      <c r="D931" t="s">
        <v>20</v>
      </c>
      <c r="F931">
        <v>1</v>
      </c>
      <c r="G931">
        <v>0</v>
      </c>
      <c r="H931">
        <v>367227</v>
      </c>
      <c r="I931">
        <v>7.75</v>
      </c>
      <c r="K931" t="s">
        <v>463</v>
      </c>
    </row>
    <row r="932" spans="1:12" x14ac:dyDescent="0.3">
      <c r="A932">
        <v>3</v>
      </c>
      <c r="B932">
        <v>0</v>
      </c>
      <c r="C932" t="s">
        <v>1664</v>
      </c>
      <c r="D932" t="s">
        <v>20</v>
      </c>
      <c r="F932">
        <v>1</v>
      </c>
      <c r="G932">
        <v>0</v>
      </c>
      <c r="H932">
        <v>367229</v>
      </c>
      <c r="I932">
        <v>7.75</v>
      </c>
      <c r="K932" t="s">
        <v>463</v>
      </c>
    </row>
    <row r="933" spans="1:12" x14ac:dyDescent="0.3">
      <c r="A933">
        <v>3</v>
      </c>
      <c r="B933">
        <v>0</v>
      </c>
      <c r="C933" t="s">
        <v>1665</v>
      </c>
      <c r="D933" t="s">
        <v>20</v>
      </c>
      <c r="F933">
        <v>0</v>
      </c>
      <c r="G933">
        <v>0</v>
      </c>
      <c r="H933">
        <v>36865</v>
      </c>
      <c r="I933">
        <v>7.7374999999999998</v>
      </c>
      <c r="K933" t="s">
        <v>463</v>
      </c>
    </row>
    <row r="934" spans="1:12" x14ac:dyDescent="0.3">
      <c r="A934">
        <v>3</v>
      </c>
      <c r="B934">
        <v>0</v>
      </c>
      <c r="C934" t="s">
        <v>1666</v>
      </c>
      <c r="D934" t="s">
        <v>15</v>
      </c>
      <c r="E934">
        <v>22</v>
      </c>
      <c r="F934">
        <v>2</v>
      </c>
      <c r="G934">
        <v>0</v>
      </c>
      <c r="H934">
        <v>315152</v>
      </c>
      <c r="I934">
        <v>8.6624999999999996</v>
      </c>
      <c r="K934" t="s">
        <v>17</v>
      </c>
    </row>
    <row r="935" spans="1:12" x14ac:dyDescent="0.3">
      <c r="A935">
        <v>3</v>
      </c>
      <c r="B935">
        <v>0</v>
      </c>
      <c r="C935" t="s">
        <v>1667</v>
      </c>
      <c r="D935" t="s">
        <v>20</v>
      </c>
      <c r="E935">
        <v>26</v>
      </c>
      <c r="F935">
        <v>2</v>
      </c>
      <c r="G935">
        <v>0</v>
      </c>
      <c r="H935">
        <v>315151</v>
      </c>
      <c r="I935">
        <v>8.6624999999999996</v>
      </c>
      <c r="K935" t="s">
        <v>17</v>
      </c>
    </row>
    <row r="936" spans="1:12" x14ac:dyDescent="0.3">
      <c r="A936">
        <v>3</v>
      </c>
      <c r="B936">
        <v>1</v>
      </c>
      <c r="C936" t="s">
        <v>1668</v>
      </c>
      <c r="D936" t="s">
        <v>15</v>
      </c>
      <c r="E936">
        <v>4</v>
      </c>
      <c r="F936">
        <v>0</v>
      </c>
      <c r="G936">
        <v>2</v>
      </c>
      <c r="H936">
        <v>315153</v>
      </c>
      <c r="I936">
        <v>22.024999999999999</v>
      </c>
      <c r="K936" t="s">
        <v>17</v>
      </c>
      <c r="L936">
        <v>2</v>
      </c>
    </row>
    <row r="937" spans="1:12" x14ac:dyDescent="0.3">
      <c r="A937">
        <v>3</v>
      </c>
      <c r="B937">
        <v>1</v>
      </c>
      <c r="C937" t="s">
        <v>1669</v>
      </c>
      <c r="D937" t="s">
        <v>20</v>
      </c>
      <c r="E937">
        <v>29</v>
      </c>
      <c r="F937">
        <v>3</v>
      </c>
      <c r="G937">
        <v>1</v>
      </c>
      <c r="H937">
        <v>315153</v>
      </c>
      <c r="I937">
        <v>22.024999999999999</v>
      </c>
      <c r="K937" t="s">
        <v>17</v>
      </c>
      <c r="L937">
        <v>2</v>
      </c>
    </row>
    <row r="938" spans="1:12" x14ac:dyDescent="0.3">
      <c r="A938">
        <v>3</v>
      </c>
      <c r="B938">
        <v>1</v>
      </c>
      <c r="C938" t="s">
        <v>1670</v>
      </c>
      <c r="D938" t="s">
        <v>15</v>
      </c>
      <c r="E938">
        <v>26</v>
      </c>
      <c r="F938">
        <v>1</v>
      </c>
      <c r="G938">
        <v>1</v>
      </c>
      <c r="H938">
        <v>315153</v>
      </c>
      <c r="I938">
        <v>22.024999999999999</v>
      </c>
      <c r="K938" t="s">
        <v>17</v>
      </c>
      <c r="L938">
        <v>2</v>
      </c>
    </row>
    <row r="939" spans="1:12" x14ac:dyDescent="0.3">
      <c r="A939">
        <v>3</v>
      </c>
      <c r="B939">
        <v>0</v>
      </c>
      <c r="C939" t="s">
        <v>1671</v>
      </c>
      <c r="D939" t="s">
        <v>15</v>
      </c>
      <c r="E939">
        <v>1</v>
      </c>
      <c r="F939">
        <v>1</v>
      </c>
      <c r="G939">
        <v>1</v>
      </c>
      <c r="H939">
        <v>350405</v>
      </c>
      <c r="I939">
        <v>12.183299999999999</v>
      </c>
      <c r="K939" t="s">
        <v>17</v>
      </c>
    </row>
    <row r="940" spans="1:12" x14ac:dyDescent="0.3">
      <c r="A940">
        <v>3</v>
      </c>
      <c r="B940">
        <v>0</v>
      </c>
      <c r="C940" t="s">
        <v>1672</v>
      </c>
      <c r="D940" t="s">
        <v>20</v>
      </c>
      <c r="E940">
        <v>18</v>
      </c>
      <c r="F940">
        <v>1</v>
      </c>
      <c r="G940">
        <v>1</v>
      </c>
      <c r="H940">
        <v>350404</v>
      </c>
      <c r="I940">
        <v>7.8541999999999996</v>
      </c>
      <c r="K940" t="s">
        <v>17</v>
      </c>
    </row>
    <row r="941" spans="1:12" x14ac:dyDescent="0.3">
      <c r="A941">
        <v>3</v>
      </c>
      <c r="B941">
        <v>0</v>
      </c>
      <c r="C941" t="s">
        <v>1673</v>
      </c>
      <c r="D941" t="s">
        <v>15</v>
      </c>
      <c r="E941">
        <v>36</v>
      </c>
      <c r="F941">
        <v>0</v>
      </c>
      <c r="G941">
        <v>2</v>
      </c>
      <c r="H941">
        <v>350405</v>
      </c>
      <c r="I941">
        <v>12.183299999999999</v>
      </c>
      <c r="K941" t="s">
        <v>17</v>
      </c>
    </row>
    <row r="942" spans="1:12" x14ac:dyDescent="0.3">
      <c r="A942">
        <v>3</v>
      </c>
      <c r="B942">
        <v>0</v>
      </c>
      <c r="C942" t="s">
        <v>1674</v>
      </c>
      <c r="D942" t="s">
        <v>20</v>
      </c>
      <c r="F942">
        <v>0</v>
      </c>
      <c r="G942">
        <v>0</v>
      </c>
      <c r="H942">
        <v>349253</v>
      </c>
      <c r="I942">
        <v>7.8958000000000004</v>
      </c>
      <c r="K942" t="s">
        <v>41</v>
      </c>
    </row>
    <row r="943" spans="1:12" x14ac:dyDescent="0.3">
      <c r="A943">
        <v>3</v>
      </c>
      <c r="B943">
        <v>1</v>
      </c>
      <c r="C943" t="s">
        <v>1675</v>
      </c>
      <c r="D943" t="s">
        <v>20</v>
      </c>
      <c r="E943">
        <v>25</v>
      </c>
      <c r="F943">
        <v>0</v>
      </c>
      <c r="G943">
        <v>0</v>
      </c>
      <c r="H943">
        <v>2654</v>
      </c>
      <c r="I943">
        <v>7.2291999999999996</v>
      </c>
      <c r="J943" t="s">
        <v>1676</v>
      </c>
      <c r="K943" t="s">
        <v>41</v>
      </c>
      <c r="L943">
        <v>10</v>
      </c>
    </row>
    <row r="944" spans="1:12" x14ac:dyDescent="0.3">
      <c r="A944">
        <v>3</v>
      </c>
      <c r="B944">
        <v>0</v>
      </c>
      <c r="C944" t="s">
        <v>1677</v>
      </c>
      <c r="D944" t="s">
        <v>20</v>
      </c>
      <c r="F944">
        <v>0</v>
      </c>
      <c r="G944">
        <v>0</v>
      </c>
      <c r="H944">
        <v>2624</v>
      </c>
      <c r="I944">
        <v>7.2249999999999996</v>
      </c>
      <c r="K944" t="s">
        <v>41</v>
      </c>
    </row>
    <row r="945" spans="1:12" x14ac:dyDescent="0.3">
      <c r="A945">
        <v>3</v>
      </c>
      <c r="B945">
        <v>0</v>
      </c>
      <c r="C945" t="s">
        <v>1678</v>
      </c>
      <c r="D945" t="s">
        <v>15</v>
      </c>
      <c r="E945">
        <v>37</v>
      </c>
      <c r="F945">
        <v>0</v>
      </c>
      <c r="G945">
        <v>0</v>
      </c>
      <c r="H945">
        <v>4135</v>
      </c>
      <c r="I945">
        <v>9.5875000000000004</v>
      </c>
      <c r="K945" t="s">
        <v>17</v>
      </c>
    </row>
    <row r="946" spans="1:12" x14ac:dyDescent="0.3">
      <c r="A946">
        <v>3</v>
      </c>
      <c r="B946">
        <v>0</v>
      </c>
      <c r="C946" t="s">
        <v>1679</v>
      </c>
      <c r="D946" t="s">
        <v>20</v>
      </c>
      <c r="F946">
        <v>0</v>
      </c>
      <c r="G946">
        <v>0</v>
      </c>
      <c r="H946">
        <v>349217</v>
      </c>
      <c r="I946">
        <v>7.8958000000000004</v>
      </c>
      <c r="K946" t="s">
        <v>17</v>
      </c>
    </row>
    <row r="947" spans="1:12" x14ac:dyDescent="0.3">
      <c r="A947">
        <v>3</v>
      </c>
      <c r="B947">
        <v>1</v>
      </c>
      <c r="C947" t="s">
        <v>1680</v>
      </c>
      <c r="D947" t="s">
        <v>20</v>
      </c>
      <c r="F947">
        <v>0</v>
      </c>
      <c r="G947">
        <v>0</v>
      </c>
      <c r="H947">
        <v>1601</v>
      </c>
      <c r="I947">
        <v>56.495800000000003</v>
      </c>
      <c r="K947" t="s">
        <v>17</v>
      </c>
      <c r="L947" t="s">
        <v>41</v>
      </c>
    </row>
    <row r="948" spans="1:12" x14ac:dyDescent="0.3">
      <c r="A948">
        <v>3</v>
      </c>
      <c r="B948">
        <v>0</v>
      </c>
      <c r="C948" t="s">
        <v>1681</v>
      </c>
      <c r="D948" t="s">
        <v>20</v>
      </c>
      <c r="F948">
        <v>0</v>
      </c>
      <c r="G948">
        <v>0</v>
      </c>
      <c r="H948">
        <v>1601</v>
      </c>
      <c r="I948">
        <v>56.495800000000003</v>
      </c>
      <c r="K948" t="s">
        <v>17</v>
      </c>
    </row>
    <row r="949" spans="1:12" x14ac:dyDescent="0.3">
      <c r="A949">
        <v>3</v>
      </c>
      <c r="B949">
        <v>1</v>
      </c>
      <c r="C949" t="s">
        <v>1682</v>
      </c>
      <c r="D949" t="s">
        <v>15</v>
      </c>
      <c r="E949">
        <v>22</v>
      </c>
      <c r="F949">
        <v>0</v>
      </c>
      <c r="G949">
        <v>0</v>
      </c>
      <c r="H949" t="s">
        <v>1683</v>
      </c>
      <c r="I949">
        <v>7.25</v>
      </c>
      <c r="K949" t="s">
        <v>17</v>
      </c>
      <c r="L949">
        <v>13</v>
      </c>
    </row>
    <row r="950" spans="1:12" x14ac:dyDescent="0.3">
      <c r="A950">
        <v>3</v>
      </c>
      <c r="B950">
        <v>0</v>
      </c>
      <c r="C950" t="s">
        <v>1684</v>
      </c>
      <c r="D950" t="s">
        <v>20</v>
      </c>
      <c r="F950">
        <v>0</v>
      </c>
      <c r="G950">
        <v>0</v>
      </c>
      <c r="H950">
        <v>7935</v>
      </c>
      <c r="I950">
        <v>7.75</v>
      </c>
      <c r="K950" t="s">
        <v>463</v>
      </c>
    </row>
    <row r="951" spans="1:12" x14ac:dyDescent="0.3">
      <c r="A951">
        <v>3</v>
      </c>
      <c r="B951">
        <v>1</v>
      </c>
      <c r="C951" t="s">
        <v>1685</v>
      </c>
      <c r="D951" t="s">
        <v>20</v>
      </c>
      <c r="E951">
        <v>26</v>
      </c>
      <c r="F951">
        <v>0</v>
      </c>
      <c r="G951">
        <v>0</v>
      </c>
      <c r="H951">
        <v>1601</v>
      </c>
      <c r="I951">
        <v>56.495800000000003</v>
      </c>
      <c r="K951" t="s">
        <v>17</v>
      </c>
      <c r="L951">
        <v>14</v>
      </c>
    </row>
    <row r="952" spans="1:12" x14ac:dyDescent="0.3">
      <c r="A952">
        <v>3</v>
      </c>
      <c r="B952">
        <v>0</v>
      </c>
      <c r="C952" t="s">
        <v>1686</v>
      </c>
      <c r="D952" t="s">
        <v>20</v>
      </c>
      <c r="E952">
        <v>29</v>
      </c>
      <c r="F952">
        <v>0</v>
      </c>
      <c r="G952">
        <v>0</v>
      </c>
      <c r="H952">
        <v>7545</v>
      </c>
      <c r="I952">
        <v>9.4832999999999998</v>
      </c>
      <c r="K952" t="s">
        <v>17</v>
      </c>
    </row>
    <row r="953" spans="1:12" x14ac:dyDescent="0.3">
      <c r="A953">
        <v>3</v>
      </c>
      <c r="B953">
        <v>0</v>
      </c>
      <c r="C953" t="s">
        <v>1687</v>
      </c>
      <c r="D953" t="s">
        <v>20</v>
      </c>
      <c r="E953">
        <v>29</v>
      </c>
      <c r="F953">
        <v>0</v>
      </c>
      <c r="G953">
        <v>0</v>
      </c>
      <c r="H953">
        <v>347067</v>
      </c>
      <c r="I953">
        <v>7.7750000000000004</v>
      </c>
      <c r="K953" t="s">
        <v>17</v>
      </c>
    </row>
    <row r="954" spans="1:12" x14ac:dyDescent="0.3">
      <c r="A954">
        <v>3</v>
      </c>
      <c r="B954">
        <v>0</v>
      </c>
      <c r="C954" t="s">
        <v>1688</v>
      </c>
      <c r="D954" t="s">
        <v>20</v>
      </c>
      <c r="E954">
        <v>22</v>
      </c>
      <c r="F954">
        <v>0</v>
      </c>
      <c r="G954">
        <v>0</v>
      </c>
      <c r="H954">
        <v>347065</v>
      </c>
      <c r="I954">
        <v>7.7750000000000004</v>
      </c>
      <c r="K954" t="s">
        <v>17</v>
      </c>
    </row>
    <row r="955" spans="1:12" x14ac:dyDescent="0.3">
      <c r="A955">
        <v>3</v>
      </c>
      <c r="B955">
        <v>1</v>
      </c>
      <c r="C955" t="s">
        <v>1689</v>
      </c>
      <c r="D955" t="s">
        <v>20</v>
      </c>
      <c r="E955">
        <v>22</v>
      </c>
      <c r="F955">
        <v>0</v>
      </c>
      <c r="G955">
        <v>0</v>
      </c>
      <c r="H955">
        <v>2620</v>
      </c>
      <c r="I955">
        <v>7.2249999999999996</v>
      </c>
      <c r="K955" t="s">
        <v>41</v>
      </c>
      <c r="L955">
        <v>6</v>
      </c>
    </row>
    <row r="956" spans="1:12" x14ac:dyDescent="0.3">
      <c r="A956">
        <v>3</v>
      </c>
      <c r="B956">
        <v>0</v>
      </c>
      <c r="C956" t="s">
        <v>1690</v>
      </c>
      <c r="D956" t="s">
        <v>20</v>
      </c>
      <c r="F956">
        <v>3</v>
      </c>
      <c r="G956">
        <v>1</v>
      </c>
      <c r="H956">
        <v>4133</v>
      </c>
      <c r="I956">
        <v>25.466699999999999</v>
      </c>
      <c r="K956" t="s">
        <v>17</v>
      </c>
    </row>
    <row r="957" spans="1:12" x14ac:dyDescent="0.3">
      <c r="A957">
        <v>3</v>
      </c>
      <c r="B957">
        <v>0</v>
      </c>
      <c r="C957" t="s">
        <v>1691</v>
      </c>
      <c r="D957" t="s">
        <v>15</v>
      </c>
      <c r="F957">
        <v>3</v>
      </c>
      <c r="G957">
        <v>1</v>
      </c>
      <c r="H957">
        <v>4133</v>
      </c>
      <c r="I957">
        <v>25.466699999999999</v>
      </c>
      <c r="K957" t="s">
        <v>17</v>
      </c>
    </row>
    <row r="958" spans="1:12" x14ac:dyDescent="0.3">
      <c r="A958">
        <v>3</v>
      </c>
      <c r="B958">
        <v>0</v>
      </c>
      <c r="C958" t="s">
        <v>1692</v>
      </c>
      <c r="D958" t="s">
        <v>15</v>
      </c>
      <c r="F958">
        <v>3</v>
      </c>
      <c r="G958">
        <v>1</v>
      </c>
      <c r="H958">
        <v>4133</v>
      </c>
      <c r="I958">
        <v>25.466699999999999</v>
      </c>
      <c r="K958" t="s">
        <v>17</v>
      </c>
    </row>
    <row r="959" spans="1:12" x14ac:dyDescent="0.3">
      <c r="A959">
        <v>3</v>
      </c>
      <c r="B959">
        <v>0</v>
      </c>
      <c r="C959" t="s">
        <v>1693</v>
      </c>
      <c r="D959" t="s">
        <v>15</v>
      </c>
      <c r="F959">
        <v>3</v>
      </c>
      <c r="G959">
        <v>1</v>
      </c>
      <c r="H959">
        <v>4133</v>
      </c>
      <c r="I959">
        <v>25.466699999999999</v>
      </c>
      <c r="K959" t="s">
        <v>17</v>
      </c>
    </row>
    <row r="960" spans="1:12" x14ac:dyDescent="0.3">
      <c r="A960">
        <v>3</v>
      </c>
      <c r="B960">
        <v>0</v>
      </c>
      <c r="C960" t="s">
        <v>1694</v>
      </c>
      <c r="D960" t="s">
        <v>15</v>
      </c>
      <c r="F960">
        <v>0</v>
      </c>
      <c r="G960">
        <v>4</v>
      </c>
      <c r="H960">
        <v>4133</v>
      </c>
      <c r="I960">
        <v>25.466699999999999</v>
      </c>
      <c r="K960" t="s">
        <v>17</v>
      </c>
    </row>
    <row r="961" spans="1:13" x14ac:dyDescent="0.3">
      <c r="A961">
        <v>3</v>
      </c>
      <c r="B961">
        <v>0</v>
      </c>
      <c r="C961" t="s">
        <v>1695</v>
      </c>
      <c r="D961" t="s">
        <v>20</v>
      </c>
      <c r="E961">
        <v>32</v>
      </c>
      <c r="F961">
        <v>0</v>
      </c>
      <c r="G961">
        <v>0</v>
      </c>
      <c r="H961" t="s">
        <v>1696</v>
      </c>
      <c r="I961">
        <v>7.9249999999999998</v>
      </c>
      <c r="K961" t="s">
        <v>17</v>
      </c>
    </row>
    <row r="962" spans="1:13" x14ac:dyDescent="0.3">
      <c r="A962">
        <v>3</v>
      </c>
      <c r="B962">
        <v>0</v>
      </c>
      <c r="C962" t="s">
        <v>1697</v>
      </c>
      <c r="D962" t="s">
        <v>20</v>
      </c>
      <c r="E962">
        <v>34.5</v>
      </c>
      <c r="F962">
        <v>0</v>
      </c>
      <c r="G962">
        <v>0</v>
      </c>
      <c r="H962">
        <v>2683</v>
      </c>
      <c r="I962">
        <v>6.4375</v>
      </c>
      <c r="K962" t="s">
        <v>41</v>
      </c>
      <c r="M962">
        <v>196</v>
      </c>
    </row>
    <row r="963" spans="1:13" x14ac:dyDescent="0.3">
      <c r="A963">
        <v>3</v>
      </c>
      <c r="B963">
        <v>0</v>
      </c>
      <c r="C963" t="s">
        <v>1698</v>
      </c>
      <c r="D963" t="s">
        <v>15</v>
      </c>
      <c r="F963">
        <v>1</v>
      </c>
      <c r="G963">
        <v>0</v>
      </c>
      <c r="H963">
        <v>370371</v>
      </c>
      <c r="I963">
        <v>15.5</v>
      </c>
      <c r="K963" t="s">
        <v>463</v>
      </c>
    </row>
    <row r="964" spans="1:13" x14ac:dyDescent="0.3">
      <c r="A964">
        <v>3</v>
      </c>
      <c r="B964">
        <v>0</v>
      </c>
      <c r="C964" t="s">
        <v>1699</v>
      </c>
      <c r="D964" t="s">
        <v>20</v>
      </c>
      <c r="F964">
        <v>1</v>
      </c>
      <c r="G964">
        <v>0</v>
      </c>
      <c r="H964">
        <v>370371</v>
      </c>
      <c r="I964">
        <v>15.5</v>
      </c>
      <c r="K964" t="s">
        <v>463</v>
      </c>
    </row>
    <row r="965" spans="1:13" x14ac:dyDescent="0.3">
      <c r="A965">
        <v>3</v>
      </c>
      <c r="B965">
        <v>0</v>
      </c>
      <c r="C965" t="s">
        <v>1700</v>
      </c>
      <c r="D965" t="s">
        <v>20</v>
      </c>
      <c r="E965">
        <v>36</v>
      </c>
      <c r="F965">
        <v>0</v>
      </c>
      <c r="G965">
        <v>0</v>
      </c>
      <c r="H965" t="s">
        <v>1628</v>
      </c>
      <c r="I965">
        <v>0</v>
      </c>
      <c r="K965" t="s">
        <v>17</v>
      </c>
    </row>
    <row r="966" spans="1:13" x14ac:dyDescent="0.3">
      <c r="A966">
        <v>3</v>
      </c>
      <c r="B966">
        <v>0</v>
      </c>
      <c r="C966" t="s">
        <v>1701</v>
      </c>
      <c r="D966" t="s">
        <v>20</v>
      </c>
      <c r="E966">
        <v>39</v>
      </c>
      <c r="F966">
        <v>0</v>
      </c>
      <c r="G966">
        <v>0</v>
      </c>
      <c r="H966" t="s">
        <v>1427</v>
      </c>
      <c r="I966">
        <v>24.15</v>
      </c>
      <c r="K966" t="s">
        <v>17</v>
      </c>
    </row>
    <row r="967" spans="1:13" x14ac:dyDescent="0.3">
      <c r="A967">
        <v>3</v>
      </c>
      <c r="B967">
        <v>0</v>
      </c>
      <c r="C967" t="s">
        <v>1702</v>
      </c>
      <c r="D967" t="s">
        <v>20</v>
      </c>
      <c r="E967">
        <v>24</v>
      </c>
      <c r="F967">
        <v>0</v>
      </c>
      <c r="G967">
        <v>0</v>
      </c>
      <c r="H967">
        <v>345781</v>
      </c>
      <c r="I967">
        <v>9.5</v>
      </c>
      <c r="K967" t="s">
        <v>17</v>
      </c>
    </row>
    <row r="968" spans="1:13" x14ac:dyDescent="0.3">
      <c r="A968">
        <v>3</v>
      </c>
      <c r="B968">
        <v>0</v>
      </c>
      <c r="C968" t="s">
        <v>1703</v>
      </c>
      <c r="D968" t="s">
        <v>15</v>
      </c>
      <c r="E968">
        <v>25</v>
      </c>
      <c r="F968">
        <v>0</v>
      </c>
      <c r="G968">
        <v>0</v>
      </c>
      <c r="H968">
        <v>347071</v>
      </c>
      <c r="I968">
        <v>7.7750000000000004</v>
      </c>
      <c r="K968" t="s">
        <v>17</v>
      </c>
    </row>
    <row r="969" spans="1:13" x14ac:dyDescent="0.3">
      <c r="A969">
        <v>3</v>
      </c>
      <c r="B969">
        <v>0</v>
      </c>
      <c r="C969" t="s">
        <v>1704</v>
      </c>
      <c r="D969" t="s">
        <v>15</v>
      </c>
      <c r="E969">
        <v>45</v>
      </c>
      <c r="F969">
        <v>0</v>
      </c>
      <c r="G969">
        <v>0</v>
      </c>
      <c r="H969">
        <v>347073</v>
      </c>
      <c r="I969">
        <v>7.75</v>
      </c>
      <c r="K969" t="s">
        <v>17</v>
      </c>
    </row>
    <row r="970" spans="1:13" x14ac:dyDescent="0.3">
      <c r="A970">
        <v>3</v>
      </c>
      <c r="B970">
        <v>0</v>
      </c>
      <c r="C970" t="s">
        <v>1705</v>
      </c>
      <c r="D970" t="s">
        <v>20</v>
      </c>
      <c r="E970">
        <v>36</v>
      </c>
      <c r="F970">
        <v>1</v>
      </c>
      <c r="G970">
        <v>0</v>
      </c>
      <c r="H970">
        <v>349910</v>
      </c>
      <c r="I970">
        <v>15.55</v>
      </c>
      <c r="K970" t="s">
        <v>17</v>
      </c>
      <c r="L970" t="s">
        <v>67</v>
      </c>
    </row>
    <row r="971" spans="1:13" x14ac:dyDescent="0.3">
      <c r="A971">
        <v>3</v>
      </c>
      <c r="B971">
        <v>0</v>
      </c>
      <c r="C971" t="s">
        <v>1706</v>
      </c>
      <c r="D971" t="s">
        <v>15</v>
      </c>
      <c r="E971">
        <v>30</v>
      </c>
      <c r="F971">
        <v>1</v>
      </c>
      <c r="G971">
        <v>0</v>
      </c>
      <c r="H971">
        <v>349910</v>
      </c>
      <c r="I971">
        <v>15.55</v>
      </c>
      <c r="K971" t="s">
        <v>17</v>
      </c>
      <c r="L971" t="s">
        <v>67</v>
      </c>
    </row>
    <row r="972" spans="1:13" x14ac:dyDescent="0.3">
      <c r="A972">
        <v>3</v>
      </c>
      <c r="B972">
        <v>1</v>
      </c>
      <c r="C972" t="s">
        <v>1707</v>
      </c>
      <c r="D972" t="s">
        <v>20</v>
      </c>
      <c r="E972">
        <v>20</v>
      </c>
      <c r="F972">
        <v>1</v>
      </c>
      <c r="G972">
        <v>0</v>
      </c>
      <c r="H972" t="s">
        <v>1708</v>
      </c>
      <c r="I972">
        <v>7.9249999999999998</v>
      </c>
      <c r="K972" t="s">
        <v>17</v>
      </c>
      <c r="L972">
        <v>15</v>
      </c>
    </row>
    <row r="973" spans="1:13" x14ac:dyDescent="0.3">
      <c r="A973">
        <v>3</v>
      </c>
      <c r="B973">
        <v>0</v>
      </c>
      <c r="C973" t="s">
        <v>1709</v>
      </c>
      <c r="D973" t="s">
        <v>20</v>
      </c>
      <c r="F973">
        <v>0</v>
      </c>
      <c r="G973">
        <v>0</v>
      </c>
      <c r="H973">
        <v>330971</v>
      </c>
      <c r="I973">
        <v>7.8792</v>
      </c>
      <c r="K973" t="s">
        <v>463</v>
      </c>
    </row>
    <row r="974" spans="1:13" x14ac:dyDescent="0.3">
      <c r="A974">
        <v>3</v>
      </c>
      <c r="B974">
        <v>0</v>
      </c>
      <c r="C974" t="s">
        <v>1710</v>
      </c>
      <c r="D974" t="s">
        <v>20</v>
      </c>
      <c r="E974">
        <v>28</v>
      </c>
      <c r="F974">
        <v>0</v>
      </c>
      <c r="G974">
        <v>0</v>
      </c>
      <c r="H974">
        <v>1601</v>
      </c>
      <c r="I974">
        <v>56.495800000000003</v>
      </c>
      <c r="K974" t="s">
        <v>17</v>
      </c>
    </row>
    <row r="975" spans="1:13" x14ac:dyDescent="0.3">
      <c r="A975">
        <v>3</v>
      </c>
      <c r="B975">
        <v>0</v>
      </c>
      <c r="C975" t="s">
        <v>1711</v>
      </c>
      <c r="D975" t="s">
        <v>20</v>
      </c>
      <c r="F975">
        <v>0</v>
      </c>
      <c r="G975">
        <v>0</v>
      </c>
      <c r="H975" t="s">
        <v>1712</v>
      </c>
      <c r="I975">
        <v>7.55</v>
      </c>
      <c r="K975" t="s">
        <v>17</v>
      </c>
    </row>
    <row r="976" spans="1:13" x14ac:dyDescent="0.3">
      <c r="A976">
        <v>3</v>
      </c>
      <c r="B976">
        <v>0</v>
      </c>
      <c r="C976" t="s">
        <v>1713</v>
      </c>
      <c r="D976" t="s">
        <v>20</v>
      </c>
      <c r="E976">
        <v>30</v>
      </c>
      <c r="F976">
        <v>1</v>
      </c>
      <c r="G976">
        <v>0</v>
      </c>
      <c r="H976" t="s">
        <v>1714</v>
      </c>
      <c r="I976">
        <v>16.100000000000001</v>
      </c>
      <c r="K976" t="s">
        <v>17</v>
      </c>
    </row>
    <row r="977" spans="1:13" x14ac:dyDescent="0.3">
      <c r="A977">
        <v>3</v>
      </c>
      <c r="B977">
        <v>0</v>
      </c>
      <c r="C977" t="s">
        <v>1715</v>
      </c>
      <c r="D977" t="s">
        <v>15</v>
      </c>
      <c r="E977">
        <v>26</v>
      </c>
      <c r="F977">
        <v>1</v>
      </c>
      <c r="G977">
        <v>0</v>
      </c>
      <c r="H977" t="s">
        <v>1714</v>
      </c>
      <c r="I977">
        <v>16.100000000000001</v>
      </c>
      <c r="K977" t="s">
        <v>17</v>
      </c>
    </row>
    <row r="978" spans="1:13" x14ac:dyDescent="0.3">
      <c r="A978">
        <v>3</v>
      </c>
      <c r="B978">
        <v>0</v>
      </c>
      <c r="C978" t="s">
        <v>1716</v>
      </c>
      <c r="D978" t="s">
        <v>20</v>
      </c>
      <c r="F978">
        <v>0</v>
      </c>
      <c r="G978">
        <v>0</v>
      </c>
      <c r="H978">
        <v>1222</v>
      </c>
      <c r="I978">
        <v>7.8792</v>
      </c>
      <c r="K978" t="s">
        <v>17</v>
      </c>
      <c r="M978">
        <v>153</v>
      </c>
    </row>
    <row r="979" spans="1:13" x14ac:dyDescent="0.3">
      <c r="A979">
        <v>3</v>
      </c>
      <c r="B979">
        <v>0</v>
      </c>
      <c r="C979" t="s">
        <v>1717</v>
      </c>
      <c r="D979" t="s">
        <v>20</v>
      </c>
      <c r="E979">
        <v>20.5</v>
      </c>
      <c r="F979">
        <v>0</v>
      </c>
      <c r="G979">
        <v>0</v>
      </c>
      <c r="H979" t="s">
        <v>1718</v>
      </c>
      <c r="I979">
        <v>7.25</v>
      </c>
      <c r="K979" t="s">
        <v>17</v>
      </c>
    </row>
    <row r="980" spans="1:13" x14ac:dyDescent="0.3">
      <c r="A980">
        <v>3</v>
      </c>
      <c r="B980">
        <v>1</v>
      </c>
      <c r="C980" t="s">
        <v>1719</v>
      </c>
      <c r="D980" t="s">
        <v>20</v>
      </c>
      <c r="E980">
        <v>27</v>
      </c>
      <c r="F980">
        <v>0</v>
      </c>
      <c r="G980">
        <v>0</v>
      </c>
      <c r="H980">
        <v>315098</v>
      </c>
      <c r="I980">
        <v>8.6624999999999996</v>
      </c>
      <c r="K980" t="s">
        <v>17</v>
      </c>
      <c r="L980">
        <v>15</v>
      </c>
    </row>
    <row r="981" spans="1:13" x14ac:dyDescent="0.3">
      <c r="A981">
        <v>3</v>
      </c>
      <c r="B981">
        <v>0</v>
      </c>
      <c r="C981" t="s">
        <v>1720</v>
      </c>
      <c r="D981" t="s">
        <v>20</v>
      </c>
      <c r="E981">
        <v>51</v>
      </c>
      <c r="F981">
        <v>0</v>
      </c>
      <c r="G981">
        <v>0</v>
      </c>
      <c r="H981">
        <v>347743</v>
      </c>
      <c r="I981">
        <v>7.0541999999999998</v>
      </c>
      <c r="K981" t="s">
        <v>17</v>
      </c>
    </row>
    <row r="982" spans="1:13" x14ac:dyDescent="0.3">
      <c r="A982">
        <v>3</v>
      </c>
      <c r="B982">
        <v>1</v>
      </c>
      <c r="C982" t="s">
        <v>1721</v>
      </c>
      <c r="D982" t="s">
        <v>15</v>
      </c>
      <c r="E982">
        <v>23</v>
      </c>
      <c r="F982">
        <v>0</v>
      </c>
      <c r="G982">
        <v>0</v>
      </c>
      <c r="H982">
        <v>347469</v>
      </c>
      <c r="I982">
        <v>7.8541999999999996</v>
      </c>
      <c r="K982" t="s">
        <v>17</v>
      </c>
      <c r="L982">
        <v>10</v>
      </c>
    </row>
    <row r="983" spans="1:13" x14ac:dyDescent="0.3">
      <c r="A983">
        <v>3</v>
      </c>
      <c r="B983">
        <v>1</v>
      </c>
      <c r="C983" t="s">
        <v>1722</v>
      </c>
      <c r="D983" t="s">
        <v>20</v>
      </c>
      <c r="E983">
        <v>32</v>
      </c>
      <c r="F983">
        <v>0</v>
      </c>
      <c r="G983">
        <v>0</v>
      </c>
      <c r="H983">
        <v>350403</v>
      </c>
      <c r="I983">
        <v>7.5792000000000002</v>
      </c>
      <c r="K983" t="s">
        <v>17</v>
      </c>
      <c r="L983">
        <v>15</v>
      </c>
    </row>
    <row r="984" spans="1:13" x14ac:dyDescent="0.3">
      <c r="A984">
        <v>3</v>
      </c>
      <c r="B984">
        <v>0</v>
      </c>
      <c r="C984" t="s">
        <v>1723</v>
      </c>
      <c r="D984" t="s">
        <v>20</v>
      </c>
      <c r="F984">
        <v>0</v>
      </c>
      <c r="G984">
        <v>0</v>
      </c>
      <c r="H984">
        <v>349235</v>
      </c>
      <c r="I984">
        <v>7.8958000000000004</v>
      </c>
      <c r="K984" t="s">
        <v>17</v>
      </c>
    </row>
    <row r="985" spans="1:13" x14ac:dyDescent="0.3">
      <c r="A985">
        <v>3</v>
      </c>
      <c r="B985">
        <v>0</v>
      </c>
      <c r="C985" t="s">
        <v>1724</v>
      </c>
      <c r="D985" t="s">
        <v>20</v>
      </c>
      <c r="F985">
        <v>0</v>
      </c>
      <c r="G985">
        <v>0</v>
      </c>
      <c r="H985" t="s">
        <v>1725</v>
      </c>
      <c r="I985">
        <v>7.55</v>
      </c>
      <c r="K985" t="s">
        <v>17</v>
      </c>
    </row>
    <row r="986" spans="1:13" x14ac:dyDescent="0.3">
      <c r="A986">
        <v>3</v>
      </c>
      <c r="B986">
        <v>1</v>
      </c>
      <c r="C986" t="s">
        <v>1726</v>
      </c>
      <c r="D986" t="s">
        <v>15</v>
      </c>
      <c r="F986">
        <v>0</v>
      </c>
      <c r="G986">
        <v>0</v>
      </c>
      <c r="H986">
        <v>370370</v>
      </c>
      <c r="I986">
        <v>7.75</v>
      </c>
      <c r="K986" t="s">
        <v>463</v>
      </c>
      <c r="L986">
        <v>15</v>
      </c>
    </row>
    <row r="987" spans="1:13" x14ac:dyDescent="0.3">
      <c r="A987">
        <v>3</v>
      </c>
      <c r="B987">
        <v>1</v>
      </c>
      <c r="C987" t="s">
        <v>1727</v>
      </c>
      <c r="D987" t="s">
        <v>20</v>
      </c>
      <c r="E987">
        <v>24</v>
      </c>
      <c r="F987">
        <v>0</v>
      </c>
      <c r="G987">
        <v>0</v>
      </c>
      <c r="H987" t="s">
        <v>1728</v>
      </c>
      <c r="I987">
        <v>7.1417000000000002</v>
      </c>
      <c r="K987" t="s">
        <v>17</v>
      </c>
      <c r="L987">
        <v>13</v>
      </c>
    </row>
    <row r="988" spans="1:13" x14ac:dyDescent="0.3">
      <c r="A988">
        <v>3</v>
      </c>
      <c r="B988">
        <v>0</v>
      </c>
      <c r="C988" t="s">
        <v>1729</v>
      </c>
      <c r="D988" t="s">
        <v>20</v>
      </c>
      <c r="E988">
        <v>22</v>
      </c>
      <c r="F988">
        <v>0</v>
      </c>
      <c r="G988">
        <v>0</v>
      </c>
      <c r="H988" t="s">
        <v>1730</v>
      </c>
      <c r="I988">
        <v>7.125</v>
      </c>
      <c r="K988" t="s">
        <v>17</v>
      </c>
    </row>
    <row r="989" spans="1:13" x14ac:dyDescent="0.3">
      <c r="A989">
        <v>3</v>
      </c>
      <c r="B989">
        <v>0</v>
      </c>
      <c r="C989" t="s">
        <v>1731</v>
      </c>
      <c r="D989" t="s">
        <v>15</v>
      </c>
      <c r="F989">
        <v>0</v>
      </c>
      <c r="G989">
        <v>0</v>
      </c>
      <c r="H989">
        <v>330924</v>
      </c>
      <c r="I989">
        <v>7.8792</v>
      </c>
      <c r="K989" t="s">
        <v>463</v>
      </c>
    </row>
    <row r="990" spans="1:13" x14ac:dyDescent="0.3">
      <c r="A990">
        <v>3</v>
      </c>
      <c r="B990">
        <v>0</v>
      </c>
      <c r="C990" t="s">
        <v>1732</v>
      </c>
      <c r="D990" t="s">
        <v>20</v>
      </c>
      <c r="F990">
        <v>0</v>
      </c>
      <c r="G990">
        <v>0</v>
      </c>
      <c r="H990" t="s">
        <v>1733</v>
      </c>
      <c r="I990">
        <v>7.75</v>
      </c>
      <c r="K990" t="s">
        <v>463</v>
      </c>
    </row>
    <row r="991" spans="1:13" x14ac:dyDescent="0.3">
      <c r="A991">
        <v>3</v>
      </c>
      <c r="B991">
        <v>0</v>
      </c>
      <c r="C991" t="s">
        <v>1734</v>
      </c>
      <c r="D991" t="s">
        <v>20</v>
      </c>
      <c r="F991">
        <v>0</v>
      </c>
      <c r="G991">
        <v>0</v>
      </c>
      <c r="H991" t="s">
        <v>1735</v>
      </c>
      <c r="I991">
        <v>8.0500000000000007</v>
      </c>
      <c r="K991" t="s">
        <v>17</v>
      </c>
    </row>
    <row r="992" spans="1:13" x14ac:dyDescent="0.3">
      <c r="A992">
        <v>3</v>
      </c>
      <c r="B992">
        <v>0</v>
      </c>
      <c r="C992" t="s">
        <v>1736</v>
      </c>
      <c r="D992" t="s">
        <v>20</v>
      </c>
      <c r="E992">
        <v>29</v>
      </c>
      <c r="F992">
        <v>0</v>
      </c>
      <c r="G992">
        <v>0</v>
      </c>
      <c r="H992" t="s">
        <v>1737</v>
      </c>
      <c r="I992">
        <v>7.9249999999999998</v>
      </c>
      <c r="K992" t="s">
        <v>17</v>
      </c>
    </row>
    <row r="993" spans="1:13" x14ac:dyDescent="0.3">
      <c r="A993">
        <v>3</v>
      </c>
      <c r="B993">
        <v>1</v>
      </c>
      <c r="C993" t="s">
        <v>1738</v>
      </c>
      <c r="D993" t="s">
        <v>20</v>
      </c>
      <c r="F993">
        <v>0</v>
      </c>
      <c r="G993">
        <v>0</v>
      </c>
      <c r="H993">
        <v>2677</v>
      </c>
      <c r="I993">
        <v>7.2291999999999996</v>
      </c>
      <c r="K993" t="s">
        <v>41</v>
      </c>
      <c r="L993">
        <v>15</v>
      </c>
    </row>
    <row r="994" spans="1:13" x14ac:dyDescent="0.3">
      <c r="A994">
        <v>3</v>
      </c>
      <c r="B994">
        <v>0</v>
      </c>
      <c r="C994" t="s">
        <v>1739</v>
      </c>
      <c r="D994" t="s">
        <v>15</v>
      </c>
      <c r="E994">
        <v>30.5</v>
      </c>
      <c r="F994">
        <v>0</v>
      </c>
      <c r="G994">
        <v>0</v>
      </c>
      <c r="H994">
        <v>364850</v>
      </c>
      <c r="I994">
        <v>7.75</v>
      </c>
      <c r="K994" t="s">
        <v>463</v>
      </c>
      <c r="M994">
        <v>61</v>
      </c>
    </row>
    <row r="995" spans="1:13" x14ac:dyDescent="0.3">
      <c r="A995">
        <v>3</v>
      </c>
      <c r="B995">
        <v>1</v>
      </c>
      <c r="C995" t="s">
        <v>1740</v>
      </c>
      <c r="D995" t="s">
        <v>15</v>
      </c>
      <c r="F995">
        <v>0</v>
      </c>
      <c r="G995">
        <v>0</v>
      </c>
      <c r="H995">
        <v>36866</v>
      </c>
      <c r="I995">
        <v>7.7374999999999998</v>
      </c>
      <c r="K995" t="s">
        <v>463</v>
      </c>
      <c r="L995">
        <v>16</v>
      </c>
    </row>
    <row r="996" spans="1:13" x14ac:dyDescent="0.3">
      <c r="A996">
        <v>3</v>
      </c>
      <c r="B996">
        <v>0</v>
      </c>
      <c r="C996" t="s">
        <v>1741</v>
      </c>
      <c r="D996" t="s">
        <v>20</v>
      </c>
      <c r="F996">
        <v>0</v>
      </c>
      <c r="G996">
        <v>0</v>
      </c>
      <c r="H996">
        <v>2655</v>
      </c>
      <c r="I996">
        <v>7.2291999999999996</v>
      </c>
      <c r="J996" t="s">
        <v>1742</v>
      </c>
      <c r="K996" t="s">
        <v>41</v>
      </c>
    </row>
    <row r="997" spans="1:13" x14ac:dyDescent="0.3">
      <c r="A997">
        <v>3</v>
      </c>
      <c r="B997">
        <v>0</v>
      </c>
      <c r="C997" t="s">
        <v>1743</v>
      </c>
      <c r="D997" t="s">
        <v>20</v>
      </c>
      <c r="E997">
        <v>35</v>
      </c>
      <c r="F997">
        <v>0</v>
      </c>
      <c r="G997">
        <v>0</v>
      </c>
      <c r="H997">
        <v>349213</v>
      </c>
      <c r="I997">
        <v>7.8958000000000004</v>
      </c>
      <c r="K997" t="s">
        <v>41</v>
      </c>
    </row>
    <row r="998" spans="1:13" x14ac:dyDescent="0.3">
      <c r="A998">
        <v>3</v>
      </c>
      <c r="B998">
        <v>0</v>
      </c>
      <c r="C998" t="s">
        <v>1744</v>
      </c>
      <c r="D998" t="s">
        <v>20</v>
      </c>
      <c r="E998">
        <v>33</v>
      </c>
      <c r="F998">
        <v>0</v>
      </c>
      <c r="G998">
        <v>0</v>
      </c>
      <c r="H998">
        <v>349257</v>
      </c>
      <c r="I998">
        <v>7.8958000000000004</v>
      </c>
      <c r="K998" t="s">
        <v>17</v>
      </c>
    </row>
    <row r="999" spans="1:13" x14ac:dyDescent="0.3">
      <c r="A999">
        <v>3</v>
      </c>
      <c r="B999">
        <v>1</v>
      </c>
      <c r="C999" t="s">
        <v>1745</v>
      </c>
      <c r="D999" t="s">
        <v>15</v>
      </c>
      <c r="F999">
        <v>0</v>
      </c>
      <c r="G999">
        <v>0</v>
      </c>
      <c r="H999">
        <v>2649</v>
      </c>
      <c r="I999">
        <v>7.2249999999999996</v>
      </c>
      <c r="K999" t="s">
        <v>41</v>
      </c>
      <c r="L999" t="s">
        <v>41</v>
      </c>
    </row>
    <row r="1000" spans="1:13" x14ac:dyDescent="0.3">
      <c r="A1000">
        <v>3</v>
      </c>
      <c r="B1000">
        <v>0</v>
      </c>
      <c r="C1000" t="s">
        <v>1746</v>
      </c>
      <c r="D1000" t="s">
        <v>20</v>
      </c>
      <c r="F1000">
        <v>0</v>
      </c>
      <c r="G1000">
        <v>0</v>
      </c>
      <c r="H1000">
        <v>349255</v>
      </c>
      <c r="I1000">
        <v>7.8958000000000004</v>
      </c>
      <c r="K1000" t="s">
        <v>41</v>
      </c>
    </row>
    <row r="1001" spans="1:13" x14ac:dyDescent="0.3">
      <c r="A1001">
        <v>3</v>
      </c>
      <c r="B1001">
        <v>1</v>
      </c>
      <c r="C1001" t="s">
        <v>1747</v>
      </c>
      <c r="D1001" t="s">
        <v>15</v>
      </c>
      <c r="F1001">
        <v>0</v>
      </c>
      <c r="G1001">
        <v>0</v>
      </c>
      <c r="H1001">
        <v>383123</v>
      </c>
      <c r="I1001">
        <v>7.75</v>
      </c>
      <c r="K1001" t="s">
        <v>463</v>
      </c>
      <c r="L1001" t="s">
        <v>1748</v>
      </c>
    </row>
    <row r="1002" spans="1:13" x14ac:dyDescent="0.3">
      <c r="A1002">
        <v>3</v>
      </c>
      <c r="B1002">
        <v>1</v>
      </c>
      <c r="C1002" t="s">
        <v>1749</v>
      </c>
      <c r="D1002" t="s">
        <v>20</v>
      </c>
      <c r="F1002">
        <v>0</v>
      </c>
      <c r="G1002">
        <v>0</v>
      </c>
      <c r="H1002">
        <v>367228</v>
      </c>
      <c r="I1002">
        <v>7.75</v>
      </c>
      <c r="K1002" t="s">
        <v>463</v>
      </c>
    </row>
    <row r="1003" spans="1:13" x14ac:dyDescent="0.3">
      <c r="A1003">
        <v>3</v>
      </c>
      <c r="B1003">
        <v>1</v>
      </c>
      <c r="C1003" t="s">
        <v>1750</v>
      </c>
      <c r="D1003" t="s">
        <v>15</v>
      </c>
      <c r="F1003">
        <v>2</v>
      </c>
      <c r="G1003">
        <v>0</v>
      </c>
      <c r="H1003">
        <v>367226</v>
      </c>
      <c r="I1003">
        <v>23.25</v>
      </c>
      <c r="K1003" t="s">
        <v>463</v>
      </c>
      <c r="L1003">
        <v>16</v>
      </c>
    </row>
    <row r="1004" spans="1:13" x14ac:dyDescent="0.3">
      <c r="A1004">
        <v>3</v>
      </c>
      <c r="B1004">
        <v>1</v>
      </c>
      <c r="C1004" t="s">
        <v>1751</v>
      </c>
      <c r="D1004" t="s">
        <v>15</v>
      </c>
      <c r="F1004">
        <v>2</v>
      </c>
      <c r="G1004">
        <v>0</v>
      </c>
      <c r="H1004">
        <v>367226</v>
      </c>
      <c r="I1004">
        <v>23.25</v>
      </c>
      <c r="K1004" t="s">
        <v>463</v>
      </c>
      <c r="L1004">
        <v>16</v>
      </c>
    </row>
    <row r="1005" spans="1:13" x14ac:dyDescent="0.3">
      <c r="A1005">
        <v>3</v>
      </c>
      <c r="B1005">
        <v>1</v>
      </c>
      <c r="C1005" t="s">
        <v>1752</v>
      </c>
      <c r="D1005" t="s">
        <v>20</v>
      </c>
      <c r="F1005">
        <v>2</v>
      </c>
      <c r="G1005">
        <v>0</v>
      </c>
      <c r="H1005">
        <v>367226</v>
      </c>
      <c r="I1005">
        <v>23.25</v>
      </c>
      <c r="K1005" t="s">
        <v>463</v>
      </c>
      <c r="L1005">
        <v>16</v>
      </c>
    </row>
    <row r="1006" spans="1:13" x14ac:dyDescent="0.3">
      <c r="A1006">
        <v>3</v>
      </c>
      <c r="B1006">
        <v>1</v>
      </c>
      <c r="C1006" t="s">
        <v>1753</v>
      </c>
      <c r="D1006" t="s">
        <v>15</v>
      </c>
      <c r="F1006">
        <v>0</v>
      </c>
      <c r="G1006">
        <v>0</v>
      </c>
      <c r="H1006">
        <v>330932</v>
      </c>
      <c r="I1006">
        <v>7.7874999999999996</v>
      </c>
      <c r="K1006" t="s">
        <v>463</v>
      </c>
      <c r="L1006">
        <v>13</v>
      </c>
    </row>
    <row r="1007" spans="1:13" x14ac:dyDescent="0.3">
      <c r="A1007">
        <v>3</v>
      </c>
      <c r="B1007">
        <v>0</v>
      </c>
      <c r="C1007" t="s">
        <v>1754</v>
      </c>
      <c r="D1007" t="s">
        <v>20</v>
      </c>
      <c r="F1007">
        <v>0</v>
      </c>
      <c r="G1007">
        <v>0</v>
      </c>
      <c r="H1007">
        <v>36568</v>
      </c>
      <c r="I1007">
        <v>15.5</v>
      </c>
      <c r="K1007" t="s">
        <v>463</v>
      </c>
    </row>
    <row r="1008" spans="1:13" x14ac:dyDescent="0.3">
      <c r="A1008">
        <v>3</v>
      </c>
      <c r="B1008">
        <v>1</v>
      </c>
      <c r="C1008" t="s">
        <v>1755</v>
      </c>
      <c r="D1008" t="s">
        <v>15</v>
      </c>
      <c r="F1008">
        <v>0</v>
      </c>
      <c r="G1008">
        <v>0</v>
      </c>
      <c r="H1008">
        <v>330931</v>
      </c>
      <c r="I1008">
        <v>7.8792</v>
      </c>
      <c r="K1008" t="s">
        <v>463</v>
      </c>
      <c r="L1008">
        <v>13</v>
      </c>
    </row>
    <row r="1009" spans="1:13" x14ac:dyDescent="0.3">
      <c r="A1009">
        <v>3</v>
      </c>
      <c r="B1009">
        <v>1</v>
      </c>
      <c r="C1009" t="s">
        <v>1756</v>
      </c>
      <c r="D1009" t="s">
        <v>15</v>
      </c>
      <c r="E1009">
        <v>15</v>
      </c>
      <c r="F1009">
        <v>0</v>
      </c>
      <c r="G1009">
        <v>0</v>
      </c>
      <c r="H1009">
        <v>330923</v>
      </c>
      <c r="I1009">
        <v>8.0291999999999994</v>
      </c>
      <c r="K1009" t="s">
        <v>463</v>
      </c>
    </row>
    <row r="1010" spans="1:13" x14ac:dyDescent="0.3">
      <c r="A1010">
        <v>3</v>
      </c>
      <c r="B1010">
        <v>0</v>
      </c>
      <c r="C1010" t="s">
        <v>1757</v>
      </c>
      <c r="D1010" t="s">
        <v>15</v>
      </c>
      <c r="E1010">
        <v>35</v>
      </c>
      <c r="F1010">
        <v>0</v>
      </c>
      <c r="G1010">
        <v>0</v>
      </c>
      <c r="H1010">
        <v>9232</v>
      </c>
      <c r="I1010">
        <v>7.75</v>
      </c>
      <c r="K1010" t="s">
        <v>463</v>
      </c>
    </row>
    <row r="1011" spans="1:13" x14ac:dyDescent="0.3">
      <c r="A1011">
        <v>3</v>
      </c>
      <c r="B1011">
        <v>0</v>
      </c>
      <c r="C1011" t="s">
        <v>1758</v>
      </c>
      <c r="D1011" t="s">
        <v>20</v>
      </c>
      <c r="F1011">
        <v>0</v>
      </c>
      <c r="G1011">
        <v>0</v>
      </c>
      <c r="H1011">
        <v>370372</v>
      </c>
      <c r="I1011">
        <v>7.75</v>
      </c>
      <c r="K1011" t="s">
        <v>463</v>
      </c>
    </row>
    <row r="1012" spans="1:13" x14ac:dyDescent="0.3">
      <c r="A1012">
        <v>3</v>
      </c>
      <c r="B1012">
        <v>0</v>
      </c>
      <c r="C1012" t="s">
        <v>1759</v>
      </c>
      <c r="D1012" t="s">
        <v>20</v>
      </c>
      <c r="E1012">
        <v>24</v>
      </c>
      <c r="F1012">
        <v>1</v>
      </c>
      <c r="G1012">
        <v>0</v>
      </c>
      <c r="H1012">
        <v>376566</v>
      </c>
      <c r="I1012">
        <v>16.100000000000001</v>
      </c>
      <c r="K1012" t="s">
        <v>17</v>
      </c>
    </row>
    <row r="1013" spans="1:13" x14ac:dyDescent="0.3">
      <c r="A1013">
        <v>3</v>
      </c>
      <c r="B1013">
        <v>0</v>
      </c>
      <c r="C1013" t="s">
        <v>1760</v>
      </c>
      <c r="D1013" t="s">
        <v>15</v>
      </c>
      <c r="E1013">
        <v>19</v>
      </c>
      <c r="F1013">
        <v>1</v>
      </c>
      <c r="G1013">
        <v>0</v>
      </c>
      <c r="H1013">
        <v>376566</v>
      </c>
      <c r="I1013">
        <v>16.100000000000001</v>
      </c>
      <c r="K1013" t="s">
        <v>17</v>
      </c>
      <c r="M1013">
        <v>53</v>
      </c>
    </row>
    <row r="1014" spans="1:13" x14ac:dyDescent="0.3">
      <c r="A1014">
        <v>3</v>
      </c>
      <c r="B1014">
        <v>0</v>
      </c>
      <c r="C1014" t="s">
        <v>1761</v>
      </c>
      <c r="D1014" t="s">
        <v>15</v>
      </c>
      <c r="F1014">
        <v>0</v>
      </c>
      <c r="G1014">
        <v>0</v>
      </c>
      <c r="H1014">
        <v>370368</v>
      </c>
      <c r="I1014">
        <v>7.75</v>
      </c>
      <c r="K1014" t="s">
        <v>463</v>
      </c>
    </row>
    <row r="1015" spans="1:13" x14ac:dyDescent="0.3">
      <c r="A1015">
        <v>3</v>
      </c>
      <c r="B1015">
        <v>0</v>
      </c>
      <c r="C1015" t="s">
        <v>1762</v>
      </c>
      <c r="D1015" t="s">
        <v>15</v>
      </c>
      <c r="F1015">
        <v>0</v>
      </c>
      <c r="G1015">
        <v>0</v>
      </c>
      <c r="H1015" t="s">
        <v>1763</v>
      </c>
      <c r="I1015">
        <v>8.0500000000000007</v>
      </c>
      <c r="K1015" t="s">
        <v>17</v>
      </c>
    </row>
    <row r="1016" spans="1:13" x14ac:dyDescent="0.3">
      <c r="A1016">
        <v>3</v>
      </c>
      <c r="B1016">
        <v>0</v>
      </c>
      <c r="C1016" t="s">
        <v>1764</v>
      </c>
      <c r="D1016" t="s">
        <v>15</v>
      </c>
      <c r="F1016">
        <v>0</v>
      </c>
      <c r="G1016">
        <v>0</v>
      </c>
      <c r="H1016">
        <v>343095</v>
      </c>
      <c r="I1016">
        <v>8.0500000000000007</v>
      </c>
      <c r="K1016" t="s">
        <v>17</v>
      </c>
    </row>
    <row r="1017" spans="1:13" x14ac:dyDescent="0.3">
      <c r="A1017">
        <v>3</v>
      </c>
      <c r="B1017">
        <v>0</v>
      </c>
      <c r="C1017" t="s">
        <v>1765</v>
      </c>
      <c r="D1017" t="s">
        <v>20</v>
      </c>
      <c r="E1017">
        <v>55.5</v>
      </c>
      <c r="F1017">
        <v>0</v>
      </c>
      <c r="G1017">
        <v>0</v>
      </c>
      <c r="H1017" t="s">
        <v>1766</v>
      </c>
      <c r="I1017">
        <v>8.0500000000000007</v>
      </c>
      <c r="K1017" t="s">
        <v>17</v>
      </c>
      <c r="M1017">
        <v>201</v>
      </c>
    </row>
    <row r="1018" spans="1:13" x14ac:dyDescent="0.3">
      <c r="A1018">
        <v>3</v>
      </c>
      <c r="B1018">
        <v>0</v>
      </c>
      <c r="C1018" t="s">
        <v>1767</v>
      </c>
      <c r="D1018" t="s">
        <v>20</v>
      </c>
      <c r="F1018">
        <v>0</v>
      </c>
      <c r="G1018">
        <v>0</v>
      </c>
      <c r="H1018">
        <v>368703</v>
      </c>
      <c r="I1018">
        <v>7.75</v>
      </c>
      <c r="K1018" t="s">
        <v>463</v>
      </c>
    </row>
    <row r="1019" spans="1:13" x14ac:dyDescent="0.3">
      <c r="A1019">
        <v>3</v>
      </c>
      <c r="B1019">
        <v>1</v>
      </c>
      <c r="C1019" t="s">
        <v>1768</v>
      </c>
      <c r="D1019" t="s">
        <v>20</v>
      </c>
      <c r="E1019">
        <v>21</v>
      </c>
      <c r="F1019">
        <v>0</v>
      </c>
      <c r="G1019">
        <v>0</v>
      </c>
      <c r="H1019">
        <v>345501</v>
      </c>
      <c r="I1019">
        <v>7.7750000000000004</v>
      </c>
      <c r="K1019" t="s">
        <v>17</v>
      </c>
      <c r="L1019">
        <v>15</v>
      </c>
    </row>
    <row r="1020" spans="1:13" x14ac:dyDescent="0.3">
      <c r="A1020">
        <v>3</v>
      </c>
      <c r="B1020">
        <v>0</v>
      </c>
      <c r="C1020" t="s">
        <v>1769</v>
      </c>
      <c r="D1020" t="s">
        <v>20</v>
      </c>
      <c r="F1020">
        <v>0</v>
      </c>
      <c r="G1020">
        <v>0</v>
      </c>
      <c r="H1020">
        <v>359306</v>
      </c>
      <c r="I1020">
        <v>8.0500000000000007</v>
      </c>
      <c r="K1020" t="s">
        <v>17</v>
      </c>
    </row>
    <row r="1021" spans="1:13" x14ac:dyDescent="0.3">
      <c r="A1021">
        <v>3</v>
      </c>
      <c r="B1021">
        <v>0</v>
      </c>
      <c r="C1021" t="s">
        <v>1770</v>
      </c>
      <c r="D1021" t="s">
        <v>20</v>
      </c>
      <c r="E1021">
        <v>24</v>
      </c>
      <c r="F1021">
        <v>0</v>
      </c>
      <c r="G1021">
        <v>0</v>
      </c>
      <c r="H1021">
        <v>349233</v>
      </c>
      <c r="I1021">
        <v>7.8958000000000004</v>
      </c>
      <c r="K1021" t="s">
        <v>17</v>
      </c>
    </row>
    <row r="1022" spans="1:13" x14ac:dyDescent="0.3">
      <c r="A1022">
        <v>3</v>
      </c>
      <c r="B1022">
        <v>0</v>
      </c>
      <c r="C1022" t="s">
        <v>1771</v>
      </c>
      <c r="D1022" t="s">
        <v>20</v>
      </c>
      <c r="E1022">
        <v>21</v>
      </c>
      <c r="F1022">
        <v>0</v>
      </c>
      <c r="G1022">
        <v>0</v>
      </c>
      <c r="H1022">
        <v>349211</v>
      </c>
      <c r="I1022">
        <v>7.8958000000000004</v>
      </c>
      <c r="K1022" t="s">
        <v>17</v>
      </c>
    </row>
    <row r="1023" spans="1:13" x14ac:dyDescent="0.3">
      <c r="A1023">
        <v>3</v>
      </c>
      <c r="B1023">
        <v>0</v>
      </c>
      <c r="C1023" t="s">
        <v>1772</v>
      </c>
      <c r="D1023" t="s">
        <v>20</v>
      </c>
      <c r="E1023">
        <v>28</v>
      </c>
      <c r="F1023">
        <v>0</v>
      </c>
      <c r="G1023">
        <v>0</v>
      </c>
      <c r="H1023">
        <v>349207</v>
      </c>
      <c r="I1023">
        <v>7.8958000000000004</v>
      </c>
      <c r="K1023" t="s">
        <v>17</v>
      </c>
    </row>
    <row r="1024" spans="1:13" x14ac:dyDescent="0.3">
      <c r="A1024">
        <v>3</v>
      </c>
      <c r="B1024">
        <v>0</v>
      </c>
      <c r="C1024" t="s">
        <v>1773</v>
      </c>
      <c r="D1024" t="s">
        <v>20</v>
      </c>
      <c r="F1024">
        <v>0</v>
      </c>
      <c r="G1024">
        <v>0</v>
      </c>
      <c r="H1024">
        <v>349221</v>
      </c>
      <c r="I1024">
        <v>7.8958000000000004</v>
      </c>
      <c r="K1024" t="s">
        <v>17</v>
      </c>
    </row>
    <row r="1025" spans="1:13" x14ac:dyDescent="0.3">
      <c r="A1025">
        <v>3</v>
      </c>
      <c r="B1025">
        <v>1</v>
      </c>
      <c r="C1025" t="s">
        <v>1774</v>
      </c>
      <c r="D1025" t="s">
        <v>15</v>
      </c>
      <c r="F1025">
        <v>0</v>
      </c>
      <c r="G1025">
        <v>0</v>
      </c>
      <c r="H1025">
        <v>330980</v>
      </c>
      <c r="I1025">
        <v>7.8792</v>
      </c>
      <c r="K1025" t="s">
        <v>463</v>
      </c>
      <c r="L1025">
        <v>16</v>
      </c>
    </row>
    <row r="1026" spans="1:13" x14ac:dyDescent="0.3">
      <c r="A1026">
        <v>3</v>
      </c>
      <c r="B1026">
        <v>0</v>
      </c>
      <c r="C1026" t="s">
        <v>1775</v>
      </c>
      <c r="D1026" t="s">
        <v>20</v>
      </c>
      <c r="E1026">
        <v>25</v>
      </c>
      <c r="F1026">
        <v>0</v>
      </c>
      <c r="G1026">
        <v>0</v>
      </c>
      <c r="H1026">
        <v>348123</v>
      </c>
      <c r="I1026">
        <v>7.65</v>
      </c>
      <c r="J1026" t="s">
        <v>1776</v>
      </c>
      <c r="K1026" t="s">
        <v>17</v>
      </c>
      <c r="M1026">
        <v>309</v>
      </c>
    </row>
    <row r="1027" spans="1:13" x14ac:dyDescent="0.3">
      <c r="A1027">
        <v>3</v>
      </c>
      <c r="B1027">
        <v>1</v>
      </c>
      <c r="C1027" t="s">
        <v>1777</v>
      </c>
      <c r="D1027" t="s">
        <v>20</v>
      </c>
      <c r="E1027">
        <v>6</v>
      </c>
      <c r="F1027">
        <v>0</v>
      </c>
      <c r="G1027">
        <v>1</v>
      </c>
      <c r="H1027">
        <v>392096</v>
      </c>
      <c r="I1027">
        <v>12.475</v>
      </c>
      <c r="J1027" t="s">
        <v>1778</v>
      </c>
      <c r="K1027" t="s">
        <v>17</v>
      </c>
      <c r="L1027">
        <v>14</v>
      </c>
    </row>
    <row r="1028" spans="1:13" x14ac:dyDescent="0.3">
      <c r="A1028">
        <v>3</v>
      </c>
      <c r="B1028">
        <v>1</v>
      </c>
      <c r="C1028" t="s">
        <v>1779</v>
      </c>
      <c r="D1028" t="s">
        <v>15</v>
      </c>
      <c r="E1028">
        <v>27</v>
      </c>
      <c r="F1028">
        <v>0</v>
      </c>
      <c r="G1028">
        <v>1</v>
      </c>
      <c r="H1028">
        <v>392096</v>
      </c>
      <c r="I1028">
        <v>12.475</v>
      </c>
      <c r="J1028" t="s">
        <v>1778</v>
      </c>
      <c r="K1028" t="s">
        <v>17</v>
      </c>
      <c r="L1028">
        <v>14</v>
      </c>
    </row>
    <row r="1029" spans="1:13" x14ac:dyDescent="0.3">
      <c r="A1029">
        <v>3</v>
      </c>
      <c r="B1029">
        <v>0</v>
      </c>
      <c r="C1029" t="s">
        <v>1780</v>
      </c>
      <c r="D1029" t="s">
        <v>20</v>
      </c>
      <c r="F1029">
        <v>0</v>
      </c>
      <c r="G1029">
        <v>0</v>
      </c>
      <c r="H1029" t="s">
        <v>1781</v>
      </c>
      <c r="I1029">
        <v>8.0500000000000007</v>
      </c>
      <c r="K1029" t="s">
        <v>17</v>
      </c>
    </row>
    <row r="1030" spans="1:13" x14ac:dyDescent="0.3">
      <c r="A1030">
        <v>3</v>
      </c>
      <c r="B1030">
        <v>1</v>
      </c>
      <c r="C1030" t="s">
        <v>1782</v>
      </c>
      <c r="D1030" t="s">
        <v>15</v>
      </c>
      <c r="F1030">
        <v>1</v>
      </c>
      <c r="G1030">
        <v>0</v>
      </c>
      <c r="H1030">
        <v>371110</v>
      </c>
      <c r="I1030">
        <v>24.15</v>
      </c>
      <c r="K1030" t="s">
        <v>463</v>
      </c>
      <c r="L1030">
        <v>16</v>
      </c>
    </row>
    <row r="1031" spans="1:13" x14ac:dyDescent="0.3">
      <c r="A1031">
        <v>3</v>
      </c>
      <c r="B1031">
        <v>0</v>
      </c>
      <c r="C1031" t="s">
        <v>1783</v>
      </c>
      <c r="D1031" t="s">
        <v>20</v>
      </c>
      <c r="F1031">
        <v>1</v>
      </c>
      <c r="G1031">
        <v>0</v>
      </c>
      <c r="H1031">
        <v>371110</v>
      </c>
      <c r="I1031">
        <v>24.15</v>
      </c>
      <c r="K1031" t="s">
        <v>463</v>
      </c>
    </row>
    <row r="1032" spans="1:13" x14ac:dyDescent="0.3">
      <c r="A1032">
        <v>3</v>
      </c>
      <c r="B1032">
        <v>0</v>
      </c>
      <c r="C1032" t="s">
        <v>1784</v>
      </c>
      <c r="D1032" t="s">
        <v>20</v>
      </c>
      <c r="F1032">
        <v>0</v>
      </c>
      <c r="G1032">
        <v>0</v>
      </c>
      <c r="H1032">
        <v>330877</v>
      </c>
      <c r="I1032">
        <v>8.4582999999999995</v>
      </c>
      <c r="K1032" t="s">
        <v>463</v>
      </c>
    </row>
    <row r="1033" spans="1:13" x14ac:dyDescent="0.3">
      <c r="A1033">
        <v>3</v>
      </c>
      <c r="B1033">
        <v>0</v>
      </c>
      <c r="C1033" t="s">
        <v>1785</v>
      </c>
      <c r="D1033" t="s">
        <v>20</v>
      </c>
      <c r="E1033">
        <v>34</v>
      </c>
      <c r="F1033">
        <v>0</v>
      </c>
      <c r="G1033">
        <v>0</v>
      </c>
      <c r="H1033">
        <v>364506</v>
      </c>
      <c r="I1033">
        <v>8.0500000000000007</v>
      </c>
      <c r="K1033" t="s">
        <v>17</v>
      </c>
    </row>
    <row r="1034" spans="1:13" x14ac:dyDescent="0.3">
      <c r="A1034">
        <v>3</v>
      </c>
      <c r="B1034">
        <v>0</v>
      </c>
      <c r="C1034" t="s">
        <v>1786</v>
      </c>
      <c r="D1034" t="s">
        <v>20</v>
      </c>
      <c r="F1034">
        <v>0</v>
      </c>
      <c r="G1034">
        <v>0</v>
      </c>
      <c r="H1034">
        <v>372622</v>
      </c>
      <c r="I1034">
        <v>7.75</v>
      </c>
      <c r="K1034" t="s">
        <v>463</v>
      </c>
    </row>
    <row r="1035" spans="1:13" x14ac:dyDescent="0.3">
      <c r="A1035">
        <v>3</v>
      </c>
      <c r="B1035">
        <v>1</v>
      </c>
      <c r="C1035" t="s">
        <v>1787</v>
      </c>
      <c r="D1035" t="s">
        <v>20</v>
      </c>
      <c r="F1035">
        <v>0</v>
      </c>
      <c r="G1035">
        <v>0</v>
      </c>
      <c r="H1035">
        <v>312991</v>
      </c>
      <c r="I1035">
        <v>7.7750000000000004</v>
      </c>
      <c r="K1035" t="s">
        <v>17</v>
      </c>
      <c r="L1035" t="s">
        <v>54</v>
      </c>
    </row>
    <row r="1036" spans="1:13" x14ac:dyDescent="0.3">
      <c r="A1036">
        <v>3</v>
      </c>
      <c r="B1036">
        <v>1</v>
      </c>
      <c r="C1036" t="s">
        <v>1788</v>
      </c>
      <c r="D1036" t="s">
        <v>20</v>
      </c>
      <c r="F1036">
        <v>1</v>
      </c>
      <c r="G1036">
        <v>1</v>
      </c>
      <c r="H1036">
        <v>2661</v>
      </c>
      <c r="I1036">
        <v>15.245799999999999</v>
      </c>
      <c r="K1036" t="s">
        <v>41</v>
      </c>
      <c r="L1036" t="s">
        <v>41</v>
      </c>
    </row>
    <row r="1037" spans="1:13" x14ac:dyDescent="0.3">
      <c r="A1037">
        <v>3</v>
      </c>
      <c r="B1037">
        <v>1</v>
      </c>
      <c r="C1037" t="s">
        <v>1789</v>
      </c>
      <c r="D1037" t="s">
        <v>20</v>
      </c>
      <c r="F1037">
        <v>1</v>
      </c>
      <c r="G1037">
        <v>1</v>
      </c>
      <c r="H1037">
        <v>2661</v>
      </c>
      <c r="I1037">
        <v>15.245799999999999</v>
      </c>
      <c r="K1037" t="s">
        <v>41</v>
      </c>
      <c r="L1037" t="s">
        <v>41</v>
      </c>
    </row>
    <row r="1038" spans="1:13" x14ac:dyDescent="0.3">
      <c r="A1038">
        <v>3</v>
      </c>
      <c r="B1038">
        <v>1</v>
      </c>
      <c r="C1038" t="s">
        <v>1790</v>
      </c>
      <c r="D1038" t="s">
        <v>15</v>
      </c>
      <c r="F1038">
        <v>0</v>
      </c>
      <c r="G1038">
        <v>2</v>
      </c>
      <c r="H1038">
        <v>2661</v>
      </c>
      <c r="I1038">
        <v>15.245799999999999</v>
      </c>
      <c r="K1038" t="s">
        <v>41</v>
      </c>
      <c r="L1038" t="s">
        <v>41</v>
      </c>
    </row>
    <row r="1039" spans="1:13" x14ac:dyDescent="0.3">
      <c r="A1039">
        <v>3</v>
      </c>
      <c r="B1039">
        <v>1</v>
      </c>
      <c r="C1039" t="s">
        <v>1791</v>
      </c>
      <c r="D1039" t="s">
        <v>15</v>
      </c>
      <c r="F1039">
        <v>0</v>
      </c>
      <c r="G1039">
        <v>0</v>
      </c>
      <c r="H1039">
        <v>2626</v>
      </c>
      <c r="I1039">
        <v>7.2291999999999996</v>
      </c>
      <c r="K1039" t="s">
        <v>41</v>
      </c>
    </row>
    <row r="1040" spans="1:13" x14ac:dyDescent="0.3">
      <c r="A1040">
        <v>3</v>
      </c>
      <c r="B1040">
        <v>0</v>
      </c>
      <c r="C1040" t="s">
        <v>1792</v>
      </c>
      <c r="D1040" t="s">
        <v>20</v>
      </c>
      <c r="F1040">
        <v>0</v>
      </c>
      <c r="G1040">
        <v>0</v>
      </c>
      <c r="H1040">
        <v>374746</v>
      </c>
      <c r="I1040">
        <v>8.0500000000000007</v>
      </c>
      <c r="K1040" t="s">
        <v>17</v>
      </c>
    </row>
    <row r="1041" spans="1:12" x14ac:dyDescent="0.3">
      <c r="A1041">
        <v>3</v>
      </c>
      <c r="B1041">
        <v>1</v>
      </c>
      <c r="C1041" t="s">
        <v>1793</v>
      </c>
      <c r="D1041" t="s">
        <v>15</v>
      </c>
      <c r="F1041">
        <v>0</v>
      </c>
      <c r="G1041">
        <v>0</v>
      </c>
      <c r="H1041">
        <v>35852</v>
      </c>
      <c r="I1041">
        <v>7.7332999999999998</v>
      </c>
      <c r="K1041" t="s">
        <v>463</v>
      </c>
      <c r="L1041">
        <v>16</v>
      </c>
    </row>
    <row r="1042" spans="1:12" x14ac:dyDescent="0.3">
      <c r="A1042">
        <v>3</v>
      </c>
      <c r="B1042">
        <v>1</v>
      </c>
      <c r="C1042" t="s">
        <v>1794</v>
      </c>
      <c r="D1042" t="s">
        <v>15</v>
      </c>
      <c r="E1042">
        <v>24</v>
      </c>
      <c r="F1042">
        <v>0</v>
      </c>
      <c r="G1042">
        <v>0</v>
      </c>
      <c r="H1042">
        <v>382653</v>
      </c>
      <c r="I1042">
        <v>7.75</v>
      </c>
      <c r="K1042" t="s">
        <v>463</v>
      </c>
      <c r="L1042">
        <v>15</v>
      </c>
    </row>
    <row r="1043" spans="1:12" x14ac:dyDescent="0.3">
      <c r="A1043">
        <v>3</v>
      </c>
      <c r="B1043">
        <v>0</v>
      </c>
      <c r="C1043" t="s">
        <v>1795</v>
      </c>
      <c r="D1043" t="s">
        <v>20</v>
      </c>
      <c r="F1043">
        <v>0</v>
      </c>
      <c r="G1043">
        <v>0</v>
      </c>
      <c r="H1043" t="s">
        <v>1796</v>
      </c>
      <c r="I1043">
        <v>8.0500000000000007</v>
      </c>
      <c r="K1043" t="s">
        <v>17</v>
      </c>
    </row>
    <row r="1044" spans="1:12" x14ac:dyDescent="0.3">
      <c r="A1044">
        <v>3</v>
      </c>
      <c r="B1044">
        <v>1</v>
      </c>
      <c r="C1044" t="s">
        <v>1797</v>
      </c>
      <c r="D1044" t="s">
        <v>15</v>
      </c>
      <c r="F1044">
        <v>1</v>
      </c>
      <c r="G1044">
        <v>0</v>
      </c>
      <c r="H1044">
        <v>367230</v>
      </c>
      <c r="I1044">
        <v>15.5</v>
      </c>
      <c r="K1044" t="s">
        <v>463</v>
      </c>
      <c r="L1044">
        <v>16</v>
      </c>
    </row>
    <row r="1045" spans="1:12" x14ac:dyDescent="0.3">
      <c r="A1045">
        <v>3</v>
      </c>
      <c r="B1045">
        <v>1</v>
      </c>
      <c r="C1045" t="s">
        <v>1798</v>
      </c>
      <c r="D1045" t="s">
        <v>15</v>
      </c>
      <c r="F1045">
        <v>1</v>
      </c>
      <c r="G1045">
        <v>0</v>
      </c>
      <c r="H1045">
        <v>367230</v>
      </c>
      <c r="I1045">
        <v>15.5</v>
      </c>
      <c r="K1045" t="s">
        <v>463</v>
      </c>
      <c r="L1045">
        <v>16</v>
      </c>
    </row>
    <row r="1046" spans="1:12" x14ac:dyDescent="0.3">
      <c r="A1046">
        <v>3</v>
      </c>
      <c r="B1046">
        <v>1</v>
      </c>
      <c r="C1046" t="s">
        <v>1799</v>
      </c>
      <c r="D1046" t="s">
        <v>15</v>
      </c>
      <c r="F1046">
        <v>0</v>
      </c>
      <c r="G1046">
        <v>0</v>
      </c>
      <c r="H1046">
        <v>36568</v>
      </c>
      <c r="I1046">
        <v>15.5</v>
      </c>
      <c r="K1046" t="s">
        <v>463</v>
      </c>
      <c r="L1046">
        <v>16</v>
      </c>
    </row>
    <row r="1047" spans="1:12" x14ac:dyDescent="0.3">
      <c r="A1047">
        <v>3</v>
      </c>
      <c r="B1047">
        <v>0</v>
      </c>
      <c r="C1047" t="s">
        <v>1800</v>
      </c>
      <c r="D1047" t="s">
        <v>20</v>
      </c>
      <c r="E1047">
        <v>18</v>
      </c>
      <c r="F1047">
        <v>0</v>
      </c>
      <c r="G1047">
        <v>0</v>
      </c>
      <c r="H1047">
        <v>347078</v>
      </c>
      <c r="I1047">
        <v>7.75</v>
      </c>
      <c r="K1047" t="s">
        <v>17</v>
      </c>
    </row>
    <row r="1048" spans="1:12" x14ac:dyDescent="0.3">
      <c r="A1048">
        <v>3</v>
      </c>
      <c r="B1048">
        <v>0</v>
      </c>
      <c r="C1048" t="s">
        <v>1801</v>
      </c>
      <c r="D1048" t="s">
        <v>20</v>
      </c>
      <c r="E1048">
        <v>22</v>
      </c>
      <c r="F1048">
        <v>0</v>
      </c>
      <c r="G1048">
        <v>0</v>
      </c>
      <c r="H1048">
        <v>349206</v>
      </c>
      <c r="I1048">
        <v>7.8958000000000004</v>
      </c>
      <c r="K1048" t="s">
        <v>17</v>
      </c>
    </row>
    <row r="1049" spans="1:12" x14ac:dyDescent="0.3">
      <c r="A1049">
        <v>3</v>
      </c>
      <c r="B1049">
        <v>1</v>
      </c>
      <c r="C1049" t="s">
        <v>1802</v>
      </c>
      <c r="D1049" t="s">
        <v>15</v>
      </c>
      <c r="E1049">
        <v>15</v>
      </c>
      <c r="F1049">
        <v>0</v>
      </c>
      <c r="G1049">
        <v>0</v>
      </c>
      <c r="H1049">
        <v>2667</v>
      </c>
      <c r="I1049">
        <v>7.2249999999999996</v>
      </c>
      <c r="K1049" t="s">
        <v>41</v>
      </c>
      <c r="L1049" t="s">
        <v>41</v>
      </c>
    </row>
    <row r="1050" spans="1:12" x14ac:dyDescent="0.3">
      <c r="A1050">
        <v>3</v>
      </c>
      <c r="B1050">
        <v>1</v>
      </c>
      <c r="C1050" t="s">
        <v>1803</v>
      </c>
      <c r="D1050" t="s">
        <v>15</v>
      </c>
      <c r="E1050">
        <v>1</v>
      </c>
      <c r="F1050">
        <v>0</v>
      </c>
      <c r="G1050">
        <v>2</v>
      </c>
      <c r="H1050">
        <v>2653</v>
      </c>
      <c r="I1050">
        <v>15.7417</v>
      </c>
      <c r="K1050" t="s">
        <v>41</v>
      </c>
      <c r="L1050" t="s">
        <v>41</v>
      </c>
    </row>
    <row r="1051" spans="1:12" x14ac:dyDescent="0.3">
      <c r="A1051">
        <v>3</v>
      </c>
      <c r="B1051">
        <v>1</v>
      </c>
      <c r="C1051" t="s">
        <v>1804</v>
      </c>
      <c r="D1051" t="s">
        <v>20</v>
      </c>
      <c r="E1051">
        <v>20</v>
      </c>
      <c r="F1051">
        <v>1</v>
      </c>
      <c r="G1051">
        <v>1</v>
      </c>
      <c r="H1051">
        <v>2653</v>
      </c>
      <c r="I1051">
        <v>15.7417</v>
      </c>
      <c r="K1051" t="s">
        <v>41</v>
      </c>
      <c r="L1051" t="s">
        <v>41</v>
      </c>
    </row>
    <row r="1052" spans="1:12" x14ac:dyDescent="0.3">
      <c r="A1052">
        <v>3</v>
      </c>
      <c r="B1052">
        <v>1</v>
      </c>
      <c r="C1052" t="s">
        <v>1805</v>
      </c>
      <c r="D1052" t="s">
        <v>15</v>
      </c>
      <c r="E1052">
        <v>19</v>
      </c>
      <c r="F1052">
        <v>1</v>
      </c>
      <c r="G1052">
        <v>1</v>
      </c>
      <c r="H1052">
        <v>2653</v>
      </c>
      <c r="I1052">
        <v>15.7417</v>
      </c>
      <c r="K1052" t="s">
        <v>41</v>
      </c>
      <c r="L1052" t="s">
        <v>41</v>
      </c>
    </row>
    <row r="1053" spans="1:12" x14ac:dyDescent="0.3">
      <c r="A1053">
        <v>3</v>
      </c>
      <c r="B1053">
        <v>0</v>
      </c>
      <c r="C1053" t="s">
        <v>1806</v>
      </c>
      <c r="D1053" t="s">
        <v>20</v>
      </c>
      <c r="E1053">
        <v>33</v>
      </c>
      <c r="F1053">
        <v>0</v>
      </c>
      <c r="G1053">
        <v>0</v>
      </c>
      <c r="H1053" t="s">
        <v>1807</v>
      </c>
      <c r="I1053">
        <v>8.0500000000000007</v>
      </c>
      <c r="K1053" t="s">
        <v>17</v>
      </c>
    </row>
    <row r="1054" spans="1:12" x14ac:dyDescent="0.3">
      <c r="A1054">
        <v>3</v>
      </c>
      <c r="B1054">
        <v>0</v>
      </c>
      <c r="C1054" t="s">
        <v>1808</v>
      </c>
      <c r="D1054" t="s">
        <v>20</v>
      </c>
      <c r="F1054">
        <v>0</v>
      </c>
      <c r="G1054">
        <v>0</v>
      </c>
      <c r="H1054">
        <v>349218</v>
      </c>
      <c r="I1054">
        <v>7.8958000000000004</v>
      </c>
      <c r="K1054" t="s">
        <v>17</v>
      </c>
    </row>
    <row r="1055" spans="1:12" x14ac:dyDescent="0.3">
      <c r="A1055">
        <v>3</v>
      </c>
      <c r="B1055">
        <v>0</v>
      </c>
      <c r="C1055" t="s">
        <v>1809</v>
      </c>
      <c r="D1055" t="s">
        <v>20</v>
      </c>
      <c r="F1055">
        <v>0</v>
      </c>
      <c r="G1055">
        <v>0</v>
      </c>
      <c r="H1055">
        <v>2652</v>
      </c>
      <c r="I1055">
        <v>7.2291999999999996</v>
      </c>
      <c r="K1055" t="s">
        <v>41</v>
      </c>
    </row>
    <row r="1056" spans="1:12" x14ac:dyDescent="0.3">
      <c r="A1056">
        <v>3</v>
      </c>
      <c r="B1056">
        <v>0</v>
      </c>
      <c r="C1056" t="s">
        <v>1810</v>
      </c>
      <c r="D1056" t="s">
        <v>15</v>
      </c>
      <c r="F1056">
        <v>0</v>
      </c>
      <c r="G1056">
        <v>0</v>
      </c>
      <c r="H1056">
        <v>365237</v>
      </c>
      <c r="I1056">
        <v>7.75</v>
      </c>
      <c r="K1056" t="s">
        <v>463</v>
      </c>
    </row>
    <row r="1057" spans="1:14" x14ac:dyDescent="0.3">
      <c r="A1057">
        <v>3</v>
      </c>
      <c r="B1057">
        <v>0</v>
      </c>
      <c r="C1057" t="s">
        <v>1811</v>
      </c>
      <c r="D1057" t="s">
        <v>20</v>
      </c>
      <c r="F1057">
        <v>0</v>
      </c>
      <c r="G1057">
        <v>0</v>
      </c>
      <c r="H1057">
        <v>349234</v>
      </c>
      <c r="I1057">
        <v>7.8958000000000004</v>
      </c>
      <c r="K1057" t="s">
        <v>17</v>
      </c>
    </row>
    <row r="1058" spans="1:14" x14ac:dyDescent="0.3">
      <c r="A1058">
        <v>3</v>
      </c>
      <c r="B1058">
        <v>1</v>
      </c>
      <c r="C1058" t="s">
        <v>1812</v>
      </c>
      <c r="D1058" t="s">
        <v>20</v>
      </c>
      <c r="E1058">
        <v>12</v>
      </c>
      <c r="F1058">
        <v>1</v>
      </c>
      <c r="G1058">
        <v>0</v>
      </c>
      <c r="H1058">
        <v>2651</v>
      </c>
      <c r="I1058">
        <v>11.2417</v>
      </c>
      <c r="K1058" t="s">
        <v>41</v>
      </c>
      <c r="L1058" t="s">
        <v>41</v>
      </c>
    </row>
    <row r="1059" spans="1:14" x14ac:dyDescent="0.3">
      <c r="A1059">
        <v>3</v>
      </c>
      <c r="B1059">
        <v>1</v>
      </c>
      <c r="C1059" t="s">
        <v>1813</v>
      </c>
      <c r="D1059" t="s">
        <v>15</v>
      </c>
      <c r="E1059">
        <v>14</v>
      </c>
      <c r="F1059">
        <v>1</v>
      </c>
      <c r="G1059">
        <v>0</v>
      </c>
      <c r="H1059">
        <v>2651</v>
      </c>
      <c r="I1059">
        <v>11.2417</v>
      </c>
      <c r="K1059" t="s">
        <v>41</v>
      </c>
      <c r="L1059" t="s">
        <v>41</v>
      </c>
    </row>
    <row r="1060" spans="1:14" x14ac:dyDescent="0.3">
      <c r="A1060">
        <v>3</v>
      </c>
      <c r="B1060">
        <v>0</v>
      </c>
      <c r="C1060" t="s">
        <v>1814</v>
      </c>
      <c r="D1060" t="s">
        <v>15</v>
      </c>
      <c r="E1060">
        <v>29</v>
      </c>
      <c r="F1060">
        <v>0</v>
      </c>
      <c r="G1060">
        <v>0</v>
      </c>
      <c r="H1060">
        <v>3101297</v>
      </c>
      <c r="I1060">
        <v>7.9249999999999998</v>
      </c>
      <c r="K1060" t="s">
        <v>17</v>
      </c>
    </row>
    <row r="1061" spans="1:14" x14ac:dyDescent="0.3">
      <c r="A1061">
        <v>3</v>
      </c>
      <c r="B1061">
        <v>0</v>
      </c>
      <c r="C1061" t="s">
        <v>1815</v>
      </c>
      <c r="D1061" t="s">
        <v>20</v>
      </c>
      <c r="E1061">
        <v>28</v>
      </c>
      <c r="F1061">
        <v>0</v>
      </c>
      <c r="G1061">
        <v>0</v>
      </c>
      <c r="H1061">
        <v>363611</v>
      </c>
      <c r="I1061">
        <v>8.0500000000000007</v>
      </c>
      <c r="K1061" t="s">
        <v>17</v>
      </c>
    </row>
    <row r="1062" spans="1:14" x14ac:dyDescent="0.3">
      <c r="A1062">
        <v>3</v>
      </c>
      <c r="B1062">
        <v>1</v>
      </c>
      <c r="C1062" t="s">
        <v>1816</v>
      </c>
      <c r="D1062" t="s">
        <v>15</v>
      </c>
      <c r="E1062">
        <v>18</v>
      </c>
      <c r="F1062">
        <v>0</v>
      </c>
      <c r="G1062">
        <v>0</v>
      </c>
      <c r="H1062">
        <v>347066</v>
      </c>
      <c r="I1062">
        <v>7.7750000000000004</v>
      </c>
      <c r="K1062" t="s">
        <v>17</v>
      </c>
      <c r="L1062" t="s">
        <v>37</v>
      </c>
    </row>
    <row r="1063" spans="1:14" x14ac:dyDescent="0.3">
      <c r="A1063">
        <v>3</v>
      </c>
      <c r="B1063">
        <v>1</v>
      </c>
      <c r="C1063" t="s">
        <v>1817</v>
      </c>
      <c r="D1063" t="s">
        <v>15</v>
      </c>
      <c r="E1063">
        <v>26</v>
      </c>
      <c r="F1063">
        <v>0</v>
      </c>
      <c r="G1063">
        <v>0</v>
      </c>
      <c r="H1063">
        <v>347470</v>
      </c>
      <c r="I1063">
        <v>7.8541999999999996</v>
      </c>
      <c r="K1063" t="s">
        <v>17</v>
      </c>
      <c r="L1063">
        <v>13</v>
      </c>
    </row>
    <row r="1064" spans="1:14" x14ac:dyDescent="0.3">
      <c r="A1064">
        <v>3</v>
      </c>
      <c r="B1064">
        <v>0</v>
      </c>
      <c r="C1064" t="s">
        <v>1818</v>
      </c>
      <c r="D1064" t="s">
        <v>20</v>
      </c>
      <c r="E1064">
        <v>21</v>
      </c>
      <c r="F1064">
        <v>0</v>
      </c>
      <c r="G1064">
        <v>0</v>
      </c>
      <c r="H1064">
        <v>350410</v>
      </c>
      <c r="I1064">
        <v>7.8541999999999996</v>
      </c>
      <c r="K1064" t="s">
        <v>17</v>
      </c>
    </row>
    <row r="1065" spans="1:14" x14ac:dyDescent="0.3">
      <c r="A1065">
        <v>3</v>
      </c>
      <c r="B1065">
        <v>0</v>
      </c>
      <c r="C1065" t="s">
        <v>1819</v>
      </c>
      <c r="D1065" t="s">
        <v>20</v>
      </c>
      <c r="E1065">
        <v>41</v>
      </c>
      <c r="F1065">
        <v>0</v>
      </c>
      <c r="G1065">
        <v>0</v>
      </c>
      <c r="H1065" t="s">
        <v>1820</v>
      </c>
      <c r="I1065">
        <v>7.125</v>
      </c>
      <c r="K1065" t="s">
        <v>17</v>
      </c>
      <c r="N1065" t="s">
        <v>1821</v>
      </c>
    </row>
    <row r="1066" spans="1:14" x14ac:dyDescent="0.3">
      <c r="A1066">
        <v>3</v>
      </c>
      <c r="B1066">
        <v>1</v>
      </c>
      <c r="C1066" t="s">
        <v>1822</v>
      </c>
      <c r="D1066" t="s">
        <v>20</v>
      </c>
      <c r="E1066">
        <v>39</v>
      </c>
      <c r="F1066">
        <v>0</v>
      </c>
      <c r="G1066">
        <v>0</v>
      </c>
      <c r="H1066" t="s">
        <v>1823</v>
      </c>
      <c r="I1066">
        <v>7.9249999999999998</v>
      </c>
      <c r="K1066" t="s">
        <v>17</v>
      </c>
      <c r="L1066">
        <v>9</v>
      </c>
    </row>
    <row r="1067" spans="1:14" x14ac:dyDescent="0.3">
      <c r="A1067">
        <v>3</v>
      </c>
      <c r="B1067">
        <v>0</v>
      </c>
      <c r="C1067" t="s">
        <v>1824</v>
      </c>
      <c r="D1067" t="s">
        <v>20</v>
      </c>
      <c r="E1067">
        <v>21</v>
      </c>
      <c r="F1067">
        <v>0</v>
      </c>
      <c r="G1067">
        <v>0</v>
      </c>
      <c r="H1067" t="s">
        <v>1825</v>
      </c>
      <c r="I1067">
        <v>7.8</v>
      </c>
      <c r="K1067" t="s">
        <v>17</v>
      </c>
    </row>
    <row r="1068" spans="1:14" x14ac:dyDescent="0.3">
      <c r="A1068">
        <v>3</v>
      </c>
      <c r="B1068">
        <v>0</v>
      </c>
      <c r="C1068" t="s">
        <v>1826</v>
      </c>
      <c r="D1068" t="s">
        <v>20</v>
      </c>
      <c r="E1068">
        <v>28.5</v>
      </c>
      <c r="F1068">
        <v>0</v>
      </c>
      <c r="G1068">
        <v>0</v>
      </c>
      <c r="H1068">
        <v>2697</v>
      </c>
      <c r="I1068">
        <v>7.2291999999999996</v>
      </c>
      <c r="K1068" t="s">
        <v>41</v>
      </c>
      <c r="M1068">
        <v>181</v>
      </c>
    </row>
    <row r="1069" spans="1:14" x14ac:dyDescent="0.3">
      <c r="A1069">
        <v>3</v>
      </c>
      <c r="B1069">
        <v>1</v>
      </c>
      <c r="C1069" t="s">
        <v>1827</v>
      </c>
      <c r="D1069" t="s">
        <v>15</v>
      </c>
      <c r="E1069">
        <v>22</v>
      </c>
      <c r="F1069">
        <v>0</v>
      </c>
      <c r="G1069">
        <v>0</v>
      </c>
      <c r="H1069">
        <v>347081</v>
      </c>
      <c r="I1069">
        <v>7.75</v>
      </c>
      <c r="K1069" t="s">
        <v>17</v>
      </c>
      <c r="L1069">
        <v>13</v>
      </c>
    </row>
    <row r="1070" spans="1:14" x14ac:dyDescent="0.3">
      <c r="A1070">
        <v>3</v>
      </c>
      <c r="B1070">
        <v>0</v>
      </c>
      <c r="C1070" t="s">
        <v>1828</v>
      </c>
      <c r="D1070" t="s">
        <v>20</v>
      </c>
      <c r="E1070">
        <v>61</v>
      </c>
      <c r="F1070">
        <v>0</v>
      </c>
      <c r="G1070">
        <v>0</v>
      </c>
      <c r="H1070">
        <v>345364</v>
      </c>
      <c r="I1070">
        <v>6.2374999999999998</v>
      </c>
      <c r="K1070" t="s">
        <v>17</v>
      </c>
    </row>
    <row r="1071" spans="1:14" x14ac:dyDescent="0.3">
      <c r="A1071">
        <v>3</v>
      </c>
      <c r="B1071">
        <v>0</v>
      </c>
      <c r="C1071" t="s">
        <v>1829</v>
      </c>
      <c r="D1071" t="s">
        <v>20</v>
      </c>
      <c r="F1071">
        <v>1</v>
      </c>
      <c r="G1071">
        <v>0</v>
      </c>
      <c r="H1071">
        <v>370365</v>
      </c>
      <c r="I1071">
        <v>15.5</v>
      </c>
      <c r="K1071" t="s">
        <v>463</v>
      </c>
    </row>
    <row r="1072" spans="1:14" x14ac:dyDescent="0.3">
      <c r="A1072">
        <v>3</v>
      </c>
      <c r="B1072">
        <v>0</v>
      </c>
      <c r="C1072" t="s">
        <v>1830</v>
      </c>
      <c r="D1072" t="s">
        <v>20</v>
      </c>
      <c r="F1072">
        <v>0</v>
      </c>
      <c r="G1072">
        <v>0</v>
      </c>
      <c r="H1072">
        <v>330979</v>
      </c>
      <c r="I1072">
        <v>7.8292000000000002</v>
      </c>
      <c r="K1072" t="s">
        <v>463</v>
      </c>
    </row>
    <row r="1073" spans="1:13" x14ac:dyDescent="0.3">
      <c r="A1073">
        <v>3</v>
      </c>
      <c r="B1073">
        <v>1</v>
      </c>
      <c r="C1073" t="s">
        <v>1831</v>
      </c>
      <c r="D1073" t="s">
        <v>15</v>
      </c>
      <c r="F1073">
        <v>1</v>
      </c>
      <c r="G1073">
        <v>0</v>
      </c>
      <c r="H1073">
        <v>370365</v>
      </c>
      <c r="I1073">
        <v>15.5</v>
      </c>
      <c r="K1073" t="s">
        <v>463</v>
      </c>
    </row>
    <row r="1074" spans="1:13" x14ac:dyDescent="0.3">
      <c r="A1074">
        <v>3</v>
      </c>
      <c r="B1074">
        <v>0</v>
      </c>
      <c r="C1074" t="s">
        <v>1832</v>
      </c>
      <c r="D1074" t="s">
        <v>20</v>
      </c>
      <c r="F1074">
        <v>0</v>
      </c>
      <c r="G1074">
        <v>0</v>
      </c>
      <c r="H1074">
        <v>334912</v>
      </c>
      <c r="I1074">
        <v>7.7332999999999998</v>
      </c>
      <c r="K1074" t="s">
        <v>463</v>
      </c>
    </row>
    <row r="1075" spans="1:13" x14ac:dyDescent="0.3">
      <c r="A1075">
        <v>3</v>
      </c>
      <c r="B1075">
        <v>0</v>
      </c>
      <c r="C1075" t="s">
        <v>1833</v>
      </c>
      <c r="D1075" t="s">
        <v>20</v>
      </c>
      <c r="F1075">
        <v>0</v>
      </c>
      <c r="G1075">
        <v>0</v>
      </c>
      <c r="H1075">
        <v>371060</v>
      </c>
      <c r="I1075">
        <v>7.75</v>
      </c>
      <c r="K1075" t="s">
        <v>463</v>
      </c>
    </row>
    <row r="1076" spans="1:13" x14ac:dyDescent="0.3">
      <c r="A1076">
        <v>3</v>
      </c>
      <c r="B1076">
        <v>0</v>
      </c>
      <c r="C1076" t="s">
        <v>1834</v>
      </c>
      <c r="D1076" t="s">
        <v>20</v>
      </c>
      <c r="F1076">
        <v>0</v>
      </c>
      <c r="G1076">
        <v>0</v>
      </c>
      <c r="H1076">
        <v>366713</v>
      </c>
      <c r="I1076">
        <v>7.75</v>
      </c>
      <c r="K1076" t="s">
        <v>463</v>
      </c>
    </row>
    <row r="1077" spans="1:13" x14ac:dyDescent="0.3">
      <c r="A1077">
        <v>3</v>
      </c>
      <c r="B1077">
        <v>0</v>
      </c>
      <c r="C1077" t="s">
        <v>1835</v>
      </c>
      <c r="D1077" t="s">
        <v>20</v>
      </c>
      <c r="E1077">
        <v>23</v>
      </c>
      <c r="F1077">
        <v>0</v>
      </c>
      <c r="G1077">
        <v>0</v>
      </c>
      <c r="H1077">
        <v>7267</v>
      </c>
      <c r="I1077">
        <v>9.2249999999999996</v>
      </c>
      <c r="K1077" t="s">
        <v>17</v>
      </c>
    </row>
    <row r="1078" spans="1:13" x14ac:dyDescent="0.3">
      <c r="A1078">
        <v>3</v>
      </c>
      <c r="B1078">
        <v>0</v>
      </c>
      <c r="C1078" t="s">
        <v>1836</v>
      </c>
      <c r="D1078" t="s">
        <v>15</v>
      </c>
      <c r="F1078">
        <v>0</v>
      </c>
      <c r="G1078">
        <v>0</v>
      </c>
      <c r="H1078">
        <v>364856</v>
      </c>
      <c r="I1078">
        <v>7.75</v>
      </c>
      <c r="K1078" t="s">
        <v>463</v>
      </c>
    </row>
    <row r="1079" spans="1:13" x14ac:dyDescent="0.3">
      <c r="A1079">
        <v>3</v>
      </c>
      <c r="B1079">
        <v>1</v>
      </c>
      <c r="C1079" t="s">
        <v>1837</v>
      </c>
      <c r="D1079" t="s">
        <v>15</v>
      </c>
      <c r="F1079">
        <v>0</v>
      </c>
      <c r="G1079">
        <v>0</v>
      </c>
      <c r="H1079">
        <v>14311</v>
      </c>
      <c r="I1079">
        <v>7.75</v>
      </c>
      <c r="K1079" t="s">
        <v>463</v>
      </c>
      <c r="L1079" t="s">
        <v>37</v>
      </c>
    </row>
    <row r="1080" spans="1:13" x14ac:dyDescent="0.3">
      <c r="A1080">
        <v>3</v>
      </c>
      <c r="B1080">
        <v>1</v>
      </c>
      <c r="C1080" t="s">
        <v>1838</v>
      </c>
      <c r="D1080" t="s">
        <v>15</v>
      </c>
      <c r="F1080">
        <v>0</v>
      </c>
      <c r="G1080">
        <v>0</v>
      </c>
      <c r="H1080">
        <v>330959</v>
      </c>
      <c r="I1080">
        <v>7.8792</v>
      </c>
      <c r="K1080" t="s">
        <v>463</v>
      </c>
    </row>
    <row r="1081" spans="1:13" x14ac:dyDescent="0.3">
      <c r="A1081">
        <v>3</v>
      </c>
      <c r="B1081">
        <v>1</v>
      </c>
      <c r="C1081" t="s">
        <v>1839</v>
      </c>
      <c r="D1081" t="s">
        <v>15</v>
      </c>
      <c r="E1081">
        <v>22</v>
      </c>
      <c r="F1081">
        <v>0</v>
      </c>
      <c r="G1081">
        <v>0</v>
      </c>
      <c r="H1081">
        <v>347085</v>
      </c>
      <c r="I1081">
        <v>7.7750000000000004</v>
      </c>
      <c r="K1081" t="s">
        <v>17</v>
      </c>
      <c r="L1081" t="s">
        <v>41</v>
      </c>
    </row>
    <row r="1082" spans="1:13" x14ac:dyDescent="0.3">
      <c r="A1082">
        <v>3</v>
      </c>
      <c r="B1082">
        <v>1</v>
      </c>
      <c r="C1082" t="s">
        <v>1840</v>
      </c>
      <c r="D1082" t="s">
        <v>20</v>
      </c>
      <c r="F1082">
        <v>0</v>
      </c>
      <c r="G1082">
        <v>0</v>
      </c>
      <c r="H1082">
        <v>368402</v>
      </c>
      <c r="I1082">
        <v>7.75</v>
      </c>
      <c r="K1082" t="s">
        <v>463</v>
      </c>
      <c r="L1082" t="s">
        <v>54</v>
      </c>
    </row>
    <row r="1083" spans="1:13" x14ac:dyDescent="0.3">
      <c r="A1083">
        <v>3</v>
      </c>
      <c r="B1083">
        <v>1</v>
      </c>
      <c r="C1083" t="s">
        <v>1841</v>
      </c>
      <c r="D1083" t="s">
        <v>15</v>
      </c>
      <c r="F1083">
        <v>0</v>
      </c>
      <c r="G1083">
        <v>0</v>
      </c>
      <c r="H1083">
        <v>330919</v>
      </c>
      <c r="I1083">
        <v>7.8292000000000002</v>
      </c>
      <c r="K1083" t="s">
        <v>463</v>
      </c>
      <c r="L1083">
        <v>13</v>
      </c>
    </row>
    <row r="1084" spans="1:13" x14ac:dyDescent="0.3">
      <c r="A1084">
        <v>3</v>
      </c>
      <c r="B1084">
        <v>1</v>
      </c>
      <c r="C1084" t="s">
        <v>1842</v>
      </c>
      <c r="D1084" t="s">
        <v>20</v>
      </c>
      <c r="E1084">
        <v>9</v>
      </c>
      <c r="F1084">
        <v>0</v>
      </c>
      <c r="G1084">
        <v>1</v>
      </c>
      <c r="H1084" t="s">
        <v>1843</v>
      </c>
      <c r="I1084">
        <v>3.1707999999999998</v>
      </c>
      <c r="K1084" t="s">
        <v>17</v>
      </c>
      <c r="L1084">
        <v>13</v>
      </c>
    </row>
    <row r="1085" spans="1:13" x14ac:dyDescent="0.3">
      <c r="A1085">
        <v>3</v>
      </c>
      <c r="B1085">
        <v>0</v>
      </c>
      <c r="C1085" t="s">
        <v>1844</v>
      </c>
      <c r="D1085" t="s">
        <v>20</v>
      </c>
      <c r="E1085">
        <v>28</v>
      </c>
      <c r="F1085">
        <v>0</v>
      </c>
      <c r="G1085">
        <v>0</v>
      </c>
      <c r="H1085" t="s">
        <v>1220</v>
      </c>
      <c r="I1085">
        <v>22.524999999999999</v>
      </c>
      <c r="K1085" t="s">
        <v>17</v>
      </c>
      <c r="M1085">
        <v>173</v>
      </c>
    </row>
    <row r="1086" spans="1:13" x14ac:dyDescent="0.3">
      <c r="A1086">
        <v>3</v>
      </c>
      <c r="B1086">
        <v>0</v>
      </c>
      <c r="C1086" t="s">
        <v>1845</v>
      </c>
      <c r="D1086" t="s">
        <v>20</v>
      </c>
      <c r="E1086">
        <v>42</v>
      </c>
      <c r="F1086">
        <v>0</v>
      </c>
      <c r="G1086">
        <v>1</v>
      </c>
      <c r="H1086">
        <v>4579</v>
      </c>
      <c r="I1086">
        <v>8.4041999999999994</v>
      </c>
      <c r="K1086" t="s">
        <v>17</v>
      </c>
    </row>
    <row r="1087" spans="1:13" x14ac:dyDescent="0.3">
      <c r="A1087">
        <v>3</v>
      </c>
      <c r="B1087">
        <v>0</v>
      </c>
      <c r="C1087" t="s">
        <v>1846</v>
      </c>
      <c r="D1087" t="s">
        <v>20</v>
      </c>
      <c r="F1087">
        <v>0</v>
      </c>
      <c r="G1087">
        <v>0</v>
      </c>
      <c r="H1087" t="s">
        <v>1847</v>
      </c>
      <c r="I1087">
        <v>7.3125</v>
      </c>
      <c r="K1087" t="s">
        <v>17</v>
      </c>
    </row>
    <row r="1088" spans="1:13" x14ac:dyDescent="0.3">
      <c r="A1088">
        <v>3</v>
      </c>
      <c r="B1088">
        <v>0</v>
      </c>
      <c r="C1088" t="s">
        <v>1848</v>
      </c>
      <c r="D1088" t="s">
        <v>15</v>
      </c>
      <c r="E1088">
        <v>31</v>
      </c>
      <c r="F1088">
        <v>0</v>
      </c>
      <c r="G1088">
        <v>0</v>
      </c>
      <c r="H1088">
        <v>350407</v>
      </c>
      <c r="I1088">
        <v>7.8541999999999996</v>
      </c>
      <c r="K1088" t="s">
        <v>17</v>
      </c>
    </row>
    <row r="1089" spans="1:14" x14ac:dyDescent="0.3">
      <c r="A1089">
        <v>3</v>
      </c>
      <c r="B1089">
        <v>0</v>
      </c>
      <c r="C1089" t="s">
        <v>1849</v>
      </c>
      <c r="D1089" t="s">
        <v>20</v>
      </c>
      <c r="E1089">
        <v>28</v>
      </c>
      <c r="F1089">
        <v>0</v>
      </c>
      <c r="G1089">
        <v>0</v>
      </c>
      <c r="H1089">
        <v>347464</v>
      </c>
      <c r="I1089">
        <v>7.8541999999999996</v>
      </c>
      <c r="K1089" t="s">
        <v>17</v>
      </c>
    </row>
    <row r="1090" spans="1:14" x14ac:dyDescent="0.3">
      <c r="A1090">
        <v>3</v>
      </c>
      <c r="B1090">
        <v>1</v>
      </c>
      <c r="C1090" t="s">
        <v>1850</v>
      </c>
      <c r="D1090" t="s">
        <v>20</v>
      </c>
      <c r="E1090">
        <v>32</v>
      </c>
      <c r="F1090">
        <v>0</v>
      </c>
      <c r="G1090">
        <v>0</v>
      </c>
      <c r="H1090">
        <v>347079</v>
      </c>
      <c r="I1090">
        <v>7.7750000000000004</v>
      </c>
      <c r="K1090" t="s">
        <v>17</v>
      </c>
      <c r="L1090" t="s">
        <v>67</v>
      </c>
    </row>
    <row r="1091" spans="1:14" x14ac:dyDescent="0.3">
      <c r="A1091">
        <v>3</v>
      </c>
      <c r="B1091">
        <v>0</v>
      </c>
      <c r="C1091" t="s">
        <v>1851</v>
      </c>
      <c r="D1091" t="s">
        <v>20</v>
      </c>
      <c r="E1091">
        <v>20</v>
      </c>
      <c r="F1091">
        <v>0</v>
      </c>
      <c r="G1091">
        <v>0</v>
      </c>
      <c r="H1091">
        <v>6563</v>
      </c>
      <c r="I1091">
        <v>9.2249999999999996</v>
      </c>
      <c r="K1091" t="s">
        <v>17</v>
      </c>
      <c r="M1091">
        <v>89</v>
      </c>
      <c r="N1091" t="s">
        <v>1852</v>
      </c>
    </row>
    <row r="1092" spans="1:14" x14ac:dyDescent="0.3">
      <c r="A1092">
        <v>3</v>
      </c>
      <c r="B1092">
        <v>0</v>
      </c>
      <c r="C1092" t="s">
        <v>1853</v>
      </c>
      <c r="D1092" t="s">
        <v>15</v>
      </c>
      <c r="E1092">
        <v>23</v>
      </c>
      <c r="F1092">
        <v>0</v>
      </c>
      <c r="G1092">
        <v>0</v>
      </c>
      <c r="H1092">
        <v>315085</v>
      </c>
      <c r="I1092">
        <v>8.6624999999999996</v>
      </c>
      <c r="K1092" t="s">
        <v>17</v>
      </c>
    </row>
    <row r="1093" spans="1:14" x14ac:dyDescent="0.3">
      <c r="A1093">
        <v>3</v>
      </c>
      <c r="B1093">
        <v>0</v>
      </c>
      <c r="C1093" t="s">
        <v>1854</v>
      </c>
      <c r="D1093" t="s">
        <v>15</v>
      </c>
      <c r="E1093">
        <v>20</v>
      </c>
      <c r="F1093">
        <v>0</v>
      </c>
      <c r="G1093">
        <v>0</v>
      </c>
      <c r="H1093">
        <v>315096</v>
      </c>
      <c r="I1093">
        <v>8.6624999999999996</v>
      </c>
      <c r="K1093" t="s">
        <v>17</v>
      </c>
    </row>
    <row r="1094" spans="1:14" x14ac:dyDescent="0.3">
      <c r="A1094">
        <v>3</v>
      </c>
      <c r="B1094">
        <v>0</v>
      </c>
      <c r="C1094" t="s">
        <v>1855</v>
      </c>
      <c r="D1094" t="s">
        <v>20</v>
      </c>
      <c r="E1094">
        <v>20</v>
      </c>
      <c r="F1094">
        <v>0</v>
      </c>
      <c r="G1094">
        <v>0</v>
      </c>
      <c r="H1094">
        <v>315094</v>
      </c>
      <c r="I1094">
        <v>8.6624999999999996</v>
      </c>
      <c r="K1094" t="s">
        <v>17</v>
      </c>
    </row>
    <row r="1095" spans="1:14" x14ac:dyDescent="0.3">
      <c r="A1095">
        <v>3</v>
      </c>
      <c r="B1095">
        <v>0</v>
      </c>
      <c r="C1095" t="s">
        <v>1856</v>
      </c>
      <c r="D1095" t="s">
        <v>20</v>
      </c>
      <c r="E1095">
        <v>16</v>
      </c>
      <c r="F1095">
        <v>0</v>
      </c>
      <c r="G1095">
        <v>0</v>
      </c>
      <c r="H1095">
        <v>7534</v>
      </c>
      <c r="I1095">
        <v>9.2166999999999994</v>
      </c>
      <c r="K1095" t="s">
        <v>17</v>
      </c>
    </row>
    <row r="1096" spans="1:14" x14ac:dyDescent="0.3">
      <c r="A1096">
        <v>3</v>
      </c>
      <c r="B1096">
        <v>1</v>
      </c>
      <c r="C1096" t="s">
        <v>1857</v>
      </c>
      <c r="D1096" t="s">
        <v>15</v>
      </c>
      <c r="E1096">
        <v>31</v>
      </c>
      <c r="F1096">
        <v>0</v>
      </c>
      <c r="G1096">
        <v>0</v>
      </c>
      <c r="H1096">
        <v>349244</v>
      </c>
      <c r="I1096">
        <v>8.6832999999999991</v>
      </c>
      <c r="K1096" t="s">
        <v>17</v>
      </c>
    </row>
    <row r="1097" spans="1:14" x14ac:dyDescent="0.3">
      <c r="A1097">
        <v>3</v>
      </c>
      <c r="B1097">
        <v>0</v>
      </c>
      <c r="C1097" t="s">
        <v>1858</v>
      </c>
      <c r="D1097" t="s">
        <v>15</v>
      </c>
      <c r="F1097">
        <v>0</v>
      </c>
      <c r="G1097">
        <v>0</v>
      </c>
      <c r="H1097">
        <v>330909</v>
      </c>
      <c r="I1097">
        <v>7.6292</v>
      </c>
      <c r="K1097" t="s">
        <v>463</v>
      </c>
    </row>
    <row r="1098" spans="1:14" x14ac:dyDescent="0.3">
      <c r="A1098">
        <v>3</v>
      </c>
      <c r="B1098">
        <v>0</v>
      </c>
      <c r="C1098" t="s">
        <v>1859</v>
      </c>
      <c r="D1098" t="s">
        <v>20</v>
      </c>
      <c r="E1098">
        <v>2</v>
      </c>
      <c r="F1098">
        <v>3</v>
      </c>
      <c r="G1098">
        <v>1</v>
      </c>
      <c r="H1098">
        <v>349909</v>
      </c>
      <c r="I1098">
        <v>21.074999999999999</v>
      </c>
      <c r="K1098" t="s">
        <v>17</v>
      </c>
      <c r="M1098">
        <v>4</v>
      </c>
    </row>
    <row r="1099" spans="1:14" x14ac:dyDescent="0.3">
      <c r="A1099">
        <v>3</v>
      </c>
      <c r="B1099">
        <v>0</v>
      </c>
      <c r="C1099" t="s">
        <v>1860</v>
      </c>
      <c r="D1099" t="s">
        <v>20</v>
      </c>
      <c r="E1099">
        <v>6</v>
      </c>
      <c r="F1099">
        <v>3</v>
      </c>
      <c r="G1099">
        <v>1</v>
      </c>
      <c r="H1099">
        <v>349909</v>
      </c>
      <c r="I1099">
        <v>21.074999999999999</v>
      </c>
      <c r="K1099" t="s">
        <v>17</v>
      </c>
    </row>
    <row r="1100" spans="1:14" x14ac:dyDescent="0.3">
      <c r="A1100">
        <v>3</v>
      </c>
      <c r="B1100">
        <v>0</v>
      </c>
      <c r="C1100" t="s">
        <v>1861</v>
      </c>
      <c r="D1100" t="s">
        <v>15</v>
      </c>
      <c r="E1100">
        <v>3</v>
      </c>
      <c r="F1100">
        <v>3</v>
      </c>
      <c r="G1100">
        <v>1</v>
      </c>
      <c r="H1100">
        <v>349909</v>
      </c>
      <c r="I1100">
        <v>21.074999999999999</v>
      </c>
      <c r="K1100" t="s">
        <v>17</v>
      </c>
    </row>
    <row r="1101" spans="1:14" x14ac:dyDescent="0.3">
      <c r="A1101">
        <v>3</v>
      </c>
      <c r="B1101">
        <v>0</v>
      </c>
      <c r="C1101" t="s">
        <v>1862</v>
      </c>
      <c r="D1101" t="s">
        <v>15</v>
      </c>
      <c r="E1101">
        <v>8</v>
      </c>
      <c r="F1101">
        <v>3</v>
      </c>
      <c r="G1101">
        <v>1</v>
      </c>
      <c r="H1101">
        <v>349909</v>
      </c>
      <c r="I1101">
        <v>21.074999999999999</v>
      </c>
      <c r="K1101" t="s">
        <v>17</v>
      </c>
    </row>
    <row r="1102" spans="1:14" x14ac:dyDescent="0.3">
      <c r="A1102">
        <v>3</v>
      </c>
      <c r="B1102">
        <v>0</v>
      </c>
      <c r="C1102" t="s">
        <v>1863</v>
      </c>
      <c r="D1102" t="s">
        <v>15</v>
      </c>
      <c r="E1102">
        <v>29</v>
      </c>
      <c r="F1102">
        <v>0</v>
      </c>
      <c r="G1102">
        <v>4</v>
      </c>
      <c r="H1102">
        <v>349909</v>
      </c>
      <c r="I1102">
        <v>21.074999999999999</v>
      </c>
      <c r="K1102" t="s">
        <v>17</v>
      </c>
      <c r="M1102">
        <v>206</v>
      </c>
    </row>
    <row r="1103" spans="1:14" x14ac:dyDescent="0.3">
      <c r="A1103">
        <v>3</v>
      </c>
      <c r="B1103">
        <v>0</v>
      </c>
      <c r="C1103" t="s">
        <v>1864</v>
      </c>
      <c r="D1103" t="s">
        <v>20</v>
      </c>
      <c r="E1103">
        <v>1</v>
      </c>
      <c r="F1103">
        <v>4</v>
      </c>
      <c r="G1103">
        <v>1</v>
      </c>
      <c r="H1103">
        <v>3101295</v>
      </c>
      <c r="I1103">
        <v>39.6875</v>
      </c>
      <c r="K1103" t="s">
        <v>17</v>
      </c>
    </row>
    <row r="1104" spans="1:14" x14ac:dyDescent="0.3">
      <c r="A1104">
        <v>3</v>
      </c>
      <c r="B1104">
        <v>0</v>
      </c>
      <c r="C1104" t="s">
        <v>1865</v>
      </c>
      <c r="D1104" t="s">
        <v>20</v>
      </c>
      <c r="E1104">
        <v>7</v>
      </c>
      <c r="F1104">
        <v>4</v>
      </c>
      <c r="G1104">
        <v>1</v>
      </c>
      <c r="H1104">
        <v>3101295</v>
      </c>
      <c r="I1104">
        <v>39.6875</v>
      </c>
      <c r="K1104" t="s">
        <v>17</v>
      </c>
    </row>
    <row r="1105" spans="1:11" x14ac:dyDescent="0.3">
      <c r="A1105">
        <v>3</v>
      </c>
      <c r="B1105">
        <v>0</v>
      </c>
      <c r="C1105" t="s">
        <v>1866</v>
      </c>
      <c r="D1105" t="s">
        <v>20</v>
      </c>
      <c r="E1105">
        <v>2</v>
      </c>
      <c r="F1105">
        <v>4</v>
      </c>
      <c r="G1105">
        <v>1</v>
      </c>
      <c r="H1105">
        <v>3101295</v>
      </c>
      <c r="I1105">
        <v>39.6875</v>
      </c>
      <c r="K1105" t="s">
        <v>17</v>
      </c>
    </row>
    <row r="1106" spans="1:11" x14ac:dyDescent="0.3">
      <c r="A1106">
        <v>3</v>
      </c>
      <c r="B1106">
        <v>0</v>
      </c>
      <c r="C1106" t="s">
        <v>1867</v>
      </c>
      <c r="D1106" t="s">
        <v>20</v>
      </c>
      <c r="E1106">
        <v>16</v>
      </c>
      <c r="F1106">
        <v>4</v>
      </c>
      <c r="G1106">
        <v>1</v>
      </c>
      <c r="H1106">
        <v>3101295</v>
      </c>
      <c r="I1106">
        <v>39.6875</v>
      </c>
      <c r="K1106" t="s">
        <v>17</v>
      </c>
    </row>
    <row r="1107" spans="1:11" x14ac:dyDescent="0.3">
      <c r="A1107">
        <v>3</v>
      </c>
      <c r="B1107">
        <v>0</v>
      </c>
      <c r="C1107" t="s">
        <v>1868</v>
      </c>
      <c r="D1107" t="s">
        <v>20</v>
      </c>
      <c r="E1107">
        <v>14</v>
      </c>
      <c r="F1107">
        <v>4</v>
      </c>
      <c r="G1107">
        <v>1</v>
      </c>
      <c r="H1107">
        <v>3101295</v>
      </c>
      <c r="I1107">
        <v>39.6875</v>
      </c>
      <c r="K1107" t="s">
        <v>17</v>
      </c>
    </row>
    <row r="1108" spans="1:11" x14ac:dyDescent="0.3">
      <c r="A1108">
        <v>3</v>
      </c>
      <c r="B1108">
        <v>0</v>
      </c>
      <c r="C1108" t="s">
        <v>1869</v>
      </c>
      <c r="D1108" t="s">
        <v>15</v>
      </c>
      <c r="E1108">
        <v>41</v>
      </c>
      <c r="F1108">
        <v>0</v>
      </c>
      <c r="G1108">
        <v>5</v>
      </c>
      <c r="H1108">
        <v>3101295</v>
      </c>
      <c r="I1108">
        <v>39.6875</v>
      </c>
      <c r="K1108" t="s">
        <v>17</v>
      </c>
    </row>
    <row r="1109" spans="1:11" x14ac:dyDescent="0.3">
      <c r="A1109">
        <v>3</v>
      </c>
      <c r="B1109">
        <v>0</v>
      </c>
      <c r="C1109" t="s">
        <v>1870</v>
      </c>
      <c r="D1109" t="s">
        <v>20</v>
      </c>
      <c r="E1109">
        <v>21</v>
      </c>
      <c r="F1109">
        <v>0</v>
      </c>
      <c r="G1109">
        <v>0</v>
      </c>
      <c r="H1109">
        <v>315097</v>
      </c>
      <c r="I1109">
        <v>8.6624999999999996</v>
      </c>
      <c r="K1109" t="s">
        <v>17</v>
      </c>
    </row>
    <row r="1110" spans="1:11" x14ac:dyDescent="0.3">
      <c r="A1110">
        <v>3</v>
      </c>
      <c r="B1110">
        <v>0</v>
      </c>
      <c r="C1110" t="s">
        <v>1871</v>
      </c>
      <c r="D1110" t="s">
        <v>20</v>
      </c>
      <c r="E1110">
        <v>19</v>
      </c>
      <c r="F1110">
        <v>0</v>
      </c>
      <c r="G1110">
        <v>0</v>
      </c>
      <c r="H1110">
        <v>358585</v>
      </c>
      <c r="I1110">
        <v>14.5</v>
      </c>
      <c r="K1110" t="s">
        <v>17</v>
      </c>
    </row>
    <row r="1111" spans="1:11" x14ac:dyDescent="0.3">
      <c r="A1111">
        <v>3</v>
      </c>
      <c r="B1111">
        <v>0</v>
      </c>
      <c r="C1111" t="s">
        <v>1872</v>
      </c>
      <c r="D1111" t="s">
        <v>20</v>
      </c>
      <c r="F1111">
        <v>0</v>
      </c>
      <c r="G1111">
        <v>0</v>
      </c>
      <c r="H1111">
        <v>3411</v>
      </c>
      <c r="I1111">
        <v>8.7125000000000004</v>
      </c>
      <c r="K1111" t="s">
        <v>41</v>
      </c>
    </row>
    <row r="1112" spans="1:11" x14ac:dyDescent="0.3">
      <c r="A1112">
        <v>3</v>
      </c>
      <c r="B1112">
        <v>0</v>
      </c>
      <c r="C1112" t="s">
        <v>1873</v>
      </c>
      <c r="D1112" t="s">
        <v>20</v>
      </c>
      <c r="E1112">
        <v>32</v>
      </c>
      <c r="F1112">
        <v>0</v>
      </c>
      <c r="G1112">
        <v>0</v>
      </c>
      <c r="H1112">
        <v>349242</v>
      </c>
      <c r="I1112">
        <v>7.8958000000000004</v>
      </c>
      <c r="K1112" t="s">
        <v>17</v>
      </c>
    </row>
    <row r="1113" spans="1:11" x14ac:dyDescent="0.3">
      <c r="A1113">
        <v>3</v>
      </c>
      <c r="B1113">
        <v>0</v>
      </c>
      <c r="C1113" t="s">
        <v>1874</v>
      </c>
      <c r="D1113" t="s">
        <v>20</v>
      </c>
      <c r="E1113">
        <v>0.75</v>
      </c>
      <c r="F1113">
        <v>1</v>
      </c>
      <c r="G1113">
        <v>1</v>
      </c>
      <c r="H1113" t="s">
        <v>1875</v>
      </c>
      <c r="I1113">
        <v>13.775</v>
      </c>
      <c r="K1113" t="s">
        <v>17</v>
      </c>
    </row>
    <row r="1114" spans="1:11" x14ac:dyDescent="0.3">
      <c r="A1114">
        <v>3</v>
      </c>
      <c r="B1114">
        <v>0</v>
      </c>
      <c r="C1114" t="s">
        <v>1876</v>
      </c>
      <c r="D1114" t="s">
        <v>15</v>
      </c>
      <c r="E1114">
        <v>3</v>
      </c>
      <c r="F1114">
        <v>1</v>
      </c>
      <c r="G1114">
        <v>1</v>
      </c>
      <c r="H1114" t="s">
        <v>1875</v>
      </c>
      <c r="I1114">
        <v>13.775</v>
      </c>
      <c r="K1114" t="s">
        <v>17</v>
      </c>
    </row>
    <row r="1115" spans="1:11" x14ac:dyDescent="0.3">
      <c r="A1115">
        <v>3</v>
      </c>
      <c r="B1115">
        <v>0</v>
      </c>
      <c r="C1115" t="s">
        <v>1877</v>
      </c>
      <c r="D1115" t="s">
        <v>15</v>
      </c>
      <c r="E1115">
        <v>26</v>
      </c>
      <c r="F1115">
        <v>0</v>
      </c>
      <c r="G1115">
        <v>2</v>
      </c>
      <c r="H1115" t="s">
        <v>1875</v>
      </c>
      <c r="I1115">
        <v>13.775</v>
      </c>
      <c r="K1115" t="s">
        <v>17</v>
      </c>
    </row>
    <row r="1116" spans="1:11" x14ac:dyDescent="0.3">
      <c r="A1116">
        <v>3</v>
      </c>
      <c r="B1116">
        <v>0</v>
      </c>
      <c r="C1116" t="s">
        <v>1878</v>
      </c>
      <c r="D1116" t="s">
        <v>20</v>
      </c>
      <c r="F1116">
        <v>0</v>
      </c>
      <c r="G1116">
        <v>0</v>
      </c>
      <c r="H1116">
        <v>343271</v>
      </c>
      <c r="I1116">
        <v>7</v>
      </c>
      <c r="K1116" t="s">
        <v>17</v>
      </c>
    </row>
    <row r="1117" spans="1:11" x14ac:dyDescent="0.3">
      <c r="A1117">
        <v>3</v>
      </c>
      <c r="B1117">
        <v>0</v>
      </c>
      <c r="C1117" t="s">
        <v>1879</v>
      </c>
      <c r="D1117" t="s">
        <v>20</v>
      </c>
      <c r="F1117">
        <v>0</v>
      </c>
      <c r="G1117">
        <v>0</v>
      </c>
      <c r="H1117">
        <v>345498</v>
      </c>
      <c r="I1117">
        <v>7.7750000000000004</v>
      </c>
      <c r="K1117" t="s">
        <v>17</v>
      </c>
    </row>
    <row r="1118" spans="1:11" x14ac:dyDescent="0.3">
      <c r="A1118">
        <v>3</v>
      </c>
      <c r="B1118">
        <v>0</v>
      </c>
      <c r="C1118" t="s">
        <v>1880</v>
      </c>
      <c r="D1118" t="s">
        <v>20</v>
      </c>
      <c r="F1118">
        <v>0</v>
      </c>
      <c r="G1118">
        <v>0</v>
      </c>
      <c r="H1118" t="s">
        <v>1881</v>
      </c>
      <c r="I1118">
        <v>8.0500000000000007</v>
      </c>
      <c r="K1118" t="s">
        <v>17</v>
      </c>
    </row>
    <row r="1119" spans="1:11" x14ac:dyDescent="0.3">
      <c r="A1119">
        <v>3</v>
      </c>
      <c r="B1119">
        <v>0</v>
      </c>
      <c r="C1119" t="s">
        <v>1882</v>
      </c>
      <c r="D1119" t="s">
        <v>20</v>
      </c>
      <c r="E1119">
        <v>21</v>
      </c>
      <c r="F1119">
        <v>0</v>
      </c>
      <c r="G1119">
        <v>0</v>
      </c>
      <c r="H1119" t="s">
        <v>1883</v>
      </c>
      <c r="I1119">
        <v>7.9249999999999998</v>
      </c>
      <c r="K1119" t="s">
        <v>17</v>
      </c>
    </row>
    <row r="1120" spans="1:11" x14ac:dyDescent="0.3">
      <c r="A1120">
        <v>3</v>
      </c>
      <c r="B1120">
        <v>0</v>
      </c>
      <c r="C1120" t="s">
        <v>1884</v>
      </c>
      <c r="D1120" t="s">
        <v>20</v>
      </c>
      <c r="E1120">
        <v>25</v>
      </c>
      <c r="F1120">
        <v>0</v>
      </c>
      <c r="G1120">
        <v>0</v>
      </c>
      <c r="H1120" t="s">
        <v>1885</v>
      </c>
      <c r="I1120">
        <v>7.9249999999999998</v>
      </c>
      <c r="K1120" t="s">
        <v>17</v>
      </c>
    </row>
    <row r="1121" spans="1:12" x14ac:dyDescent="0.3">
      <c r="A1121">
        <v>3</v>
      </c>
      <c r="B1121">
        <v>0</v>
      </c>
      <c r="C1121" t="s">
        <v>1886</v>
      </c>
      <c r="D1121" t="s">
        <v>20</v>
      </c>
      <c r="E1121">
        <v>22</v>
      </c>
      <c r="F1121">
        <v>0</v>
      </c>
      <c r="G1121">
        <v>0</v>
      </c>
      <c r="H1121" t="s">
        <v>1887</v>
      </c>
      <c r="I1121">
        <v>7.25</v>
      </c>
      <c r="K1121" t="s">
        <v>17</v>
      </c>
    </row>
    <row r="1122" spans="1:12" x14ac:dyDescent="0.3">
      <c r="A1122">
        <v>3</v>
      </c>
      <c r="B1122">
        <v>1</v>
      </c>
      <c r="C1122" t="s">
        <v>1888</v>
      </c>
      <c r="D1122" t="s">
        <v>20</v>
      </c>
      <c r="E1122">
        <v>25</v>
      </c>
      <c r="F1122">
        <v>1</v>
      </c>
      <c r="G1122">
        <v>0</v>
      </c>
      <c r="H1122">
        <v>347083</v>
      </c>
      <c r="I1122">
        <v>7.7750000000000004</v>
      </c>
      <c r="K1122" t="s">
        <v>17</v>
      </c>
      <c r="L1122">
        <v>15</v>
      </c>
    </row>
    <row r="1123" spans="1:12" x14ac:dyDescent="0.3">
      <c r="A1123">
        <v>3</v>
      </c>
      <c r="B1123">
        <v>1</v>
      </c>
      <c r="C1123" t="s">
        <v>1889</v>
      </c>
      <c r="D1123" t="s">
        <v>20</v>
      </c>
      <c r="F1123">
        <v>1</v>
      </c>
      <c r="G1123">
        <v>1</v>
      </c>
      <c r="H1123">
        <v>2668</v>
      </c>
      <c r="I1123">
        <v>22.3583</v>
      </c>
      <c r="K1123" t="s">
        <v>41</v>
      </c>
      <c r="L1123" t="s">
        <v>41</v>
      </c>
    </row>
    <row r="1124" spans="1:12" x14ac:dyDescent="0.3">
      <c r="A1124">
        <v>3</v>
      </c>
      <c r="B1124">
        <v>1</v>
      </c>
      <c r="C1124" t="s">
        <v>1890</v>
      </c>
      <c r="D1124" t="s">
        <v>15</v>
      </c>
      <c r="F1124">
        <v>1</v>
      </c>
      <c r="G1124">
        <v>1</v>
      </c>
      <c r="H1124">
        <v>2668</v>
      </c>
      <c r="I1124">
        <v>22.3583</v>
      </c>
      <c r="J1124" t="s">
        <v>1891</v>
      </c>
      <c r="K1124" t="s">
        <v>41</v>
      </c>
      <c r="L1124" t="s">
        <v>37</v>
      </c>
    </row>
    <row r="1125" spans="1:12" x14ac:dyDescent="0.3">
      <c r="A1125">
        <v>3</v>
      </c>
      <c r="B1125">
        <v>1</v>
      </c>
      <c r="C1125" t="s">
        <v>1892</v>
      </c>
      <c r="D1125" t="s">
        <v>15</v>
      </c>
      <c r="F1125">
        <v>0</v>
      </c>
      <c r="G1125">
        <v>2</v>
      </c>
      <c r="H1125">
        <v>2668</v>
      </c>
      <c r="I1125">
        <v>22.3583</v>
      </c>
      <c r="K1125" t="s">
        <v>41</v>
      </c>
      <c r="L1125" t="s">
        <v>37</v>
      </c>
    </row>
    <row r="1126" spans="1:12" x14ac:dyDescent="0.3">
      <c r="A1126">
        <v>3</v>
      </c>
      <c r="B1126">
        <v>0</v>
      </c>
      <c r="C1126" t="s">
        <v>1893</v>
      </c>
      <c r="D1126" t="s">
        <v>15</v>
      </c>
      <c r="F1126">
        <v>0</v>
      </c>
      <c r="G1126">
        <v>0</v>
      </c>
      <c r="H1126">
        <v>330935</v>
      </c>
      <c r="I1126">
        <v>8.1374999999999993</v>
      </c>
      <c r="K1126" t="s">
        <v>463</v>
      </c>
    </row>
    <row r="1127" spans="1:12" x14ac:dyDescent="0.3">
      <c r="A1127">
        <v>3</v>
      </c>
      <c r="B1127">
        <v>0</v>
      </c>
      <c r="C1127" t="s">
        <v>1894</v>
      </c>
      <c r="D1127" t="s">
        <v>20</v>
      </c>
      <c r="E1127">
        <v>24</v>
      </c>
      <c r="F1127">
        <v>0</v>
      </c>
      <c r="G1127">
        <v>0</v>
      </c>
      <c r="H1127">
        <v>342441</v>
      </c>
      <c r="I1127">
        <v>8.0500000000000007</v>
      </c>
      <c r="K1127" t="s">
        <v>17</v>
      </c>
    </row>
    <row r="1128" spans="1:12" x14ac:dyDescent="0.3">
      <c r="A1128">
        <v>3</v>
      </c>
      <c r="B1128">
        <v>0</v>
      </c>
      <c r="C1128" t="s">
        <v>1895</v>
      </c>
      <c r="D1128" t="s">
        <v>15</v>
      </c>
      <c r="E1128">
        <v>28</v>
      </c>
      <c r="F1128">
        <v>0</v>
      </c>
      <c r="G1128">
        <v>0</v>
      </c>
      <c r="H1128">
        <v>349245</v>
      </c>
      <c r="I1128">
        <v>7.8958000000000004</v>
      </c>
      <c r="K1128" t="s">
        <v>17</v>
      </c>
    </row>
    <row r="1129" spans="1:12" x14ac:dyDescent="0.3">
      <c r="A1129">
        <v>3</v>
      </c>
      <c r="B1129">
        <v>0</v>
      </c>
      <c r="C1129" t="s">
        <v>1896</v>
      </c>
      <c r="D1129" t="s">
        <v>20</v>
      </c>
      <c r="E1129">
        <v>19</v>
      </c>
      <c r="F1129">
        <v>0</v>
      </c>
      <c r="G1129">
        <v>0</v>
      </c>
      <c r="H1129">
        <v>349212</v>
      </c>
      <c r="I1129">
        <v>7.8958000000000004</v>
      </c>
      <c r="K1129" t="s">
        <v>17</v>
      </c>
    </row>
    <row r="1130" spans="1:12" x14ac:dyDescent="0.3">
      <c r="A1130">
        <v>3</v>
      </c>
      <c r="B1130">
        <v>0</v>
      </c>
      <c r="C1130" t="s">
        <v>1897</v>
      </c>
      <c r="D1130" t="s">
        <v>20</v>
      </c>
      <c r="F1130">
        <v>0</v>
      </c>
      <c r="G1130">
        <v>0</v>
      </c>
      <c r="H1130">
        <v>349215</v>
      </c>
      <c r="I1130">
        <v>7.8958000000000004</v>
      </c>
      <c r="K1130" t="s">
        <v>17</v>
      </c>
    </row>
    <row r="1131" spans="1:12" x14ac:dyDescent="0.3">
      <c r="A1131">
        <v>3</v>
      </c>
      <c r="B1131">
        <v>0</v>
      </c>
      <c r="C1131" t="s">
        <v>1898</v>
      </c>
      <c r="D1131" t="s">
        <v>20</v>
      </c>
      <c r="E1131">
        <v>25</v>
      </c>
      <c r="F1131">
        <v>1</v>
      </c>
      <c r="G1131">
        <v>0</v>
      </c>
      <c r="H1131">
        <v>347076</v>
      </c>
      <c r="I1131">
        <v>7.7750000000000004</v>
      </c>
      <c r="K1131" t="s">
        <v>17</v>
      </c>
    </row>
    <row r="1132" spans="1:12" x14ac:dyDescent="0.3">
      <c r="A1132">
        <v>3</v>
      </c>
      <c r="B1132">
        <v>0</v>
      </c>
      <c r="C1132" t="s">
        <v>1899</v>
      </c>
      <c r="D1132" t="s">
        <v>15</v>
      </c>
      <c r="E1132">
        <v>18</v>
      </c>
      <c r="F1132">
        <v>0</v>
      </c>
      <c r="G1132">
        <v>0</v>
      </c>
      <c r="H1132">
        <v>347087</v>
      </c>
      <c r="I1132">
        <v>7.7750000000000004</v>
      </c>
      <c r="K1132" t="s">
        <v>17</v>
      </c>
    </row>
    <row r="1133" spans="1:12" x14ac:dyDescent="0.3">
      <c r="A1133">
        <v>3</v>
      </c>
      <c r="B1133">
        <v>1</v>
      </c>
      <c r="C1133" t="s">
        <v>1900</v>
      </c>
      <c r="D1133" t="s">
        <v>20</v>
      </c>
      <c r="E1133">
        <v>32</v>
      </c>
      <c r="F1133">
        <v>0</v>
      </c>
      <c r="G1133">
        <v>0</v>
      </c>
      <c r="H1133" t="s">
        <v>1901</v>
      </c>
      <c r="I1133">
        <v>8.0500000000000007</v>
      </c>
      <c r="J1133" t="s">
        <v>1902</v>
      </c>
      <c r="K1133" t="s">
        <v>17</v>
      </c>
      <c r="L1133">
        <v>9</v>
      </c>
    </row>
    <row r="1134" spans="1:12" x14ac:dyDescent="0.3">
      <c r="A1134">
        <v>3</v>
      </c>
      <c r="B1134">
        <v>0</v>
      </c>
      <c r="C1134" t="s">
        <v>1903</v>
      </c>
      <c r="D1134" t="s">
        <v>20</v>
      </c>
      <c r="F1134">
        <v>0</v>
      </c>
      <c r="G1134">
        <v>0</v>
      </c>
      <c r="H1134">
        <v>349227</v>
      </c>
      <c r="I1134">
        <v>7.8958000000000004</v>
      </c>
      <c r="K1134" t="s">
        <v>17</v>
      </c>
    </row>
    <row r="1135" spans="1:12" x14ac:dyDescent="0.3">
      <c r="A1135">
        <v>3</v>
      </c>
      <c r="B1135">
        <v>0</v>
      </c>
      <c r="C1135" t="s">
        <v>1904</v>
      </c>
      <c r="D1135" t="s">
        <v>20</v>
      </c>
      <c r="E1135">
        <v>17</v>
      </c>
      <c r="F1135">
        <v>0</v>
      </c>
      <c r="G1135">
        <v>0</v>
      </c>
      <c r="H1135">
        <v>315095</v>
      </c>
      <c r="I1135">
        <v>8.6624999999999996</v>
      </c>
      <c r="K1135" t="s">
        <v>17</v>
      </c>
    </row>
    <row r="1136" spans="1:12" x14ac:dyDescent="0.3">
      <c r="A1136">
        <v>3</v>
      </c>
      <c r="B1136">
        <v>0</v>
      </c>
      <c r="C1136" t="s">
        <v>1905</v>
      </c>
      <c r="D1136" t="s">
        <v>20</v>
      </c>
      <c r="E1136">
        <v>24</v>
      </c>
      <c r="F1136">
        <v>0</v>
      </c>
      <c r="G1136">
        <v>0</v>
      </c>
      <c r="H1136">
        <v>315092</v>
      </c>
      <c r="I1136">
        <v>8.6624999999999996</v>
      </c>
      <c r="K1136" t="s">
        <v>17</v>
      </c>
    </row>
    <row r="1137" spans="1:13" x14ac:dyDescent="0.3">
      <c r="A1137">
        <v>3</v>
      </c>
      <c r="B1137">
        <v>0</v>
      </c>
      <c r="C1137" t="s">
        <v>1906</v>
      </c>
      <c r="D1137" t="s">
        <v>20</v>
      </c>
      <c r="F1137">
        <v>0</v>
      </c>
      <c r="G1137">
        <v>0</v>
      </c>
      <c r="H1137">
        <v>349223</v>
      </c>
      <c r="I1137">
        <v>7.8958000000000004</v>
      </c>
      <c r="K1137" t="s">
        <v>17</v>
      </c>
    </row>
    <row r="1138" spans="1:13" x14ac:dyDescent="0.3">
      <c r="A1138">
        <v>3</v>
      </c>
      <c r="B1138">
        <v>0</v>
      </c>
      <c r="C1138" t="s">
        <v>1907</v>
      </c>
      <c r="D1138" t="s">
        <v>15</v>
      </c>
      <c r="F1138">
        <v>0</v>
      </c>
      <c r="G1138">
        <v>0</v>
      </c>
      <c r="H1138">
        <v>65305</v>
      </c>
      <c r="I1138">
        <v>8.1125000000000007</v>
      </c>
      <c r="K1138" t="s">
        <v>17</v>
      </c>
    </row>
    <row r="1139" spans="1:13" x14ac:dyDescent="0.3">
      <c r="A1139">
        <v>3</v>
      </c>
      <c r="B1139">
        <v>0</v>
      </c>
      <c r="C1139" t="s">
        <v>1908</v>
      </c>
      <c r="D1139" t="s">
        <v>20</v>
      </c>
      <c r="F1139">
        <v>0</v>
      </c>
      <c r="G1139">
        <v>0</v>
      </c>
      <c r="H1139">
        <v>2629</v>
      </c>
      <c r="I1139">
        <v>7.2291999999999996</v>
      </c>
      <c r="K1139" t="s">
        <v>41</v>
      </c>
    </row>
    <row r="1140" spans="1:13" x14ac:dyDescent="0.3">
      <c r="A1140">
        <v>3</v>
      </c>
      <c r="B1140">
        <v>0</v>
      </c>
      <c r="C1140" t="s">
        <v>1909</v>
      </c>
      <c r="D1140" t="s">
        <v>20</v>
      </c>
      <c r="F1140">
        <v>0</v>
      </c>
      <c r="G1140">
        <v>0</v>
      </c>
      <c r="H1140">
        <v>362316</v>
      </c>
      <c r="I1140">
        <v>7.25</v>
      </c>
      <c r="K1140" t="s">
        <v>17</v>
      </c>
    </row>
    <row r="1141" spans="1:13" x14ac:dyDescent="0.3">
      <c r="A1141">
        <v>3</v>
      </c>
      <c r="B1141">
        <v>0</v>
      </c>
      <c r="C1141" t="s">
        <v>1910</v>
      </c>
      <c r="D1141" t="s">
        <v>20</v>
      </c>
      <c r="E1141">
        <v>38</v>
      </c>
      <c r="F1141">
        <v>0</v>
      </c>
      <c r="G1141">
        <v>0</v>
      </c>
      <c r="H1141">
        <v>349249</v>
      </c>
      <c r="I1141">
        <v>7.8958000000000004</v>
      </c>
      <c r="K1141" t="s">
        <v>17</v>
      </c>
    </row>
    <row r="1142" spans="1:13" x14ac:dyDescent="0.3">
      <c r="A1142">
        <v>3</v>
      </c>
      <c r="B1142">
        <v>0</v>
      </c>
      <c r="C1142" t="s">
        <v>1911</v>
      </c>
      <c r="D1142" t="s">
        <v>20</v>
      </c>
      <c r="E1142">
        <v>21</v>
      </c>
      <c r="F1142">
        <v>0</v>
      </c>
      <c r="G1142">
        <v>0</v>
      </c>
      <c r="H1142">
        <v>342684</v>
      </c>
      <c r="I1142">
        <v>8.0500000000000007</v>
      </c>
      <c r="K1142" t="s">
        <v>17</v>
      </c>
    </row>
    <row r="1143" spans="1:13" x14ac:dyDescent="0.3">
      <c r="A1143">
        <v>3</v>
      </c>
      <c r="B1143">
        <v>0</v>
      </c>
      <c r="C1143" t="s">
        <v>1912</v>
      </c>
      <c r="D1143" t="s">
        <v>20</v>
      </c>
      <c r="E1143">
        <v>10</v>
      </c>
      <c r="F1143">
        <v>4</v>
      </c>
      <c r="G1143">
        <v>1</v>
      </c>
      <c r="H1143">
        <v>382652</v>
      </c>
      <c r="I1143">
        <v>29.125</v>
      </c>
      <c r="K1143" t="s">
        <v>463</v>
      </c>
    </row>
    <row r="1144" spans="1:13" x14ac:dyDescent="0.3">
      <c r="A1144">
        <v>3</v>
      </c>
      <c r="B1144">
        <v>0</v>
      </c>
      <c r="C1144" t="s">
        <v>1913</v>
      </c>
      <c r="D1144" t="s">
        <v>20</v>
      </c>
      <c r="E1144">
        <v>4</v>
      </c>
      <c r="F1144">
        <v>4</v>
      </c>
      <c r="G1144">
        <v>1</v>
      </c>
      <c r="H1144">
        <v>382652</v>
      </c>
      <c r="I1144">
        <v>29.125</v>
      </c>
      <c r="K1144" t="s">
        <v>463</v>
      </c>
    </row>
    <row r="1145" spans="1:13" x14ac:dyDescent="0.3">
      <c r="A1145">
        <v>3</v>
      </c>
      <c r="B1145">
        <v>0</v>
      </c>
      <c r="C1145" t="s">
        <v>1914</v>
      </c>
      <c r="D1145" t="s">
        <v>20</v>
      </c>
      <c r="E1145">
        <v>7</v>
      </c>
      <c r="F1145">
        <v>4</v>
      </c>
      <c r="G1145">
        <v>1</v>
      </c>
      <c r="H1145">
        <v>382652</v>
      </c>
      <c r="I1145">
        <v>29.125</v>
      </c>
      <c r="K1145" t="s">
        <v>463</v>
      </c>
    </row>
    <row r="1146" spans="1:13" x14ac:dyDescent="0.3">
      <c r="A1146">
        <v>3</v>
      </c>
      <c r="B1146">
        <v>0</v>
      </c>
      <c r="C1146" t="s">
        <v>1915</v>
      </c>
      <c r="D1146" t="s">
        <v>20</v>
      </c>
      <c r="E1146">
        <v>2</v>
      </c>
      <c r="F1146">
        <v>4</v>
      </c>
      <c r="G1146">
        <v>1</v>
      </c>
      <c r="H1146">
        <v>382652</v>
      </c>
      <c r="I1146">
        <v>29.125</v>
      </c>
      <c r="K1146" t="s">
        <v>463</v>
      </c>
    </row>
    <row r="1147" spans="1:13" x14ac:dyDescent="0.3">
      <c r="A1147">
        <v>3</v>
      </c>
      <c r="B1147">
        <v>0</v>
      </c>
      <c r="C1147" t="s">
        <v>1916</v>
      </c>
      <c r="D1147" t="s">
        <v>20</v>
      </c>
      <c r="E1147">
        <v>8</v>
      </c>
      <c r="F1147">
        <v>4</v>
      </c>
      <c r="G1147">
        <v>1</v>
      </c>
      <c r="H1147">
        <v>382652</v>
      </c>
      <c r="I1147">
        <v>29.125</v>
      </c>
      <c r="K1147" t="s">
        <v>463</v>
      </c>
    </row>
    <row r="1148" spans="1:13" x14ac:dyDescent="0.3">
      <c r="A1148">
        <v>3</v>
      </c>
      <c r="B1148">
        <v>0</v>
      </c>
      <c r="C1148" t="s">
        <v>1917</v>
      </c>
      <c r="D1148" t="s">
        <v>15</v>
      </c>
      <c r="E1148">
        <v>39</v>
      </c>
      <c r="F1148">
        <v>0</v>
      </c>
      <c r="G1148">
        <v>5</v>
      </c>
      <c r="H1148">
        <v>382652</v>
      </c>
      <c r="I1148">
        <v>29.125</v>
      </c>
      <c r="K1148" t="s">
        <v>463</v>
      </c>
      <c r="M1148">
        <v>327</v>
      </c>
    </row>
    <row r="1149" spans="1:13" x14ac:dyDescent="0.3">
      <c r="A1149">
        <v>3</v>
      </c>
      <c r="B1149">
        <v>0</v>
      </c>
      <c r="C1149" t="s">
        <v>1918</v>
      </c>
      <c r="D1149" t="s">
        <v>15</v>
      </c>
      <c r="E1149">
        <v>22</v>
      </c>
      <c r="F1149">
        <v>0</v>
      </c>
      <c r="G1149">
        <v>0</v>
      </c>
      <c r="H1149">
        <v>3101295</v>
      </c>
      <c r="I1149">
        <v>39.6875</v>
      </c>
      <c r="K1149" t="s">
        <v>17</v>
      </c>
    </row>
    <row r="1150" spans="1:13" x14ac:dyDescent="0.3">
      <c r="A1150">
        <v>3</v>
      </c>
      <c r="B1150">
        <v>0</v>
      </c>
      <c r="C1150" t="s">
        <v>1919</v>
      </c>
      <c r="D1150" t="s">
        <v>20</v>
      </c>
      <c r="E1150">
        <v>35</v>
      </c>
      <c r="F1150">
        <v>0</v>
      </c>
      <c r="G1150">
        <v>0</v>
      </c>
      <c r="H1150" t="s">
        <v>1920</v>
      </c>
      <c r="I1150">
        <v>7.125</v>
      </c>
      <c r="K1150" t="s">
        <v>17</v>
      </c>
    </row>
    <row r="1151" spans="1:13" x14ac:dyDescent="0.3">
      <c r="A1151">
        <v>3</v>
      </c>
      <c r="B1151">
        <v>1</v>
      </c>
      <c r="C1151" t="s">
        <v>1921</v>
      </c>
      <c r="D1151" t="s">
        <v>15</v>
      </c>
      <c r="F1151">
        <v>0</v>
      </c>
      <c r="G1151">
        <v>0</v>
      </c>
      <c r="H1151">
        <v>334915</v>
      </c>
      <c r="I1151">
        <v>7.7207999999999997</v>
      </c>
      <c r="K1151" t="s">
        <v>463</v>
      </c>
      <c r="L1151">
        <v>13</v>
      </c>
    </row>
    <row r="1152" spans="1:13" x14ac:dyDescent="0.3">
      <c r="A1152">
        <v>3</v>
      </c>
      <c r="B1152">
        <v>0</v>
      </c>
      <c r="C1152" t="s">
        <v>1922</v>
      </c>
      <c r="D1152" t="s">
        <v>20</v>
      </c>
      <c r="F1152">
        <v>0</v>
      </c>
      <c r="G1152">
        <v>0</v>
      </c>
      <c r="H1152">
        <v>364498</v>
      </c>
      <c r="I1152">
        <v>14.5</v>
      </c>
      <c r="K1152" t="s">
        <v>17</v>
      </c>
    </row>
    <row r="1153" spans="1:13" x14ac:dyDescent="0.3">
      <c r="A1153">
        <v>3</v>
      </c>
      <c r="B1153">
        <v>0</v>
      </c>
      <c r="C1153" t="s">
        <v>1923</v>
      </c>
      <c r="D1153" t="s">
        <v>15</v>
      </c>
      <c r="F1153">
        <v>0</v>
      </c>
      <c r="G1153">
        <v>0</v>
      </c>
      <c r="H1153">
        <v>364498</v>
      </c>
      <c r="I1153">
        <v>14.5</v>
      </c>
      <c r="K1153" t="s">
        <v>17</v>
      </c>
    </row>
    <row r="1154" spans="1:13" x14ac:dyDescent="0.3">
      <c r="A1154">
        <v>3</v>
      </c>
      <c r="B1154">
        <v>0</v>
      </c>
      <c r="C1154" t="s">
        <v>1924</v>
      </c>
      <c r="D1154" t="s">
        <v>20</v>
      </c>
      <c r="E1154">
        <v>50</v>
      </c>
      <c r="F1154">
        <v>1</v>
      </c>
      <c r="G1154">
        <v>0</v>
      </c>
      <c r="H1154" t="s">
        <v>1925</v>
      </c>
      <c r="I1154">
        <v>14.5</v>
      </c>
      <c r="K1154" t="s">
        <v>17</v>
      </c>
      <c r="M1154">
        <v>119</v>
      </c>
    </row>
    <row r="1155" spans="1:13" x14ac:dyDescent="0.3">
      <c r="A1155">
        <v>3</v>
      </c>
      <c r="B1155">
        <v>0</v>
      </c>
      <c r="C1155" t="s">
        <v>1926</v>
      </c>
      <c r="D1155" t="s">
        <v>15</v>
      </c>
      <c r="E1155">
        <v>47</v>
      </c>
      <c r="F1155">
        <v>1</v>
      </c>
      <c r="G1155">
        <v>0</v>
      </c>
      <c r="H1155" t="s">
        <v>1925</v>
      </c>
      <c r="I1155">
        <v>14.5</v>
      </c>
      <c r="K1155" t="s">
        <v>17</v>
      </c>
      <c r="M1155">
        <v>7</v>
      </c>
    </row>
    <row r="1156" spans="1:13" x14ac:dyDescent="0.3">
      <c r="A1156">
        <v>3</v>
      </c>
      <c r="B1156">
        <v>0</v>
      </c>
      <c r="C1156" t="s">
        <v>1927</v>
      </c>
      <c r="D1156" t="s">
        <v>20</v>
      </c>
      <c r="F1156">
        <v>0</v>
      </c>
      <c r="G1156">
        <v>0</v>
      </c>
      <c r="H1156" t="s">
        <v>1928</v>
      </c>
      <c r="I1156">
        <v>8.0500000000000007</v>
      </c>
      <c r="K1156" t="s">
        <v>17</v>
      </c>
    </row>
    <row r="1157" spans="1:13" x14ac:dyDescent="0.3">
      <c r="A1157">
        <v>3</v>
      </c>
      <c r="B1157">
        <v>0</v>
      </c>
      <c r="C1157" t="s">
        <v>1929</v>
      </c>
      <c r="D1157" t="s">
        <v>20</v>
      </c>
      <c r="F1157">
        <v>0</v>
      </c>
      <c r="G1157">
        <v>0</v>
      </c>
      <c r="H1157">
        <v>312993</v>
      </c>
      <c r="I1157">
        <v>7.7750000000000004</v>
      </c>
      <c r="K1157" t="s">
        <v>17</v>
      </c>
    </row>
    <row r="1158" spans="1:13" x14ac:dyDescent="0.3">
      <c r="A1158">
        <v>3</v>
      </c>
      <c r="B1158">
        <v>0</v>
      </c>
      <c r="C1158" t="s">
        <v>1930</v>
      </c>
      <c r="D1158" t="s">
        <v>15</v>
      </c>
      <c r="E1158">
        <v>2</v>
      </c>
      <c r="F1158">
        <v>1</v>
      </c>
      <c r="G1158">
        <v>1</v>
      </c>
      <c r="H1158">
        <v>370129</v>
      </c>
      <c r="I1158">
        <v>20.212499999999999</v>
      </c>
      <c r="K1158" t="s">
        <v>17</v>
      </c>
    </row>
    <row r="1159" spans="1:13" x14ac:dyDescent="0.3">
      <c r="A1159">
        <v>3</v>
      </c>
      <c r="B1159">
        <v>0</v>
      </c>
      <c r="C1159" t="s">
        <v>1931</v>
      </c>
      <c r="D1159" t="s">
        <v>20</v>
      </c>
      <c r="E1159">
        <v>18</v>
      </c>
      <c r="F1159">
        <v>1</v>
      </c>
      <c r="G1159">
        <v>1</v>
      </c>
      <c r="H1159">
        <v>370129</v>
      </c>
      <c r="I1159">
        <v>20.212499999999999</v>
      </c>
      <c r="K1159" t="s">
        <v>17</v>
      </c>
    </row>
    <row r="1160" spans="1:13" x14ac:dyDescent="0.3">
      <c r="A1160">
        <v>3</v>
      </c>
      <c r="B1160">
        <v>0</v>
      </c>
      <c r="C1160" t="s">
        <v>1932</v>
      </c>
      <c r="D1160" t="s">
        <v>15</v>
      </c>
      <c r="E1160">
        <v>41</v>
      </c>
      <c r="F1160">
        <v>0</v>
      </c>
      <c r="G1160">
        <v>2</v>
      </c>
      <c r="H1160">
        <v>370129</v>
      </c>
      <c r="I1160">
        <v>20.212499999999999</v>
      </c>
      <c r="K1160" t="s">
        <v>17</v>
      </c>
    </row>
    <row r="1161" spans="1:13" x14ac:dyDescent="0.3">
      <c r="A1161">
        <v>3</v>
      </c>
      <c r="B1161">
        <v>1</v>
      </c>
      <c r="C1161" t="s">
        <v>1933</v>
      </c>
      <c r="D1161" t="s">
        <v>15</v>
      </c>
      <c r="F1161">
        <v>0</v>
      </c>
      <c r="G1161">
        <v>0</v>
      </c>
      <c r="H1161">
        <v>342712</v>
      </c>
      <c r="I1161">
        <v>8.0500000000000007</v>
      </c>
      <c r="K1161" t="s">
        <v>17</v>
      </c>
      <c r="L1161" t="s">
        <v>41</v>
      </c>
    </row>
    <row r="1162" spans="1:13" x14ac:dyDescent="0.3">
      <c r="A1162">
        <v>3</v>
      </c>
      <c r="B1162">
        <v>0</v>
      </c>
      <c r="C1162" t="s">
        <v>1934</v>
      </c>
      <c r="D1162" t="s">
        <v>20</v>
      </c>
      <c r="E1162">
        <v>50</v>
      </c>
      <c r="F1162">
        <v>0</v>
      </c>
      <c r="G1162">
        <v>0</v>
      </c>
      <c r="H1162" t="s">
        <v>1935</v>
      </c>
      <c r="I1162">
        <v>8.0500000000000007</v>
      </c>
      <c r="K1162" t="s">
        <v>17</v>
      </c>
    </row>
    <row r="1163" spans="1:13" x14ac:dyDescent="0.3">
      <c r="A1163">
        <v>3</v>
      </c>
      <c r="B1163">
        <v>0</v>
      </c>
      <c r="C1163" t="s">
        <v>1936</v>
      </c>
      <c r="D1163" t="s">
        <v>20</v>
      </c>
      <c r="E1163">
        <v>16</v>
      </c>
      <c r="F1163">
        <v>0</v>
      </c>
      <c r="G1163">
        <v>0</v>
      </c>
      <c r="H1163" t="s">
        <v>1937</v>
      </c>
      <c r="I1163">
        <v>8.0500000000000007</v>
      </c>
      <c r="K1163" t="s">
        <v>17</v>
      </c>
    </row>
    <row r="1164" spans="1:13" x14ac:dyDescent="0.3">
      <c r="A1164">
        <v>3</v>
      </c>
      <c r="B1164">
        <v>1</v>
      </c>
      <c r="C1164" t="s">
        <v>1938</v>
      </c>
      <c r="D1164" t="s">
        <v>20</v>
      </c>
      <c r="F1164">
        <v>0</v>
      </c>
      <c r="G1164">
        <v>0</v>
      </c>
      <c r="H1164">
        <v>383162</v>
      </c>
      <c r="I1164">
        <v>7.75</v>
      </c>
      <c r="K1164" t="s">
        <v>463</v>
      </c>
      <c r="L1164">
        <v>14</v>
      </c>
    </row>
    <row r="1165" spans="1:13" x14ac:dyDescent="0.3">
      <c r="A1165">
        <v>3</v>
      </c>
      <c r="B1165">
        <v>0</v>
      </c>
      <c r="C1165" t="s">
        <v>1939</v>
      </c>
      <c r="D1165" t="s">
        <v>20</v>
      </c>
      <c r="F1165">
        <v>0</v>
      </c>
      <c r="G1165">
        <v>0</v>
      </c>
      <c r="H1165">
        <v>371110</v>
      </c>
      <c r="I1165">
        <v>24.15</v>
      </c>
      <c r="K1165" t="s">
        <v>463</v>
      </c>
    </row>
    <row r="1166" spans="1:13" x14ac:dyDescent="0.3">
      <c r="A1166">
        <v>3</v>
      </c>
      <c r="B1166">
        <v>0</v>
      </c>
      <c r="C1166" t="s">
        <v>1940</v>
      </c>
      <c r="D1166" t="s">
        <v>20</v>
      </c>
      <c r="F1166">
        <v>0</v>
      </c>
      <c r="G1166">
        <v>0</v>
      </c>
      <c r="H1166">
        <v>2671</v>
      </c>
      <c r="I1166">
        <v>7.2291999999999996</v>
      </c>
      <c r="K1166" t="s">
        <v>41</v>
      </c>
    </row>
    <row r="1167" spans="1:13" x14ac:dyDescent="0.3">
      <c r="A1167">
        <v>3</v>
      </c>
      <c r="B1167">
        <v>0</v>
      </c>
      <c r="C1167" t="s">
        <v>1941</v>
      </c>
      <c r="D1167" t="s">
        <v>20</v>
      </c>
      <c r="E1167">
        <v>25</v>
      </c>
      <c r="F1167">
        <v>0</v>
      </c>
      <c r="G1167">
        <v>0</v>
      </c>
      <c r="H1167">
        <v>2672</v>
      </c>
      <c r="I1167">
        <v>7.2249999999999996</v>
      </c>
      <c r="K1167" t="s">
        <v>41</v>
      </c>
    </row>
    <row r="1168" spans="1:13" x14ac:dyDescent="0.3">
      <c r="A1168">
        <v>3</v>
      </c>
      <c r="B1168">
        <v>0</v>
      </c>
      <c r="C1168" t="s">
        <v>1942</v>
      </c>
      <c r="D1168" t="s">
        <v>20</v>
      </c>
      <c r="F1168">
        <v>0</v>
      </c>
      <c r="G1168">
        <v>0</v>
      </c>
      <c r="H1168">
        <v>2676</v>
      </c>
      <c r="I1168">
        <v>7.2249999999999996</v>
      </c>
      <c r="K1168" t="s">
        <v>41</v>
      </c>
    </row>
    <row r="1169" spans="1:13" x14ac:dyDescent="0.3">
      <c r="A1169">
        <v>3</v>
      </c>
      <c r="B1169">
        <v>0</v>
      </c>
      <c r="C1169" t="s">
        <v>1943</v>
      </c>
      <c r="D1169" t="s">
        <v>20</v>
      </c>
      <c r="F1169">
        <v>0</v>
      </c>
      <c r="G1169">
        <v>0</v>
      </c>
      <c r="H1169">
        <v>367655</v>
      </c>
      <c r="I1169">
        <v>7.7291999999999996</v>
      </c>
      <c r="K1169" t="s">
        <v>463</v>
      </c>
    </row>
    <row r="1170" spans="1:13" x14ac:dyDescent="0.3">
      <c r="A1170">
        <v>3</v>
      </c>
      <c r="B1170">
        <v>0</v>
      </c>
      <c r="C1170" t="s">
        <v>1944</v>
      </c>
      <c r="D1170" t="s">
        <v>20</v>
      </c>
      <c r="F1170">
        <v>0</v>
      </c>
      <c r="G1170">
        <v>0</v>
      </c>
      <c r="H1170" t="s">
        <v>1945</v>
      </c>
      <c r="I1170">
        <v>7.5750000000000002</v>
      </c>
      <c r="K1170" t="s">
        <v>17</v>
      </c>
    </row>
    <row r="1171" spans="1:13" x14ac:dyDescent="0.3">
      <c r="A1171">
        <v>3</v>
      </c>
      <c r="B1171">
        <v>0</v>
      </c>
      <c r="C1171" t="s">
        <v>1946</v>
      </c>
      <c r="D1171" t="s">
        <v>20</v>
      </c>
      <c r="E1171">
        <v>38.5</v>
      </c>
      <c r="F1171">
        <v>0</v>
      </c>
      <c r="G1171">
        <v>0</v>
      </c>
      <c r="H1171" t="s">
        <v>1947</v>
      </c>
      <c r="I1171">
        <v>7.25</v>
      </c>
      <c r="K1171" t="s">
        <v>17</v>
      </c>
      <c r="M1171">
        <v>32</v>
      </c>
    </row>
    <row r="1172" spans="1:13" x14ac:dyDescent="0.3">
      <c r="A1172">
        <v>3</v>
      </c>
      <c r="B1172">
        <v>0</v>
      </c>
      <c r="C1172" t="s">
        <v>1948</v>
      </c>
      <c r="D1172" t="s">
        <v>20</v>
      </c>
      <c r="F1172">
        <v>8</v>
      </c>
      <c r="G1172">
        <v>2</v>
      </c>
      <c r="H1172" t="s">
        <v>1949</v>
      </c>
      <c r="I1172">
        <v>69.55</v>
      </c>
      <c r="K1172" t="s">
        <v>17</v>
      </c>
    </row>
    <row r="1173" spans="1:13" x14ac:dyDescent="0.3">
      <c r="A1173">
        <v>3</v>
      </c>
      <c r="B1173">
        <v>0</v>
      </c>
      <c r="C1173" t="s">
        <v>1950</v>
      </c>
      <c r="D1173" t="s">
        <v>20</v>
      </c>
      <c r="E1173">
        <v>14.5</v>
      </c>
      <c r="F1173">
        <v>8</v>
      </c>
      <c r="G1173">
        <v>2</v>
      </c>
      <c r="H1173" t="s">
        <v>1949</v>
      </c>
      <c r="I1173">
        <v>69.55</v>
      </c>
      <c r="K1173" t="s">
        <v>17</v>
      </c>
      <c r="M1173">
        <v>67</v>
      </c>
    </row>
    <row r="1174" spans="1:13" x14ac:dyDescent="0.3">
      <c r="A1174">
        <v>3</v>
      </c>
      <c r="B1174">
        <v>0</v>
      </c>
      <c r="C1174" t="s">
        <v>1951</v>
      </c>
      <c r="D1174" t="s">
        <v>15</v>
      </c>
      <c r="F1174">
        <v>8</v>
      </c>
      <c r="G1174">
        <v>2</v>
      </c>
      <c r="H1174" t="s">
        <v>1949</v>
      </c>
      <c r="I1174">
        <v>69.55</v>
      </c>
      <c r="K1174" t="s">
        <v>17</v>
      </c>
    </row>
    <row r="1175" spans="1:13" x14ac:dyDescent="0.3">
      <c r="A1175">
        <v>3</v>
      </c>
      <c r="B1175">
        <v>0</v>
      </c>
      <c r="C1175" t="s">
        <v>1952</v>
      </c>
      <c r="D1175" t="s">
        <v>15</v>
      </c>
      <c r="F1175">
        <v>8</v>
      </c>
      <c r="G1175">
        <v>2</v>
      </c>
      <c r="H1175" t="s">
        <v>1949</v>
      </c>
      <c r="I1175">
        <v>69.55</v>
      </c>
      <c r="K1175" t="s">
        <v>17</v>
      </c>
    </row>
    <row r="1176" spans="1:13" x14ac:dyDescent="0.3">
      <c r="A1176">
        <v>3</v>
      </c>
      <c r="B1176">
        <v>0</v>
      </c>
      <c r="C1176" t="s">
        <v>1953</v>
      </c>
      <c r="D1176" t="s">
        <v>15</v>
      </c>
      <c r="F1176">
        <v>8</v>
      </c>
      <c r="G1176">
        <v>2</v>
      </c>
      <c r="H1176" t="s">
        <v>1949</v>
      </c>
      <c r="I1176">
        <v>69.55</v>
      </c>
      <c r="K1176" t="s">
        <v>17</v>
      </c>
    </row>
    <row r="1177" spans="1:13" x14ac:dyDescent="0.3">
      <c r="A1177">
        <v>3</v>
      </c>
      <c r="B1177">
        <v>0</v>
      </c>
      <c r="C1177" t="s">
        <v>1954</v>
      </c>
      <c r="D1177" t="s">
        <v>15</v>
      </c>
      <c r="F1177">
        <v>8</v>
      </c>
      <c r="G1177">
        <v>2</v>
      </c>
      <c r="H1177" t="s">
        <v>1949</v>
      </c>
      <c r="I1177">
        <v>69.55</v>
      </c>
      <c r="K1177" t="s">
        <v>17</v>
      </c>
    </row>
    <row r="1178" spans="1:13" x14ac:dyDescent="0.3">
      <c r="A1178">
        <v>3</v>
      </c>
      <c r="B1178">
        <v>0</v>
      </c>
      <c r="C1178" t="s">
        <v>1955</v>
      </c>
      <c r="D1178" t="s">
        <v>20</v>
      </c>
      <c r="F1178">
        <v>8</v>
      </c>
      <c r="G1178">
        <v>2</v>
      </c>
      <c r="H1178" t="s">
        <v>1949</v>
      </c>
      <c r="I1178">
        <v>69.55</v>
      </c>
      <c r="K1178" t="s">
        <v>17</v>
      </c>
    </row>
    <row r="1179" spans="1:13" x14ac:dyDescent="0.3">
      <c r="A1179">
        <v>3</v>
      </c>
      <c r="B1179">
        <v>0</v>
      </c>
      <c r="C1179" t="s">
        <v>1956</v>
      </c>
      <c r="D1179" t="s">
        <v>20</v>
      </c>
      <c r="F1179">
        <v>8</v>
      </c>
      <c r="G1179">
        <v>2</v>
      </c>
      <c r="H1179" t="s">
        <v>1949</v>
      </c>
      <c r="I1179">
        <v>69.55</v>
      </c>
      <c r="K1179" t="s">
        <v>17</v>
      </c>
    </row>
    <row r="1180" spans="1:13" x14ac:dyDescent="0.3">
      <c r="A1180">
        <v>3</v>
      </c>
      <c r="B1180">
        <v>0</v>
      </c>
      <c r="C1180" t="s">
        <v>1957</v>
      </c>
      <c r="D1180" t="s">
        <v>20</v>
      </c>
      <c r="F1180">
        <v>8</v>
      </c>
      <c r="G1180">
        <v>2</v>
      </c>
      <c r="H1180" t="s">
        <v>1949</v>
      </c>
      <c r="I1180">
        <v>69.55</v>
      </c>
      <c r="K1180" t="s">
        <v>17</v>
      </c>
    </row>
    <row r="1181" spans="1:13" x14ac:dyDescent="0.3">
      <c r="A1181">
        <v>3</v>
      </c>
      <c r="B1181">
        <v>0</v>
      </c>
      <c r="C1181" t="s">
        <v>1958</v>
      </c>
      <c r="D1181" t="s">
        <v>20</v>
      </c>
      <c r="F1181">
        <v>1</v>
      </c>
      <c r="G1181">
        <v>9</v>
      </c>
      <c r="H1181" t="s">
        <v>1949</v>
      </c>
      <c r="I1181">
        <v>69.55</v>
      </c>
      <c r="K1181" t="s">
        <v>17</v>
      </c>
    </row>
    <row r="1182" spans="1:13" x14ac:dyDescent="0.3">
      <c r="A1182">
        <v>3</v>
      </c>
      <c r="B1182">
        <v>0</v>
      </c>
      <c r="C1182" t="s">
        <v>1959</v>
      </c>
      <c r="D1182" t="s">
        <v>15</v>
      </c>
      <c r="F1182">
        <v>1</v>
      </c>
      <c r="G1182">
        <v>9</v>
      </c>
      <c r="H1182" t="s">
        <v>1949</v>
      </c>
      <c r="I1182">
        <v>69.55</v>
      </c>
      <c r="K1182" t="s">
        <v>17</v>
      </c>
    </row>
    <row r="1183" spans="1:13" x14ac:dyDescent="0.3">
      <c r="A1183">
        <v>3</v>
      </c>
      <c r="B1183">
        <v>0</v>
      </c>
      <c r="C1183" t="s">
        <v>1960</v>
      </c>
      <c r="D1183" t="s">
        <v>20</v>
      </c>
      <c r="E1183">
        <v>24</v>
      </c>
      <c r="F1183">
        <v>0</v>
      </c>
      <c r="G1183">
        <v>0</v>
      </c>
      <c r="H1183">
        <v>7266</v>
      </c>
      <c r="I1183">
        <v>9.3249999999999993</v>
      </c>
      <c r="K1183" t="s">
        <v>17</v>
      </c>
    </row>
    <row r="1184" spans="1:13" x14ac:dyDescent="0.3">
      <c r="A1184">
        <v>3</v>
      </c>
      <c r="B1184">
        <v>1</v>
      </c>
      <c r="C1184" t="s">
        <v>1961</v>
      </c>
      <c r="D1184" t="s">
        <v>15</v>
      </c>
      <c r="E1184">
        <v>21</v>
      </c>
      <c r="F1184">
        <v>0</v>
      </c>
      <c r="G1184">
        <v>0</v>
      </c>
      <c r="H1184">
        <v>343120</v>
      </c>
      <c r="I1184">
        <v>7.65</v>
      </c>
      <c r="K1184" t="s">
        <v>17</v>
      </c>
      <c r="L1184" t="s">
        <v>41</v>
      </c>
    </row>
    <row r="1185" spans="1:13" x14ac:dyDescent="0.3">
      <c r="A1185">
        <v>3</v>
      </c>
      <c r="B1185">
        <v>0</v>
      </c>
      <c r="C1185" t="s">
        <v>1962</v>
      </c>
      <c r="D1185" t="s">
        <v>20</v>
      </c>
      <c r="E1185">
        <v>39</v>
      </c>
      <c r="F1185">
        <v>0</v>
      </c>
      <c r="G1185">
        <v>0</v>
      </c>
      <c r="H1185">
        <v>3101296</v>
      </c>
      <c r="I1185">
        <v>7.9249999999999998</v>
      </c>
      <c r="K1185" t="s">
        <v>17</v>
      </c>
    </row>
    <row r="1186" spans="1:13" x14ac:dyDescent="0.3">
      <c r="A1186">
        <v>3</v>
      </c>
      <c r="B1186">
        <v>0</v>
      </c>
      <c r="C1186" t="s">
        <v>1963</v>
      </c>
      <c r="D1186" t="s">
        <v>20</v>
      </c>
      <c r="F1186">
        <v>2</v>
      </c>
      <c r="G1186">
        <v>0</v>
      </c>
      <c r="H1186">
        <v>2662</v>
      </c>
      <c r="I1186">
        <v>21.679200000000002</v>
      </c>
      <c r="K1186" t="s">
        <v>41</v>
      </c>
    </row>
    <row r="1187" spans="1:13" x14ac:dyDescent="0.3">
      <c r="A1187">
        <v>3</v>
      </c>
      <c r="B1187">
        <v>0</v>
      </c>
      <c r="C1187" t="s">
        <v>1964</v>
      </c>
      <c r="D1187" t="s">
        <v>20</v>
      </c>
      <c r="F1187">
        <v>2</v>
      </c>
      <c r="G1187">
        <v>0</v>
      </c>
      <c r="H1187">
        <v>2662</v>
      </c>
      <c r="I1187">
        <v>21.679200000000002</v>
      </c>
      <c r="K1187" t="s">
        <v>41</v>
      </c>
    </row>
    <row r="1188" spans="1:13" x14ac:dyDescent="0.3">
      <c r="A1188">
        <v>3</v>
      </c>
      <c r="B1188">
        <v>0</v>
      </c>
      <c r="C1188" t="s">
        <v>1965</v>
      </c>
      <c r="D1188" t="s">
        <v>20</v>
      </c>
      <c r="F1188">
        <v>2</v>
      </c>
      <c r="G1188">
        <v>0</v>
      </c>
      <c r="H1188">
        <v>2662</v>
      </c>
      <c r="I1188">
        <v>21.679200000000002</v>
      </c>
      <c r="K1188" t="s">
        <v>41</v>
      </c>
    </row>
    <row r="1189" spans="1:13" x14ac:dyDescent="0.3">
      <c r="A1189">
        <v>3</v>
      </c>
      <c r="B1189">
        <v>1</v>
      </c>
      <c r="C1189" t="s">
        <v>1966</v>
      </c>
      <c r="D1189" t="s">
        <v>15</v>
      </c>
      <c r="E1189">
        <v>1</v>
      </c>
      <c r="F1189">
        <v>1</v>
      </c>
      <c r="G1189">
        <v>1</v>
      </c>
      <c r="H1189" t="s">
        <v>1967</v>
      </c>
      <c r="I1189">
        <v>16.7</v>
      </c>
      <c r="J1189" t="s">
        <v>1968</v>
      </c>
      <c r="K1189" t="s">
        <v>17</v>
      </c>
      <c r="L1189">
        <v>13</v>
      </c>
    </row>
    <row r="1190" spans="1:13" x14ac:dyDescent="0.3">
      <c r="A1190">
        <v>3</v>
      </c>
      <c r="B1190">
        <v>1</v>
      </c>
      <c r="C1190" t="s">
        <v>1969</v>
      </c>
      <c r="D1190" t="s">
        <v>15</v>
      </c>
      <c r="E1190">
        <v>24</v>
      </c>
      <c r="F1190">
        <v>0</v>
      </c>
      <c r="G1190">
        <v>2</v>
      </c>
      <c r="H1190" t="s">
        <v>1967</v>
      </c>
      <c r="I1190">
        <v>16.7</v>
      </c>
      <c r="J1190" t="s">
        <v>1968</v>
      </c>
      <c r="K1190" t="s">
        <v>17</v>
      </c>
      <c r="L1190">
        <v>13</v>
      </c>
    </row>
    <row r="1191" spans="1:13" x14ac:dyDescent="0.3">
      <c r="A1191">
        <v>3</v>
      </c>
      <c r="B1191">
        <v>1</v>
      </c>
      <c r="C1191" t="s">
        <v>1970</v>
      </c>
      <c r="D1191" t="s">
        <v>15</v>
      </c>
      <c r="E1191">
        <v>4</v>
      </c>
      <c r="F1191">
        <v>1</v>
      </c>
      <c r="G1191">
        <v>1</v>
      </c>
      <c r="H1191" t="s">
        <v>1967</v>
      </c>
      <c r="I1191">
        <v>16.7</v>
      </c>
      <c r="J1191" t="s">
        <v>1968</v>
      </c>
      <c r="K1191" t="s">
        <v>17</v>
      </c>
      <c r="L1191">
        <v>13</v>
      </c>
    </row>
    <row r="1192" spans="1:13" x14ac:dyDescent="0.3">
      <c r="A1192">
        <v>3</v>
      </c>
      <c r="B1192">
        <v>1</v>
      </c>
      <c r="C1192" t="s">
        <v>1971</v>
      </c>
      <c r="D1192" t="s">
        <v>20</v>
      </c>
      <c r="E1192">
        <v>25</v>
      </c>
      <c r="F1192">
        <v>0</v>
      </c>
      <c r="G1192">
        <v>0</v>
      </c>
      <c r="H1192">
        <v>345768</v>
      </c>
      <c r="I1192">
        <v>9.5</v>
      </c>
      <c r="K1192" t="s">
        <v>17</v>
      </c>
      <c r="L1192">
        <v>11</v>
      </c>
    </row>
    <row r="1193" spans="1:13" x14ac:dyDescent="0.3">
      <c r="A1193">
        <v>3</v>
      </c>
      <c r="B1193">
        <v>0</v>
      </c>
      <c r="C1193" t="s">
        <v>1972</v>
      </c>
      <c r="D1193" t="s">
        <v>20</v>
      </c>
      <c r="E1193">
        <v>20</v>
      </c>
      <c r="F1193">
        <v>0</v>
      </c>
      <c r="G1193">
        <v>0</v>
      </c>
      <c r="H1193" t="s">
        <v>1973</v>
      </c>
      <c r="I1193">
        <v>8.0500000000000007</v>
      </c>
      <c r="K1193" t="s">
        <v>17</v>
      </c>
    </row>
    <row r="1194" spans="1:13" x14ac:dyDescent="0.3">
      <c r="A1194">
        <v>3</v>
      </c>
      <c r="B1194">
        <v>0</v>
      </c>
      <c r="C1194" t="s">
        <v>1974</v>
      </c>
      <c r="D1194" t="s">
        <v>20</v>
      </c>
      <c r="E1194">
        <v>24.5</v>
      </c>
      <c r="F1194">
        <v>0</v>
      </c>
      <c r="G1194">
        <v>0</v>
      </c>
      <c r="H1194">
        <v>342826</v>
      </c>
      <c r="I1194">
        <v>8.0500000000000007</v>
      </c>
      <c r="K1194" t="s">
        <v>17</v>
      </c>
      <c r="M1194">
        <v>284</v>
      </c>
    </row>
    <row r="1195" spans="1:13" x14ac:dyDescent="0.3">
      <c r="A1195">
        <v>3</v>
      </c>
      <c r="B1195">
        <v>0</v>
      </c>
      <c r="C1195" t="s">
        <v>1975</v>
      </c>
      <c r="D1195" t="s">
        <v>20</v>
      </c>
      <c r="F1195">
        <v>0</v>
      </c>
      <c r="G1195">
        <v>0</v>
      </c>
      <c r="H1195">
        <v>36209</v>
      </c>
      <c r="I1195">
        <v>7.7249999999999996</v>
      </c>
      <c r="K1195" t="s">
        <v>463</v>
      </c>
    </row>
    <row r="1196" spans="1:13" x14ac:dyDescent="0.3">
      <c r="A1196">
        <v>3</v>
      </c>
      <c r="B1196">
        <v>0</v>
      </c>
      <c r="C1196" t="s">
        <v>1976</v>
      </c>
      <c r="D1196" t="s">
        <v>20</v>
      </c>
      <c r="F1196">
        <v>0</v>
      </c>
      <c r="G1196">
        <v>0</v>
      </c>
      <c r="H1196">
        <v>349222</v>
      </c>
      <c r="I1196">
        <v>7.8958000000000004</v>
      </c>
      <c r="K1196" t="s">
        <v>17</v>
      </c>
    </row>
    <row r="1197" spans="1:13" x14ac:dyDescent="0.3">
      <c r="A1197">
        <v>3</v>
      </c>
      <c r="B1197">
        <v>0</v>
      </c>
      <c r="C1197" t="s">
        <v>1977</v>
      </c>
      <c r="D1197" t="s">
        <v>20</v>
      </c>
      <c r="F1197">
        <v>0</v>
      </c>
      <c r="G1197">
        <v>0</v>
      </c>
      <c r="H1197">
        <v>370374</v>
      </c>
      <c r="I1197">
        <v>7.75</v>
      </c>
      <c r="K1197" t="s">
        <v>463</v>
      </c>
    </row>
    <row r="1198" spans="1:13" x14ac:dyDescent="0.3">
      <c r="A1198">
        <v>3</v>
      </c>
      <c r="B1198">
        <v>1</v>
      </c>
      <c r="C1198" t="s">
        <v>1978</v>
      </c>
      <c r="D1198" t="s">
        <v>20</v>
      </c>
      <c r="E1198">
        <v>29</v>
      </c>
      <c r="F1198">
        <v>0</v>
      </c>
      <c r="G1198">
        <v>0</v>
      </c>
      <c r="H1198">
        <v>345779</v>
      </c>
      <c r="I1198">
        <v>9.5</v>
      </c>
      <c r="K1198" t="s">
        <v>17</v>
      </c>
      <c r="L1198">
        <v>11</v>
      </c>
    </row>
    <row r="1199" spans="1:13" x14ac:dyDescent="0.3">
      <c r="A1199">
        <v>3</v>
      </c>
      <c r="B1199">
        <v>0</v>
      </c>
      <c r="C1199" t="s">
        <v>1979</v>
      </c>
      <c r="D1199" t="s">
        <v>20</v>
      </c>
      <c r="F1199">
        <v>0</v>
      </c>
      <c r="G1199">
        <v>0</v>
      </c>
      <c r="H1199" t="s">
        <v>1497</v>
      </c>
      <c r="I1199">
        <v>15.1</v>
      </c>
      <c r="K1199" t="s">
        <v>17</v>
      </c>
    </row>
    <row r="1200" spans="1:13" x14ac:dyDescent="0.3">
      <c r="A1200">
        <v>3</v>
      </c>
      <c r="B1200">
        <v>1</v>
      </c>
      <c r="C1200" t="s">
        <v>1980</v>
      </c>
      <c r="D1200" t="s">
        <v>15</v>
      </c>
      <c r="F1200">
        <v>0</v>
      </c>
      <c r="G1200">
        <v>0</v>
      </c>
      <c r="H1200">
        <v>330968</v>
      </c>
      <c r="I1200">
        <v>7.7792000000000003</v>
      </c>
      <c r="K1200" t="s">
        <v>463</v>
      </c>
    </row>
    <row r="1201" spans="1:12" x14ac:dyDescent="0.3">
      <c r="A1201">
        <v>3</v>
      </c>
      <c r="B1201">
        <v>0</v>
      </c>
      <c r="C1201" t="s">
        <v>1981</v>
      </c>
      <c r="D1201" t="s">
        <v>20</v>
      </c>
      <c r="F1201">
        <v>0</v>
      </c>
      <c r="G1201">
        <v>0</v>
      </c>
      <c r="H1201">
        <v>374910</v>
      </c>
      <c r="I1201">
        <v>8.0500000000000007</v>
      </c>
      <c r="K1201" t="s">
        <v>17</v>
      </c>
    </row>
    <row r="1202" spans="1:12" x14ac:dyDescent="0.3">
      <c r="A1202">
        <v>3</v>
      </c>
      <c r="B1202">
        <v>0</v>
      </c>
      <c r="C1202" t="s">
        <v>1982</v>
      </c>
      <c r="D1202" t="s">
        <v>20</v>
      </c>
      <c r="F1202">
        <v>0</v>
      </c>
      <c r="G1202">
        <v>0</v>
      </c>
      <c r="H1202" t="s">
        <v>1983</v>
      </c>
      <c r="I1202">
        <v>8.0500000000000007</v>
      </c>
      <c r="K1202" t="s">
        <v>17</v>
      </c>
    </row>
    <row r="1203" spans="1:12" x14ac:dyDescent="0.3">
      <c r="A1203">
        <v>3</v>
      </c>
      <c r="B1203">
        <v>0</v>
      </c>
      <c r="C1203" t="s">
        <v>1984</v>
      </c>
      <c r="D1203" t="s">
        <v>20</v>
      </c>
      <c r="E1203">
        <v>22</v>
      </c>
      <c r="F1203">
        <v>0</v>
      </c>
      <c r="G1203">
        <v>0</v>
      </c>
      <c r="H1203">
        <v>2669</v>
      </c>
      <c r="I1203">
        <v>7.2291999999999996</v>
      </c>
      <c r="K1203" t="s">
        <v>41</v>
      </c>
    </row>
    <row r="1204" spans="1:12" x14ac:dyDescent="0.3">
      <c r="A1204">
        <v>3</v>
      </c>
      <c r="B1204">
        <v>0</v>
      </c>
      <c r="C1204" t="s">
        <v>1985</v>
      </c>
      <c r="D1204" t="s">
        <v>20</v>
      </c>
      <c r="F1204">
        <v>0</v>
      </c>
      <c r="G1204">
        <v>0</v>
      </c>
      <c r="H1204">
        <v>392092</v>
      </c>
      <c r="I1204">
        <v>8.0500000000000007</v>
      </c>
      <c r="K1204" t="s">
        <v>17</v>
      </c>
    </row>
    <row r="1205" spans="1:12" x14ac:dyDescent="0.3">
      <c r="A1205">
        <v>3</v>
      </c>
      <c r="B1205">
        <v>0</v>
      </c>
      <c r="C1205" t="s">
        <v>1986</v>
      </c>
      <c r="D1205" t="s">
        <v>20</v>
      </c>
      <c r="E1205">
        <v>40</v>
      </c>
      <c r="F1205">
        <v>0</v>
      </c>
      <c r="G1205">
        <v>0</v>
      </c>
      <c r="H1205">
        <v>349251</v>
      </c>
      <c r="I1205">
        <v>7.8958000000000004</v>
      </c>
      <c r="K1205" t="s">
        <v>17</v>
      </c>
    </row>
    <row r="1206" spans="1:12" x14ac:dyDescent="0.3">
      <c r="A1206">
        <v>3</v>
      </c>
      <c r="B1206">
        <v>0</v>
      </c>
      <c r="C1206" t="s">
        <v>1987</v>
      </c>
      <c r="D1206" t="s">
        <v>20</v>
      </c>
      <c r="E1206">
        <v>21</v>
      </c>
      <c r="F1206">
        <v>0</v>
      </c>
      <c r="G1206">
        <v>0</v>
      </c>
      <c r="H1206" t="s">
        <v>1988</v>
      </c>
      <c r="I1206">
        <v>7.9249999999999998</v>
      </c>
      <c r="K1206" t="s">
        <v>17</v>
      </c>
    </row>
    <row r="1207" spans="1:12" x14ac:dyDescent="0.3">
      <c r="A1207">
        <v>3</v>
      </c>
      <c r="B1207">
        <v>1</v>
      </c>
      <c r="C1207" t="s">
        <v>1989</v>
      </c>
      <c r="D1207" t="s">
        <v>15</v>
      </c>
      <c r="E1207">
        <v>18</v>
      </c>
      <c r="F1207">
        <v>0</v>
      </c>
      <c r="G1207">
        <v>0</v>
      </c>
      <c r="H1207">
        <v>3101265</v>
      </c>
      <c r="I1207">
        <v>7.4958</v>
      </c>
      <c r="K1207" t="s">
        <v>17</v>
      </c>
      <c r="L1207">
        <v>16</v>
      </c>
    </row>
    <row r="1208" spans="1:12" x14ac:dyDescent="0.3">
      <c r="A1208">
        <v>3</v>
      </c>
      <c r="B1208">
        <v>0</v>
      </c>
      <c r="C1208" t="s">
        <v>1990</v>
      </c>
      <c r="D1208" t="s">
        <v>20</v>
      </c>
      <c r="E1208">
        <v>4</v>
      </c>
      <c r="F1208">
        <v>3</v>
      </c>
      <c r="G1208">
        <v>2</v>
      </c>
      <c r="H1208">
        <v>347088</v>
      </c>
      <c r="I1208">
        <v>27.9</v>
      </c>
      <c r="K1208" t="s">
        <v>17</v>
      </c>
    </row>
    <row r="1209" spans="1:12" x14ac:dyDescent="0.3">
      <c r="A1209">
        <v>3</v>
      </c>
      <c r="B1209">
        <v>0</v>
      </c>
      <c r="C1209" t="s">
        <v>1991</v>
      </c>
      <c r="D1209" t="s">
        <v>20</v>
      </c>
      <c r="E1209">
        <v>10</v>
      </c>
      <c r="F1209">
        <v>3</v>
      </c>
      <c r="G1209">
        <v>2</v>
      </c>
      <c r="H1209">
        <v>347088</v>
      </c>
      <c r="I1209">
        <v>27.9</v>
      </c>
      <c r="K1209" t="s">
        <v>17</v>
      </c>
    </row>
    <row r="1210" spans="1:12" x14ac:dyDescent="0.3">
      <c r="A1210">
        <v>3</v>
      </c>
      <c r="B1210">
        <v>0</v>
      </c>
      <c r="C1210" t="s">
        <v>1992</v>
      </c>
      <c r="D1210" t="s">
        <v>15</v>
      </c>
      <c r="E1210">
        <v>9</v>
      </c>
      <c r="F1210">
        <v>3</v>
      </c>
      <c r="G1210">
        <v>2</v>
      </c>
      <c r="H1210">
        <v>347088</v>
      </c>
      <c r="I1210">
        <v>27.9</v>
      </c>
      <c r="K1210" t="s">
        <v>17</v>
      </c>
    </row>
    <row r="1211" spans="1:12" x14ac:dyDescent="0.3">
      <c r="A1211">
        <v>3</v>
      </c>
      <c r="B1211">
        <v>0</v>
      </c>
      <c r="C1211" t="s">
        <v>1993</v>
      </c>
      <c r="D1211" t="s">
        <v>15</v>
      </c>
      <c r="E1211">
        <v>2</v>
      </c>
      <c r="F1211">
        <v>3</v>
      </c>
      <c r="G1211">
        <v>2</v>
      </c>
      <c r="H1211">
        <v>347088</v>
      </c>
      <c r="I1211">
        <v>27.9</v>
      </c>
      <c r="K1211" t="s">
        <v>17</v>
      </c>
    </row>
    <row r="1212" spans="1:12" x14ac:dyDescent="0.3">
      <c r="A1212">
        <v>3</v>
      </c>
      <c r="B1212">
        <v>0</v>
      </c>
      <c r="C1212" t="s">
        <v>1994</v>
      </c>
      <c r="D1212" t="s">
        <v>20</v>
      </c>
      <c r="E1212">
        <v>40</v>
      </c>
      <c r="F1212">
        <v>1</v>
      </c>
      <c r="G1212">
        <v>4</v>
      </c>
      <c r="H1212">
        <v>347088</v>
      </c>
      <c r="I1212">
        <v>27.9</v>
      </c>
      <c r="K1212" t="s">
        <v>17</v>
      </c>
    </row>
    <row r="1213" spans="1:12" x14ac:dyDescent="0.3">
      <c r="A1213">
        <v>3</v>
      </c>
      <c r="B1213">
        <v>0</v>
      </c>
      <c r="C1213" t="s">
        <v>1995</v>
      </c>
      <c r="D1213" t="s">
        <v>15</v>
      </c>
      <c r="E1213">
        <v>45</v>
      </c>
      <c r="F1213">
        <v>1</v>
      </c>
      <c r="G1213">
        <v>4</v>
      </c>
      <c r="H1213">
        <v>347088</v>
      </c>
      <c r="I1213">
        <v>27.9</v>
      </c>
      <c r="K1213" t="s">
        <v>17</v>
      </c>
    </row>
    <row r="1214" spans="1:12" x14ac:dyDescent="0.3">
      <c r="A1214">
        <v>3</v>
      </c>
      <c r="B1214">
        <v>0</v>
      </c>
      <c r="C1214" t="s">
        <v>1996</v>
      </c>
      <c r="D1214" t="s">
        <v>20</v>
      </c>
      <c r="F1214">
        <v>0</v>
      </c>
      <c r="G1214">
        <v>0</v>
      </c>
      <c r="H1214">
        <v>349214</v>
      </c>
      <c r="I1214">
        <v>7.8958000000000004</v>
      </c>
      <c r="K1214" t="s">
        <v>17</v>
      </c>
    </row>
    <row r="1215" spans="1:12" x14ac:dyDescent="0.3">
      <c r="A1215">
        <v>3</v>
      </c>
      <c r="B1215">
        <v>0</v>
      </c>
      <c r="C1215" t="s">
        <v>1997</v>
      </c>
      <c r="D1215" t="s">
        <v>20</v>
      </c>
      <c r="F1215">
        <v>0</v>
      </c>
      <c r="G1215">
        <v>0</v>
      </c>
      <c r="H1215" t="s">
        <v>1998</v>
      </c>
      <c r="I1215">
        <v>8.0500000000000007</v>
      </c>
      <c r="K1215" t="s">
        <v>17</v>
      </c>
    </row>
    <row r="1216" spans="1:12" x14ac:dyDescent="0.3">
      <c r="A1216">
        <v>3</v>
      </c>
      <c r="B1216">
        <v>0</v>
      </c>
      <c r="C1216" t="s">
        <v>1999</v>
      </c>
      <c r="D1216" t="s">
        <v>20</v>
      </c>
      <c r="F1216">
        <v>0</v>
      </c>
      <c r="G1216">
        <v>0</v>
      </c>
      <c r="H1216">
        <v>315037</v>
      </c>
      <c r="I1216">
        <v>8.6624999999999996</v>
      </c>
      <c r="K1216" t="s">
        <v>17</v>
      </c>
    </row>
    <row r="1217" spans="1:13" x14ac:dyDescent="0.3">
      <c r="A1217">
        <v>3</v>
      </c>
      <c r="B1217">
        <v>0</v>
      </c>
      <c r="C1217" t="s">
        <v>2000</v>
      </c>
      <c r="D1217" t="s">
        <v>20</v>
      </c>
      <c r="F1217">
        <v>0</v>
      </c>
      <c r="G1217">
        <v>0</v>
      </c>
      <c r="H1217">
        <v>384461</v>
      </c>
      <c r="I1217">
        <v>7.75</v>
      </c>
      <c r="K1217" t="s">
        <v>463</v>
      </c>
    </row>
    <row r="1218" spans="1:13" x14ac:dyDescent="0.3">
      <c r="A1218">
        <v>3</v>
      </c>
      <c r="B1218">
        <v>1</v>
      </c>
      <c r="C1218" t="s">
        <v>2001</v>
      </c>
      <c r="D1218" t="s">
        <v>15</v>
      </c>
      <c r="F1218">
        <v>0</v>
      </c>
      <c r="G1218">
        <v>0</v>
      </c>
      <c r="H1218">
        <v>335432</v>
      </c>
      <c r="I1218">
        <v>7.7332999999999998</v>
      </c>
      <c r="K1218" t="s">
        <v>463</v>
      </c>
      <c r="L1218">
        <v>13</v>
      </c>
    </row>
    <row r="1219" spans="1:13" x14ac:dyDescent="0.3">
      <c r="A1219">
        <v>3</v>
      </c>
      <c r="B1219">
        <v>0</v>
      </c>
      <c r="C1219" t="s">
        <v>2002</v>
      </c>
      <c r="D1219" t="s">
        <v>20</v>
      </c>
      <c r="E1219">
        <v>19</v>
      </c>
      <c r="F1219">
        <v>0</v>
      </c>
      <c r="G1219">
        <v>0</v>
      </c>
      <c r="H1219">
        <v>348124</v>
      </c>
      <c r="I1219">
        <v>7.65</v>
      </c>
      <c r="J1219" t="s">
        <v>1776</v>
      </c>
      <c r="K1219" t="s">
        <v>17</v>
      </c>
    </row>
    <row r="1220" spans="1:13" x14ac:dyDescent="0.3">
      <c r="A1220">
        <v>3</v>
      </c>
      <c r="B1220">
        <v>0</v>
      </c>
      <c r="C1220" t="s">
        <v>2003</v>
      </c>
      <c r="D1220" t="s">
        <v>20</v>
      </c>
      <c r="E1220">
        <v>30</v>
      </c>
      <c r="F1220">
        <v>0</v>
      </c>
      <c r="G1220">
        <v>0</v>
      </c>
      <c r="H1220" t="s">
        <v>2004</v>
      </c>
      <c r="I1220">
        <v>8.0500000000000007</v>
      </c>
      <c r="K1220" t="s">
        <v>17</v>
      </c>
    </row>
    <row r="1221" spans="1:13" x14ac:dyDescent="0.3">
      <c r="A1221">
        <v>3</v>
      </c>
      <c r="B1221">
        <v>0</v>
      </c>
      <c r="C1221" t="s">
        <v>2005</v>
      </c>
      <c r="D1221" t="s">
        <v>20</v>
      </c>
      <c r="F1221">
        <v>0</v>
      </c>
      <c r="G1221">
        <v>0</v>
      </c>
      <c r="H1221" t="s">
        <v>2006</v>
      </c>
      <c r="I1221">
        <v>8.0500000000000007</v>
      </c>
      <c r="K1221" t="s">
        <v>17</v>
      </c>
    </row>
    <row r="1222" spans="1:13" x14ac:dyDescent="0.3">
      <c r="A1222">
        <v>3</v>
      </c>
      <c r="B1222">
        <v>0</v>
      </c>
      <c r="C1222" t="s">
        <v>2007</v>
      </c>
      <c r="D1222" t="s">
        <v>20</v>
      </c>
      <c r="E1222">
        <v>32</v>
      </c>
      <c r="F1222">
        <v>0</v>
      </c>
      <c r="G1222">
        <v>0</v>
      </c>
      <c r="H1222" t="s">
        <v>2008</v>
      </c>
      <c r="I1222">
        <v>8.0500000000000007</v>
      </c>
      <c r="K1222" t="s">
        <v>17</v>
      </c>
    </row>
    <row r="1223" spans="1:13" x14ac:dyDescent="0.3">
      <c r="A1223">
        <v>3</v>
      </c>
      <c r="B1223">
        <v>0</v>
      </c>
      <c r="C1223" t="s">
        <v>2009</v>
      </c>
      <c r="D1223" t="s">
        <v>20</v>
      </c>
      <c r="F1223">
        <v>0</v>
      </c>
      <c r="G1223">
        <v>0</v>
      </c>
      <c r="H1223">
        <v>349208</v>
      </c>
      <c r="I1223">
        <v>7.8958000000000004</v>
      </c>
      <c r="K1223" t="s">
        <v>17</v>
      </c>
    </row>
    <row r="1224" spans="1:13" x14ac:dyDescent="0.3">
      <c r="A1224">
        <v>3</v>
      </c>
      <c r="B1224">
        <v>0</v>
      </c>
      <c r="C1224" t="s">
        <v>2010</v>
      </c>
      <c r="D1224" t="s">
        <v>20</v>
      </c>
      <c r="E1224">
        <v>33</v>
      </c>
      <c r="F1224">
        <v>0</v>
      </c>
      <c r="G1224">
        <v>0</v>
      </c>
      <c r="H1224">
        <v>349239</v>
      </c>
      <c r="I1224">
        <v>8.6624999999999996</v>
      </c>
      <c r="K1224" t="s">
        <v>41</v>
      </c>
    </row>
    <row r="1225" spans="1:13" x14ac:dyDescent="0.3">
      <c r="A1225">
        <v>3</v>
      </c>
      <c r="B1225">
        <v>1</v>
      </c>
      <c r="C1225" t="s">
        <v>2011</v>
      </c>
      <c r="D1225" t="s">
        <v>15</v>
      </c>
      <c r="E1225">
        <v>23</v>
      </c>
      <c r="F1225">
        <v>0</v>
      </c>
      <c r="G1225">
        <v>0</v>
      </c>
      <c r="H1225" t="s">
        <v>2012</v>
      </c>
      <c r="I1225">
        <v>7.55</v>
      </c>
      <c r="K1225" t="s">
        <v>17</v>
      </c>
      <c r="L1225" t="s">
        <v>41</v>
      </c>
    </row>
    <row r="1226" spans="1:13" x14ac:dyDescent="0.3">
      <c r="A1226">
        <v>3</v>
      </c>
      <c r="B1226">
        <v>0</v>
      </c>
      <c r="C1226" t="s">
        <v>2013</v>
      </c>
      <c r="D1226" t="s">
        <v>20</v>
      </c>
      <c r="E1226">
        <v>21</v>
      </c>
      <c r="F1226">
        <v>0</v>
      </c>
      <c r="G1226">
        <v>0</v>
      </c>
      <c r="H1226" t="s">
        <v>2014</v>
      </c>
      <c r="I1226">
        <v>8.0500000000000007</v>
      </c>
      <c r="K1226" t="s">
        <v>17</v>
      </c>
    </row>
    <row r="1227" spans="1:13" x14ac:dyDescent="0.3">
      <c r="A1227">
        <v>3</v>
      </c>
      <c r="B1227">
        <v>0</v>
      </c>
      <c r="C1227" t="s">
        <v>2015</v>
      </c>
      <c r="D1227" t="s">
        <v>20</v>
      </c>
      <c r="E1227">
        <v>60.5</v>
      </c>
      <c r="F1227">
        <v>0</v>
      </c>
      <c r="G1227">
        <v>0</v>
      </c>
      <c r="H1227">
        <v>3701</v>
      </c>
      <c r="K1227" t="s">
        <v>17</v>
      </c>
      <c r="M1227">
        <v>261</v>
      </c>
    </row>
    <row r="1228" spans="1:13" x14ac:dyDescent="0.3">
      <c r="A1228">
        <v>3</v>
      </c>
      <c r="B1228">
        <v>0</v>
      </c>
      <c r="C1228" t="s">
        <v>2016</v>
      </c>
      <c r="D1228" t="s">
        <v>20</v>
      </c>
      <c r="E1228">
        <v>19</v>
      </c>
      <c r="F1228">
        <v>0</v>
      </c>
      <c r="G1228">
        <v>0</v>
      </c>
      <c r="H1228">
        <v>349205</v>
      </c>
      <c r="I1228">
        <v>7.8958000000000004</v>
      </c>
      <c r="K1228" t="s">
        <v>17</v>
      </c>
    </row>
    <row r="1229" spans="1:13" x14ac:dyDescent="0.3">
      <c r="A1229">
        <v>3</v>
      </c>
      <c r="B1229">
        <v>0</v>
      </c>
      <c r="C1229" t="s">
        <v>2017</v>
      </c>
      <c r="D1229" t="s">
        <v>15</v>
      </c>
      <c r="E1229">
        <v>22</v>
      </c>
      <c r="F1229">
        <v>0</v>
      </c>
      <c r="G1229">
        <v>0</v>
      </c>
      <c r="H1229">
        <v>7553</v>
      </c>
      <c r="I1229">
        <v>9.8375000000000004</v>
      </c>
      <c r="K1229" t="s">
        <v>17</v>
      </c>
    </row>
    <row r="1230" spans="1:13" x14ac:dyDescent="0.3">
      <c r="A1230">
        <v>3</v>
      </c>
      <c r="B1230">
        <v>1</v>
      </c>
      <c r="C1230" t="s">
        <v>2018</v>
      </c>
      <c r="D1230" t="s">
        <v>20</v>
      </c>
      <c r="E1230">
        <v>31</v>
      </c>
      <c r="F1230">
        <v>0</v>
      </c>
      <c r="G1230">
        <v>0</v>
      </c>
      <c r="H1230" t="s">
        <v>2019</v>
      </c>
      <c r="I1230">
        <v>7.9249999999999998</v>
      </c>
      <c r="K1230" t="s">
        <v>17</v>
      </c>
      <c r="L1230">
        <v>9</v>
      </c>
    </row>
    <row r="1231" spans="1:13" x14ac:dyDescent="0.3">
      <c r="A1231">
        <v>3</v>
      </c>
      <c r="B1231">
        <v>0</v>
      </c>
      <c r="C1231" t="s">
        <v>2020</v>
      </c>
      <c r="D1231" t="s">
        <v>20</v>
      </c>
      <c r="E1231">
        <v>27</v>
      </c>
      <c r="F1231">
        <v>0</v>
      </c>
      <c r="G1231">
        <v>0</v>
      </c>
      <c r="H1231">
        <v>315083</v>
      </c>
      <c r="I1231">
        <v>8.6624999999999996</v>
      </c>
      <c r="K1231" t="s">
        <v>17</v>
      </c>
    </row>
    <row r="1232" spans="1:13" x14ac:dyDescent="0.3">
      <c r="A1232">
        <v>3</v>
      </c>
      <c r="B1232">
        <v>0</v>
      </c>
      <c r="C1232" t="s">
        <v>2021</v>
      </c>
      <c r="D1232" t="s">
        <v>15</v>
      </c>
      <c r="E1232">
        <v>2</v>
      </c>
      <c r="F1232">
        <v>0</v>
      </c>
      <c r="G1232">
        <v>1</v>
      </c>
      <c r="H1232">
        <v>347054</v>
      </c>
      <c r="I1232">
        <v>10.4625</v>
      </c>
      <c r="J1232" t="s">
        <v>1968</v>
      </c>
      <c r="K1232" t="s">
        <v>17</v>
      </c>
    </row>
    <row r="1233" spans="1:13" x14ac:dyDescent="0.3">
      <c r="A1233">
        <v>3</v>
      </c>
      <c r="B1233">
        <v>0</v>
      </c>
      <c r="C1233" t="s">
        <v>2022</v>
      </c>
      <c r="D1233" t="s">
        <v>15</v>
      </c>
      <c r="E1233">
        <v>29</v>
      </c>
      <c r="F1233">
        <v>1</v>
      </c>
      <c r="G1233">
        <v>1</v>
      </c>
      <c r="H1233">
        <v>347054</v>
      </c>
      <c r="I1233">
        <v>10.4625</v>
      </c>
      <c r="J1233" t="s">
        <v>1968</v>
      </c>
      <c r="K1233" t="s">
        <v>17</v>
      </c>
    </row>
    <row r="1234" spans="1:13" x14ac:dyDescent="0.3">
      <c r="A1234">
        <v>3</v>
      </c>
      <c r="B1234">
        <v>1</v>
      </c>
      <c r="C1234" t="s">
        <v>2023</v>
      </c>
      <c r="D1234" t="s">
        <v>20</v>
      </c>
      <c r="E1234">
        <v>16</v>
      </c>
      <c r="F1234">
        <v>0</v>
      </c>
      <c r="G1234">
        <v>0</v>
      </c>
      <c r="H1234" t="s">
        <v>2024</v>
      </c>
      <c r="I1234">
        <v>8.0500000000000007</v>
      </c>
      <c r="K1234" t="s">
        <v>17</v>
      </c>
      <c r="L1234" t="s">
        <v>54</v>
      </c>
    </row>
    <row r="1235" spans="1:13" x14ac:dyDescent="0.3">
      <c r="A1235">
        <v>3</v>
      </c>
      <c r="B1235">
        <v>1</v>
      </c>
      <c r="C1235" t="s">
        <v>2025</v>
      </c>
      <c r="D1235" t="s">
        <v>20</v>
      </c>
      <c r="E1235">
        <v>44</v>
      </c>
      <c r="F1235">
        <v>0</v>
      </c>
      <c r="G1235">
        <v>0</v>
      </c>
      <c r="H1235" t="s">
        <v>2026</v>
      </c>
      <c r="I1235">
        <v>7.9249999999999998</v>
      </c>
      <c r="K1235" t="s">
        <v>17</v>
      </c>
      <c r="L1235">
        <v>15</v>
      </c>
    </row>
    <row r="1236" spans="1:13" x14ac:dyDescent="0.3">
      <c r="A1236">
        <v>3</v>
      </c>
      <c r="B1236">
        <v>0</v>
      </c>
      <c r="C1236" t="s">
        <v>2027</v>
      </c>
      <c r="D1236" t="s">
        <v>20</v>
      </c>
      <c r="E1236">
        <v>25</v>
      </c>
      <c r="F1236">
        <v>0</v>
      </c>
      <c r="G1236">
        <v>0</v>
      </c>
      <c r="H1236" t="s">
        <v>2028</v>
      </c>
      <c r="I1236">
        <v>7.05</v>
      </c>
      <c r="K1236" t="s">
        <v>17</v>
      </c>
    </row>
    <row r="1237" spans="1:13" x14ac:dyDescent="0.3">
      <c r="A1237">
        <v>3</v>
      </c>
      <c r="B1237">
        <v>0</v>
      </c>
      <c r="C1237" t="s">
        <v>2029</v>
      </c>
      <c r="D1237" t="s">
        <v>20</v>
      </c>
      <c r="E1237">
        <v>74</v>
      </c>
      <c r="F1237">
        <v>0</v>
      </c>
      <c r="G1237">
        <v>0</v>
      </c>
      <c r="H1237">
        <v>347060</v>
      </c>
      <c r="I1237">
        <v>7.7750000000000004</v>
      </c>
      <c r="K1237" t="s">
        <v>17</v>
      </c>
    </row>
    <row r="1238" spans="1:13" x14ac:dyDescent="0.3">
      <c r="A1238">
        <v>3</v>
      </c>
      <c r="B1238">
        <v>1</v>
      </c>
      <c r="C1238" t="s">
        <v>2030</v>
      </c>
      <c r="D1238" t="s">
        <v>20</v>
      </c>
      <c r="E1238">
        <v>14</v>
      </c>
      <c r="F1238">
        <v>0</v>
      </c>
      <c r="G1238">
        <v>0</v>
      </c>
      <c r="H1238">
        <v>7538</v>
      </c>
      <c r="I1238">
        <v>9.2249999999999996</v>
      </c>
      <c r="K1238" t="s">
        <v>17</v>
      </c>
      <c r="L1238">
        <v>13</v>
      </c>
    </row>
    <row r="1239" spans="1:13" x14ac:dyDescent="0.3">
      <c r="A1239">
        <v>3</v>
      </c>
      <c r="B1239">
        <v>0</v>
      </c>
      <c r="C1239" t="s">
        <v>2031</v>
      </c>
      <c r="D1239" t="s">
        <v>20</v>
      </c>
      <c r="E1239">
        <v>24</v>
      </c>
      <c r="F1239">
        <v>0</v>
      </c>
      <c r="G1239">
        <v>0</v>
      </c>
      <c r="H1239">
        <v>350035</v>
      </c>
      <c r="I1239">
        <v>7.7957999999999998</v>
      </c>
      <c r="K1239" t="s">
        <v>17</v>
      </c>
    </row>
    <row r="1240" spans="1:13" x14ac:dyDescent="0.3">
      <c r="A1240">
        <v>3</v>
      </c>
      <c r="B1240">
        <v>1</v>
      </c>
      <c r="C1240" t="s">
        <v>2032</v>
      </c>
      <c r="D1240" t="s">
        <v>20</v>
      </c>
      <c r="E1240">
        <v>25</v>
      </c>
      <c r="F1240">
        <v>0</v>
      </c>
      <c r="G1240">
        <v>0</v>
      </c>
      <c r="H1240">
        <v>350033</v>
      </c>
      <c r="I1240">
        <v>7.7957999999999998</v>
      </c>
      <c r="K1240" t="s">
        <v>17</v>
      </c>
      <c r="L1240" t="s">
        <v>2033</v>
      </c>
    </row>
    <row r="1241" spans="1:13" x14ac:dyDescent="0.3">
      <c r="A1241">
        <v>3</v>
      </c>
      <c r="B1241">
        <v>0</v>
      </c>
      <c r="C1241" t="s">
        <v>2034</v>
      </c>
      <c r="D1241" t="s">
        <v>20</v>
      </c>
      <c r="E1241">
        <v>34</v>
      </c>
      <c r="F1241">
        <v>0</v>
      </c>
      <c r="G1241">
        <v>0</v>
      </c>
      <c r="H1241">
        <v>363294</v>
      </c>
      <c r="I1241">
        <v>8.0500000000000007</v>
      </c>
      <c r="K1241" t="s">
        <v>17</v>
      </c>
      <c r="M1241">
        <v>176</v>
      </c>
    </row>
    <row r="1242" spans="1:13" x14ac:dyDescent="0.3">
      <c r="A1242">
        <v>3</v>
      </c>
      <c r="B1242">
        <v>1</v>
      </c>
      <c r="C1242" t="s">
        <v>2035</v>
      </c>
      <c r="D1242" t="s">
        <v>20</v>
      </c>
      <c r="E1242">
        <v>0.42</v>
      </c>
      <c r="F1242">
        <v>0</v>
      </c>
      <c r="G1242">
        <v>1</v>
      </c>
      <c r="H1242">
        <v>2625</v>
      </c>
      <c r="I1242">
        <v>8.5167000000000002</v>
      </c>
      <c r="K1242" t="s">
        <v>41</v>
      </c>
      <c r="L1242">
        <v>16</v>
      </c>
    </row>
    <row r="1243" spans="1:13" x14ac:dyDescent="0.3">
      <c r="A1243">
        <v>3</v>
      </c>
      <c r="B1243">
        <v>0</v>
      </c>
      <c r="C1243" t="s">
        <v>2036</v>
      </c>
      <c r="D1243" t="s">
        <v>20</v>
      </c>
      <c r="F1243">
        <v>1</v>
      </c>
      <c r="G1243">
        <v>0</v>
      </c>
      <c r="H1243">
        <v>2621</v>
      </c>
      <c r="I1243">
        <v>6.4375</v>
      </c>
      <c r="K1243" t="s">
        <v>41</v>
      </c>
    </row>
    <row r="1244" spans="1:13" x14ac:dyDescent="0.3">
      <c r="A1244">
        <v>3</v>
      </c>
      <c r="B1244">
        <v>0</v>
      </c>
      <c r="C1244" t="s">
        <v>2037</v>
      </c>
      <c r="D1244" t="s">
        <v>20</v>
      </c>
      <c r="F1244">
        <v>0</v>
      </c>
      <c r="G1244">
        <v>0</v>
      </c>
      <c r="H1244">
        <v>2681</v>
      </c>
      <c r="I1244">
        <v>6.4375</v>
      </c>
      <c r="K1244" t="s">
        <v>41</v>
      </c>
    </row>
    <row r="1245" spans="1:13" x14ac:dyDescent="0.3">
      <c r="A1245">
        <v>3</v>
      </c>
      <c r="B1245">
        <v>0</v>
      </c>
      <c r="C1245" t="s">
        <v>2038</v>
      </c>
      <c r="D1245" t="s">
        <v>20</v>
      </c>
      <c r="F1245">
        <v>0</v>
      </c>
      <c r="G1245">
        <v>0</v>
      </c>
      <c r="H1245">
        <v>2684</v>
      </c>
      <c r="I1245">
        <v>7.2249999999999996</v>
      </c>
      <c r="K1245" t="s">
        <v>41</v>
      </c>
    </row>
    <row r="1246" spans="1:13" x14ac:dyDescent="0.3">
      <c r="A1246">
        <v>3</v>
      </c>
      <c r="B1246">
        <v>1</v>
      </c>
      <c r="C1246" t="s">
        <v>2039</v>
      </c>
      <c r="D1246" t="s">
        <v>15</v>
      </c>
      <c r="E1246">
        <v>16</v>
      </c>
      <c r="F1246">
        <v>1</v>
      </c>
      <c r="G1246">
        <v>1</v>
      </c>
      <c r="H1246">
        <v>2625</v>
      </c>
      <c r="I1246">
        <v>8.5167000000000002</v>
      </c>
      <c r="K1246" t="s">
        <v>41</v>
      </c>
      <c r="L1246">
        <v>14</v>
      </c>
    </row>
    <row r="1247" spans="1:13" x14ac:dyDescent="0.3">
      <c r="A1247">
        <v>3</v>
      </c>
      <c r="B1247">
        <v>0</v>
      </c>
      <c r="C1247" t="s">
        <v>2040</v>
      </c>
      <c r="D1247" t="s">
        <v>20</v>
      </c>
      <c r="F1247">
        <v>0</v>
      </c>
      <c r="G1247">
        <v>0</v>
      </c>
      <c r="H1247">
        <v>32302</v>
      </c>
      <c r="I1247">
        <v>8.0500000000000007</v>
      </c>
      <c r="K1247" t="s">
        <v>17</v>
      </c>
    </row>
    <row r="1248" spans="1:13" x14ac:dyDescent="0.3">
      <c r="A1248">
        <v>3</v>
      </c>
      <c r="B1248">
        <v>0</v>
      </c>
      <c r="C1248" t="s">
        <v>2041</v>
      </c>
      <c r="D1248" t="s">
        <v>20</v>
      </c>
      <c r="F1248">
        <v>1</v>
      </c>
      <c r="G1248">
        <v>0</v>
      </c>
      <c r="H1248">
        <v>376564</v>
      </c>
      <c r="I1248">
        <v>16.100000000000001</v>
      </c>
      <c r="K1248" t="s">
        <v>17</v>
      </c>
    </row>
    <row r="1249" spans="1:13" x14ac:dyDescent="0.3">
      <c r="A1249">
        <v>3</v>
      </c>
      <c r="B1249">
        <v>1</v>
      </c>
      <c r="C1249" t="s">
        <v>2042</v>
      </c>
      <c r="D1249" t="s">
        <v>15</v>
      </c>
      <c r="F1249">
        <v>1</v>
      </c>
      <c r="G1249">
        <v>0</v>
      </c>
      <c r="H1249">
        <v>376564</v>
      </c>
      <c r="I1249">
        <v>16.100000000000001</v>
      </c>
      <c r="K1249" t="s">
        <v>17</v>
      </c>
      <c r="L1249">
        <v>10</v>
      </c>
    </row>
    <row r="1250" spans="1:13" x14ac:dyDescent="0.3">
      <c r="A1250">
        <v>3</v>
      </c>
      <c r="B1250">
        <v>0</v>
      </c>
      <c r="C1250" t="s">
        <v>2043</v>
      </c>
      <c r="D1250" t="s">
        <v>20</v>
      </c>
      <c r="E1250">
        <v>32</v>
      </c>
      <c r="F1250">
        <v>0</v>
      </c>
      <c r="G1250">
        <v>0</v>
      </c>
      <c r="H1250" t="s">
        <v>2044</v>
      </c>
      <c r="I1250">
        <v>7.9249999999999998</v>
      </c>
      <c r="K1250" t="s">
        <v>17</v>
      </c>
    </row>
    <row r="1251" spans="1:13" x14ac:dyDescent="0.3">
      <c r="A1251">
        <v>3</v>
      </c>
      <c r="B1251">
        <v>0</v>
      </c>
      <c r="C1251" t="s">
        <v>2045</v>
      </c>
      <c r="D1251" t="s">
        <v>20</v>
      </c>
      <c r="F1251">
        <v>0</v>
      </c>
      <c r="G1251">
        <v>0</v>
      </c>
      <c r="H1251">
        <v>383121</v>
      </c>
      <c r="I1251">
        <v>7.75</v>
      </c>
      <c r="J1251" t="s">
        <v>2046</v>
      </c>
      <c r="K1251" t="s">
        <v>463</v>
      </c>
    </row>
    <row r="1252" spans="1:13" x14ac:dyDescent="0.3">
      <c r="A1252">
        <v>3</v>
      </c>
      <c r="B1252">
        <v>0</v>
      </c>
      <c r="C1252" t="s">
        <v>2047</v>
      </c>
      <c r="D1252" t="s">
        <v>20</v>
      </c>
      <c r="F1252">
        <v>0</v>
      </c>
      <c r="G1252">
        <v>0</v>
      </c>
      <c r="H1252">
        <v>349216</v>
      </c>
      <c r="I1252">
        <v>7.8958000000000004</v>
      </c>
      <c r="K1252" t="s">
        <v>17</v>
      </c>
    </row>
    <row r="1253" spans="1:13" x14ac:dyDescent="0.3">
      <c r="A1253">
        <v>3</v>
      </c>
      <c r="B1253">
        <v>0</v>
      </c>
      <c r="C1253" t="s">
        <v>2048</v>
      </c>
      <c r="D1253" t="s">
        <v>20</v>
      </c>
      <c r="E1253">
        <v>30.5</v>
      </c>
      <c r="F1253">
        <v>0</v>
      </c>
      <c r="G1253">
        <v>0</v>
      </c>
      <c r="H1253">
        <v>364499</v>
      </c>
      <c r="I1253">
        <v>8.0500000000000007</v>
      </c>
      <c r="K1253" t="s">
        <v>17</v>
      </c>
      <c r="M1253">
        <v>50</v>
      </c>
    </row>
    <row r="1254" spans="1:13" x14ac:dyDescent="0.3">
      <c r="A1254">
        <v>3</v>
      </c>
      <c r="B1254">
        <v>0</v>
      </c>
      <c r="C1254" t="s">
        <v>2049</v>
      </c>
      <c r="D1254" t="s">
        <v>20</v>
      </c>
      <c r="E1254">
        <v>44</v>
      </c>
      <c r="F1254">
        <v>0</v>
      </c>
      <c r="G1254">
        <v>0</v>
      </c>
      <c r="H1254">
        <v>364511</v>
      </c>
      <c r="I1254">
        <v>8.0500000000000007</v>
      </c>
      <c r="K1254" t="s">
        <v>17</v>
      </c>
    </row>
    <row r="1255" spans="1:13" x14ac:dyDescent="0.3">
      <c r="A1255">
        <v>3</v>
      </c>
      <c r="B1255">
        <v>0</v>
      </c>
      <c r="C1255" t="s">
        <v>2050</v>
      </c>
      <c r="D1255" t="s">
        <v>20</v>
      </c>
      <c r="F1255">
        <v>0</v>
      </c>
      <c r="G1255">
        <v>0</v>
      </c>
      <c r="H1255">
        <v>2673</v>
      </c>
      <c r="I1255">
        <v>7.2291999999999996</v>
      </c>
      <c r="K1255" t="s">
        <v>41</v>
      </c>
    </row>
    <row r="1256" spans="1:13" x14ac:dyDescent="0.3">
      <c r="A1256">
        <v>3</v>
      </c>
      <c r="B1256">
        <v>1</v>
      </c>
      <c r="C1256" t="s">
        <v>2051</v>
      </c>
      <c r="D1256" t="s">
        <v>20</v>
      </c>
      <c r="E1256">
        <v>25</v>
      </c>
      <c r="F1256">
        <v>0</v>
      </c>
      <c r="G1256">
        <v>0</v>
      </c>
      <c r="H1256" t="s">
        <v>1628</v>
      </c>
      <c r="I1256">
        <v>0</v>
      </c>
      <c r="K1256" t="s">
        <v>17</v>
      </c>
      <c r="L1256">
        <v>15</v>
      </c>
    </row>
    <row r="1257" spans="1:13" x14ac:dyDescent="0.3">
      <c r="A1257">
        <v>3</v>
      </c>
      <c r="B1257">
        <v>0</v>
      </c>
      <c r="C1257" t="s">
        <v>2052</v>
      </c>
      <c r="D1257" t="s">
        <v>20</v>
      </c>
      <c r="F1257">
        <v>0</v>
      </c>
      <c r="G1257">
        <v>0</v>
      </c>
      <c r="H1257">
        <v>2641</v>
      </c>
      <c r="I1257">
        <v>7.2291999999999996</v>
      </c>
      <c r="K1257" t="s">
        <v>41</v>
      </c>
    </row>
    <row r="1258" spans="1:13" x14ac:dyDescent="0.3">
      <c r="A1258">
        <v>3</v>
      </c>
      <c r="B1258">
        <v>1</v>
      </c>
      <c r="C1258" t="s">
        <v>2053</v>
      </c>
      <c r="D1258" t="s">
        <v>20</v>
      </c>
      <c r="E1258">
        <v>7</v>
      </c>
      <c r="F1258">
        <v>1</v>
      </c>
      <c r="G1258">
        <v>1</v>
      </c>
      <c r="H1258">
        <v>2650</v>
      </c>
      <c r="I1258">
        <v>15.245799999999999</v>
      </c>
      <c r="K1258" t="s">
        <v>41</v>
      </c>
      <c r="L1258" t="s">
        <v>41</v>
      </c>
    </row>
    <row r="1259" spans="1:13" x14ac:dyDescent="0.3">
      <c r="A1259">
        <v>3</v>
      </c>
      <c r="B1259">
        <v>1</v>
      </c>
      <c r="C1259" t="s">
        <v>2054</v>
      </c>
      <c r="D1259" t="s">
        <v>15</v>
      </c>
      <c r="E1259">
        <v>9</v>
      </c>
      <c r="F1259">
        <v>1</v>
      </c>
      <c r="G1259">
        <v>1</v>
      </c>
      <c r="H1259">
        <v>2650</v>
      </c>
      <c r="I1259">
        <v>15.245799999999999</v>
      </c>
      <c r="K1259" t="s">
        <v>41</v>
      </c>
      <c r="L1259" t="s">
        <v>41</v>
      </c>
    </row>
    <row r="1260" spans="1:13" x14ac:dyDescent="0.3">
      <c r="A1260">
        <v>3</v>
      </c>
      <c r="B1260">
        <v>1</v>
      </c>
      <c r="C1260" t="s">
        <v>2055</v>
      </c>
      <c r="D1260" t="s">
        <v>15</v>
      </c>
      <c r="E1260">
        <v>29</v>
      </c>
      <c r="F1260">
        <v>0</v>
      </c>
      <c r="G1260">
        <v>2</v>
      </c>
      <c r="H1260">
        <v>2650</v>
      </c>
      <c r="I1260">
        <v>15.245799999999999</v>
      </c>
      <c r="K1260" t="s">
        <v>41</v>
      </c>
      <c r="L1260" t="s">
        <v>41</v>
      </c>
    </row>
    <row r="1261" spans="1:13" x14ac:dyDescent="0.3">
      <c r="A1261">
        <v>3</v>
      </c>
      <c r="B1261">
        <v>0</v>
      </c>
      <c r="C1261" t="s">
        <v>2056</v>
      </c>
      <c r="D1261" t="s">
        <v>20</v>
      </c>
      <c r="E1261">
        <v>36</v>
      </c>
      <c r="F1261">
        <v>0</v>
      </c>
      <c r="G1261">
        <v>0</v>
      </c>
      <c r="H1261">
        <v>349247</v>
      </c>
      <c r="I1261">
        <v>7.8958000000000004</v>
      </c>
      <c r="K1261" t="s">
        <v>17</v>
      </c>
    </row>
    <row r="1262" spans="1:13" x14ac:dyDescent="0.3">
      <c r="A1262">
        <v>3</v>
      </c>
      <c r="B1262">
        <v>1</v>
      </c>
      <c r="C1262" t="s">
        <v>2057</v>
      </c>
      <c r="D1262" t="s">
        <v>15</v>
      </c>
      <c r="E1262">
        <v>18</v>
      </c>
      <c r="F1262">
        <v>0</v>
      </c>
      <c r="G1262">
        <v>0</v>
      </c>
      <c r="H1262">
        <v>4138</v>
      </c>
      <c r="I1262">
        <v>9.8416999999999994</v>
      </c>
      <c r="K1262" t="s">
        <v>17</v>
      </c>
      <c r="L1262">
        <v>15</v>
      </c>
    </row>
    <row r="1263" spans="1:13" x14ac:dyDescent="0.3">
      <c r="A1263">
        <v>3</v>
      </c>
      <c r="B1263">
        <v>1</v>
      </c>
      <c r="C1263" t="s">
        <v>2058</v>
      </c>
      <c r="D1263" t="s">
        <v>15</v>
      </c>
      <c r="E1263">
        <v>63</v>
      </c>
      <c r="F1263">
        <v>0</v>
      </c>
      <c r="G1263">
        <v>0</v>
      </c>
      <c r="H1263">
        <v>4134</v>
      </c>
      <c r="I1263">
        <v>9.5875000000000004</v>
      </c>
      <c r="K1263" t="s">
        <v>17</v>
      </c>
      <c r="L1263">
        <v>15</v>
      </c>
    </row>
    <row r="1264" spans="1:13" x14ac:dyDescent="0.3">
      <c r="A1264">
        <v>3</v>
      </c>
      <c r="B1264">
        <v>0</v>
      </c>
      <c r="C1264" t="s">
        <v>2059</v>
      </c>
      <c r="D1264" t="s">
        <v>20</v>
      </c>
      <c r="F1264">
        <v>1</v>
      </c>
      <c r="G1264">
        <v>1</v>
      </c>
      <c r="H1264" t="s">
        <v>2060</v>
      </c>
      <c r="I1264">
        <v>14.5</v>
      </c>
      <c r="K1264" t="s">
        <v>17</v>
      </c>
    </row>
    <row r="1265" spans="1:13" x14ac:dyDescent="0.3">
      <c r="A1265">
        <v>3</v>
      </c>
      <c r="B1265">
        <v>0</v>
      </c>
      <c r="C1265" t="s">
        <v>2061</v>
      </c>
      <c r="D1265" t="s">
        <v>20</v>
      </c>
      <c r="E1265">
        <v>11.5</v>
      </c>
      <c r="F1265">
        <v>1</v>
      </c>
      <c r="G1265">
        <v>1</v>
      </c>
      <c r="H1265" t="s">
        <v>2060</v>
      </c>
      <c r="I1265">
        <v>14.5</v>
      </c>
      <c r="K1265" t="s">
        <v>17</v>
      </c>
      <c r="M1265">
        <v>1</v>
      </c>
    </row>
    <row r="1266" spans="1:13" x14ac:dyDescent="0.3">
      <c r="A1266">
        <v>3</v>
      </c>
      <c r="B1266">
        <v>0</v>
      </c>
      <c r="C1266" t="s">
        <v>2062</v>
      </c>
      <c r="D1266" t="s">
        <v>20</v>
      </c>
      <c r="E1266">
        <v>40.5</v>
      </c>
      <c r="F1266">
        <v>0</v>
      </c>
      <c r="G1266">
        <v>2</v>
      </c>
      <c r="H1266" t="s">
        <v>2060</v>
      </c>
      <c r="I1266">
        <v>14.5</v>
      </c>
      <c r="K1266" t="s">
        <v>17</v>
      </c>
      <c r="M1266">
        <v>255</v>
      </c>
    </row>
    <row r="1267" spans="1:13" x14ac:dyDescent="0.3">
      <c r="A1267">
        <v>3</v>
      </c>
      <c r="B1267">
        <v>0</v>
      </c>
      <c r="C1267" t="s">
        <v>2063</v>
      </c>
      <c r="D1267" t="s">
        <v>15</v>
      </c>
      <c r="E1267">
        <v>10</v>
      </c>
      <c r="F1267">
        <v>0</v>
      </c>
      <c r="G1267">
        <v>2</v>
      </c>
      <c r="H1267">
        <v>345773</v>
      </c>
      <c r="I1267">
        <v>24.15</v>
      </c>
      <c r="K1267" t="s">
        <v>17</v>
      </c>
    </row>
    <row r="1268" spans="1:13" x14ac:dyDescent="0.3">
      <c r="A1268">
        <v>3</v>
      </c>
      <c r="B1268">
        <v>0</v>
      </c>
      <c r="C1268" t="s">
        <v>2064</v>
      </c>
      <c r="D1268" t="s">
        <v>20</v>
      </c>
      <c r="E1268">
        <v>36</v>
      </c>
      <c r="F1268">
        <v>1</v>
      </c>
      <c r="G1268">
        <v>1</v>
      </c>
      <c r="H1268">
        <v>345773</v>
      </c>
      <c r="I1268">
        <v>24.15</v>
      </c>
      <c r="K1268" t="s">
        <v>17</v>
      </c>
    </row>
    <row r="1269" spans="1:13" x14ac:dyDescent="0.3">
      <c r="A1269">
        <v>3</v>
      </c>
      <c r="B1269">
        <v>0</v>
      </c>
      <c r="C1269" t="s">
        <v>2065</v>
      </c>
      <c r="D1269" t="s">
        <v>15</v>
      </c>
      <c r="E1269">
        <v>30</v>
      </c>
      <c r="F1269">
        <v>1</v>
      </c>
      <c r="G1269">
        <v>1</v>
      </c>
      <c r="H1269">
        <v>345773</v>
      </c>
      <c r="I1269">
        <v>24.15</v>
      </c>
      <c r="K1269" t="s">
        <v>17</v>
      </c>
    </row>
    <row r="1270" spans="1:13" x14ac:dyDescent="0.3">
      <c r="A1270">
        <v>3</v>
      </c>
      <c r="B1270">
        <v>0</v>
      </c>
      <c r="C1270" t="s">
        <v>2066</v>
      </c>
      <c r="D1270" t="s">
        <v>20</v>
      </c>
      <c r="F1270">
        <v>0</v>
      </c>
      <c r="G1270">
        <v>0</v>
      </c>
      <c r="H1270">
        <v>345777</v>
      </c>
      <c r="I1270">
        <v>9.5</v>
      </c>
      <c r="K1270" t="s">
        <v>17</v>
      </c>
    </row>
    <row r="1271" spans="1:13" x14ac:dyDescent="0.3">
      <c r="A1271">
        <v>3</v>
      </c>
      <c r="B1271">
        <v>0</v>
      </c>
      <c r="C1271" t="s">
        <v>2067</v>
      </c>
      <c r="D1271" t="s">
        <v>20</v>
      </c>
      <c r="E1271">
        <v>33</v>
      </c>
      <c r="F1271">
        <v>0</v>
      </c>
      <c r="G1271">
        <v>0</v>
      </c>
      <c r="H1271">
        <v>345780</v>
      </c>
      <c r="I1271">
        <v>9.5</v>
      </c>
      <c r="K1271" t="s">
        <v>17</v>
      </c>
    </row>
    <row r="1272" spans="1:13" x14ac:dyDescent="0.3">
      <c r="A1272">
        <v>3</v>
      </c>
      <c r="B1272">
        <v>0</v>
      </c>
      <c r="C1272" t="s">
        <v>2068</v>
      </c>
      <c r="D1272" t="s">
        <v>20</v>
      </c>
      <c r="E1272">
        <v>28</v>
      </c>
      <c r="F1272">
        <v>0</v>
      </c>
      <c r="G1272">
        <v>0</v>
      </c>
      <c r="H1272">
        <v>345770</v>
      </c>
      <c r="I1272">
        <v>9.5</v>
      </c>
      <c r="K1272" t="s">
        <v>17</v>
      </c>
    </row>
    <row r="1273" spans="1:13" x14ac:dyDescent="0.3">
      <c r="A1273">
        <v>3</v>
      </c>
      <c r="B1273">
        <v>0</v>
      </c>
      <c r="C1273" t="s">
        <v>2069</v>
      </c>
      <c r="D1273" t="s">
        <v>20</v>
      </c>
      <c r="E1273">
        <v>28</v>
      </c>
      <c r="F1273">
        <v>0</v>
      </c>
      <c r="G1273">
        <v>0</v>
      </c>
      <c r="H1273">
        <v>345783</v>
      </c>
      <c r="I1273">
        <v>9.5</v>
      </c>
      <c r="K1273" t="s">
        <v>17</v>
      </c>
    </row>
    <row r="1274" spans="1:13" x14ac:dyDescent="0.3">
      <c r="A1274">
        <v>3</v>
      </c>
      <c r="B1274">
        <v>0</v>
      </c>
      <c r="C1274" t="s">
        <v>2070</v>
      </c>
      <c r="D1274" t="s">
        <v>20</v>
      </c>
      <c r="E1274">
        <v>47</v>
      </c>
      <c r="F1274">
        <v>0</v>
      </c>
      <c r="G1274">
        <v>0</v>
      </c>
      <c r="H1274">
        <v>345765</v>
      </c>
      <c r="I1274">
        <v>9</v>
      </c>
      <c r="K1274" t="s">
        <v>17</v>
      </c>
    </row>
    <row r="1275" spans="1:13" x14ac:dyDescent="0.3">
      <c r="A1275">
        <v>3</v>
      </c>
      <c r="B1275">
        <v>0</v>
      </c>
      <c r="C1275" t="s">
        <v>2071</v>
      </c>
      <c r="D1275" t="s">
        <v>15</v>
      </c>
      <c r="E1275">
        <v>18</v>
      </c>
      <c r="F1275">
        <v>2</v>
      </c>
      <c r="G1275">
        <v>0</v>
      </c>
      <c r="H1275">
        <v>345764</v>
      </c>
      <c r="I1275">
        <v>18</v>
      </c>
      <c r="K1275" t="s">
        <v>17</v>
      </c>
    </row>
    <row r="1276" spans="1:13" x14ac:dyDescent="0.3">
      <c r="A1276">
        <v>3</v>
      </c>
      <c r="B1276">
        <v>0</v>
      </c>
      <c r="C1276" t="s">
        <v>2072</v>
      </c>
      <c r="D1276" t="s">
        <v>20</v>
      </c>
      <c r="E1276">
        <v>31</v>
      </c>
      <c r="F1276">
        <v>3</v>
      </c>
      <c r="G1276">
        <v>0</v>
      </c>
      <c r="H1276">
        <v>345763</v>
      </c>
      <c r="I1276">
        <v>18</v>
      </c>
      <c r="K1276" t="s">
        <v>17</v>
      </c>
    </row>
    <row r="1277" spans="1:13" x14ac:dyDescent="0.3">
      <c r="A1277">
        <v>3</v>
      </c>
      <c r="B1277">
        <v>0</v>
      </c>
      <c r="C1277" t="s">
        <v>2073</v>
      </c>
      <c r="D1277" t="s">
        <v>20</v>
      </c>
      <c r="E1277">
        <v>16</v>
      </c>
      <c r="F1277">
        <v>2</v>
      </c>
      <c r="G1277">
        <v>0</v>
      </c>
      <c r="H1277">
        <v>345764</v>
      </c>
      <c r="I1277">
        <v>18</v>
      </c>
      <c r="K1277" t="s">
        <v>17</v>
      </c>
    </row>
    <row r="1278" spans="1:13" x14ac:dyDescent="0.3">
      <c r="A1278">
        <v>3</v>
      </c>
      <c r="B1278">
        <v>0</v>
      </c>
      <c r="C1278" t="s">
        <v>2074</v>
      </c>
      <c r="D1278" t="s">
        <v>15</v>
      </c>
      <c r="E1278">
        <v>31</v>
      </c>
      <c r="F1278">
        <v>1</v>
      </c>
      <c r="G1278">
        <v>0</v>
      </c>
      <c r="H1278">
        <v>345763</v>
      </c>
      <c r="I1278">
        <v>18</v>
      </c>
      <c r="K1278" t="s">
        <v>17</v>
      </c>
    </row>
    <row r="1279" spans="1:13" x14ac:dyDescent="0.3">
      <c r="A1279">
        <v>3</v>
      </c>
      <c r="B1279">
        <v>1</v>
      </c>
      <c r="C1279" t="s">
        <v>2075</v>
      </c>
      <c r="D1279" t="s">
        <v>20</v>
      </c>
      <c r="E1279">
        <v>22</v>
      </c>
      <c r="F1279">
        <v>0</v>
      </c>
      <c r="G1279">
        <v>0</v>
      </c>
      <c r="H1279">
        <v>2658</v>
      </c>
      <c r="I1279">
        <v>7.2249999999999996</v>
      </c>
      <c r="K1279" t="s">
        <v>41</v>
      </c>
      <c r="L1279" t="s">
        <v>2033</v>
      </c>
    </row>
    <row r="1280" spans="1:13" x14ac:dyDescent="0.3">
      <c r="A1280">
        <v>3</v>
      </c>
      <c r="B1280">
        <v>0</v>
      </c>
      <c r="C1280" t="s">
        <v>2076</v>
      </c>
      <c r="D1280" t="s">
        <v>20</v>
      </c>
      <c r="E1280">
        <v>20</v>
      </c>
      <c r="F1280">
        <v>0</v>
      </c>
      <c r="G1280">
        <v>0</v>
      </c>
      <c r="H1280">
        <v>350416</v>
      </c>
      <c r="I1280">
        <v>7.8541999999999996</v>
      </c>
      <c r="K1280" t="s">
        <v>17</v>
      </c>
    </row>
    <row r="1281" spans="1:14" x14ac:dyDescent="0.3">
      <c r="A1281">
        <v>3</v>
      </c>
      <c r="B1281">
        <v>0</v>
      </c>
      <c r="C1281" t="s">
        <v>2077</v>
      </c>
      <c r="D1281" t="s">
        <v>15</v>
      </c>
      <c r="E1281">
        <v>14</v>
      </c>
      <c r="F1281">
        <v>0</v>
      </c>
      <c r="G1281">
        <v>0</v>
      </c>
      <c r="H1281">
        <v>350406</v>
      </c>
      <c r="I1281">
        <v>7.8541999999999996</v>
      </c>
      <c r="K1281" t="s">
        <v>17</v>
      </c>
    </row>
    <row r="1282" spans="1:14" x14ac:dyDescent="0.3">
      <c r="A1282">
        <v>3</v>
      </c>
      <c r="B1282">
        <v>0</v>
      </c>
      <c r="C1282" t="s">
        <v>2078</v>
      </c>
      <c r="D1282" t="s">
        <v>20</v>
      </c>
      <c r="E1282">
        <v>22</v>
      </c>
      <c r="F1282">
        <v>0</v>
      </c>
      <c r="G1282">
        <v>0</v>
      </c>
      <c r="H1282">
        <v>349252</v>
      </c>
      <c r="I1282">
        <v>7.8958000000000004</v>
      </c>
      <c r="K1282" t="s">
        <v>17</v>
      </c>
    </row>
    <row r="1283" spans="1:14" x14ac:dyDescent="0.3">
      <c r="A1283">
        <v>3</v>
      </c>
      <c r="B1283">
        <v>0</v>
      </c>
      <c r="C1283" t="s">
        <v>2079</v>
      </c>
      <c r="D1283" t="s">
        <v>20</v>
      </c>
      <c r="E1283">
        <v>22</v>
      </c>
      <c r="F1283">
        <v>0</v>
      </c>
      <c r="G1283">
        <v>0</v>
      </c>
      <c r="H1283">
        <v>345767</v>
      </c>
      <c r="I1283">
        <v>9</v>
      </c>
      <c r="K1283" t="s">
        <v>17</v>
      </c>
      <c r="N1283" t="s">
        <v>2080</v>
      </c>
    </row>
    <row r="1284" spans="1:14" x14ac:dyDescent="0.3">
      <c r="A1284">
        <v>3</v>
      </c>
      <c r="B1284">
        <v>0</v>
      </c>
      <c r="C1284" t="s">
        <v>2081</v>
      </c>
      <c r="D1284" t="s">
        <v>20</v>
      </c>
      <c r="F1284">
        <v>0</v>
      </c>
      <c r="G1284">
        <v>0</v>
      </c>
      <c r="H1284">
        <v>359309</v>
      </c>
      <c r="I1284">
        <v>8.0500000000000007</v>
      </c>
      <c r="K1284" t="s">
        <v>17</v>
      </c>
    </row>
    <row r="1285" spans="1:14" x14ac:dyDescent="0.3">
      <c r="A1285">
        <v>3</v>
      </c>
      <c r="B1285">
        <v>0</v>
      </c>
      <c r="C1285" t="s">
        <v>2082</v>
      </c>
      <c r="D1285" t="s">
        <v>20</v>
      </c>
      <c r="F1285">
        <v>0</v>
      </c>
      <c r="G1285">
        <v>0</v>
      </c>
      <c r="H1285" t="s">
        <v>2083</v>
      </c>
      <c r="I1285">
        <v>7.55</v>
      </c>
      <c r="K1285" t="s">
        <v>17</v>
      </c>
    </row>
    <row r="1286" spans="1:14" x14ac:dyDescent="0.3">
      <c r="A1286">
        <v>3</v>
      </c>
      <c r="B1286">
        <v>0</v>
      </c>
      <c r="C1286" t="s">
        <v>2084</v>
      </c>
      <c r="D1286" t="s">
        <v>20</v>
      </c>
      <c r="F1286">
        <v>0</v>
      </c>
      <c r="G1286">
        <v>0</v>
      </c>
      <c r="H1286" t="s">
        <v>2085</v>
      </c>
      <c r="I1286">
        <v>8.0500000000000007</v>
      </c>
      <c r="K1286" t="s">
        <v>17</v>
      </c>
    </row>
    <row r="1287" spans="1:14" x14ac:dyDescent="0.3">
      <c r="A1287">
        <v>3</v>
      </c>
      <c r="B1287">
        <v>0</v>
      </c>
      <c r="C1287" t="s">
        <v>2086</v>
      </c>
      <c r="D1287" t="s">
        <v>20</v>
      </c>
      <c r="E1287">
        <v>32.5</v>
      </c>
      <c r="F1287">
        <v>0</v>
      </c>
      <c r="G1287">
        <v>0</v>
      </c>
      <c r="H1287">
        <v>345775</v>
      </c>
      <c r="I1287">
        <v>9.5</v>
      </c>
      <c r="K1287" t="s">
        <v>17</v>
      </c>
      <c r="M1287">
        <v>298</v>
      </c>
    </row>
    <row r="1288" spans="1:14" x14ac:dyDescent="0.3">
      <c r="A1288">
        <v>3</v>
      </c>
      <c r="B1288">
        <v>1</v>
      </c>
      <c r="C1288" t="s">
        <v>2087</v>
      </c>
      <c r="D1288" t="s">
        <v>15</v>
      </c>
      <c r="E1288">
        <v>38</v>
      </c>
      <c r="F1288">
        <v>0</v>
      </c>
      <c r="G1288">
        <v>0</v>
      </c>
      <c r="H1288">
        <v>2688</v>
      </c>
      <c r="I1288">
        <v>7.2291999999999996</v>
      </c>
      <c r="K1288" t="s">
        <v>41</v>
      </c>
      <c r="L1288" t="s">
        <v>41</v>
      </c>
    </row>
    <row r="1289" spans="1:14" x14ac:dyDescent="0.3">
      <c r="A1289">
        <v>3</v>
      </c>
      <c r="B1289">
        <v>0</v>
      </c>
      <c r="C1289" t="s">
        <v>2088</v>
      </c>
      <c r="D1289" t="s">
        <v>20</v>
      </c>
      <c r="E1289">
        <v>51</v>
      </c>
      <c r="F1289">
        <v>0</v>
      </c>
      <c r="G1289">
        <v>0</v>
      </c>
      <c r="H1289">
        <v>347064</v>
      </c>
      <c r="I1289">
        <v>7.75</v>
      </c>
      <c r="K1289" t="s">
        <v>17</v>
      </c>
    </row>
    <row r="1290" spans="1:14" x14ac:dyDescent="0.3">
      <c r="A1290">
        <v>3</v>
      </c>
      <c r="B1290">
        <v>0</v>
      </c>
      <c r="C1290" t="s">
        <v>2089</v>
      </c>
      <c r="D1290" t="s">
        <v>20</v>
      </c>
      <c r="E1290">
        <v>18</v>
      </c>
      <c r="F1290">
        <v>1</v>
      </c>
      <c r="G1290">
        <v>0</v>
      </c>
      <c r="H1290">
        <v>3101267</v>
      </c>
      <c r="I1290">
        <v>6.4958</v>
      </c>
      <c r="K1290" t="s">
        <v>17</v>
      </c>
      <c r="M1290">
        <v>314</v>
      </c>
    </row>
    <row r="1291" spans="1:14" x14ac:dyDescent="0.3">
      <c r="A1291">
        <v>3</v>
      </c>
      <c r="B1291">
        <v>0</v>
      </c>
      <c r="C1291" t="s">
        <v>2090</v>
      </c>
      <c r="D1291" t="s">
        <v>20</v>
      </c>
      <c r="E1291">
        <v>21</v>
      </c>
      <c r="F1291">
        <v>1</v>
      </c>
      <c r="G1291">
        <v>0</v>
      </c>
      <c r="H1291">
        <v>3101266</v>
      </c>
      <c r="I1291">
        <v>6.4958</v>
      </c>
      <c r="K1291" t="s">
        <v>17</v>
      </c>
    </row>
    <row r="1292" spans="1:14" x14ac:dyDescent="0.3">
      <c r="A1292">
        <v>3</v>
      </c>
      <c r="B1292">
        <v>1</v>
      </c>
      <c r="C1292" t="s">
        <v>2091</v>
      </c>
      <c r="D1292" t="s">
        <v>15</v>
      </c>
      <c r="E1292">
        <v>47</v>
      </c>
      <c r="F1292">
        <v>1</v>
      </c>
      <c r="G1292">
        <v>0</v>
      </c>
      <c r="H1292">
        <v>363272</v>
      </c>
      <c r="I1292">
        <v>7</v>
      </c>
      <c r="K1292" t="s">
        <v>17</v>
      </c>
    </row>
    <row r="1293" spans="1:14" x14ac:dyDescent="0.3">
      <c r="A1293">
        <v>3</v>
      </c>
      <c r="B1293">
        <v>0</v>
      </c>
      <c r="C1293" t="s">
        <v>2092</v>
      </c>
      <c r="D1293" t="s">
        <v>20</v>
      </c>
      <c r="F1293">
        <v>0</v>
      </c>
      <c r="G1293">
        <v>0</v>
      </c>
      <c r="H1293">
        <v>3410</v>
      </c>
      <c r="I1293">
        <v>8.7125000000000004</v>
      </c>
      <c r="K1293" t="s">
        <v>17</v>
      </c>
    </row>
    <row r="1294" spans="1:14" x14ac:dyDescent="0.3">
      <c r="A1294">
        <v>3</v>
      </c>
      <c r="B1294">
        <v>0</v>
      </c>
      <c r="C1294" t="s">
        <v>2093</v>
      </c>
      <c r="D1294" t="s">
        <v>20</v>
      </c>
      <c r="F1294">
        <v>0</v>
      </c>
      <c r="G1294">
        <v>0</v>
      </c>
      <c r="H1294" t="s">
        <v>2094</v>
      </c>
      <c r="I1294">
        <v>7.55</v>
      </c>
      <c r="K1294" t="s">
        <v>17</v>
      </c>
    </row>
    <row r="1295" spans="1:14" x14ac:dyDescent="0.3">
      <c r="A1295">
        <v>3</v>
      </c>
      <c r="B1295">
        <v>0</v>
      </c>
      <c r="C1295" t="s">
        <v>2095</v>
      </c>
      <c r="D1295" t="s">
        <v>20</v>
      </c>
      <c r="F1295">
        <v>0</v>
      </c>
      <c r="G1295">
        <v>0</v>
      </c>
      <c r="H1295" t="s">
        <v>2096</v>
      </c>
      <c r="I1295">
        <v>8.0500000000000007</v>
      </c>
      <c r="K1295" t="s">
        <v>17</v>
      </c>
    </row>
    <row r="1296" spans="1:14" x14ac:dyDescent="0.3">
      <c r="A1296">
        <v>3</v>
      </c>
      <c r="B1296">
        <v>0</v>
      </c>
      <c r="C1296" t="s">
        <v>2097</v>
      </c>
      <c r="D1296" t="s">
        <v>20</v>
      </c>
      <c r="E1296">
        <v>28.5</v>
      </c>
      <c r="F1296">
        <v>0</v>
      </c>
      <c r="G1296">
        <v>0</v>
      </c>
      <c r="H1296">
        <v>54636</v>
      </c>
      <c r="I1296">
        <v>16.100000000000001</v>
      </c>
      <c r="K1296" t="s">
        <v>17</v>
      </c>
      <c r="M1296">
        <v>14</v>
      </c>
    </row>
    <row r="1297" spans="1:13" x14ac:dyDescent="0.3">
      <c r="A1297">
        <v>3</v>
      </c>
      <c r="B1297">
        <v>0</v>
      </c>
      <c r="C1297" t="s">
        <v>2098</v>
      </c>
      <c r="D1297" t="s">
        <v>20</v>
      </c>
      <c r="E1297">
        <v>21</v>
      </c>
      <c r="F1297">
        <v>0</v>
      </c>
      <c r="G1297">
        <v>0</v>
      </c>
      <c r="H1297" t="s">
        <v>2099</v>
      </c>
      <c r="I1297">
        <v>7.25</v>
      </c>
      <c r="K1297" t="s">
        <v>17</v>
      </c>
    </row>
    <row r="1298" spans="1:13" x14ac:dyDescent="0.3">
      <c r="A1298">
        <v>3</v>
      </c>
      <c r="B1298">
        <v>0</v>
      </c>
      <c r="C1298" t="s">
        <v>2100</v>
      </c>
      <c r="D1298" t="s">
        <v>20</v>
      </c>
      <c r="E1298">
        <v>27</v>
      </c>
      <c r="F1298">
        <v>0</v>
      </c>
      <c r="G1298">
        <v>0</v>
      </c>
      <c r="H1298">
        <v>315154</v>
      </c>
      <c r="I1298">
        <v>8.6624999999999996</v>
      </c>
      <c r="K1298" t="s">
        <v>17</v>
      </c>
      <c r="M1298">
        <v>131</v>
      </c>
    </row>
    <row r="1299" spans="1:13" x14ac:dyDescent="0.3">
      <c r="A1299">
        <v>3</v>
      </c>
      <c r="B1299">
        <v>0</v>
      </c>
      <c r="C1299" t="s">
        <v>2101</v>
      </c>
      <c r="D1299" t="s">
        <v>20</v>
      </c>
      <c r="F1299">
        <v>0</v>
      </c>
      <c r="G1299">
        <v>0</v>
      </c>
      <c r="H1299" t="s">
        <v>2102</v>
      </c>
      <c r="I1299">
        <v>7.25</v>
      </c>
      <c r="K1299" t="s">
        <v>17</v>
      </c>
    </row>
    <row r="1300" spans="1:13" x14ac:dyDescent="0.3">
      <c r="A1300">
        <v>3</v>
      </c>
      <c r="B1300">
        <v>0</v>
      </c>
      <c r="C1300" t="s">
        <v>2103</v>
      </c>
      <c r="D1300" t="s">
        <v>20</v>
      </c>
      <c r="E1300">
        <v>36</v>
      </c>
      <c r="F1300">
        <v>0</v>
      </c>
      <c r="G1300">
        <v>0</v>
      </c>
      <c r="H1300">
        <v>345771</v>
      </c>
      <c r="I1300">
        <v>9.5</v>
      </c>
      <c r="K1300" t="s">
        <v>17</v>
      </c>
    </row>
    <row r="1301" spans="1:13" x14ac:dyDescent="0.3">
      <c r="A1301">
        <v>3</v>
      </c>
      <c r="B1301">
        <v>0</v>
      </c>
      <c r="C1301" t="s">
        <v>2104</v>
      </c>
      <c r="D1301" t="s">
        <v>20</v>
      </c>
      <c r="E1301">
        <v>27</v>
      </c>
      <c r="F1301">
        <v>1</v>
      </c>
      <c r="G1301">
        <v>0</v>
      </c>
      <c r="H1301">
        <v>2659</v>
      </c>
      <c r="I1301">
        <v>14.4542</v>
      </c>
      <c r="K1301" t="s">
        <v>41</v>
      </c>
      <c r="L1301" t="s">
        <v>41</v>
      </c>
    </row>
    <row r="1302" spans="1:13" x14ac:dyDescent="0.3">
      <c r="A1302">
        <v>3</v>
      </c>
      <c r="B1302">
        <v>1</v>
      </c>
      <c r="C1302" t="s">
        <v>2105</v>
      </c>
      <c r="D1302" t="s">
        <v>15</v>
      </c>
      <c r="E1302">
        <v>15</v>
      </c>
      <c r="F1302">
        <v>1</v>
      </c>
      <c r="G1302">
        <v>0</v>
      </c>
      <c r="H1302">
        <v>2659</v>
      </c>
      <c r="I1302">
        <v>14.4542</v>
      </c>
      <c r="K1302" t="s">
        <v>41</v>
      </c>
    </row>
    <row r="1303" spans="1:13" x14ac:dyDescent="0.3">
      <c r="A1303">
        <v>3</v>
      </c>
      <c r="B1303">
        <v>0</v>
      </c>
      <c r="C1303" t="s">
        <v>2106</v>
      </c>
      <c r="D1303" t="s">
        <v>20</v>
      </c>
      <c r="E1303">
        <v>45.5</v>
      </c>
      <c r="F1303">
        <v>0</v>
      </c>
      <c r="G1303">
        <v>0</v>
      </c>
      <c r="H1303">
        <v>2628</v>
      </c>
      <c r="I1303">
        <v>7.2249999999999996</v>
      </c>
      <c r="K1303" t="s">
        <v>41</v>
      </c>
      <c r="M1303">
        <v>312</v>
      </c>
    </row>
    <row r="1304" spans="1:13" x14ac:dyDescent="0.3">
      <c r="A1304">
        <v>3</v>
      </c>
      <c r="B1304">
        <v>0</v>
      </c>
      <c r="C1304" t="s">
        <v>2107</v>
      </c>
      <c r="D1304" t="s">
        <v>20</v>
      </c>
      <c r="F1304">
        <v>0</v>
      </c>
      <c r="G1304">
        <v>0</v>
      </c>
      <c r="H1304">
        <v>2647</v>
      </c>
      <c r="I1304">
        <v>7.2249999999999996</v>
      </c>
      <c r="K1304" t="s">
        <v>41</v>
      </c>
    </row>
    <row r="1305" spans="1:13" x14ac:dyDescent="0.3">
      <c r="A1305">
        <v>3</v>
      </c>
      <c r="B1305">
        <v>0</v>
      </c>
      <c r="C1305" t="s">
        <v>2108</v>
      </c>
      <c r="D1305" t="s">
        <v>20</v>
      </c>
      <c r="F1305">
        <v>0</v>
      </c>
      <c r="G1305">
        <v>0</v>
      </c>
      <c r="H1305">
        <v>2627</v>
      </c>
      <c r="I1305">
        <v>14.458299999999999</v>
      </c>
      <c r="K1305" t="s">
        <v>41</v>
      </c>
    </row>
    <row r="1306" spans="1:13" x14ac:dyDescent="0.3">
      <c r="A1306">
        <v>3</v>
      </c>
      <c r="B1306">
        <v>0</v>
      </c>
      <c r="C1306" t="s">
        <v>2109</v>
      </c>
      <c r="D1306" t="s">
        <v>15</v>
      </c>
      <c r="E1306">
        <v>14.5</v>
      </c>
      <c r="F1306">
        <v>1</v>
      </c>
      <c r="G1306">
        <v>0</v>
      </c>
      <c r="H1306">
        <v>2665</v>
      </c>
      <c r="I1306">
        <v>14.4542</v>
      </c>
      <c r="K1306" t="s">
        <v>41</v>
      </c>
      <c r="M1306">
        <v>328</v>
      </c>
    </row>
    <row r="1307" spans="1:13" x14ac:dyDescent="0.3">
      <c r="A1307">
        <v>3</v>
      </c>
      <c r="B1307">
        <v>0</v>
      </c>
      <c r="C1307" t="s">
        <v>2110</v>
      </c>
      <c r="D1307" t="s">
        <v>15</v>
      </c>
      <c r="F1307">
        <v>1</v>
      </c>
      <c r="G1307">
        <v>0</v>
      </c>
      <c r="H1307">
        <v>2665</v>
      </c>
      <c r="I1307">
        <v>14.4542</v>
      </c>
      <c r="K1307" t="s">
        <v>41</v>
      </c>
    </row>
    <row r="1308" spans="1:13" x14ac:dyDescent="0.3">
      <c r="A1308">
        <v>3</v>
      </c>
      <c r="B1308">
        <v>0</v>
      </c>
      <c r="C1308" t="s">
        <v>2111</v>
      </c>
      <c r="D1308" t="s">
        <v>20</v>
      </c>
      <c r="E1308">
        <v>26.5</v>
      </c>
      <c r="F1308">
        <v>0</v>
      </c>
      <c r="G1308">
        <v>0</v>
      </c>
      <c r="H1308">
        <v>2656</v>
      </c>
      <c r="I1308">
        <v>7.2249999999999996</v>
      </c>
      <c r="K1308" t="s">
        <v>41</v>
      </c>
      <c r="M1308">
        <v>304</v>
      </c>
    </row>
    <row r="1309" spans="1:13" x14ac:dyDescent="0.3">
      <c r="A1309">
        <v>3</v>
      </c>
      <c r="B1309">
        <v>0</v>
      </c>
      <c r="C1309" t="s">
        <v>2112</v>
      </c>
      <c r="D1309" t="s">
        <v>20</v>
      </c>
      <c r="E1309">
        <v>27</v>
      </c>
      <c r="F1309">
        <v>0</v>
      </c>
      <c r="G1309">
        <v>0</v>
      </c>
      <c r="H1309">
        <v>2670</v>
      </c>
      <c r="I1309">
        <v>7.2249999999999996</v>
      </c>
      <c r="K1309" t="s">
        <v>41</v>
      </c>
    </row>
    <row r="1310" spans="1:13" x14ac:dyDescent="0.3">
      <c r="A1310">
        <v>3</v>
      </c>
      <c r="B1310">
        <v>0</v>
      </c>
      <c r="C1310" t="s">
        <v>2113</v>
      </c>
      <c r="D1310" t="s">
        <v>20</v>
      </c>
      <c r="E1310">
        <v>29</v>
      </c>
      <c r="F1310">
        <v>0</v>
      </c>
      <c r="G1310">
        <v>0</v>
      </c>
      <c r="H1310">
        <v>315082</v>
      </c>
      <c r="I1310">
        <v>7.875</v>
      </c>
      <c r="K1310"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S1310"/>
  <sheetViews>
    <sheetView workbookViewId="0">
      <pane ySplit="1" topLeftCell="A2" activePane="bottomLeft" state="frozen"/>
      <selection pane="bottomLeft" activeCell="F5" sqref="F5"/>
    </sheetView>
  </sheetViews>
  <sheetFormatPr defaultRowHeight="14.4" x14ac:dyDescent="0.3"/>
  <cols>
    <col min="2" max="2" width="5.88671875" bestFit="1" customWidth="1"/>
    <col min="3" max="3" width="13.77734375" style="1" bestFit="1" customWidth="1"/>
    <col min="4" max="4" width="7.6640625" bestFit="1" customWidth="1"/>
    <col min="5" max="5" width="15.6640625" style="1" bestFit="1" customWidth="1"/>
    <col min="6" max="6" width="68.88671875" bestFit="1" customWidth="1"/>
    <col min="7" max="7" width="12" style="1" bestFit="1" customWidth="1"/>
    <col min="8" max="8" width="6.6640625" bestFit="1" customWidth="1"/>
    <col min="9" max="9" width="6.6640625" style="1" customWidth="1"/>
    <col min="10" max="10" width="5.5546875" style="2" bestFit="1" customWidth="1"/>
    <col min="11" max="11" width="15.77734375" style="2" bestFit="1" customWidth="1"/>
    <col min="12" max="12" width="5" bestFit="1" customWidth="1"/>
    <col min="13" max="13" width="5.5546875" bestFit="1" customWidth="1"/>
    <col min="14" max="14" width="9.77734375" style="1" bestFit="1" customWidth="1"/>
    <col min="15" max="15" width="11.6640625" style="1" bestFit="1" customWidth="1"/>
    <col min="16" max="16" width="9" bestFit="1" customWidth="1"/>
    <col min="17" max="17" width="12.33203125" style="1" bestFit="1" customWidth="1"/>
    <col min="18" max="18" width="9.109375" bestFit="1" customWidth="1"/>
    <col min="19" max="19" width="17" style="1" bestFit="1" customWidth="1"/>
  </cols>
  <sheetData>
    <row r="1" spans="1:19" x14ac:dyDescent="0.3">
      <c r="A1" t="s">
        <v>2114</v>
      </c>
      <c r="B1" t="s">
        <v>0</v>
      </c>
      <c r="C1" s="1" t="s">
        <v>2116</v>
      </c>
      <c r="D1" t="s">
        <v>1</v>
      </c>
      <c r="E1" s="1" t="s">
        <v>2115</v>
      </c>
      <c r="F1" t="s">
        <v>2</v>
      </c>
      <c r="G1" s="1" t="s">
        <v>2117</v>
      </c>
      <c r="H1" t="s">
        <v>3</v>
      </c>
      <c r="I1" s="1" t="s">
        <v>4139</v>
      </c>
      <c r="J1" s="3" t="s">
        <v>4</v>
      </c>
      <c r="K1" s="3" t="s">
        <v>4143</v>
      </c>
      <c r="L1" t="s">
        <v>5</v>
      </c>
      <c r="M1" t="s">
        <v>6</v>
      </c>
      <c r="N1" s="1" t="s">
        <v>4140</v>
      </c>
      <c r="O1" s="1" t="s">
        <v>4141</v>
      </c>
      <c r="P1" t="s">
        <v>8</v>
      </c>
      <c r="Q1" s="1" t="s">
        <v>4144</v>
      </c>
      <c r="R1" t="s">
        <v>10</v>
      </c>
      <c r="S1" s="1" t="s">
        <v>4142</v>
      </c>
    </row>
    <row r="2" spans="1:19" x14ac:dyDescent="0.3">
      <c r="A2">
        <v>1</v>
      </c>
      <c r="B2">
        <v>1</v>
      </c>
      <c r="C2" s="1" t="str" cm="1">
        <f t="array" ref="C2">_xlfn.IFS(B2=1,"First Class",B2=2,"Second Class",B2=3,"Third Class")</f>
        <v>First Class</v>
      </c>
      <c r="D2">
        <v>1</v>
      </c>
      <c r="E2" s="1" t="str">
        <f>IF(D2=0,"Dead","Alive")</f>
        <v>Alive</v>
      </c>
      <c r="F2" t="s">
        <v>14</v>
      </c>
      <c r="G2" s="1" t="s">
        <v>2994</v>
      </c>
      <c r="H2" t="s">
        <v>15</v>
      </c>
      <c r="I2" s="1" t="str">
        <f>PROPER(H2)</f>
        <v>Female</v>
      </c>
      <c r="J2" s="3">
        <v>29</v>
      </c>
      <c r="K2" s="3" t="str" cm="1">
        <f t="array" ref="K2">_xlfn.IFS(J2&lt;=13,"Child",J2&lt;=18,"Teenager",J2&lt;=30,"Young Adult",J2&lt;=50,"Middle Aged Adult",J2&gt;50,"Senior")</f>
        <v>Young Adult</v>
      </c>
      <c r="L2">
        <v>0</v>
      </c>
      <c r="M2">
        <v>0</v>
      </c>
      <c r="N2" s="1">
        <f>L2+M2+1</f>
        <v>1</v>
      </c>
      <c r="O2" s="1" t="str">
        <f>IF(N2=1,"Single","With Family")</f>
        <v>Single</v>
      </c>
      <c r="P2">
        <v>211.33750000000001</v>
      </c>
      <c r="Q2" s="1" t="str" cm="1">
        <f t="array" ref="Q2">_xlfn.IFS(P2&lt;=50,"Low",P2&lt;=100,"Medium",P2&gt;100,"High")</f>
        <v>High</v>
      </c>
      <c r="R2" t="s">
        <v>17</v>
      </c>
      <c r="S2" s="1" t="str" cm="1">
        <f t="array" ref="S2">_xlfn.IFS(R2="S","Southampton",R2="C","Cherbourg",R2="Q","Queenstown")</f>
        <v>Southampton</v>
      </c>
    </row>
    <row r="3" spans="1:19" x14ac:dyDescent="0.3">
      <c r="A3">
        <v>2</v>
      </c>
      <c r="B3">
        <v>1</v>
      </c>
      <c r="C3" s="1" t="str" cm="1">
        <f t="array" ref="C3">_xlfn.IFS(B3=1,"First Class",B3=2,"Second Class",B3=3,"Third Class")</f>
        <v>First Class</v>
      </c>
      <c r="D3">
        <v>1</v>
      </c>
      <c r="E3" s="1" t="str">
        <f t="shared" ref="E3:E66" si="0">IF(D3=0,"Dead","Alive")</f>
        <v>Alive</v>
      </c>
      <c r="F3" t="s">
        <v>19</v>
      </c>
      <c r="G3" s="1" t="s">
        <v>2996</v>
      </c>
      <c r="H3" t="s">
        <v>20</v>
      </c>
      <c r="I3" s="1" t="str">
        <f t="shared" ref="I3:I66" si="1">PROPER(H3)</f>
        <v>Male</v>
      </c>
      <c r="J3" s="3">
        <v>0.92</v>
      </c>
      <c r="K3" s="3" t="str" cm="1">
        <f t="array" ref="K3">_xlfn.IFS(J3&lt;=13,"Child",J3&lt;=18,"Teenager",J3&lt;=30,"Young Adult",J3&lt;=50,"Middle Aged Adult",J3&gt;50,"Senior")</f>
        <v>Child</v>
      </c>
      <c r="L3">
        <v>1</v>
      </c>
      <c r="M3">
        <v>2</v>
      </c>
      <c r="N3" s="1">
        <f t="shared" ref="N3:N66" si="2">L3+M3+1</f>
        <v>4</v>
      </c>
      <c r="O3" s="1" t="str">
        <f t="shared" ref="O3:O66" si="3">IF(N3=1,"Single","With Family")</f>
        <v>With Family</v>
      </c>
      <c r="P3">
        <v>151.55000000000001</v>
      </c>
      <c r="Q3" s="1" t="str" cm="1">
        <f t="array" ref="Q3">_xlfn.IFS(P3&lt;=50,"Low",P3&lt;=100,"Medium",P3&gt;100,"High")</f>
        <v>High</v>
      </c>
      <c r="R3" t="s">
        <v>17</v>
      </c>
      <c r="S3" s="1" t="str" cm="1">
        <f t="array" ref="S3">_xlfn.IFS(R3="S","Southampton",R3="C","Cherbourg",R3="Q","Queenstown")</f>
        <v>Southampton</v>
      </c>
    </row>
    <row r="4" spans="1:19" x14ac:dyDescent="0.3">
      <c r="A4">
        <v>3</v>
      </c>
      <c r="B4">
        <v>1</v>
      </c>
      <c r="C4" s="1" t="str" cm="1">
        <f t="array" ref="C4">_xlfn.IFS(B4=1,"First Class",B4=2,"Second Class",B4=3,"Third Class")</f>
        <v>First Class</v>
      </c>
      <c r="D4">
        <v>0</v>
      </c>
      <c r="E4" s="1" t="str">
        <f t="shared" si="0"/>
        <v>Dead</v>
      </c>
      <c r="F4" t="s">
        <v>23</v>
      </c>
      <c r="G4" s="1" t="s">
        <v>2994</v>
      </c>
      <c r="H4" t="s">
        <v>15</v>
      </c>
      <c r="I4" s="1" t="str">
        <f t="shared" si="1"/>
        <v>Female</v>
      </c>
      <c r="J4" s="3">
        <v>2</v>
      </c>
      <c r="K4" s="3" t="str" cm="1">
        <f t="array" ref="K4">_xlfn.IFS(J4&lt;=13,"Child",J4&lt;=18,"Teenager",J4&lt;=30,"Young Adult",J4&lt;=50,"Middle Aged Adult",J4&gt;50,"Senior")</f>
        <v>Child</v>
      </c>
      <c r="L4">
        <v>1</v>
      </c>
      <c r="M4">
        <v>2</v>
      </c>
      <c r="N4" s="1">
        <f t="shared" si="2"/>
        <v>4</v>
      </c>
      <c r="O4" s="1" t="str">
        <f t="shared" si="3"/>
        <v>With Family</v>
      </c>
      <c r="P4">
        <v>151.55000000000001</v>
      </c>
      <c r="Q4" s="1" t="str" cm="1">
        <f t="array" ref="Q4">_xlfn.IFS(P4&lt;=50,"Low",P4&lt;=100,"Medium",P4&gt;100,"High")</f>
        <v>High</v>
      </c>
      <c r="R4" t="s">
        <v>17</v>
      </c>
      <c r="S4" s="1" t="str" cm="1">
        <f t="array" ref="S4">_xlfn.IFS(R4="S","Southampton",R4="C","Cherbourg",R4="Q","Queenstown")</f>
        <v>Southampton</v>
      </c>
    </row>
    <row r="5" spans="1:19" x14ac:dyDescent="0.3">
      <c r="A5">
        <v>4</v>
      </c>
      <c r="B5">
        <v>1</v>
      </c>
      <c r="C5" s="1" t="str" cm="1">
        <f t="array" ref="C5">_xlfn.IFS(B5=1,"First Class",B5=2,"Second Class",B5=3,"Third Class")</f>
        <v>First Class</v>
      </c>
      <c r="D5">
        <v>0</v>
      </c>
      <c r="E5" s="1" t="str">
        <f t="shared" si="0"/>
        <v>Dead</v>
      </c>
      <c r="F5" t="s">
        <v>24</v>
      </c>
      <c r="G5" s="1" t="s">
        <v>2999</v>
      </c>
      <c r="H5" t="s">
        <v>20</v>
      </c>
      <c r="I5" s="1" t="str">
        <f t="shared" si="1"/>
        <v>Male</v>
      </c>
      <c r="J5" s="3">
        <v>30</v>
      </c>
      <c r="K5" s="3" t="str" cm="1">
        <f t="array" ref="K5">_xlfn.IFS(J5&lt;=13,"Child",J5&lt;=18,"Teenager",J5&lt;=30,"Young Adult",J5&lt;=50,"Middle Aged Adult",J5&gt;50,"Senior")</f>
        <v>Young Adult</v>
      </c>
      <c r="L5">
        <v>1</v>
      </c>
      <c r="M5">
        <v>2</v>
      </c>
      <c r="N5" s="1">
        <f t="shared" si="2"/>
        <v>4</v>
      </c>
      <c r="O5" s="1" t="str">
        <f t="shared" si="3"/>
        <v>With Family</v>
      </c>
      <c r="P5">
        <v>151.55000000000001</v>
      </c>
      <c r="Q5" s="1" t="str" cm="1">
        <f t="array" ref="Q5">_xlfn.IFS(P5&lt;=50,"Low",P5&lt;=100,"Medium",P5&gt;100,"High")</f>
        <v>High</v>
      </c>
      <c r="R5" t="s">
        <v>17</v>
      </c>
      <c r="S5" s="1" t="str" cm="1">
        <f t="array" ref="S5">_xlfn.IFS(R5="S","Southampton",R5="C","Cherbourg",R5="Q","Queenstown")</f>
        <v>Southampton</v>
      </c>
    </row>
    <row r="6" spans="1:19" x14ac:dyDescent="0.3">
      <c r="A6">
        <v>5</v>
      </c>
      <c r="B6">
        <v>1</v>
      </c>
      <c r="C6" s="1" t="str" cm="1">
        <f t="array" ref="C6">_xlfn.IFS(B6=1,"First Class",B6=2,"Second Class",B6=3,"Third Class")</f>
        <v>First Class</v>
      </c>
      <c r="D6">
        <v>0</v>
      </c>
      <c r="E6" s="1" t="str">
        <f t="shared" si="0"/>
        <v>Dead</v>
      </c>
      <c r="F6" t="s">
        <v>25</v>
      </c>
      <c r="G6" s="1" t="s">
        <v>3001</v>
      </c>
      <c r="H6" t="s">
        <v>15</v>
      </c>
      <c r="I6" s="1" t="str">
        <f t="shared" si="1"/>
        <v>Female</v>
      </c>
      <c r="J6" s="3">
        <v>25</v>
      </c>
      <c r="K6" s="3" t="str" cm="1">
        <f t="array" ref="K6">_xlfn.IFS(J6&lt;=13,"Child",J6&lt;=18,"Teenager",J6&lt;=30,"Young Adult",J6&lt;=50,"Middle Aged Adult",J6&gt;50,"Senior")</f>
        <v>Young Adult</v>
      </c>
      <c r="L6">
        <v>1</v>
      </c>
      <c r="M6">
        <v>2</v>
      </c>
      <c r="N6" s="1">
        <f t="shared" si="2"/>
        <v>4</v>
      </c>
      <c r="O6" s="1" t="str">
        <f t="shared" si="3"/>
        <v>With Family</v>
      </c>
      <c r="P6">
        <v>151.55000000000001</v>
      </c>
      <c r="Q6" s="1" t="str" cm="1">
        <f t="array" ref="Q6">_xlfn.IFS(P6&lt;=50,"Low",P6&lt;=100,"Medium",P6&gt;100,"High")</f>
        <v>High</v>
      </c>
      <c r="R6" t="s">
        <v>17</v>
      </c>
      <c r="S6" s="1" t="str" cm="1">
        <f t="array" ref="S6">_xlfn.IFS(R6="S","Southampton",R6="C","Cherbourg",R6="Q","Queenstown")</f>
        <v>Southampton</v>
      </c>
    </row>
    <row r="7" spans="1:19" x14ac:dyDescent="0.3">
      <c r="A7">
        <v>6</v>
      </c>
      <c r="B7">
        <v>1</v>
      </c>
      <c r="C7" s="1" t="str" cm="1">
        <f t="array" ref="C7">_xlfn.IFS(B7=1,"First Class",B7=2,"Second Class",B7=3,"Third Class")</f>
        <v>First Class</v>
      </c>
      <c r="D7">
        <v>1</v>
      </c>
      <c r="E7" s="1" t="str">
        <f t="shared" si="0"/>
        <v>Alive</v>
      </c>
      <c r="F7" t="s">
        <v>26</v>
      </c>
      <c r="G7" s="1" t="s">
        <v>2999</v>
      </c>
      <c r="H7" t="s">
        <v>20</v>
      </c>
      <c r="I7" s="1" t="str">
        <f t="shared" si="1"/>
        <v>Male</v>
      </c>
      <c r="J7" s="3">
        <v>48</v>
      </c>
      <c r="K7" s="3" t="str" cm="1">
        <f t="array" ref="K7">_xlfn.IFS(J7&lt;=13,"Child",J7&lt;=18,"Teenager",J7&lt;=30,"Young Adult",J7&lt;=50,"Middle Aged Adult",J7&gt;50,"Senior")</f>
        <v>Middle Aged Adult</v>
      </c>
      <c r="L7">
        <v>0</v>
      </c>
      <c r="M7">
        <v>0</v>
      </c>
      <c r="N7" s="1">
        <f t="shared" si="2"/>
        <v>1</v>
      </c>
      <c r="O7" s="1" t="str">
        <f t="shared" si="3"/>
        <v>Single</v>
      </c>
      <c r="P7">
        <v>26.55</v>
      </c>
      <c r="Q7" s="1" t="str" cm="1">
        <f t="array" ref="Q7">_xlfn.IFS(P7&lt;=50,"Low",P7&lt;=100,"Medium",P7&gt;100,"High")</f>
        <v>Low</v>
      </c>
      <c r="R7" t="s">
        <v>17</v>
      </c>
      <c r="S7" s="1" t="str" cm="1">
        <f t="array" ref="S7">_xlfn.IFS(R7="S","Southampton",R7="C","Cherbourg",R7="Q","Queenstown")</f>
        <v>Southampton</v>
      </c>
    </row>
    <row r="8" spans="1:19" x14ac:dyDescent="0.3">
      <c r="A8">
        <v>7</v>
      </c>
      <c r="B8">
        <v>1</v>
      </c>
      <c r="C8" s="1" t="str" cm="1">
        <f t="array" ref="C8">_xlfn.IFS(B8=1,"First Class",B8=2,"Second Class",B8=3,"Third Class")</f>
        <v>First Class</v>
      </c>
      <c r="D8">
        <v>1</v>
      </c>
      <c r="E8" s="1" t="str">
        <f t="shared" si="0"/>
        <v>Alive</v>
      </c>
      <c r="F8" t="s">
        <v>29</v>
      </c>
      <c r="G8" s="1" t="s">
        <v>2994</v>
      </c>
      <c r="H8" t="s">
        <v>15</v>
      </c>
      <c r="I8" s="1" t="str">
        <f t="shared" si="1"/>
        <v>Female</v>
      </c>
      <c r="J8" s="3">
        <v>63</v>
      </c>
      <c r="K8" s="3" t="str" cm="1">
        <f t="array" ref="K8">_xlfn.IFS(J8&lt;=13,"Child",J8&lt;=18,"Teenager",J8&lt;=30,"Young Adult",J8&lt;=50,"Middle Aged Adult",J8&gt;50,"Senior")</f>
        <v>Senior</v>
      </c>
      <c r="L8">
        <v>1</v>
      </c>
      <c r="M8">
        <v>0</v>
      </c>
      <c r="N8" s="1">
        <f t="shared" si="2"/>
        <v>2</v>
      </c>
      <c r="O8" s="1" t="str">
        <f t="shared" si="3"/>
        <v>With Family</v>
      </c>
      <c r="P8">
        <v>77.958299999999994</v>
      </c>
      <c r="Q8" s="1" t="str" cm="1">
        <f t="array" ref="Q8">_xlfn.IFS(P8&lt;=50,"Low",P8&lt;=100,"Medium",P8&gt;100,"High")</f>
        <v>Medium</v>
      </c>
      <c r="R8" t="s">
        <v>17</v>
      </c>
      <c r="S8" s="1" t="str" cm="1">
        <f t="array" ref="S8">_xlfn.IFS(R8="S","Southampton",R8="C","Cherbourg",R8="Q","Queenstown")</f>
        <v>Southampton</v>
      </c>
    </row>
    <row r="9" spans="1:19" x14ac:dyDescent="0.3">
      <c r="A9">
        <v>8</v>
      </c>
      <c r="B9">
        <v>1</v>
      </c>
      <c r="C9" s="1" t="str" cm="1">
        <f t="array" ref="C9">_xlfn.IFS(B9=1,"First Class",B9=2,"Second Class",B9=3,"Third Class")</f>
        <v>First Class</v>
      </c>
      <c r="D9">
        <v>0</v>
      </c>
      <c r="E9" s="1" t="str">
        <f t="shared" si="0"/>
        <v>Dead</v>
      </c>
      <c r="F9" t="s">
        <v>32</v>
      </c>
      <c r="G9" s="1" t="s">
        <v>2999</v>
      </c>
      <c r="H9" t="s">
        <v>20</v>
      </c>
      <c r="I9" s="1" t="str">
        <f t="shared" si="1"/>
        <v>Male</v>
      </c>
      <c r="J9" s="3">
        <v>39</v>
      </c>
      <c r="K9" s="3" t="str" cm="1">
        <f t="array" ref="K9">_xlfn.IFS(J9&lt;=13,"Child",J9&lt;=18,"Teenager",J9&lt;=30,"Young Adult",J9&lt;=50,"Middle Aged Adult",J9&gt;50,"Senior")</f>
        <v>Middle Aged Adult</v>
      </c>
      <c r="L9">
        <v>0</v>
      </c>
      <c r="M9">
        <v>0</v>
      </c>
      <c r="N9" s="1">
        <f t="shared" si="2"/>
        <v>1</v>
      </c>
      <c r="O9" s="1" t="str">
        <f t="shared" si="3"/>
        <v>Single</v>
      </c>
      <c r="P9">
        <v>0</v>
      </c>
      <c r="Q9" s="1" t="str" cm="1">
        <f t="array" ref="Q9">_xlfn.IFS(P9&lt;=50,"Low",P9&lt;=100,"Medium",P9&gt;100,"High")</f>
        <v>Low</v>
      </c>
      <c r="R9" t="s">
        <v>17</v>
      </c>
      <c r="S9" s="1" t="str" cm="1">
        <f t="array" ref="S9">_xlfn.IFS(R9="S","Southampton",R9="C","Cherbourg",R9="Q","Queenstown")</f>
        <v>Southampton</v>
      </c>
    </row>
    <row r="10" spans="1:19" x14ac:dyDescent="0.3">
      <c r="A10">
        <v>9</v>
      </c>
      <c r="B10">
        <v>1</v>
      </c>
      <c r="C10" s="1" t="str" cm="1">
        <f t="array" ref="C10">_xlfn.IFS(B10=1,"First Class",B10=2,"Second Class",B10=3,"Third Class")</f>
        <v>First Class</v>
      </c>
      <c r="D10">
        <v>1</v>
      </c>
      <c r="E10" s="1" t="str">
        <f t="shared" si="0"/>
        <v>Alive</v>
      </c>
      <c r="F10" t="s">
        <v>35</v>
      </c>
      <c r="G10" s="1" t="s">
        <v>3001</v>
      </c>
      <c r="H10" t="s">
        <v>15</v>
      </c>
      <c r="I10" s="1" t="str">
        <f t="shared" si="1"/>
        <v>Female</v>
      </c>
      <c r="J10" s="3">
        <v>53</v>
      </c>
      <c r="K10" s="3" t="str" cm="1">
        <f t="array" ref="K10">_xlfn.IFS(J10&lt;=13,"Child",J10&lt;=18,"Teenager",J10&lt;=30,"Young Adult",J10&lt;=50,"Middle Aged Adult",J10&gt;50,"Senior")</f>
        <v>Senior</v>
      </c>
      <c r="L10">
        <v>2</v>
      </c>
      <c r="M10">
        <v>0</v>
      </c>
      <c r="N10" s="1">
        <f t="shared" si="2"/>
        <v>3</v>
      </c>
      <c r="O10" s="1" t="str">
        <f t="shared" si="3"/>
        <v>With Family</v>
      </c>
      <c r="P10">
        <v>51.479199999999999</v>
      </c>
      <c r="Q10" s="1" t="str" cm="1">
        <f t="array" ref="Q10">_xlfn.IFS(P10&lt;=50,"Low",P10&lt;=100,"Medium",P10&gt;100,"High")</f>
        <v>Medium</v>
      </c>
      <c r="R10" t="s">
        <v>17</v>
      </c>
      <c r="S10" s="1" t="str" cm="1">
        <f t="array" ref="S10">_xlfn.IFS(R10="S","Southampton",R10="C","Cherbourg",R10="Q","Queenstown")</f>
        <v>Southampton</v>
      </c>
    </row>
    <row r="11" spans="1:19" x14ac:dyDescent="0.3">
      <c r="A11">
        <v>10</v>
      </c>
      <c r="B11">
        <v>1</v>
      </c>
      <c r="C11" s="1" t="str" cm="1">
        <f t="array" ref="C11">_xlfn.IFS(B11=1,"First Class",B11=2,"Second Class",B11=3,"Third Class")</f>
        <v>First Class</v>
      </c>
      <c r="D11">
        <v>0</v>
      </c>
      <c r="E11" s="1" t="str">
        <f t="shared" si="0"/>
        <v>Dead</v>
      </c>
      <c r="F11" t="s">
        <v>39</v>
      </c>
      <c r="G11" s="1" t="s">
        <v>2999</v>
      </c>
      <c r="H11" t="s">
        <v>20</v>
      </c>
      <c r="I11" s="1" t="str">
        <f t="shared" si="1"/>
        <v>Male</v>
      </c>
      <c r="J11" s="3">
        <v>71</v>
      </c>
      <c r="K11" s="3" t="str" cm="1">
        <f t="array" ref="K11">_xlfn.IFS(J11&lt;=13,"Child",J11&lt;=18,"Teenager",J11&lt;=30,"Young Adult",J11&lt;=50,"Middle Aged Adult",J11&gt;50,"Senior")</f>
        <v>Senior</v>
      </c>
      <c r="L11">
        <v>0</v>
      </c>
      <c r="M11">
        <v>0</v>
      </c>
      <c r="N11" s="1">
        <f t="shared" si="2"/>
        <v>1</v>
      </c>
      <c r="O11" s="1" t="str">
        <f t="shared" si="3"/>
        <v>Single</v>
      </c>
      <c r="P11">
        <v>49.504199999999997</v>
      </c>
      <c r="Q11" s="1" t="str" cm="1">
        <f t="array" ref="Q11">_xlfn.IFS(P11&lt;=50,"Low",P11&lt;=100,"Medium",P11&gt;100,"High")</f>
        <v>Low</v>
      </c>
      <c r="R11" t="s">
        <v>41</v>
      </c>
      <c r="S11" s="1" t="str" cm="1">
        <f t="array" ref="S11">_xlfn.IFS(R11="S","Southampton",R11="C","Cherbourg",R11="Q","Queenstown")</f>
        <v>Cherbourg</v>
      </c>
    </row>
    <row r="12" spans="1:19" x14ac:dyDescent="0.3">
      <c r="A12">
        <v>11</v>
      </c>
      <c r="B12">
        <v>1</v>
      </c>
      <c r="C12" s="1" t="str" cm="1">
        <f t="array" ref="C12">_xlfn.IFS(B12=1,"First Class",B12=2,"Second Class",B12=3,"Third Class")</f>
        <v>First Class</v>
      </c>
      <c r="D12">
        <v>0</v>
      </c>
      <c r="E12" s="1" t="str">
        <f t="shared" si="0"/>
        <v>Dead</v>
      </c>
      <c r="F12" t="s">
        <v>43</v>
      </c>
      <c r="G12" s="1" t="s">
        <v>3008</v>
      </c>
      <c r="H12" t="s">
        <v>20</v>
      </c>
      <c r="I12" s="1" t="str">
        <f t="shared" si="1"/>
        <v>Male</v>
      </c>
      <c r="J12" s="3">
        <v>47</v>
      </c>
      <c r="K12" s="3" t="str" cm="1">
        <f t="array" ref="K12">_xlfn.IFS(J12&lt;=13,"Child",J12&lt;=18,"Teenager",J12&lt;=30,"Young Adult",J12&lt;=50,"Middle Aged Adult",J12&gt;50,"Senior")</f>
        <v>Middle Aged Adult</v>
      </c>
      <c r="L12">
        <v>1</v>
      </c>
      <c r="M12">
        <v>0</v>
      </c>
      <c r="N12" s="1">
        <f t="shared" si="2"/>
        <v>2</v>
      </c>
      <c r="O12" s="1" t="str">
        <f t="shared" si="3"/>
        <v>With Family</v>
      </c>
      <c r="P12">
        <v>227.52500000000001</v>
      </c>
      <c r="Q12" s="1" t="str" cm="1">
        <f t="array" ref="Q12">_xlfn.IFS(P12&lt;=50,"Low",P12&lt;=100,"Medium",P12&gt;100,"High")</f>
        <v>High</v>
      </c>
      <c r="R12" t="s">
        <v>41</v>
      </c>
      <c r="S12" s="1" t="str" cm="1">
        <f t="array" ref="S12">_xlfn.IFS(R12="S","Southampton",R12="C","Cherbourg",R12="Q","Queenstown")</f>
        <v>Cherbourg</v>
      </c>
    </row>
    <row r="13" spans="1:19" x14ac:dyDescent="0.3">
      <c r="A13">
        <v>12</v>
      </c>
      <c r="B13">
        <v>1</v>
      </c>
      <c r="C13" s="1" t="str" cm="1">
        <f t="array" ref="C13">_xlfn.IFS(B13=1,"First Class",B13=2,"Second Class",B13=3,"Third Class")</f>
        <v>First Class</v>
      </c>
      <c r="D13">
        <v>1</v>
      </c>
      <c r="E13" s="1" t="str">
        <f t="shared" si="0"/>
        <v>Alive</v>
      </c>
      <c r="F13" t="s">
        <v>46</v>
      </c>
      <c r="G13" s="1" t="s">
        <v>3001</v>
      </c>
      <c r="H13" t="s">
        <v>15</v>
      </c>
      <c r="I13" s="1" t="str">
        <f t="shared" si="1"/>
        <v>Female</v>
      </c>
      <c r="J13" s="3">
        <v>18</v>
      </c>
      <c r="K13" s="3" t="str" cm="1">
        <f t="array" ref="K13">_xlfn.IFS(J13&lt;=13,"Child",J13&lt;=18,"Teenager",J13&lt;=30,"Young Adult",J13&lt;=50,"Middle Aged Adult",J13&gt;50,"Senior")</f>
        <v>Teenager</v>
      </c>
      <c r="L13">
        <v>1</v>
      </c>
      <c r="M13">
        <v>0</v>
      </c>
      <c r="N13" s="1">
        <f t="shared" si="2"/>
        <v>2</v>
      </c>
      <c r="O13" s="1" t="str">
        <f t="shared" si="3"/>
        <v>With Family</v>
      </c>
      <c r="P13">
        <v>227.52500000000001</v>
      </c>
      <c r="Q13" s="1" t="str" cm="1">
        <f t="array" ref="Q13">_xlfn.IFS(P13&lt;=50,"Low",P13&lt;=100,"Medium",P13&gt;100,"High")</f>
        <v>High</v>
      </c>
      <c r="R13" t="s">
        <v>41</v>
      </c>
      <c r="S13" s="1" t="str" cm="1">
        <f t="array" ref="S13">_xlfn.IFS(R13="S","Southampton",R13="C","Cherbourg",R13="Q","Queenstown")</f>
        <v>Cherbourg</v>
      </c>
    </row>
    <row r="14" spans="1:19" x14ac:dyDescent="0.3">
      <c r="A14">
        <v>13</v>
      </c>
      <c r="B14">
        <v>1</v>
      </c>
      <c r="C14" s="1" t="str" cm="1">
        <f t="array" ref="C14">_xlfn.IFS(B14=1,"First Class",B14=2,"Second Class",B14=3,"Third Class")</f>
        <v>First Class</v>
      </c>
      <c r="D14">
        <v>1</v>
      </c>
      <c r="E14" s="1" t="str">
        <f t="shared" si="0"/>
        <v>Alive</v>
      </c>
      <c r="F14" t="s">
        <v>47</v>
      </c>
      <c r="G14" s="1" t="s">
        <v>3011</v>
      </c>
      <c r="H14" t="s">
        <v>15</v>
      </c>
      <c r="I14" s="1" t="str">
        <f t="shared" si="1"/>
        <v>Female</v>
      </c>
      <c r="J14" s="3">
        <v>24</v>
      </c>
      <c r="K14" s="3" t="str" cm="1">
        <f t="array" ref="K14">_xlfn.IFS(J14&lt;=13,"Child",J14&lt;=18,"Teenager",J14&lt;=30,"Young Adult",J14&lt;=50,"Middle Aged Adult",J14&gt;50,"Senior")</f>
        <v>Young Adult</v>
      </c>
      <c r="L14">
        <v>0</v>
      </c>
      <c r="M14">
        <v>0</v>
      </c>
      <c r="N14" s="1">
        <f t="shared" si="2"/>
        <v>1</v>
      </c>
      <c r="O14" s="1" t="str">
        <f t="shared" si="3"/>
        <v>Single</v>
      </c>
      <c r="P14">
        <v>69.3</v>
      </c>
      <c r="Q14" s="1" t="str" cm="1">
        <f t="array" ref="Q14">_xlfn.IFS(P14&lt;=50,"Low",P14&lt;=100,"Medium",P14&gt;100,"High")</f>
        <v>Medium</v>
      </c>
      <c r="R14" t="s">
        <v>41</v>
      </c>
      <c r="S14" s="1" t="str" cm="1">
        <f t="array" ref="S14">_xlfn.IFS(R14="S","Southampton",R14="C","Cherbourg",R14="Q","Queenstown")</f>
        <v>Cherbourg</v>
      </c>
    </row>
    <row r="15" spans="1:19" x14ac:dyDescent="0.3">
      <c r="A15">
        <v>14</v>
      </c>
      <c r="B15">
        <v>1</v>
      </c>
      <c r="C15" s="1" t="str" cm="1">
        <f t="array" ref="C15">_xlfn.IFS(B15=1,"First Class",B15=2,"Second Class",B15=3,"Third Class")</f>
        <v>First Class</v>
      </c>
      <c r="D15">
        <v>1</v>
      </c>
      <c r="E15" s="1" t="str">
        <f t="shared" si="0"/>
        <v>Alive</v>
      </c>
      <c r="F15" t="s">
        <v>51</v>
      </c>
      <c r="G15" s="1" t="s">
        <v>2994</v>
      </c>
      <c r="H15" t="s">
        <v>15</v>
      </c>
      <c r="I15" s="1" t="str">
        <f t="shared" si="1"/>
        <v>Female</v>
      </c>
      <c r="J15" s="3">
        <v>26</v>
      </c>
      <c r="K15" s="3" t="str" cm="1">
        <f t="array" ref="K15">_xlfn.IFS(J15&lt;=13,"Child",J15&lt;=18,"Teenager",J15&lt;=30,"Young Adult",J15&lt;=50,"Middle Aged Adult",J15&gt;50,"Senior")</f>
        <v>Young Adult</v>
      </c>
      <c r="L15">
        <v>0</v>
      </c>
      <c r="M15">
        <v>0</v>
      </c>
      <c r="N15" s="1">
        <f t="shared" si="2"/>
        <v>1</v>
      </c>
      <c r="O15" s="1" t="str">
        <f t="shared" si="3"/>
        <v>Single</v>
      </c>
      <c r="P15">
        <v>78.849999999999994</v>
      </c>
      <c r="Q15" s="1" t="str" cm="1">
        <f t="array" ref="Q15">_xlfn.IFS(P15&lt;=50,"Low",P15&lt;=100,"Medium",P15&gt;100,"High")</f>
        <v>Medium</v>
      </c>
      <c r="R15" t="s">
        <v>17</v>
      </c>
      <c r="S15" s="1" t="str" cm="1">
        <f t="array" ref="S15">_xlfn.IFS(R15="S","Southampton",R15="C","Cherbourg",R15="Q","Queenstown")</f>
        <v>Southampton</v>
      </c>
    </row>
    <row r="16" spans="1:19" x14ac:dyDescent="0.3">
      <c r="A16">
        <v>15</v>
      </c>
      <c r="B16">
        <v>1</v>
      </c>
      <c r="C16" s="1" t="str" cm="1">
        <f t="array" ref="C16">_xlfn.IFS(B16=1,"First Class",B16=2,"Second Class",B16=3,"Third Class")</f>
        <v>First Class</v>
      </c>
      <c r="D16">
        <v>1</v>
      </c>
      <c r="E16" s="1" t="str">
        <f t="shared" si="0"/>
        <v>Alive</v>
      </c>
      <c r="F16" t="s">
        <v>52</v>
      </c>
      <c r="G16" s="1" t="s">
        <v>2999</v>
      </c>
      <c r="H16" t="s">
        <v>20</v>
      </c>
      <c r="I16" s="1" t="str">
        <f t="shared" si="1"/>
        <v>Male</v>
      </c>
      <c r="J16" s="3">
        <v>80</v>
      </c>
      <c r="K16" s="3" t="str" cm="1">
        <f t="array" ref="K16">_xlfn.IFS(J16&lt;=13,"Child",J16&lt;=18,"Teenager",J16&lt;=30,"Young Adult",J16&lt;=50,"Middle Aged Adult",J16&gt;50,"Senior")</f>
        <v>Senior</v>
      </c>
      <c r="L16">
        <v>0</v>
      </c>
      <c r="M16">
        <v>0</v>
      </c>
      <c r="N16" s="1">
        <f t="shared" si="2"/>
        <v>1</v>
      </c>
      <c r="O16" s="1" t="str">
        <f t="shared" si="3"/>
        <v>Single</v>
      </c>
      <c r="P16">
        <v>30</v>
      </c>
      <c r="Q16" s="1" t="str" cm="1">
        <f t="array" ref="Q16">_xlfn.IFS(P16&lt;=50,"Low",P16&lt;=100,"Medium",P16&gt;100,"High")</f>
        <v>Low</v>
      </c>
      <c r="R16" t="s">
        <v>17</v>
      </c>
      <c r="S16" s="1" t="str" cm="1">
        <f t="array" ref="S16">_xlfn.IFS(R16="S","Southampton",R16="C","Cherbourg",R16="Q","Queenstown")</f>
        <v>Southampton</v>
      </c>
    </row>
    <row r="17" spans="1:19" x14ac:dyDescent="0.3">
      <c r="A17">
        <v>16</v>
      </c>
      <c r="B17">
        <v>1</v>
      </c>
      <c r="C17" s="1" t="str" cm="1">
        <f t="array" ref="C17">_xlfn.IFS(B17=1,"First Class",B17=2,"Second Class",B17=3,"Third Class")</f>
        <v>First Class</v>
      </c>
      <c r="D17">
        <v>0</v>
      </c>
      <c r="E17" s="1" t="str">
        <f t="shared" si="0"/>
        <v>Dead</v>
      </c>
      <c r="F17" t="s">
        <v>56</v>
      </c>
      <c r="G17" s="1" t="s">
        <v>2999</v>
      </c>
      <c r="H17" t="s">
        <v>20</v>
      </c>
      <c r="I17" s="1" t="str">
        <f t="shared" si="1"/>
        <v>Male</v>
      </c>
      <c r="J17" s="3">
        <v>29.881137667304014</v>
      </c>
      <c r="K17" s="3" t="str" cm="1">
        <f t="array" ref="K17">_xlfn.IFS(J17&lt;=13,"Child",J17&lt;=18,"Teenager",J17&lt;=30,"Young Adult",J17&lt;=50,"Middle Aged Adult",J17&gt;50,"Senior")</f>
        <v>Young Adult</v>
      </c>
      <c r="L17">
        <v>0</v>
      </c>
      <c r="M17">
        <v>0</v>
      </c>
      <c r="N17" s="1">
        <f t="shared" si="2"/>
        <v>1</v>
      </c>
      <c r="O17" s="1" t="str">
        <f t="shared" si="3"/>
        <v>Single</v>
      </c>
      <c r="P17">
        <v>25.925000000000001</v>
      </c>
      <c r="Q17" s="1" t="str" cm="1">
        <f t="array" ref="Q17">_xlfn.IFS(P17&lt;=50,"Low",P17&lt;=100,"Medium",P17&gt;100,"High")</f>
        <v>Low</v>
      </c>
      <c r="R17" t="s">
        <v>17</v>
      </c>
      <c r="S17" s="1" t="str" cm="1">
        <f t="array" ref="S17">_xlfn.IFS(R17="S","Southampton",R17="C","Cherbourg",R17="Q","Queenstown")</f>
        <v>Southampton</v>
      </c>
    </row>
    <row r="18" spans="1:19" x14ac:dyDescent="0.3">
      <c r="A18">
        <v>17</v>
      </c>
      <c r="B18">
        <v>1</v>
      </c>
      <c r="C18" s="1" t="str" cm="1">
        <f t="array" ref="C18">_xlfn.IFS(B18=1,"First Class",B18=2,"Second Class",B18=3,"Third Class")</f>
        <v>First Class</v>
      </c>
      <c r="D18">
        <v>0</v>
      </c>
      <c r="E18" s="1" t="str">
        <f t="shared" si="0"/>
        <v>Dead</v>
      </c>
      <c r="F18" t="s">
        <v>58</v>
      </c>
      <c r="G18" s="1" t="s">
        <v>2999</v>
      </c>
      <c r="H18" t="s">
        <v>20</v>
      </c>
      <c r="I18" s="1" t="str">
        <f t="shared" si="1"/>
        <v>Male</v>
      </c>
      <c r="J18" s="3">
        <v>24</v>
      </c>
      <c r="K18" s="3" t="str" cm="1">
        <f t="array" ref="K18">_xlfn.IFS(J18&lt;=13,"Child",J18&lt;=18,"Teenager",J18&lt;=30,"Young Adult",J18&lt;=50,"Middle Aged Adult",J18&gt;50,"Senior")</f>
        <v>Young Adult</v>
      </c>
      <c r="L18">
        <v>0</v>
      </c>
      <c r="M18">
        <v>1</v>
      </c>
      <c r="N18" s="1">
        <f t="shared" si="2"/>
        <v>2</v>
      </c>
      <c r="O18" s="1" t="str">
        <f t="shared" si="3"/>
        <v>With Family</v>
      </c>
      <c r="P18">
        <v>247.52080000000001</v>
      </c>
      <c r="Q18" s="1" t="str" cm="1">
        <f t="array" ref="Q18">_xlfn.IFS(P18&lt;=50,"Low",P18&lt;=100,"Medium",P18&gt;100,"High")</f>
        <v>High</v>
      </c>
      <c r="R18" t="s">
        <v>41</v>
      </c>
      <c r="S18" s="1" t="str" cm="1">
        <f t="array" ref="S18">_xlfn.IFS(R18="S","Southampton",R18="C","Cherbourg",R18="Q","Queenstown")</f>
        <v>Cherbourg</v>
      </c>
    </row>
    <row r="19" spans="1:19" x14ac:dyDescent="0.3">
      <c r="A19">
        <v>18</v>
      </c>
      <c r="B19">
        <v>1</v>
      </c>
      <c r="C19" s="1" t="str" cm="1">
        <f t="array" ref="C19">_xlfn.IFS(B19=1,"First Class",B19=2,"Second Class",B19=3,"Third Class")</f>
        <v>First Class</v>
      </c>
      <c r="D19">
        <v>1</v>
      </c>
      <c r="E19" s="1" t="str">
        <f t="shared" si="0"/>
        <v>Alive</v>
      </c>
      <c r="F19" t="s">
        <v>62</v>
      </c>
      <c r="G19" s="1" t="s">
        <v>3001</v>
      </c>
      <c r="H19" t="s">
        <v>15</v>
      </c>
      <c r="I19" s="1" t="str">
        <f t="shared" si="1"/>
        <v>Female</v>
      </c>
      <c r="J19" s="3">
        <v>50</v>
      </c>
      <c r="K19" s="3" t="str" cm="1">
        <f t="array" ref="K19">_xlfn.IFS(J19&lt;=13,"Child",J19&lt;=18,"Teenager",J19&lt;=30,"Young Adult",J19&lt;=50,"Middle Aged Adult",J19&gt;50,"Senior")</f>
        <v>Middle Aged Adult</v>
      </c>
      <c r="L19">
        <v>0</v>
      </c>
      <c r="M19">
        <v>1</v>
      </c>
      <c r="N19" s="1">
        <f t="shared" si="2"/>
        <v>2</v>
      </c>
      <c r="O19" s="1" t="str">
        <f t="shared" si="3"/>
        <v>With Family</v>
      </c>
      <c r="P19">
        <v>247.52080000000001</v>
      </c>
      <c r="Q19" s="1" t="str" cm="1">
        <f t="array" ref="Q19">_xlfn.IFS(P19&lt;=50,"Low",P19&lt;=100,"Medium",P19&gt;100,"High")</f>
        <v>High</v>
      </c>
      <c r="R19" t="s">
        <v>41</v>
      </c>
      <c r="S19" s="1" t="str" cm="1">
        <f t="array" ref="S19">_xlfn.IFS(R19="S","Southampton",R19="C","Cherbourg",R19="Q","Queenstown")</f>
        <v>Cherbourg</v>
      </c>
    </row>
    <row r="20" spans="1:19" x14ac:dyDescent="0.3">
      <c r="A20">
        <v>19</v>
      </c>
      <c r="B20">
        <v>1</v>
      </c>
      <c r="C20" s="1" t="str" cm="1">
        <f t="array" ref="C20">_xlfn.IFS(B20=1,"First Class",B20=2,"Second Class",B20=3,"Third Class")</f>
        <v>First Class</v>
      </c>
      <c r="D20">
        <v>1</v>
      </c>
      <c r="E20" s="1" t="str">
        <f t="shared" si="0"/>
        <v>Alive</v>
      </c>
      <c r="F20" t="s">
        <v>63</v>
      </c>
      <c r="G20" s="1" t="s">
        <v>2994</v>
      </c>
      <c r="H20" t="s">
        <v>15</v>
      </c>
      <c r="I20" s="1" t="str">
        <f t="shared" si="1"/>
        <v>Female</v>
      </c>
      <c r="J20" s="3">
        <v>32</v>
      </c>
      <c r="K20" s="3" t="str" cm="1">
        <f t="array" ref="K20">_xlfn.IFS(J20&lt;=13,"Child",J20&lt;=18,"Teenager",J20&lt;=30,"Young Adult",J20&lt;=50,"Middle Aged Adult",J20&gt;50,"Senior")</f>
        <v>Middle Aged Adult</v>
      </c>
      <c r="L20">
        <v>0</v>
      </c>
      <c r="M20">
        <v>0</v>
      </c>
      <c r="N20" s="1">
        <f t="shared" si="2"/>
        <v>1</v>
      </c>
      <c r="O20" s="1" t="str">
        <f t="shared" si="3"/>
        <v>Single</v>
      </c>
      <c r="P20">
        <v>76.291700000000006</v>
      </c>
      <c r="Q20" s="1" t="str" cm="1">
        <f t="array" ref="Q20">_xlfn.IFS(P20&lt;=50,"Low",P20&lt;=100,"Medium",P20&gt;100,"High")</f>
        <v>Medium</v>
      </c>
      <c r="R20" t="s">
        <v>41</v>
      </c>
      <c r="S20" s="1" t="str" cm="1">
        <f t="array" ref="S20">_xlfn.IFS(R20="S","Southampton",R20="C","Cherbourg",R20="Q","Queenstown")</f>
        <v>Cherbourg</v>
      </c>
    </row>
    <row r="21" spans="1:19" x14ac:dyDescent="0.3">
      <c r="A21">
        <v>20</v>
      </c>
      <c r="B21">
        <v>1</v>
      </c>
      <c r="C21" s="1" t="str" cm="1">
        <f t="array" ref="C21">_xlfn.IFS(B21=1,"First Class",B21=2,"Second Class",B21=3,"Third Class")</f>
        <v>First Class</v>
      </c>
      <c r="D21">
        <v>0</v>
      </c>
      <c r="E21" s="1" t="str">
        <f t="shared" si="0"/>
        <v>Dead</v>
      </c>
      <c r="F21" t="s">
        <v>65</v>
      </c>
      <c r="G21" s="1" t="s">
        <v>2999</v>
      </c>
      <c r="H21" t="s">
        <v>20</v>
      </c>
      <c r="I21" s="1" t="str">
        <f t="shared" si="1"/>
        <v>Male</v>
      </c>
      <c r="J21" s="3">
        <v>36</v>
      </c>
      <c r="K21" s="3" t="str" cm="1">
        <f t="array" ref="K21">_xlfn.IFS(J21&lt;=13,"Child",J21&lt;=18,"Teenager",J21&lt;=30,"Young Adult",J21&lt;=50,"Middle Aged Adult",J21&gt;50,"Senior")</f>
        <v>Middle Aged Adult</v>
      </c>
      <c r="L21">
        <v>0</v>
      </c>
      <c r="M21">
        <v>0</v>
      </c>
      <c r="N21" s="1">
        <f t="shared" si="2"/>
        <v>1</v>
      </c>
      <c r="O21" s="1" t="str">
        <f t="shared" si="3"/>
        <v>Single</v>
      </c>
      <c r="P21">
        <v>75.241699999999994</v>
      </c>
      <c r="Q21" s="1" t="str" cm="1">
        <f t="array" ref="Q21">_xlfn.IFS(P21&lt;=50,"Low",P21&lt;=100,"Medium",P21&gt;100,"High")</f>
        <v>Medium</v>
      </c>
      <c r="R21" t="s">
        <v>41</v>
      </c>
      <c r="S21" s="1" t="str" cm="1">
        <f t="array" ref="S21">_xlfn.IFS(R21="S","Southampton",R21="C","Cherbourg",R21="Q","Queenstown")</f>
        <v>Cherbourg</v>
      </c>
    </row>
    <row r="22" spans="1:19" x14ac:dyDescent="0.3">
      <c r="A22">
        <v>21</v>
      </c>
      <c r="B22">
        <v>1</v>
      </c>
      <c r="C22" s="1" t="str" cm="1">
        <f t="array" ref="C22">_xlfn.IFS(B22=1,"First Class",B22=2,"Second Class",B22=3,"Third Class")</f>
        <v>First Class</v>
      </c>
      <c r="D22">
        <v>1</v>
      </c>
      <c r="E22" s="1" t="str">
        <f t="shared" si="0"/>
        <v>Alive</v>
      </c>
      <c r="F22" t="s">
        <v>69</v>
      </c>
      <c r="G22" s="1" t="s">
        <v>2999</v>
      </c>
      <c r="H22" t="s">
        <v>20</v>
      </c>
      <c r="I22" s="1" t="str">
        <f t="shared" si="1"/>
        <v>Male</v>
      </c>
      <c r="J22" s="3">
        <v>37</v>
      </c>
      <c r="K22" s="3" t="str" cm="1">
        <f t="array" ref="K22">_xlfn.IFS(J22&lt;=13,"Child",J22&lt;=18,"Teenager",J22&lt;=30,"Young Adult",J22&lt;=50,"Middle Aged Adult",J22&gt;50,"Senior")</f>
        <v>Middle Aged Adult</v>
      </c>
      <c r="L22">
        <v>1</v>
      </c>
      <c r="M22">
        <v>1</v>
      </c>
      <c r="N22" s="1">
        <f t="shared" si="2"/>
        <v>3</v>
      </c>
      <c r="O22" s="1" t="str">
        <f t="shared" si="3"/>
        <v>With Family</v>
      </c>
      <c r="P22">
        <v>52.554200000000002</v>
      </c>
      <c r="Q22" s="1" t="str" cm="1">
        <f t="array" ref="Q22">_xlfn.IFS(P22&lt;=50,"Low",P22&lt;=100,"Medium",P22&gt;100,"High")</f>
        <v>Medium</v>
      </c>
      <c r="R22" t="s">
        <v>17</v>
      </c>
      <c r="S22" s="1" t="str" cm="1">
        <f t="array" ref="S22">_xlfn.IFS(R22="S","Southampton",R22="C","Cherbourg",R22="Q","Queenstown")</f>
        <v>Southampton</v>
      </c>
    </row>
    <row r="23" spans="1:19" x14ac:dyDescent="0.3">
      <c r="A23">
        <v>22</v>
      </c>
      <c r="B23">
        <v>1</v>
      </c>
      <c r="C23" s="1" t="str" cm="1">
        <f t="array" ref="C23">_xlfn.IFS(B23=1,"First Class",B23=2,"Second Class",B23=3,"Third Class")</f>
        <v>First Class</v>
      </c>
      <c r="D23">
        <v>1</v>
      </c>
      <c r="E23" s="1" t="str">
        <f t="shared" si="0"/>
        <v>Alive</v>
      </c>
      <c r="F23" t="s">
        <v>71</v>
      </c>
      <c r="G23" s="1" t="s">
        <v>3001</v>
      </c>
      <c r="H23" t="s">
        <v>15</v>
      </c>
      <c r="I23" s="1" t="str">
        <f t="shared" si="1"/>
        <v>Female</v>
      </c>
      <c r="J23" s="3">
        <v>47</v>
      </c>
      <c r="K23" s="3" t="str" cm="1">
        <f t="array" ref="K23">_xlfn.IFS(J23&lt;=13,"Child",J23&lt;=18,"Teenager",J23&lt;=30,"Young Adult",J23&lt;=50,"Middle Aged Adult",J23&gt;50,"Senior")</f>
        <v>Middle Aged Adult</v>
      </c>
      <c r="L23">
        <v>1</v>
      </c>
      <c r="M23">
        <v>1</v>
      </c>
      <c r="N23" s="1">
        <f t="shared" si="2"/>
        <v>3</v>
      </c>
      <c r="O23" s="1" t="str">
        <f t="shared" si="3"/>
        <v>With Family</v>
      </c>
      <c r="P23">
        <v>52.554200000000002</v>
      </c>
      <c r="Q23" s="1" t="str" cm="1">
        <f t="array" ref="Q23">_xlfn.IFS(P23&lt;=50,"Low",P23&lt;=100,"Medium",P23&gt;100,"High")</f>
        <v>Medium</v>
      </c>
      <c r="R23" t="s">
        <v>17</v>
      </c>
      <c r="S23" s="1" t="str" cm="1">
        <f t="array" ref="S23">_xlfn.IFS(R23="S","Southampton",R23="C","Cherbourg",R23="Q","Queenstown")</f>
        <v>Southampton</v>
      </c>
    </row>
    <row r="24" spans="1:19" x14ac:dyDescent="0.3">
      <c r="A24">
        <v>23</v>
      </c>
      <c r="B24">
        <v>1</v>
      </c>
      <c r="C24" s="1" t="str" cm="1">
        <f t="array" ref="C24">_xlfn.IFS(B24=1,"First Class",B24=2,"Second Class",B24=3,"Third Class")</f>
        <v>First Class</v>
      </c>
      <c r="D24">
        <v>1</v>
      </c>
      <c r="E24" s="1" t="str">
        <f t="shared" si="0"/>
        <v>Alive</v>
      </c>
      <c r="F24" t="s">
        <v>72</v>
      </c>
      <c r="G24" s="1" t="s">
        <v>2999</v>
      </c>
      <c r="H24" t="s">
        <v>20</v>
      </c>
      <c r="I24" s="1" t="str">
        <f t="shared" si="1"/>
        <v>Male</v>
      </c>
      <c r="J24" s="3">
        <v>26</v>
      </c>
      <c r="K24" s="3" t="str" cm="1">
        <f t="array" ref="K24">_xlfn.IFS(J24&lt;=13,"Child",J24&lt;=18,"Teenager",J24&lt;=30,"Young Adult",J24&lt;=50,"Middle Aged Adult",J24&gt;50,"Senior")</f>
        <v>Young Adult</v>
      </c>
      <c r="L24">
        <v>0</v>
      </c>
      <c r="M24">
        <v>0</v>
      </c>
      <c r="N24" s="1">
        <f t="shared" si="2"/>
        <v>1</v>
      </c>
      <c r="O24" s="1" t="str">
        <f t="shared" si="3"/>
        <v>Single</v>
      </c>
      <c r="P24">
        <v>30</v>
      </c>
      <c r="Q24" s="1" t="str" cm="1">
        <f t="array" ref="Q24">_xlfn.IFS(P24&lt;=50,"Low",P24&lt;=100,"Medium",P24&gt;100,"High")</f>
        <v>Low</v>
      </c>
      <c r="R24" t="s">
        <v>41</v>
      </c>
      <c r="S24" s="1" t="str" cm="1">
        <f t="array" ref="S24">_xlfn.IFS(R24="S","Southampton",R24="C","Cherbourg",R24="Q","Queenstown")</f>
        <v>Cherbourg</v>
      </c>
    </row>
    <row r="25" spans="1:19" x14ac:dyDescent="0.3">
      <c r="A25">
        <v>24</v>
      </c>
      <c r="B25">
        <v>1</v>
      </c>
      <c r="C25" s="1" t="str" cm="1">
        <f t="array" ref="C25">_xlfn.IFS(B25=1,"First Class",B25=2,"Second Class",B25=3,"Third Class")</f>
        <v>First Class</v>
      </c>
      <c r="D25">
        <v>1</v>
      </c>
      <c r="E25" s="1" t="str">
        <f t="shared" si="0"/>
        <v>Alive</v>
      </c>
      <c r="F25" t="s">
        <v>74</v>
      </c>
      <c r="G25" s="1" t="s">
        <v>2994</v>
      </c>
      <c r="H25" t="s">
        <v>15</v>
      </c>
      <c r="I25" s="1" t="str">
        <f t="shared" si="1"/>
        <v>Female</v>
      </c>
      <c r="J25" s="3">
        <v>42</v>
      </c>
      <c r="K25" s="3" t="str" cm="1">
        <f t="array" ref="K25">_xlfn.IFS(J25&lt;=13,"Child",J25&lt;=18,"Teenager",J25&lt;=30,"Young Adult",J25&lt;=50,"Middle Aged Adult",J25&gt;50,"Senior")</f>
        <v>Middle Aged Adult</v>
      </c>
      <c r="L25">
        <v>0</v>
      </c>
      <c r="M25">
        <v>0</v>
      </c>
      <c r="N25" s="1">
        <f t="shared" si="2"/>
        <v>1</v>
      </c>
      <c r="O25" s="1" t="str">
        <f t="shared" si="3"/>
        <v>Single</v>
      </c>
      <c r="P25">
        <v>227.52500000000001</v>
      </c>
      <c r="Q25" s="1" t="str" cm="1">
        <f t="array" ref="Q25">_xlfn.IFS(P25&lt;=50,"Low",P25&lt;=100,"Medium",P25&gt;100,"High")</f>
        <v>High</v>
      </c>
      <c r="R25" t="s">
        <v>41</v>
      </c>
      <c r="S25" s="1" t="str" cm="1">
        <f t="array" ref="S25">_xlfn.IFS(R25="S","Southampton",R25="C","Cherbourg",R25="Q","Queenstown")</f>
        <v>Cherbourg</v>
      </c>
    </row>
    <row r="26" spans="1:19" x14ac:dyDescent="0.3">
      <c r="A26">
        <v>25</v>
      </c>
      <c r="B26">
        <v>1</v>
      </c>
      <c r="C26" s="1" t="str" cm="1">
        <f t="array" ref="C26">_xlfn.IFS(B26=1,"First Class",B26=2,"Second Class",B26=3,"Third Class")</f>
        <v>First Class</v>
      </c>
      <c r="D26">
        <v>1</v>
      </c>
      <c r="E26" s="1" t="str">
        <f t="shared" si="0"/>
        <v>Alive</v>
      </c>
      <c r="F26" t="s">
        <v>75</v>
      </c>
      <c r="G26" s="1" t="s">
        <v>2994</v>
      </c>
      <c r="H26" t="s">
        <v>15</v>
      </c>
      <c r="I26" s="1" t="str">
        <f t="shared" si="1"/>
        <v>Female</v>
      </c>
      <c r="J26" s="3">
        <v>29</v>
      </c>
      <c r="K26" s="3" t="str" cm="1">
        <f t="array" ref="K26">_xlfn.IFS(J26&lt;=13,"Child",J26&lt;=18,"Teenager",J26&lt;=30,"Young Adult",J26&lt;=50,"Middle Aged Adult",J26&gt;50,"Senior")</f>
        <v>Young Adult</v>
      </c>
      <c r="L26">
        <v>0</v>
      </c>
      <c r="M26">
        <v>0</v>
      </c>
      <c r="N26" s="1">
        <f t="shared" si="2"/>
        <v>1</v>
      </c>
      <c r="O26" s="1" t="str">
        <f t="shared" si="3"/>
        <v>Single</v>
      </c>
      <c r="P26">
        <v>221.7792</v>
      </c>
      <c r="Q26" s="1" t="str" cm="1">
        <f t="array" ref="Q26">_xlfn.IFS(P26&lt;=50,"Low",P26&lt;=100,"Medium",P26&gt;100,"High")</f>
        <v>High</v>
      </c>
      <c r="R26" t="s">
        <v>17</v>
      </c>
      <c r="S26" s="1" t="str" cm="1">
        <f t="array" ref="S26">_xlfn.IFS(R26="S","Southampton",R26="C","Cherbourg",R26="Q","Queenstown")</f>
        <v>Southampton</v>
      </c>
    </row>
    <row r="27" spans="1:19" x14ac:dyDescent="0.3">
      <c r="A27">
        <v>26</v>
      </c>
      <c r="B27">
        <v>1</v>
      </c>
      <c r="C27" s="1" t="str" cm="1">
        <f t="array" ref="C27">_xlfn.IFS(B27=1,"First Class",B27=2,"Second Class",B27=3,"Third Class")</f>
        <v>First Class</v>
      </c>
      <c r="D27">
        <v>0</v>
      </c>
      <c r="E27" s="1" t="str">
        <f t="shared" si="0"/>
        <v>Dead</v>
      </c>
      <c r="F27" t="s">
        <v>78</v>
      </c>
      <c r="G27" s="1" t="s">
        <v>2999</v>
      </c>
      <c r="H27" t="s">
        <v>20</v>
      </c>
      <c r="I27" s="1" t="str">
        <f t="shared" si="1"/>
        <v>Male</v>
      </c>
      <c r="J27" s="3">
        <v>25</v>
      </c>
      <c r="K27" s="3" t="str" cm="1">
        <f t="array" ref="K27">_xlfn.IFS(J27&lt;=13,"Child",J27&lt;=18,"Teenager",J27&lt;=30,"Young Adult",J27&lt;=50,"Middle Aged Adult",J27&gt;50,"Senior")</f>
        <v>Young Adult</v>
      </c>
      <c r="L27">
        <v>0</v>
      </c>
      <c r="M27">
        <v>0</v>
      </c>
      <c r="N27" s="1">
        <f t="shared" si="2"/>
        <v>1</v>
      </c>
      <c r="O27" s="1" t="str">
        <f t="shared" si="3"/>
        <v>Single</v>
      </c>
      <c r="P27">
        <v>26</v>
      </c>
      <c r="Q27" s="1" t="str" cm="1">
        <f t="array" ref="Q27">_xlfn.IFS(P27&lt;=50,"Low",P27&lt;=100,"Medium",P27&gt;100,"High")</f>
        <v>Low</v>
      </c>
      <c r="R27" t="s">
        <v>41</v>
      </c>
      <c r="S27" s="1" t="str" cm="1">
        <f t="array" ref="S27">_xlfn.IFS(R27="S","Southampton",R27="C","Cherbourg",R27="Q","Queenstown")</f>
        <v>Cherbourg</v>
      </c>
    </row>
    <row r="28" spans="1:19" x14ac:dyDescent="0.3">
      <c r="A28">
        <v>27</v>
      </c>
      <c r="B28">
        <v>1</v>
      </c>
      <c r="C28" s="1" t="str" cm="1">
        <f t="array" ref="C28">_xlfn.IFS(B28=1,"First Class",B28=2,"Second Class",B28=3,"Third Class")</f>
        <v>First Class</v>
      </c>
      <c r="D28">
        <v>1</v>
      </c>
      <c r="E28" s="1" t="str">
        <f t="shared" si="0"/>
        <v>Alive</v>
      </c>
      <c r="F28" t="s">
        <v>80</v>
      </c>
      <c r="G28" s="1" t="s">
        <v>2999</v>
      </c>
      <c r="H28" t="s">
        <v>20</v>
      </c>
      <c r="I28" s="1" t="str">
        <f t="shared" si="1"/>
        <v>Male</v>
      </c>
      <c r="J28" s="3">
        <v>25</v>
      </c>
      <c r="K28" s="3" t="str" cm="1">
        <f t="array" ref="K28">_xlfn.IFS(J28&lt;=13,"Child",J28&lt;=18,"Teenager",J28&lt;=30,"Young Adult",J28&lt;=50,"Middle Aged Adult",J28&gt;50,"Senior")</f>
        <v>Young Adult</v>
      </c>
      <c r="L28">
        <v>1</v>
      </c>
      <c r="M28">
        <v>0</v>
      </c>
      <c r="N28" s="1">
        <f t="shared" si="2"/>
        <v>2</v>
      </c>
      <c r="O28" s="1" t="str">
        <f t="shared" si="3"/>
        <v>With Family</v>
      </c>
      <c r="P28">
        <v>91.0792</v>
      </c>
      <c r="Q28" s="1" t="str" cm="1">
        <f t="array" ref="Q28">_xlfn.IFS(P28&lt;=50,"Low",P28&lt;=100,"Medium",P28&gt;100,"High")</f>
        <v>Medium</v>
      </c>
      <c r="R28" t="s">
        <v>41</v>
      </c>
      <c r="S28" s="1" t="str" cm="1">
        <f t="array" ref="S28">_xlfn.IFS(R28="S","Southampton",R28="C","Cherbourg",R28="Q","Queenstown")</f>
        <v>Cherbourg</v>
      </c>
    </row>
    <row r="29" spans="1:19" x14ac:dyDescent="0.3">
      <c r="A29">
        <v>28</v>
      </c>
      <c r="B29">
        <v>1</v>
      </c>
      <c r="C29" s="1" t="str" cm="1">
        <f t="array" ref="C29">_xlfn.IFS(B29=1,"First Class",B29=2,"Second Class",B29=3,"Third Class")</f>
        <v>First Class</v>
      </c>
      <c r="D29">
        <v>1</v>
      </c>
      <c r="E29" s="1" t="str">
        <f t="shared" si="0"/>
        <v>Alive</v>
      </c>
      <c r="F29" t="s">
        <v>83</v>
      </c>
      <c r="G29" s="1" t="s">
        <v>3001</v>
      </c>
      <c r="H29" t="s">
        <v>15</v>
      </c>
      <c r="I29" s="1" t="str">
        <f t="shared" si="1"/>
        <v>Female</v>
      </c>
      <c r="J29" s="3">
        <v>19</v>
      </c>
      <c r="K29" s="3" t="str" cm="1">
        <f t="array" ref="K29">_xlfn.IFS(J29&lt;=13,"Child",J29&lt;=18,"Teenager",J29&lt;=30,"Young Adult",J29&lt;=50,"Middle Aged Adult",J29&gt;50,"Senior")</f>
        <v>Young Adult</v>
      </c>
      <c r="L29">
        <v>1</v>
      </c>
      <c r="M29">
        <v>0</v>
      </c>
      <c r="N29" s="1">
        <f t="shared" si="2"/>
        <v>2</v>
      </c>
      <c r="O29" s="1" t="str">
        <f t="shared" si="3"/>
        <v>With Family</v>
      </c>
      <c r="P29">
        <v>91.0792</v>
      </c>
      <c r="Q29" s="1" t="str" cm="1">
        <f t="array" ref="Q29">_xlfn.IFS(P29&lt;=50,"Low",P29&lt;=100,"Medium",P29&gt;100,"High")</f>
        <v>Medium</v>
      </c>
      <c r="R29" t="s">
        <v>41</v>
      </c>
      <c r="S29" s="1" t="str" cm="1">
        <f t="array" ref="S29">_xlfn.IFS(R29="S","Southampton",R29="C","Cherbourg",R29="Q","Queenstown")</f>
        <v>Cherbourg</v>
      </c>
    </row>
    <row r="30" spans="1:19" x14ac:dyDescent="0.3">
      <c r="A30">
        <v>29</v>
      </c>
      <c r="B30">
        <v>1</v>
      </c>
      <c r="C30" s="1" t="str" cm="1">
        <f t="array" ref="C30">_xlfn.IFS(B30=1,"First Class",B30=2,"Second Class",B30=3,"Third Class")</f>
        <v>First Class</v>
      </c>
      <c r="D30">
        <v>1</v>
      </c>
      <c r="E30" s="1" t="str">
        <f t="shared" si="0"/>
        <v>Alive</v>
      </c>
      <c r="F30" t="s">
        <v>84</v>
      </c>
      <c r="G30" s="1" t="s">
        <v>2994</v>
      </c>
      <c r="H30" t="s">
        <v>15</v>
      </c>
      <c r="I30" s="1" t="str">
        <f t="shared" si="1"/>
        <v>Female</v>
      </c>
      <c r="J30" s="3">
        <v>35</v>
      </c>
      <c r="K30" s="3" t="str" cm="1">
        <f t="array" ref="K30">_xlfn.IFS(J30&lt;=13,"Child",J30&lt;=18,"Teenager",J30&lt;=30,"Young Adult",J30&lt;=50,"Middle Aged Adult",J30&gt;50,"Senior")</f>
        <v>Middle Aged Adult</v>
      </c>
      <c r="L30">
        <v>0</v>
      </c>
      <c r="M30">
        <v>0</v>
      </c>
      <c r="N30" s="1">
        <f t="shared" si="2"/>
        <v>1</v>
      </c>
      <c r="O30" s="1" t="str">
        <f t="shared" si="3"/>
        <v>Single</v>
      </c>
      <c r="P30">
        <v>135.63329999999999</v>
      </c>
      <c r="Q30" s="1" t="str" cm="1">
        <f t="array" ref="Q30">_xlfn.IFS(P30&lt;=50,"Low",P30&lt;=100,"Medium",P30&gt;100,"High")</f>
        <v>High</v>
      </c>
      <c r="R30" t="s">
        <v>17</v>
      </c>
      <c r="S30" s="1" t="str" cm="1">
        <f t="array" ref="S30">_xlfn.IFS(R30="S","Southampton",R30="C","Cherbourg",R30="Q","Queenstown")</f>
        <v>Southampton</v>
      </c>
    </row>
    <row r="31" spans="1:19" x14ac:dyDescent="0.3">
      <c r="A31">
        <v>30</v>
      </c>
      <c r="B31">
        <v>1</v>
      </c>
      <c r="C31" s="1" t="str" cm="1">
        <f t="array" ref="C31">_xlfn.IFS(B31=1,"First Class",B31=2,"Second Class",B31=3,"Third Class")</f>
        <v>First Class</v>
      </c>
      <c r="D31">
        <v>1</v>
      </c>
      <c r="E31" s="1" t="str">
        <f t="shared" si="0"/>
        <v>Alive</v>
      </c>
      <c r="F31" t="s">
        <v>87</v>
      </c>
      <c r="G31" s="1" t="s">
        <v>2999</v>
      </c>
      <c r="H31" t="s">
        <v>20</v>
      </c>
      <c r="I31" s="1" t="str">
        <f t="shared" si="1"/>
        <v>Male</v>
      </c>
      <c r="J31" s="3">
        <v>28</v>
      </c>
      <c r="K31" s="3" t="str" cm="1">
        <f t="array" ref="K31">_xlfn.IFS(J31&lt;=13,"Child",J31&lt;=18,"Teenager",J31&lt;=30,"Young Adult",J31&lt;=50,"Middle Aged Adult",J31&gt;50,"Senior")</f>
        <v>Young Adult</v>
      </c>
      <c r="L31">
        <v>0</v>
      </c>
      <c r="M31">
        <v>0</v>
      </c>
      <c r="N31" s="1">
        <f t="shared" si="2"/>
        <v>1</v>
      </c>
      <c r="O31" s="1" t="str">
        <f t="shared" si="3"/>
        <v>Single</v>
      </c>
      <c r="P31">
        <v>26.55</v>
      </c>
      <c r="Q31" s="1" t="str" cm="1">
        <f t="array" ref="Q31">_xlfn.IFS(P31&lt;=50,"Low",P31&lt;=100,"Medium",P31&gt;100,"High")</f>
        <v>Low</v>
      </c>
      <c r="R31" t="s">
        <v>17</v>
      </c>
      <c r="S31" s="1" t="str" cm="1">
        <f t="array" ref="S31">_xlfn.IFS(R31="S","Southampton",R31="C","Cherbourg",R31="Q","Queenstown")</f>
        <v>Southampton</v>
      </c>
    </row>
    <row r="32" spans="1:19" x14ac:dyDescent="0.3">
      <c r="A32">
        <v>31</v>
      </c>
      <c r="B32">
        <v>1</v>
      </c>
      <c r="C32" s="1" t="str" cm="1">
        <f t="array" ref="C32">_xlfn.IFS(B32=1,"First Class",B32=2,"Second Class",B32=3,"Third Class")</f>
        <v>First Class</v>
      </c>
      <c r="D32">
        <v>0</v>
      </c>
      <c r="E32" s="1" t="str">
        <f t="shared" si="0"/>
        <v>Dead</v>
      </c>
      <c r="F32" t="s">
        <v>90</v>
      </c>
      <c r="G32" s="1" t="s">
        <v>2999</v>
      </c>
      <c r="H32" t="s">
        <v>20</v>
      </c>
      <c r="I32" s="1" t="str">
        <f t="shared" si="1"/>
        <v>Male</v>
      </c>
      <c r="J32" s="3">
        <v>45</v>
      </c>
      <c r="K32" s="3" t="str" cm="1">
        <f t="array" ref="K32">_xlfn.IFS(J32&lt;=13,"Child",J32&lt;=18,"Teenager",J32&lt;=30,"Young Adult",J32&lt;=50,"Middle Aged Adult",J32&gt;50,"Senior")</f>
        <v>Middle Aged Adult</v>
      </c>
      <c r="L32">
        <v>0</v>
      </c>
      <c r="M32">
        <v>0</v>
      </c>
      <c r="N32" s="1">
        <f t="shared" si="2"/>
        <v>1</v>
      </c>
      <c r="O32" s="1" t="str">
        <f t="shared" si="3"/>
        <v>Single</v>
      </c>
      <c r="P32">
        <v>35.5</v>
      </c>
      <c r="Q32" s="1" t="str" cm="1">
        <f t="array" ref="Q32">_xlfn.IFS(P32&lt;=50,"Low",P32&lt;=100,"Medium",P32&gt;100,"High")</f>
        <v>Low</v>
      </c>
      <c r="R32" t="s">
        <v>17</v>
      </c>
      <c r="S32" s="1" t="str" cm="1">
        <f t="array" ref="S32">_xlfn.IFS(R32="S","Southampton",R32="C","Cherbourg",R32="Q","Queenstown")</f>
        <v>Southampton</v>
      </c>
    </row>
    <row r="33" spans="1:19" x14ac:dyDescent="0.3">
      <c r="A33">
        <v>32</v>
      </c>
      <c r="B33">
        <v>1</v>
      </c>
      <c r="C33" s="1" t="str" cm="1">
        <f t="array" ref="C33">_xlfn.IFS(B33=1,"First Class",B33=2,"Second Class",B33=3,"Third Class")</f>
        <v>First Class</v>
      </c>
      <c r="D33">
        <v>1</v>
      </c>
      <c r="E33" s="1" t="str">
        <f t="shared" si="0"/>
        <v>Alive</v>
      </c>
      <c r="F33" t="s">
        <v>93</v>
      </c>
      <c r="G33" s="1" t="s">
        <v>2999</v>
      </c>
      <c r="H33" t="s">
        <v>20</v>
      </c>
      <c r="I33" s="1" t="str">
        <f t="shared" si="1"/>
        <v>Male</v>
      </c>
      <c r="J33" s="3">
        <v>40</v>
      </c>
      <c r="K33" s="3" t="str" cm="1">
        <f t="array" ref="K33">_xlfn.IFS(J33&lt;=13,"Child",J33&lt;=18,"Teenager",J33&lt;=30,"Young Adult",J33&lt;=50,"Middle Aged Adult",J33&gt;50,"Senior")</f>
        <v>Middle Aged Adult</v>
      </c>
      <c r="L33">
        <v>0</v>
      </c>
      <c r="M33">
        <v>0</v>
      </c>
      <c r="N33" s="1">
        <f t="shared" si="2"/>
        <v>1</v>
      </c>
      <c r="O33" s="1" t="str">
        <f t="shared" si="3"/>
        <v>Single</v>
      </c>
      <c r="P33">
        <v>31</v>
      </c>
      <c r="Q33" s="1" t="str" cm="1">
        <f t="array" ref="Q33">_xlfn.IFS(P33&lt;=50,"Low",P33&lt;=100,"Medium",P33&gt;100,"High")</f>
        <v>Low</v>
      </c>
      <c r="R33" t="s">
        <v>41</v>
      </c>
      <c r="S33" s="1" t="str" cm="1">
        <f t="array" ref="S33">_xlfn.IFS(R33="S","Southampton",R33="C","Cherbourg",R33="Q","Queenstown")</f>
        <v>Cherbourg</v>
      </c>
    </row>
    <row r="34" spans="1:19" x14ac:dyDescent="0.3">
      <c r="A34">
        <v>33</v>
      </c>
      <c r="B34">
        <v>1</v>
      </c>
      <c r="C34" s="1" t="str" cm="1">
        <f t="array" ref="C34">_xlfn.IFS(B34=1,"First Class",B34=2,"Second Class",B34=3,"Third Class")</f>
        <v>First Class</v>
      </c>
      <c r="D34">
        <v>1</v>
      </c>
      <c r="E34" s="1" t="str">
        <f t="shared" si="0"/>
        <v>Alive</v>
      </c>
      <c r="F34" t="s">
        <v>96</v>
      </c>
      <c r="G34" s="1" t="s">
        <v>2994</v>
      </c>
      <c r="H34" t="s">
        <v>15</v>
      </c>
      <c r="I34" s="1" t="str">
        <f t="shared" si="1"/>
        <v>Female</v>
      </c>
      <c r="J34" s="3">
        <v>30</v>
      </c>
      <c r="K34" s="3" t="str" cm="1">
        <f t="array" ref="K34">_xlfn.IFS(J34&lt;=13,"Child",J34&lt;=18,"Teenager",J34&lt;=30,"Young Adult",J34&lt;=50,"Middle Aged Adult",J34&gt;50,"Senior")</f>
        <v>Young Adult</v>
      </c>
      <c r="L34">
        <v>0</v>
      </c>
      <c r="M34">
        <v>0</v>
      </c>
      <c r="N34" s="1">
        <f t="shared" si="2"/>
        <v>1</v>
      </c>
      <c r="O34" s="1" t="str">
        <f t="shared" si="3"/>
        <v>Single</v>
      </c>
      <c r="P34">
        <v>164.86670000000001</v>
      </c>
      <c r="Q34" s="1" t="str" cm="1">
        <f t="array" ref="Q34">_xlfn.IFS(P34&lt;=50,"Low",P34&lt;=100,"Medium",P34&gt;100,"High")</f>
        <v>High</v>
      </c>
      <c r="R34" t="s">
        <v>17</v>
      </c>
      <c r="S34" s="1" t="str" cm="1">
        <f t="array" ref="S34">_xlfn.IFS(R34="S","Southampton",R34="C","Cherbourg",R34="Q","Queenstown")</f>
        <v>Southampton</v>
      </c>
    </row>
    <row r="35" spans="1:19" x14ac:dyDescent="0.3">
      <c r="A35">
        <v>34</v>
      </c>
      <c r="B35">
        <v>1</v>
      </c>
      <c r="C35" s="1" t="str" cm="1">
        <f t="array" ref="C35">_xlfn.IFS(B35=1,"First Class",B35=2,"Second Class",B35=3,"Third Class")</f>
        <v>First Class</v>
      </c>
      <c r="D35">
        <v>1</v>
      </c>
      <c r="E35" s="1" t="str">
        <f t="shared" si="0"/>
        <v>Alive</v>
      </c>
      <c r="F35" t="s">
        <v>99</v>
      </c>
      <c r="G35" s="1" t="s">
        <v>2994</v>
      </c>
      <c r="H35" t="s">
        <v>15</v>
      </c>
      <c r="I35" s="1" t="str">
        <f t="shared" si="1"/>
        <v>Female</v>
      </c>
      <c r="J35" s="3">
        <v>58</v>
      </c>
      <c r="K35" s="3" t="str" cm="1">
        <f t="array" ref="K35">_xlfn.IFS(J35&lt;=13,"Child",J35&lt;=18,"Teenager",J35&lt;=30,"Young Adult",J35&lt;=50,"Middle Aged Adult",J35&gt;50,"Senior")</f>
        <v>Senior</v>
      </c>
      <c r="L35">
        <v>0</v>
      </c>
      <c r="M35">
        <v>0</v>
      </c>
      <c r="N35" s="1">
        <f t="shared" si="2"/>
        <v>1</v>
      </c>
      <c r="O35" s="1" t="str">
        <f t="shared" si="3"/>
        <v>Single</v>
      </c>
      <c r="P35">
        <v>26.55</v>
      </c>
      <c r="Q35" s="1" t="str" cm="1">
        <f t="array" ref="Q35">_xlfn.IFS(P35&lt;=50,"Low",P35&lt;=100,"Medium",P35&gt;100,"High")</f>
        <v>Low</v>
      </c>
      <c r="R35" t="s">
        <v>17</v>
      </c>
      <c r="S35" s="1" t="str" cm="1">
        <f t="array" ref="S35">_xlfn.IFS(R35="S","Southampton",R35="C","Cherbourg",R35="Q","Queenstown")</f>
        <v>Southampton</v>
      </c>
    </row>
    <row r="36" spans="1:19" x14ac:dyDescent="0.3">
      <c r="A36">
        <v>35</v>
      </c>
      <c r="B36">
        <v>1</v>
      </c>
      <c r="C36" s="1" t="str" cm="1">
        <f t="array" ref="C36">_xlfn.IFS(B36=1,"First Class",B36=2,"Second Class",B36=3,"Third Class")</f>
        <v>First Class</v>
      </c>
      <c r="D36">
        <v>0</v>
      </c>
      <c r="E36" s="1" t="str">
        <f t="shared" si="0"/>
        <v>Dead</v>
      </c>
      <c r="F36" t="s">
        <v>102</v>
      </c>
      <c r="G36" s="1" t="s">
        <v>2999</v>
      </c>
      <c r="H36" t="s">
        <v>20</v>
      </c>
      <c r="I36" s="1" t="str">
        <f t="shared" si="1"/>
        <v>Male</v>
      </c>
      <c r="J36" s="3">
        <v>42</v>
      </c>
      <c r="K36" s="3" t="str" cm="1">
        <f t="array" ref="K36">_xlfn.IFS(J36&lt;=13,"Child",J36&lt;=18,"Teenager",J36&lt;=30,"Young Adult",J36&lt;=50,"Middle Aged Adult",J36&gt;50,"Senior")</f>
        <v>Middle Aged Adult</v>
      </c>
      <c r="L36">
        <v>0</v>
      </c>
      <c r="M36">
        <v>0</v>
      </c>
      <c r="N36" s="1">
        <f t="shared" si="2"/>
        <v>1</v>
      </c>
      <c r="O36" s="1" t="str">
        <f t="shared" si="3"/>
        <v>Single</v>
      </c>
      <c r="P36">
        <v>26.55</v>
      </c>
      <c r="Q36" s="1" t="str" cm="1">
        <f t="array" ref="Q36">_xlfn.IFS(P36&lt;=50,"Low",P36&lt;=100,"Medium",P36&gt;100,"High")</f>
        <v>Low</v>
      </c>
      <c r="R36" t="s">
        <v>17</v>
      </c>
      <c r="S36" s="1" t="str" cm="1">
        <f t="array" ref="S36">_xlfn.IFS(R36="S","Southampton",R36="C","Cherbourg",R36="Q","Queenstown")</f>
        <v>Southampton</v>
      </c>
    </row>
    <row r="37" spans="1:19" x14ac:dyDescent="0.3">
      <c r="A37">
        <v>36</v>
      </c>
      <c r="B37">
        <v>1</v>
      </c>
      <c r="C37" s="1" t="str" cm="1">
        <f t="array" ref="C37">_xlfn.IFS(B37=1,"First Class",B37=2,"Second Class",B37=3,"Third Class")</f>
        <v>First Class</v>
      </c>
      <c r="D37">
        <v>1</v>
      </c>
      <c r="E37" s="1" t="str">
        <f t="shared" si="0"/>
        <v>Alive</v>
      </c>
      <c r="F37" t="s">
        <v>105</v>
      </c>
      <c r="G37" s="1" t="s">
        <v>2994</v>
      </c>
      <c r="H37" t="s">
        <v>15</v>
      </c>
      <c r="I37" s="1" t="str">
        <f t="shared" si="1"/>
        <v>Female</v>
      </c>
      <c r="J37" s="3">
        <v>45</v>
      </c>
      <c r="K37" s="3" t="str" cm="1">
        <f t="array" ref="K37">_xlfn.IFS(J37&lt;=13,"Child",J37&lt;=18,"Teenager",J37&lt;=30,"Young Adult",J37&lt;=50,"Middle Aged Adult",J37&gt;50,"Senior")</f>
        <v>Middle Aged Adult</v>
      </c>
      <c r="L37">
        <v>0</v>
      </c>
      <c r="M37">
        <v>0</v>
      </c>
      <c r="N37" s="1">
        <f t="shared" si="2"/>
        <v>1</v>
      </c>
      <c r="O37" s="1" t="str">
        <f t="shared" si="3"/>
        <v>Single</v>
      </c>
      <c r="P37">
        <v>262.375</v>
      </c>
      <c r="Q37" s="1" t="str" cm="1">
        <f t="array" ref="Q37">_xlfn.IFS(P37&lt;=50,"Low",P37&lt;=100,"Medium",P37&gt;100,"High")</f>
        <v>High</v>
      </c>
      <c r="R37" t="s">
        <v>41</v>
      </c>
      <c r="S37" s="1" t="str" cm="1">
        <f t="array" ref="S37">_xlfn.IFS(R37="S","Southampton",R37="C","Cherbourg",R37="Q","Queenstown")</f>
        <v>Cherbourg</v>
      </c>
    </row>
    <row r="38" spans="1:19" x14ac:dyDescent="0.3">
      <c r="A38">
        <v>37</v>
      </c>
      <c r="B38">
        <v>1</v>
      </c>
      <c r="C38" s="1" t="str" cm="1">
        <f t="array" ref="C38">_xlfn.IFS(B38=1,"First Class",B38=2,"Second Class",B38=3,"Third Class")</f>
        <v>First Class</v>
      </c>
      <c r="D38">
        <v>1</v>
      </c>
      <c r="E38" s="1" t="str">
        <f t="shared" si="0"/>
        <v>Alive</v>
      </c>
      <c r="F38" t="s">
        <v>108</v>
      </c>
      <c r="G38" s="1" t="s">
        <v>2994</v>
      </c>
      <c r="H38" t="s">
        <v>15</v>
      </c>
      <c r="I38" s="1" t="str">
        <f t="shared" si="1"/>
        <v>Female</v>
      </c>
      <c r="J38" s="3">
        <v>22</v>
      </c>
      <c r="K38" s="3" t="str" cm="1">
        <f t="array" ref="K38">_xlfn.IFS(J38&lt;=13,"Child",J38&lt;=18,"Teenager",J38&lt;=30,"Young Adult",J38&lt;=50,"Middle Aged Adult",J38&gt;50,"Senior")</f>
        <v>Young Adult</v>
      </c>
      <c r="L38">
        <v>0</v>
      </c>
      <c r="M38">
        <v>1</v>
      </c>
      <c r="N38" s="1">
        <f t="shared" si="2"/>
        <v>2</v>
      </c>
      <c r="O38" s="1" t="str">
        <f t="shared" si="3"/>
        <v>With Family</v>
      </c>
      <c r="P38">
        <v>55</v>
      </c>
      <c r="Q38" s="1" t="str" cm="1">
        <f t="array" ref="Q38">_xlfn.IFS(P38&lt;=50,"Low",P38&lt;=100,"Medium",P38&gt;100,"High")</f>
        <v>Medium</v>
      </c>
      <c r="R38" t="s">
        <v>17</v>
      </c>
      <c r="S38" s="1" t="str" cm="1">
        <f t="array" ref="S38">_xlfn.IFS(R38="S","Southampton",R38="C","Cherbourg",R38="Q","Queenstown")</f>
        <v>Southampton</v>
      </c>
    </row>
    <row r="39" spans="1:19" x14ac:dyDescent="0.3">
      <c r="A39">
        <v>38</v>
      </c>
      <c r="B39">
        <v>1</v>
      </c>
      <c r="C39" s="1" t="str" cm="1">
        <f t="array" ref="C39">_xlfn.IFS(B39=1,"First Class",B39=2,"Second Class",B39=3,"Third Class")</f>
        <v>First Class</v>
      </c>
      <c r="D39">
        <v>1</v>
      </c>
      <c r="E39" s="1" t="str">
        <f t="shared" si="0"/>
        <v>Alive</v>
      </c>
      <c r="F39" t="s">
        <v>111</v>
      </c>
      <c r="G39" s="1" t="s">
        <v>2999</v>
      </c>
      <c r="H39" t="s">
        <v>20</v>
      </c>
      <c r="I39" s="1" t="str">
        <f t="shared" si="1"/>
        <v>Male</v>
      </c>
      <c r="J39" s="3">
        <v>29.881137667304014</v>
      </c>
      <c r="K39" s="3" t="str" cm="1">
        <f t="array" ref="K39">_xlfn.IFS(J39&lt;=13,"Child",J39&lt;=18,"Teenager",J39&lt;=30,"Young Adult",J39&lt;=50,"Middle Aged Adult",J39&gt;50,"Senior")</f>
        <v>Young Adult</v>
      </c>
      <c r="L39">
        <v>0</v>
      </c>
      <c r="M39">
        <v>0</v>
      </c>
      <c r="N39" s="1">
        <f t="shared" si="2"/>
        <v>1</v>
      </c>
      <c r="O39" s="1" t="str">
        <f t="shared" si="3"/>
        <v>Single</v>
      </c>
      <c r="P39">
        <v>26.55</v>
      </c>
      <c r="Q39" s="1" t="str" cm="1">
        <f t="array" ref="Q39">_xlfn.IFS(P39&lt;=50,"Low",P39&lt;=100,"Medium",P39&gt;100,"High")</f>
        <v>Low</v>
      </c>
      <c r="R39" t="s">
        <v>17</v>
      </c>
      <c r="S39" s="1" t="str" cm="1">
        <f t="array" ref="S39">_xlfn.IFS(R39="S","Southampton",R39="C","Cherbourg",R39="Q","Queenstown")</f>
        <v>Southampton</v>
      </c>
    </row>
    <row r="40" spans="1:19" x14ac:dyDescent="0.3">
      <c r="A40">
        <v>39</v>
      </c>
      <c r="B40">
        <v>1</v>
      </c>
      <c r="C40" s="1" t="str" cm="1">
        <f t="array" ref="C40">_xlfn.IFS(B40=1,"First Class",B40=2,"Second Class",B40=3,"Third Class")</f>
        <v>First Class</v>
      </c>
      <c r="D40">
        <v>0</v>
      </c>
      <c r="E40" s="1" t="str">
        <f t="shared" si="0"/>
        <v>Dead</v>
      </c>
      <c r="F40" t="s">
        <v>113</v>
      </c>
      <c r="G40" s="1" t="s">
        <v>2999</v>
      </c>
      <c r="H40" t="s">
        <v>20</v>
      </c>
      <c r="I40" s="1" t="str">
        <f t="shared" si="1"/>
        <v>Male</v>
      </c>
      <c r="J40" s="3">
        <v>41</v>
      </c>
      <c r="K40" s="3" t="str" cm="1">
        <f t="array" ref="K40">_xlfn.IFS(J40&lt;=13,"Child",J40&lt;=18,"Teenager",J40&lt;=30,"Young Adult",J40&lt;=50,"Middle Aged Adult",J40&gt;50,"Senior")</f>
        <v>Middle Aged Adult</v>
      </c>
      <c r="L40">
        <v>0</v>
      </c>
      <c r="M40">
        <v>0</v>
      </c>
      <c r="N40" s="1">
        <f t="shared" si="2"/>
        <v>1</v>
      </c>
      <c r="O40" s="1" t="str">
        <f t="shared" si="3"/>
        <v>Single</v>
      </c>
      <c r="P40">
        <v>30.5</v>
      </c>
      <c r="Q40" s="1" t="str" cm="1">
        <f t="array" ref="Q40">_xlfn.IFS(P40&lt;=50,"Low",P40&lt;=100,"Medium",P40&gt;100,"High")</f>
        <v>Low</v>
      </c>
      <c r="R40" t="s">
        <v>17</v>
      </c>
      <c r="S40" s="1" t="str" cm="1">
        <f t="array" ref="S40">_xlfn.IFS(R40="S","Southampton",R40="C","Cherbourg",R40="Q","Queenstown")</f>
        <v>Southampton</v>
      </c>
    </row>
    <row r="41" spans="1:19" x14ac:dyDescent="0.3">
      <c r="A41">
        <v>40</v>
      </c>
      <c r="B41">
        <v>1</v>
      </c>
      <c r="C41" s="1" t="str" cm="1">
        <f t="array" ref="C41">_xlfn.IFS(B41=1,"First Class",B41=2,"Second Class",B41=3,"Third Class")</f>
        <v>First Class</v>
      </c>
      <c r="D41">
        <v>0</v>
      </c>
      <c r="E41" s="1" t="str">
        <f t="shared" si="0"/>
        <v>Dead</v>
      </c>
      <c r="F41" t="s">
        <v>116</v>
      </c>
      <c r="G41" s="1" t="s">
        <v>2999</v>
      </c>
      <c r="H41" t="s">
        <v>20</v>
      </c>
      <c r="I41" s="1" t="str">
        <f t="shared" si="1"/>
        <v>Male</v>
      </c>
      <c r="J41" s="3">
        <v>48</v>
      </c>
      <c r="K41" s="3" t="str" cm="1">
        <f t="array" ref="K41">_xlfn.IFS(J41&lt;=13,"Child",J41&lt;=18,"Teenager",J41&lt;=30,"Young Adult",J41&lt;=50,"Middle Aged Adult",J41&gt;50,"Senior")</f>
        <v>Middle Aged Adult</v>
      </c>
      <c r="L41">
        <v>0</v>
      </c>
      <c r="M41">
        <v>0</v>
      </c>
      <c r="N41" s="1">
        <f t="shared" si="2"/>
        <v>1</v>
      </c>
      <c r="O41" s="1" t="str">
        <f t="shared" si="3"/>
        <v>Single</v>
      </c>
      <c r="P41">
        <v>50.495800000000003</v>
      </c>
      <c r="Q41" s="1" t="str" cm="1">
        <f t="array" ref="Q41">_xlfn.IFS(P41&lt;=50,"Low",P41&lt;=100,"Medium",P41&gt;100,"High")</f>
        <v>Medium</v>
      </c>
      <c r="R41" t="s">
        <v>41</v>
      </c>
      <c r="S41" s="1" t="str" cm="1">
        <f t="array" ref="S41">_xlfn.IFS(R41="S","Southampton",R41="C","Cherbourg",R41="Q","Queenstown")</f>
        <v>Cherbourg</v>
      </c>
    </row>
    <row r="42" spans="1:19" x14ac:dyDescent="0.3">
      <c r="A42">
        <v>41</v>
      </c>
      <c r="B42">
        <v>1</v>
      </c>
      <c r="C42" s="1" t="str" cm="1">
        <f t="array" ref="C42">_xlfn.IFS(B42=1,"First Class",B42=2,"Second Class",B42=3,"Third Class")</f>
        <v>First Class</v>
      </c>
      <c r="D42">
        <v>0</v>
      </c>
      <c r="E42" s="1" t="str">
        <f t="shared" si="0"/>
        <v>Dead</v>
      </c>
      <c r="F42" t="s">
        <v>120</v>
      </c>
      <c r="G42" s="1" t="s">
        <v>3040</v>
      </c>
      <c r="H42" t="s">
        <v>20</v>
      </c>
      <c r="I42" s="1" t="str">
        <f t="shared" si="1"/>
        <v>Male</v>
      </c>
      <c r="J42" s="3">
        <v>29.881137667304014</v>
      </c>
      <c r="K42" s="3" t="str" cm="1">
        <f t="array" ref="K42">_xlfn.IFS(J42&lt;=13,"Child",J42&lt;=18,"Teenager",J42&lt;=30,"Young Adult",J42&lt;=50,"Middle Aged Adult",J42&gt;50,"Senior")</f>
        <v>Young Adult</v>
      </c>
      <c r="L42">
        <v>0</v>
      </c>
      <c r="M42">
        <v>0</v>
      </c>
      <c r="N42" s="1">
        <f t="shared" si="2"/>
        <v>1</v>
      </c>
      <c r="O42" s="1" t="str">
        <f t="shared" si="3"/>
        <v>Single</v>
      </c>
      <c r="P42">
        <v>39.6</v>
      </c>
      <c r="Q42" s="1" t="str" cm="1">
        <f t="array" ref="Q42">_xlfn.IFS(P42&lt;=50,"Low",P42&lt;=100,"Medium",P42&gt;100,"High")</f>
        <v>Low</v>
      </c>
      <c r="R42" t="s">
        <v>41</v>
      </c>
      <c r="S42" s="1" t="str" cm="1">
        <f t="array" ref="S42">_xlfn.IFS(R42="S","Southampton",R42="C","Cherbourg",R42="Q","Queenstown")</f>
        <v>Cherbourg</v>
      </c>
    </row>
    <row r="43" spans="1:19" x14ac:dyDescent="0.3">
      <c r="A43">
        <v>42</v>
      </c>
      <c r="B43">
        <v>1</v>
      </c>
      <c r="C43" s="1" t="str" cm="1">
        <f t="array" ref="C43">_xlfn.IFS(B43=1,"First Class",B43=2,"Second Class",B43=3,"Third Class")</f>
        <v>First Class</v>
      </c>
      <c r="D43">
        <v>1</v>
      </c>
      <c r="E43" s="1" t="str">
        <f t="shared" si="0"/>
        <v>Alive</v>
      </c>
      <c r="F43" t="s">
        <v>122</v>
      </c>
      <c r="G43" s="1" t="s">
        <v>3001</v>
      </c>
      <c r="H43" t="s">
        <v>15</v>
      </c>
      <c r="I43" s="1" t="str">
        <f t="shared" si="1"/>
        <v>Female</v>
      </c>
      <c r="J43" s="3">
        <v>44</v>
      </c>
      <c r="K43" s="3" t="str" cm="1">
        <f t="array" ref="K43">_xlfn.IFS(J43&lt;=13,"Child",J43&lt;=18,"Teenager",J43&lt;=30,"Young Adult",J43&lt;=50,"Middle Aged Adult",J43&gt;50,"Senior")</f>
        <v>Middle Aged Adult</v>
      </c>
      <c r="L43">
        <v>0</v>
      </c>
      <c r="M43">
        <v>0</v>
      </c>
      <c r="N43" s="1">
        <f t="shared" si="2"/>
        <v>1</v>
      </c>
      <c r="O43" s="1" t="str">
        <f t="shared" si="3"/>
        <v>Single</v>
      </c>
      <c r="P43">
        <v>27.720800000000001</v>
      </c>
      <c r="Q43" s="1" t="str" cm="1">
        <f t="array" ref="Q43">_xlfn.IFS(P43&lt;=50,"Low",P43&lt;=100,"Medium",P43&gt;100,"High")</f>
        <v>Low</v>
      </c>
      <c r="R43" t="s">
        <v>41</v>
      </c>
      <c r="S43" s="1" t="str" cm="1">
        <f t="array" ref="S43">_xlfn.IFS(R43="S","Southampton",R43="C","Cherbourg",R43="Q","Queenstown")</f>
        <v>Cherbourg</v>
      </c>
    </row>
    <row r="44" spans="1:19" x14ac:dyDescent="0.3">
      <c r="A44">
        <v>43</v>
      </c>
      <c r="B44">
        <v>1</v>
      </c>
      <c r="C44" s="1" t="str" cm="1">
        <f t="array" ref="C44">_xlfn.IFS(B44=1,"First Class",B44=2,"Second Class",B44=3,"Third Class")</f>
        <v>First Class</v>
      </c>
      <c r="D44">
        <v>1</v>
      </c>
      <c r="E44" s="1" t="str">
        <f t="shared" si="0"/>
        <v>Alive</v>
      </c>
      <c r="F44" t="s">
        <v>126</v>
      </c>
      <c r="G44" s="1" t="s">
        <v>3001</v>
      </c>
      <c r="H44" t="s">
        <v>15</v>
      </c>
      <c r="I44" s="1" t="str">
        <f t="shared" si="1"/>
        <v>Female</v>
      </c>
      <c r="J44" s="3">
        <v>59</v>
      </c>
      <c r="K44" s="3" t="str" cm="1">
        <f t="array" ref="K44">_xlfn.IFS(J44&lt;=13,"Child",J44&lt;=18,"Teenager",J44&lt;=30,"Young Adult",J44&lt;=50,"Middle Aged Adult",J44&gt;50,"Senior")</f>
        <v>Senior</v>
      </c>
      <c r="L44">
        <v>2</v>
      </c>
      <c r="M44">
        <v>0</v>
      </c>
      <c r="N44" s="1">
        <f t="shared" si="2"/>
        <v>3</v>
      </c>
      <c r="O44" s="1" t="str">
        <f t="shared" si="3"/>
        <v>With Family</v>
      </c>
      <c r="P44">
        <v>51.479199999999999</v>
      </c>
      <c r="Q44" s="1" t="str" cm="1">
        <f t="array" ref="Q44">_xlfn.IFS(P44&lt;=50,"Low",P44&lt;=100,"Medium",P44&gt;100,"High")</f>
        <v>Medium</v>
      </c>
      <c r="R44" t="s">
        <v>17</v>
      </c>
      <c r="S44" s="1" t="str" cm="1">
        <f t="array" ref="S44">_xlfn.IFS(R44="S","Southampton",R44="C","Cherbourg",R44="Q","Queenstown")</f>
        <v>Southampton</v>
      </c>
    </row>
    <row r="45" spans="1:19" x14ac:dyDescent="0.3">
      <c r="A45">
        <v>44</v>
      </c>
      <c r="B45">
        <v>1</v>
      </c>
      <c r="C45" s="1" t="str" cm="1">
        <f t="array" ref="C45">_xlfn.IFS(B45=1,"First Class",B45=2,"Second Class",B45=3,"Third Class")</f>
        <v>First Class</v>
      </c>
      <c r="D45">
        <v>1</v>
      </c>
      <c r="E45" s="1" t="str">
        <f t="shared" si="0"/>
        <v>Alive</v>
      </c>
      <c r="F45" t="s">
        <v>128</v>
      </c>
      <c r="G45" s="1" t="s">
        <v>3001</v>
      </c>
      <c r="H45" t="s">
        <v>15</v>
      </c>
      <c r="I45" s="1" t="str">
        <f t="shared" si="1"/>
        <v>Female</v>
      </c>
      <c r="J45" s="3">
        <v>60</v>
      </c>
      <c r="K45" s="3" t="str" cm="1">
        <f t="array" ref="K45">_xlfn.IFS(J45&lt;=13,"Child",J45&lt;=18,"Teenager",J45&lt;=30,"Young Adult",J45&lt;=50,"Middle Aged Adult",J45&gt;50,"Senior")</f>
        <v>Senior</v>
      </c>
      <c r="L45">
        <v>0</v>
      </c>
      <c r="M45">
        <v>0</v>
      </c>
      <c r="N45" s="1">
        <f t="shared" si="2"/>
        <v>1</v>
      </c>
      <c r="O45" s="1" t="str">
        <f t="shared" si="3"/>
        <v>Single</v>
      </c>
      <c r="P45">
        <v>76.291700000000006</v>
      </c>
      <c r="Q45" s="1" t="str" cm="1">
        <f t="array" ref="Q45">_xlfn.IFS(P45&lt;=50,"Low",P45&lt;=100,"Medium",P45&gt;100,"High")</f>
        <v>Medium</v>
      </c>
      <c r="R45" t="s">
        <v>41</v>
      </c>
      <c r="S45" s="1" t="str" cm="1">
        <f t="array" ref="S45">_xlfn.IFS(R45="S","Southampton",R45="C","Cherbourg",R45="Q","Queenstown")</f>
        <v>Cherbourg</v>
      </c>
    </row>
    <row r="46" spans="1:19" x14ac:dyDescent="0.3">
      <c r="A46">
        <v>45</v>
      </c>
      <c r="B46">
        <v>1</v>
      </c>
      <c r="C46" s="1" t="str" cm="1">
        <f t="array" ref="C46">_xlfn.IFS(B46=1,"First Class",B46=2,"Second Class",B46=3,"Third Class")</f>
        <v>First Class</v>
      </c>
      <c r="D46">
        <v>1</v>
      </c>
      <c r="E46" s="1" t="str">
        <f t="shared" si="0"/>
        <v>Alive</v>
      </c>
      <c r="F46" t="s">
        <v>129</v>
      </c>
      <c r="G46" s="1" t="s">
        <v>2994</v>
      </c>
      <c r="H46" t="s">
        <v>15</v>
      </c>
      <c r="I46" s="1" t="str">
        <f t="shared" si="1"/>
        <v>Female</v>
      </c>
      <c r="J46" s="3">
        <v>41</v>
      </c>
      <c r="K46" s="3" t="str" cm="1">
        <f t="array" ref="K46">_xlfn.IFS(J46&lt;=13,"Child",J46&lt;=18,"Teenager",J46&lt;=30,"Young Adult",J46&lt;=50,"Middle Aged Adult",J46&gt;50,"Senior")</f>
        <v>Middle Aged Adult</v>
      </c>
      <c r="L46">
        <v>0</v>
      </c>
      <c r="M46">
        <v>0</v>
      </c>
      <c r="N46" s="1">
        <f t="shared" si="2"/>
        <v>1</v>
      </c>
      <c r="O46" s="1" t="str">
        <f t="shared" si="3"/>
        <v>Single</v>
      </c>
      <c r="P46">
        <v>134.5</v>
      </c>
      <c r="Q46" s="1" t="str" cm="1">
        <f t="array" ref="Q46">_xlfn.IFS(P46&lt;=50,"Low",P46&lt;=100,"Medium",P46&gt;100,"High")</f>
        <v>High</v>
      </c>
      <c r="R46" t="s">
        <v>41</v>
      </c>
      <c r="S46" s="1" t="str" cm="1">
        <f t="array" ref="S46">_xlfn.IFS(R46="S","Southampton",R46="C","Cherbourg",R46="Q","Queenstown")</f>
        <v>Cherbourg</v>
      </c>
    </row>
    <row r="47" spans="1:19" x14ac:dyDescent="0.3">
      <c r="A47">
        <v>46</v>
      </c>
      <c r="B47">
        <v>1</v>
      </c>
      <c r="C47" s="1" t="str" cm="1">
        <f t="array" ref="C47">_xlfn.IFS(B47=1,"First Class",B47=2,"Second Class",B47=3,"Third Class")</f>
        <v>First Class</v>
      </c>
      <c r="D47">
        <v>0</v>
      </c>
      <c r="E47" s="1" t="str">
        <f t="shared" si="0"/>
        <v>Dead</v>
      </c>
      <c r="F47" t="s">
        <v>131</v>
      </c>
      <c r="G47" s="1" t="s">
        <v>3046</v>
      </c>
      <c r="H47" t="s">
        <v>20</v>
      </c>
      <c r="I47" s="1" t="str">
        <f t="shared" si="1"/>
        <v>Male</v>
      </c>
      <c r="J47" s="3">
        <v>45</v>
      </c>
      <c r="K47" s="3" t="str" cm="1">
        <f t="array" ref="K47">_xlfn.IFS(J47&lt;=13,"Child",J47&lt;=18,"Teenager",J47&lt;=30,"Young Adult",J47&lt;=50,"Middle Aged Adult",J47&gt;50,"Senior")</f>
        <v>Middle Aged Adult</v>
      </c>
      <c r="L47">
        <v>0</v>
      </c>
      <c r="M47">
        <v>0</v>
      </c>
      <c r="N47" s="1">
        <f t="shared" si="2"/>
        <v>1</v>
      </c>
      <c r="O47" s="1" t="str">
        <f t="shared" si="3"/>
        <v>Single</v>
      </c>
      <c r="P47">
        <v>26.55</v>
      </c>
      <c r="Q47" s="1" t="str" cm="1">
        <f t="array" ref="Q47">_xlfn.IFS(P47&lt;=50,"Low",P47&lt;=100,"Medium",P47&gt;100,"High")</f>
        <v>Low</v>
      </c>
      <c r="R47" t="s">
        <v>17</v>
      </c>
      <c r="S47" s="1" t="str" cm="1">
        <f t="array" ref="S47">_xlfn.IFS(R47="S","Southampton",R47="C","Cherbourg",R47="Q","Queenstown")</f>
        <v>Southampton</v>
      </c>
    </row>
    <row r="48" spans="1:19" x14ac:dyDescent="0.3">
      <c r="A48">
        <v>47</v>
      </c>
      <c r="B48">
        <v>1</v>
      </c>
      <c r="C48" s="1" t="str" cm="1">
        <f t="array" ref="C48">_xlfn.IFS(B48=1,"First Class",B48=2,"Second Class",B48=3,"Third Class")</f>
        <v>First Class</v>
      </c>
      <c r="D48">
        <v>0</v>
      </c>
      <c r="E48" s="1" t="str">
        <f t="shared" si="0"/>
        <v>Dead</v>
      </c>
      <c r="F48" t="s">
        <v>134</v>
      </c>
      <c r="G48" s="1" t="s">
        <v>2999</v>
      </c>
      <c r="H48" t="s">
        <v>20</v>
      </c>
      <c r="I48" s="1" t="str">
        <f t="shared" si="1"/>
        <v>Male</v>
      </c>
      <c r="J48" s="3">
        <v>29.881137667304014</v>
      </c>
      <c r="K48" s="3" t="str" cm="1">
        <f t="array" ref="K48">_xlfn.IFS(J48&lt;=13,"Child",J48&lt;=18,"Teenager",J48&lt;=30,"Young Adult",J48&lt;=50,"Middle Aged Adult",J48&gt;50,"Senior")</f>
        <v>Young Adult</v>
      </c>
      <c r="L48">
        <v>0</v>
      </c>
      <c r="M48">
        <v>0</v>
      </c>
      <c r="N48" s="1">
        <f t="shared" si="2"/>
        <v>1</v>
      </c>
      <c r="O48" s="1" t="str">
        <f t="shared" si="3"/>
        <v>Single</v>
      </c>
      <c r="P48">
        <v>31</v>
      </c>
      <c r="Q48" s="1" t="str" cm="1">
        <f t="array" ref="Q48">_xlfn.IFS(P48&lt;=50,"Low",P48&lt;=100,"Medium",P48&gt;100,"High")</f>
        <v>Low</v>
      </c>
      <c r="R48" t="s">
        <v>17</v>
      </c>
      <c r="S48" s="1" t="str" cm="1">
        <f t="array" ref="S48">_xlfn.IFS(R48="S","Southampton",R48="C","Cherbourg",R48="Q","Queenstown")</f>
        <v>Southampton</v>
      </c>
    </row>
    <row r="49" spans="1:19" x14ac:dyDescent="0.3">
      <c r="A49">
        <v>48</v>
      </c>
      <c r="B49">
        <v>1</v>
      </c>
      <c r="C49" s="1" t="str" cm="1">
        <f t="array" ref="C49">_xlfn.IFS(B49=1,"First Class",B49=2,"Second Class",B49=3,"Third Class")</f>
        <v>First Class</v>
      </c>
      <c r="D49">
        <v>1</v>
      </c>
      <c r="E49" s="1" t="str">
        <f t="shared" si="0"/>
        <v>Alive</v>
      </c>
      <c r="F49" t="s">
        <v>135</v>
      </c>
      <c r="G49" s="1" t="s">
        <v>2999</v>
      </c>
      <c r="H49" t="s">
        <v>20</v>
      </c>
      <c r="I49" s="1" t="str">
        <f t="shared" si="1"/>
        <v>Male</v>
      </c>
      <c r="J49" s="3">
        <v>42</v>
      </c>
      <c r="K49" s="3" t="str" cm="1">
        <f t="array" ref="K49">_xlfn.IFS(J49&lt;=13,"Child",J49&lt;=18,"Teenager",J49&lt;=30,"Young Adult",J49&lt;=50,"Middle Aged Adult",J49&gt;50,"Senior")</f>
        <v>Middle Aged Adult</v>
      </c>
      <c r="L49">
        <v>0</v>
      </c>
      <c r="M49">
        <v>0</v>
      </c>
      <c r="N49" s="1">
        <f t="shared" si="2"/>
        <v>1</v>
      </c>
      <c r="O49" s="1" t="str">
        <f t="shared" si="3"/>
        <v>Single</v>
      </c>
      <c r="P49">
        <v>26.287500000000001</v>
      </c>
      <c r="Q49" s="1" t="str" cm="1">
        <f t="array" ref="Q49">_xlfn.IFS(P49&lt;=50,"Low",P49&lt;=100,"Medium",P49&gt;100,"High")</f>
        <v>Low</v>
      </c>
      <c r="R49" t="s">
        <v>17</v>
      </c>
      <c r="S49" s="1" t="str" cm="1">
        <f t="array" ref="S49">_xlfn.IFS(R49="S","Southampton",R49="C","Cherbourg",R49="Q","Queenstown")</f>
        <v>Southampton</v>
      </c>
    </row>
    <row r="50" spans="1:19" x14ac:dyDescent="0.3">
      <c r="A50">
        <v>49</v>
      </c>
      <c r="B50">
        <v>1</v>
      </c>
      <c r="C50" s="1" t="str" cm="1">
        <f t="array" ref="C50">_xlfn.IFS(B50=1,"First Class",B50=2,"Second Class",B50=3,"Third Class")</f>
        <v>First Class</v>
      </c>
      <c r="D50">
        <v>1</v>
      </c>
      <c r="E50" s="1" t="str">
        <f t="shared" si="0"/>
        <v>Alive</v>
      </c>
      <c r="F50" t="s">
        <v>138</v>
      </c>
      <c r="G50" s="1" t="s">
        <v>3001</v>
      </c>
      <c r="H50" t="s">
        <v>15</v>
      </c>
      <c r="I50" s="1" t="str">
        <f t="shared" si="1"/>
        <v>Female</v>
      </c>
      <c r="J50" s="3">
        <v>53</v>
      </c>
      <c r="K50" s="3" t="str" cm="1">
        <f t="array" ref="K50">_xlfn.IFS(J50&lt;=13,"Child",J50&lt;=18,"Teenager",J50&lt;=30,"Young Adult",J50&lt;=50,"Middle Aged Adult",J50&gt;50,"Senior")</f>
        <v>Senior</v>
      </c>
      <c r="L50">
        <v>0</v>
      </c>
      <c r="M50">
        <v>0</v>
      </c>
      <c r="N50" s="1">
        <f t="shared" si="2"/>
        <v>1</v>
      </c>
      <c r="O50" s="1" t="str">
        <f t="shared" si="3"/>
        <v>Single</v>
      </c>
      <c r="P50">
        <v>27.445799999999998</v>
      </c>
      <c r="Q50" s="1" t="str" cm="1">
        <f t="array" ref="Q50">_xlfn.IFS(P50&lt;=50,"Low",P50&lt;=100,"Medium",P50&gt;100,"High")</f>
        <v>Low</v>
      </c>
      <c r="R50" t="s">
        <v>41</v>
      </c>
      <c r="S50" s="1" t="str" cm="1">
        <f t="array" ref="S50">_xlfn.IFS(R50="S","Southampton",R50="C","Cherbourg",R50="Q","Queenstown")</f>
        <v>Cherbourg</v>
      </c>
    </row>
    <row r="51" spans="1:19" x14ac:dyDescent="0.3">
      <c r="A51">
        <v>50</v>
      </c>
      <c r="B51">
        <v>1</v>
      </c>
      <c r="C51" s="1" t="str" cm="1">
        <f t="array" ref="C51">_xlfn.IFS(B51=1,"First Class",B51=2,"Second Class",B51=3,"Third Class")</f>
        <v>First Class</v>
      </c>
      <c r="D51">
        <v>1</v>
      </c>
      <c r="E51" s="1" t="str">
        <f t="shared" si="0"/>
        <v>Alive</v>
      </c>
      <c r="F51" t="s">
        <v>140</v>
      </c>
      <c r="G51" s="1" t="s">
        <v>2999</v>
      </c>
      <c r="H51" t="s">
        <v>20</v>
      </c>
      <c r="I51" s="1" t="str">
        <f t="shared" si="1"/>
        <v>Male</v>
      </c>
      <c r="J51" s="3">
        <v>36</v>
      </c>
      <c r="K51" s="3" t="str" cm="1">
        <f t="array" ref="K51">_xlfn.IFS(J51&lt;=13,"Child",J51&lt;=18,"Teenager",J51&lt;=30,"Young Adult",J51&lt;=50,"Middle Aged Adult",J51&gt;50,"Senior")</f>
        <v>Middle Aged Adult</v>
      </c>
      <c r="L51">
        <v>0</v>
      </c>
      <c r="M51">
        <v>1</v>
      </c>
      <c r="N51" s="1">
        <f t="shared" si="2"/>
        <v>2</v>
      </c>
      <c r="O51" s="1" t="str">
        <f t="shared" si="3"/>
        <v>With Family</v>
      </c>
      <c r="P51">
        <v>512.32920000000001</v>
      </c>
      <c r="Q51" s="1" t="str" cm="1">
        <f t="array" ref="Q51">_xlfn.IFS(P51&lt;=50,"Low",P51&lt;=100,"Medium",P51&gt;100,"High")</f>
        <v>High</v>
      </c>
      <c r="R51" t="s">
        <v>41</v>
      </c>
      <c r="S51" s="1" t="str" cm="1">
        <f t="array" ref="S51">_xlfn.IFS(R51="S","Southampton",R51="C","Cherbourg",R51="Q","Queenstown")</f>
        <v>Cherbourg</v>
      </c>
    </row>
    <row r="52" spans="1:19" x14ac:dyDescent="0.3">
      <c r="A52">
        <v>51</v>
      </c>
      <c r="B52">
        <v>1</v>
      </c>
      <c r="C52" s="1" t="str" cm="1">
        <f t="array" ref="C52">_xlfn.IFS(B52=1,"First Class",B52=2,"Second Class",B52=3,"Third Class")</f>
        <v>First Class</v>
      </c>
      <c r="D52">
        <v>1</v>
      </c>
      <c r="E52" s="1" t="str">
        <f t="shared" si="0"/>
        <v>Alive</v>
      </c>
      <c r="F52" t="s">
        <v>144</v>
      </c>
      <c r="G52" s="1" t="s">
        <v>3001</v>
      </c>
      <c r="H52" t="s">
        <v>15</v>
      </c>
      <c r="I52" s="1" t="str">
        <f t="shared" si="1"/>
        <v>Female</v>
      </c>
      <c r="J52" s="3">
        <v>58</v>
      </c>
      <c r="K52" s="3" t="str" cm="1">
        <f t="array" ref="K52">_xlfn.IFS(J52&lt;=13,"Child",J52&lt;=18,"Teenager",J52&lt;=30,"Young Adult",J52&lt;=50,"Middle Aged Adult",J52&gt;50,"Senior")</f>
        <v>Senior</v>
      </c>
      <c r="L52">
        <v>0</v>
      </c>
      <c r="M52">
        <v>1</v>
      </c>
      <c r="N52" s="1">
        <f t="shared" si="2"/>
        <v>2</v>
      </c>
      <c r="O52" s="1" t="str">
        <f t="shared" si="3"/>
        <v>With Family</v>
      </c>
      <c r="P52">
        <v>512.32920000000001</v>
      </c>
      <c r="Q52" s="1" t="str" cm="1">
        <f t="array" ref="Q52">_xlfn.IFS(P52&lt;=50,"Low",P52&lt;=100,"Medium",P52&gt;100,"High")</f>
        <v>High</v>
      </c>
      <c r="R52" t="s">
        <v>41</v>
      </c>
      <c r="S52" s="1" t="str" cm="1">
        <f t="array" ref="S52">_xlfn.IFS(R52="S","Southampton",R52="C","Cherbourg",R52="Q","Queenstown")</f>
        <v>Cherbourg</v>
      </c>
    </row>
    <row r="53" spans="1:19" x14ac:dyDescent="0.3">
      <c r="A53">
        <v>52</v>
      </c>
      <c r="B53">
        <v>1</v>
      </c>
      <c r="C53" s="1" t="str" cm="1">
        <f t="array" ref="C53">_xlfn.IFS(B53=1,"First Class",B53=2,"Second Class",B53=3,"Third Class")</f>
        <v>First Class</v>
      </c>
      <c r="D53">
        <v>0</v>
      </c>
      <c r="E53" s="1" t="str">
        <f t="shared" si="0"/>
        <v>Dead</v>
      </c>
      <c r="F53" t="s">
        <v>146</v>
      </c>
      <c r="G53" s="1" t="s">
        <v>2999</v>
      </c>
      <c r="H53" t="s">
        <v>20</v>
      </c>
      <c r="I53" s="1" t="str">
        <f t="shared" si="1"/>
        <v>Male</v>
      </c>
      <c r="J53" s="3">
        <v>33</v>
      </c>
      <c r="K53" s="3" t="str" cm="1">
        <f t="array" ref="K53">_xlfn.IFS(J53&lt;=13,"Child",J53&lt;=18,"Teenager",J53&lt;=30,"Young Adult",J53&lt;=50,"Middle Aged Adult",J53&gt;50,"Senior")</f>
        <v>Middle Aged Adult</v>
      </c>
      <c r="L53">
        <v>0</v>
      </c>
      <c r="M53">
        <v>0</v>
      </c>
      <c r="N53" s="1">
        <f t="shared" si="2"/>
        <v>1</v>
      </c>
      <c r="O53" s="1" t="str">
        <f t="shared" si="3"/>
        <v>Single</v>
      </c>
      <c r="P53">
        <v>5</v>
      </c>
      <c r="Q53" s="1" t="str" cm="1">
        <f t="array" ref="Q53">_xlfn.IFS(P53&lt;=50,"Low",P53&lt;=100,"Medium",P53&gt;100,"High")</f>
        <v>Low</v>
      </c>
      <c r="R53" t="s">
        <v>17</v>
      </c>
      <c r="S53" s="1" t="str" cm="1">
        <f t="array" ref="S53">_xlfn.IFS(R53="S","Southampton",R53="C","Cherbourg",R53="Q","Queenstown")</f>
        <v>Southampton</v>
      </c>
    </row>
    <row r="54" spans="1:19" x14ac:dyDescent="0.3">
      <c r="A54">
        <v>53</v>
      </c>
      <c r="B54">
        <v>1</v>
      </c>
      <c r="C54" s="1" t="str" cm="1">
        <f t="array" ref="C54">_xlfn.IFS(B54=1,"First Class",B54=2,"Second Class",B54=3,"Third Class")</f>
        <v>First Class</v>
      </c>
      <c r="D54">
        <v>0</v>
      </c>
      <c r="E54" s="1" t="str">
        <f t="shared" si="0"/>
        <v>Dead</v>
      </c>
      <c r="F54" t="s">
        <v>147</v>
      </c>
      <c r="G54" s="1" t="s">
        <v>2999</v>
      </c>
      <c r="H54" t="s">
        <v>20</v>
      </c>
      <c r="I54" s="1" t="str">
        <f t="shared" si="1"/>
        <v>Male</v>
      </c>
      <c r="J54" s="3">
        <v>28</v>
      </c>
      <c r="K54" s="3" t="str" cm="1">
        <f t="array" ref="K54">_xlfn.IFS(J54&lt;=13,"Child",J54&lt;=18,"Teenager",J54&lt;=30,"Young Adult",J54&lt;=50,"Middle Aged Adult",J54&gt;50,"Senior")</f>
        <v>Young Adult</v>
      </c>
      <c r="L54">
        <v>0</v>
      </c>
      <c r="M54">
        <v>0</v>
      </c>
      <c r="N54" s="1">
        <f t="shared" si="2"/>
        <v>1</v>
      </c>
      <c r="O54" s="1" t="str">
        <f t="shared" si="3"/>
        <v>Single</v>
      </c>
      <c r="P54">
        <v>47.1</v>
      </c>
      <c r="Q54" s="1" t="str" cm="1">
        <f t="array" ref="Q54">_xlfn.IFS(P54&lt;=50,"Low",P54&lt;=100,"Medium",P54&gt;100,"High")</f>
        <v>Low</v>
      </c>
      <c r="R54" t="s">
        <v>17</v>
      </c>
      <c r="S54" s="1" t="str" cm="1">
        <f t="array" ref="S54">_xlfn.IFS(R54="S","Southampton",R54="C","Cherbourg",R54="Q","Queenstown")</f>
        <v>Southampton</v>
      </c>
    </row>
    <row r="55" spans="1:19" x14ac:dyDescent="0.3">
      <c r="A55">
        <v>54</v>
      </c>
      <c r="B55">
        <v>1</v>
      </c>
      <c r="C55" s="1" t="str" cm="1">
        <f t="array" ref="C55">_xlfn.IFS(B55=1,"First Class",B55=2,"Second Class",B55=3,"Third Class")</f>
        <v>First Class</v>
      </c>
      <c r="D55">
        <v>0</v>
      </c>
      <c r="E55" s="1" t="str">
        <f t="shared" si="0"/>
        <v>Dead</v>
      </c>
      <c r="F55" t="s">
        <v>148</v>
      </c>
      <c r="G55" s="1" t="s">
        <v>2999</v>
      </c>
      <c r="H55" t="s">
        <v>20</v>
      </c>
      <c r="I55" s="1" t="str">
        <f t="shared" si="1"/>
        <v>Male</v>
      </c>
      <c r="J55" s="3">
        <v>17</v>
      </c>
      <c r="K55" s="3" t="str" cm="1">
        <f t="array" ref="K55">_xlfn.IFS(J55&lt;=13,"Child",J55&lt;=18,"Teenager",J55&lt;=30,"Young Adult",J55&lt;=50,"Middle Aged Adult",J55&gt;50,"Senior")</f>
        <v>Teenager</v>
      </c>
      <c r="L55">
        <v>0</v>
      </c>
      <c r="M55">
        <v>0</v>
      </c>
      <c r="N55" s="1">
        <f t="shared" si="2"/>
        <v>1</v>
      </c>
      <c r="O55" s="1" t="str">
        <f t="shared" si="3"/>
        <v>Single</v>
      </c>
      <c r="P55">
        <v>47.1</v>
      </c>
      <c r="Q55" s="1" t="str" cm="1">
        <f t="array" ref="Q55">_xlfn.IFS(P55&lt;=50,"Low",P55&lt;=100,"Medium",P55&gt;100,"High")</f>
        <v>Low</v>
      </c>
      <c r="R55" t="s">
        <v>17</v>
      </c>
      <c r="S55" s="1" t="str" cm="1">
        <f t="array" ref="S55">_xlfn.IFS(R55="S","Southampton",R55="C","Cherbourg",R55="Q","Queenstown")</f>
        <v>Southampton</v>
      </c>
    </row>
    <row r="56" spans="1:19" x14ac:dyDescent="0.3">
      <c r="A56">
        <v>55</v>
      </c>
      <c r="B56">
        <v>1</v>
      </c>
      <c r="C56" s="1" t="str" cm="1">
        <f t="array" ref="C56">_xlfn.IFS(B56=1,"First Class",B56=2,"Second Class",B56=3,"Third Class")</f>
        <v>First Class</v>
      </c>
      <c r="D56">
        <v>1</v>
      </c>
      <c r="E56" s="1" t="str">
        <f t="shared" si="0"/>
        <v>Alive</v>
      </c>
      <c r="F56" t="s">
        <v>149</v>
      </c>
      <c r="G56" s="1" t="s">
        <v>2996</v>
      </c>
      <c r="H56" t="s">
        <v>20</v>
      </c>
      <c r="I56" s="1" t="str">
        <f t="shared" si="1"/>
        <v>Male</v>
      </c>
      <c r="J56" s="3">
        <v>11</v>
      </c>
      <c r="K56" s="3" t="str" cm="1">
        <f t="array" ref="K56">_xlfn.IFS(J56&lt;=13,"Child",J56&lt;=18,"Teenager",J56&lt;=30,"Young Adult",J56&lt;=50,"Middle Aged Adult",J56&gt;50,"Senior")</f>
        <v>Child</v>
      </c>
      <c r="L56">
        <v>1</v>
      </c>
      <c r="M56">
        <v>2</v>
      </c>
      <c r="N56" s="1">
        <f t="shared" si="2"/>
        <v>4</v>
      </c>
      <c r="O56" s="1" t="str">
        <f t="shared" si="3"/>
        <v>With Family</v>
      </c>
      <c r="P56">
        <v>120</v>
      </c>
      <c r="Q56" s="1" t="str" cm="1">
        <f t="array" ref="Q56">_xlfn.IFS(P56&lt;=50,"Low",P56&lt;=100,"Medium",P56&gt;100,"High")</f>
        <v>High</v>
      </c>
      <c r="R56" t="s">
        <v>17</v>
      </c>
      <c r="S56" s="1" t="str" cm="1">
        <f t="array" ref="S56">_xlfn.IFS(R56="S","Southampton",R56="C","Cherbourg",R56="Q","Queenstown")</f>
        <v>Southampton</v>
      </c>
    </row>
    <row r="57" spans="1:19" x14ac:dyDescent="0.3">
      <c r="A57">
        <v>56</v>
      </c>
      <c r="B57">
        <v>1</v>
      </c>
      <c r="C57" s="1" t="str" cm="1">
        <f t="array" ref="C57">_xlfn.IFS(B57=1,"First Class",B57=2,"Second Class",B57=3,"Third Class")</f>
        <v>First Class</v>
      </c>
      <c r="D57">
        <v>1</v>
      </c>
      <c r="E57" s="1" t="str">
        <f t="shared" si="0"/>
        <v>Alive</v>
      </c>
      <c r="F57" t="s">
        <v>152</v>
      </c>
      <c r="G57" s="1" t="s">
        <v>2994</v>
      </c>
      <c r="H57" t="s">
        <v>15</v>
      </c>
      <c r="I57" s="1" t="str">
        <f t="shared" si="1"/>
        <v>Female</v>
      </c>
      <c r="J57" s="3">
        <v>14</v>
      </c>
      <c r="K57" s="3" t="str" cm="1">
        <f t="array" ref="K57">_xlfn.IFS(J57&lt;=13,"Child",J57&lt;=18,"Teenager",J57&lt;=30,"Young Adult",J57&lt;=50,"Middle Aged Adult",J57&gt;50,"Senior")</f>
        <v>Teenager</v>
      </c>
      <c r="L57">
        <v>1</v>
      </c>
      <c r="M57">
        <v>2</v>
      </c>
      <c r="N57" s="1">
        <f t="shared" si="2"/>
        <v>4</v>
      </c>
      <c r="O57" s="1" t="str">
        <f t="shared" si="3"/>
        <v>With Family</v>
      </c>
      <c r="P57">
        <v>120</v>
      </c>
      <c r="Q57" s="1" t="str" cm="1">
        <f t="array" ref="Q57">_xlfn.IFS(P57&lt;=50,"Low",P57&lt;=100,"Medium",P57&gt;100,"High")</f>
        <v>High</v>
      </c>
      <c r="R57" t="s">
        <v>17</v>
      </c>
      <c r="S57" s="1" t="str" cm="1">
        <f t="array" ref="S57">_xlfn.IFS(R57="S","Southampton",R57="C","Cherbourg",R57="Q","Queenstown")</f>
        <v>Southampton</v>
      </c>
    </row>
    <row r="58" spans="1:19" x14ac:dyDescent="0.3">
      <c r="A58">
        <v>57</v>
      </c>
      <c r="B58">
        <v>1</v>
      </c>
      <c r="C58" s="1" t="str" cm="1">
        <f t="array" ref="C58">_xlfn.IFS(B58=1,"First Class",B58=2,"Second Class",B58=3,"Third Class")</f>
        <v>First Class</v>
      </c>
      <c r="D58">
        <v>1</v>
      </c>
      <c r="E58" s="1" t="str">
        <f t="shared" si="0"/>
        <v>Alive</v>
      </c>
      <c r="F58" t="s">
        <v>153</v>
      </c>
      <c r="G58" s="1" t="s">
        <v>2999</v>
      </c>
      <c r="H58" t="s">
        <v>20</v>
      </c>
      <c r="I58" s="1" t="str">
        <f t="shared" si="1"/>
        <v>Male</v>
      </c>
      <c r="J58" s="3">
        <v>36</v>
      </c>
      <c r="K58" s="3" t="str" cm="1">
        <f t="array" ref="K58">_xlfn.IFS(J58&lt;=13,"Child",J58&lt;=18,"Teenager",J58&lt;=30,"Young Adult",J58&lt;=50,"Middle Aged Adult",J58&gt;50,"Senior")</f>
        <v>Middle Aged Adult</v>
      </c>
      <c r="L58">
        <v>1</v>
      </c>
      <c r="M58">
        <v>2</v>
      </c>
      <c r="N58" s="1">
        <f t="shared" si="2"/>
        <v>4</v>
      </c>
      <c r="O58" s="1" t="str">
        <f t="shared" si="3"/>
        <v>With Family</v>
      </c>
      <c r="P58">
        <v>120</v>
      </c>
      <c r="Q58" s="1" t="str" cm="1">
        <f t="array" ref="Q58">_xlfn.IFS(P58&lt;=50,"Low",P58&lt;=100,"Medium",P58&gt;100,"High")</f>
        <v>High</v>
      </c>
      <c r="R58" t="s">
        <v>17</v>
      </c>
      <c r="S58" s="1" t="str" cm="1">
        <f t="array" ref="S58">_xlfn.IFS(R58="S","Southampton",R58="C","Cherbourg",R58="Q","Queenstown")</f>
        <v>Southampton</v>
      </c>
    </row>
    <row r="59" spans="1:19" x14ac:dyDescent="0.3">
      <c r="A59">
        <v>58</v>
      </c>
      <c r="B59">
        <v>1</v>
      </c>
      <c r="C59" s="1" t="str" cm="1">
        <f t="array" ref="C59">_xlfn.IFS(B59=1,"First Class",B59=2,"Second Class",B59=3,"Third Class")</f>
        <v>First Class</v>
      </c>
      <c r="D59">
        <v>1</v>
      </c>
      <c r="E59" s="1" t="str">
        <f t="shared" si="0"/>
        <v>Alive</v>
      </c>
      <c r="F59" t="s">
        <v>154</v>
      </c>
      <c r="G59" s="1" t="s">
        <v>3001</v>
      </c>
      <c r="H59" t="s">
        <v>15</v>
      </c>
      <c r="I59" s="1" t="str">
        <f t="shared" si="1"/>
        <v>Female</v>
      </c>
      <c r="J59" s="3">
        <v>36</v>
      </c>
      <c r="K59" s="3" t="str" cm="1">
        <f t="array" ref="K59">_xlfn.IFS(J59&lt;=13,"Child",J59&lt;=18,"Teenager",J59&lt;=30,"Young Adult",J59&lt;=50,"Middle Aged Adult",J59&gt;50,"Senior")</f>
        <v>Middle Aged Adult</v>
      </c>
      <c r="L59">
        <v>1</v>
      </c>
      <c r="M59">
        <v>2</v>
      </c>
      <c r="N59" s="1">
        <f t="shared" si="2"/>
        <v>4</v>
      </c>
      <c r="O59" s="1" t="str">
        <f t="shared" si="3"/>
        <v>With Family</v>
      </c>
      <c r="P59">
        <v>120</v>
      </c>
      <c r="Q59" s="1" t="str" cm="1">
        <f t="array" ref="Q59">_xlfn.IFS(P59&lt;=50,"Low",P59&lt;=100,"Medium",P59&gt;100,"High")</f>
        <v>High</v>
      </c>
      <c r="R59" t="s">
        <v>17</v>
      </c>
      <c r="S59" s="1" t="str" cm="1">
        <f t="array" ref="S59">_xlfn.IFS(R59="S","Southampton",R59="C","Cherbourg",R59="Q","Queenstown")</f>
        <v>Southampton</v>
      </c>
    </row>
    <row r="60" spans="1:19" x14ac:dyDescent="0.3">
      <c r="A60">
        <v>59</v>
      </c>
      <c r="B60">
        <v>1</v>
      </c>
      <c r="C60" s="1" t="str" cm="1">
        <f t="array" ref="C60">_xlfn.IFS(B60=1,"First Class",B60=2,"Second Class",B60=3,"Third Class")</f>
        <v>First Class</v>
      </c>
      <c r="D60">
        <v>0</v>
      </c>
      <c r="E60" s="1" t="str">
        <f t="shared" si="0"/>
        <v>Dead</v>
      </c>
      <c r="F60" t="s">
        <v>155</v>
      </c>
      <c r="G60" s="1" t="s">
        <v>2999</v>
      </c>
      <c r="H60" t="s">
        <v>20</v>
      </c>
      <c r="I60" s="1" t="str">
        <f t="shared" si="1"/>
        <v>Male</v>
      </c>
      <c r="J60" s="3">
        <v>49</v>
      </c>
      <c r="K60" s="3" t="str" cm="1">
        <f t="array" ref="K60">_xlfn.IFS(J60&lt;=13,"Child",J60&lt;=18,"Teenager",J60&lt;=30,"Young Adult",J60&lt;=50,"Middle Aged Adult",J60&gt;50,"Senior")</f>
        <v>Middle Aged Adult</v>
      </c>
      <c r="L60">
        <v>0</v>
      </c>
      <c r="M60">
        <v>0</v>
      </c>
      <c r="N60" s="1">
        <f t="shared" si="2"/>
        <v>1</v>
      </c>
      <c r="O60" s="1" t="str">
        <f t="shared" si="3"/>
        <v>Single</v>
      </c>
      <c r="P60">
        <v>26</v>
      </c>
      <c r="Q60" s="1" t="str" cm="1">
        <f t="array" ref="Q60">_xlfn.IFS(P60&lt;=50,"Low",P60&lt;=100,"Medium",P60&gt;100,"High")</f>
        <v>Low</v>
      </c>
      <c r="R60" t="s">
        <v>17</v>
      </c>
      <c r="S60" s="1" t="str" cm="1">
        <f t="array" ref="S60">_xlfn.IFS(R60="S","Southampton",R60="C","Cherbourg",R60="Q","Queenstown")</f>
        <v>Southampton</v>
      </c>
    </row>
    <row r="61" spans="1:19" x14ac:dyDescent="0.3">
      <c r="A61">
        <v>60</v>
      </c>
      <c r="B61">
        <v>1</v>
      </c>
      <c r="C61" s="1" t="str" cm="1">
        <f t="array" ref="C61">_xlfn.IFS(B61=1,"First Class",B61=2,"Second Class",B61=3,"Third Class")</f>
        <v>First Class</v>
      </c>
      <c r="D61">
        <v>1</v>
      </c>
      <c r="E61" s="1" t="str">
        <f t="shared" si="0"/>
        <v>Alive</v>
      </c>
      <c r="F61" t="s">
        <v>157</v>
      </c>
      <c r="G61" s="1" t="s">
        <v>3001</v>
      </c>
      <c r="H61" t="s">
        <v>15</v>
      </c>
      <c r="I61" s="1" t="str">
        <f t="shared" si="1"/>
        <v>Female</v>
      </c>
      <c r="J61" s="3">
        <v>29.881137667304014</v>
      </c>
      <c r="K61" s="3" t="str" cm="1">
        <f t="array" ref="K61">_xlfn.IFS(J61&lt;=13,"Child",J61&lt;=18,"Teenager",J61&lt;=30,"Young Adult",J61&lt;=50,"Middle Aged Adult",J61&gt;50,"Senior")</f>
        <v>Young Adult</v>
      </c>
      <c r="L61">
        <v>0</v>
      </c>
      <c r="M61">
        <v>0</v>
      </c>
      <c r="N61" s="1">
        <f t="shared" si="2"/>
        <v>1</v>
      </c>
      <c r="O61" s="1" t="str">
        <f t="shared" si="3"/>
        <v>Single</v>
      </c>
      <c r="P61">
        <v>27.720800000000001</v>
      </c>
      <c r="Q61" s="1" t="str" cm="1">
        <f t="array" ref="Q61">_xlfn.IFS(P61&lt;=50,"Low",P61&lt;=100,"Medium",P61&gt;100,"High")</f>
        <v>Low</v>
      </c>
      <c r="R61" t="s">
        <v>41</v>
      </c>
      <c r="S61" s="1" t="str" cm="1">
        <f t="array" ref="S61">_xlfn.IFS(R61="S","Southampton",R61="C","Cherbourg",R61="Q","Queenstown")</f>
        <v>Cherbourg</v>
      </c>
    </row>
    <row r="62" spans="1:19" x14ac:dyDescent="0.3">
      <c r="A62">
        <v>61</v>
      </c>
      <c r="B62">
        <v>1</v>
      </c>
      <c r="C62" s="1" t="str" cm="1">
        <f t="array" ref="C62">_xlfn.IFS(B62=1,"First Class",B62=2,"Second Class",B62=3,"Third Class")</f>
        <v>First Class</v>
      </c>
      <c r="D62">
        <v>0</v>
      </c>
      <c r="E62" s="1" t="str">
        <f t="shared" si="0"/>
        <v>Dead</v>
      </c>
      <c r="F62" t="s">
        <v>158</v>
      </c>
      <c r="G62" s="1" t="s">
        <v>2999</v>
      </c>
      <c r="H62" t="s">
        <v>20</v>
      </c>
      <c r="I62" s="1" t="str">
        <f t="shared" si="1"/>
        <v>Male</v>
      </c>
      <c r="J62" s="3">
        <v>36</v>
      </c>
      <c r="K62" s="3" t="str" cm="1">
        <f t="array" ref="K62">_xlfn.IFS(J62&lt;=13,"Child",J62&lt;=18,"Teenager",J62&lt;=30,"Young Adult",J62&lt;=50,"Middle Aged Adult",J62&gt;50,"Senior")</f>
        <v>Middle Aged Adult</v>
      </c>
      <c r="L62">
        <v>1</v>
      </c>
      <c r="M62">
        <v>0</v>
      </c>
      <c r="N62" s="1">
        <f t="shared" si="2"/>
        <v>2</v>
      </c>
      <c r="O62" s="1" t="str">
        <f t="shared" si="3"/>
        <v>With Family</v>
      </c>
      <c r="P62">
        <v>78.849999999999994</v>
      </c>
      <c r="Q62" s="1" t="str" cm="1">
        <f t="array" ref="Q62">_xlfn.IFS(P62&lt;=50,"Low",P62&lt;=100,"Medium",P62&gt;100,"High")</f>
        <v>Medium</v>
      </c>
      <c r="R62" t="s">
        <v>17</v>
      </c>
      <c r="S62" s="1" t="str" cm="1">
        <f t="array" ref="S62">_xlfn.IFS(R62="S","Southampton",R62="C","Cherbourg",R62="Q","Queenstown")</f>
        <v>Southampton</v>
      </c>
    </row>
    <row r="63" spans="1:19" x14ac:dyDescent="0.3">
      <c r="A63">
        <v>62</v>
      </c>
      <c r="B63">
        <v>1</v>
      </c>
      <c r="C63" s="1" t="str" cm="1">
        <f t="array" ref="C63">_xlfn.IFS(B63=1,"First Class",B63=2,"Second Class",B63=3,"Third Class")</f>
        <v>First Class</v>
      </c>
      <c r="D63">
        <v>1</v>
      </c>
      <c r="E63" s="1" t="str">
        <f t="shared" si="0"/>
        <v>Alive</v>
      </c>
      <c r="F63" t="s">
        <v>161</v>
      </c>
      <c r="G63" s="1" t="s">
        <v>3001</v>
      </c>
      <c r="H63" t="s">
        <v>15</v>
      </c>
      <c r="I63" s="1" t="str">
        <f t="shared" si="1"/>
        <v>Female</v>
      </c>
      <c r="J63" s="3">
        <v>76</v>
      </c>
      <c r="K63" s="3" t="str" cm="1">
        <f t="array" ref="K63">_xlfn.IFS(J63&lt;=13,"Child",J63&lt;=18,"Teenager",J63&lt;=30,"Young Adult",J63&lt;=50,"Middle Aged Adult",J63&gt;50,"Senior")</f>
        <v>Senior</v>
      </c>
      <c r="L63">
        <v>1</v>
      </c>
      <c r="M63">
        <v>0</v>
      </c>
      <c r="N63" s="1">
        <f t="shared" si="2"/>
        <v>2</v>
      </c>
      <c r="O63" s="1" t="str">
        <f t="shared" si="3"/>
        <v>With Family</v>
      </c>
      <c r="P63">
        <v>78.849999999999994</v>
      </c>
      <c r="Q63" s="1" t="str" cm="1">
        <f t="array" ref="Q63">_xlfn.IFS(P63&lt;=50,"Low",P63&lt;=100,"Medium",P63&gt;100,"High")</f>
        <v>Medium</v>
      </c>
      <c r="R63" t="s">
        <v>17</v>
      </c>
      <c r="S63" s="1" t="str" cm="1">
        <f t="array" ref="S63">_xlfn.IFS(R63="S","Southampton",R63="C","Cherbourg",R63="Q","Queenstown")</f>
        <v>Southampton</v>
      </c>
    </row>
    <row r="64" spans="1:19" x14ac:dyDescent="0.3">
      <c r="A64">
        <v>63</v>
      </c>
      <c r="B64">
        <v>1</v>
      </c>
      <c r="C64" s="1" t="str" cm="1">
        <f t="array" ref="C64">_xlfn.IFS(B64=1,"First Class",B64=2,"Second Class",B64=3,"Third Class")</f>
        <v>First Class</v>
      </c>
      <c r="D64">
        <v>0</v>
      </c>
      <c r="E64" s="1" t="str">
        <f t="shared" si="0"/>
        <v>Dead</v>
      </c>
      <c r="F64" t="s">
        <v>162</v>
      </c>
      <c r="G64" s="1" t="s">
        <v>2999</v>
      </c>
      <c r="H64" t="s">
        <v>20</v>
      </c>
      <c r="I64" s="1" t="str">
        <f t="shared" si="1"/>
        <v>Male</v>
      </c>
      <c r="J64" s="3">
        <v>46</v>
      </c>
      <c r="K64" s="3" t="str" cm="1">
        <f t="array" ref="K64">_xlfn.IFS(J64&lt;=13,"Child",J64&lt;=18,"Teenager",J64&lt;=30,"Young Adult",J64&lt;=50,"Middle Aged Adult",J64&gt;50,"Senior")</f>
        <v>Middle Aged Adult</v>
      </c>
      <c r="L64">
        <v>1</v>
      </c>
      <c r="M64">
        <v>0</v>
      </c>
      <c r="N64" s="1">
        <f t="shared" si="2"/>
        <v>2</v>
      </c>
      <c r="O64" s="1" t="str">
        <f t="shared" si="3"/>
        <v>With Family</v>
      </c>
      <c r="P64">
        <v>61.174999999999997</v>
      </c>
      <c r="Q64" s="1" t="str" cm="1">
        <f t="array" ref="Q64">_xlfn.IFS(P64&lt;=50,"Low",P64&lt;=100,"Medium",P64&gt;100,"High")</f>
        <v>Medium</v>
      </c>
      <c r="R64" t="s">
        <v>17</v>
      </c>
      <c r="S64" s="1" t="str" cm="1">
        <f t="array" ref="S64">_xlfn.IFS(R64="S","Southampton",R64="C","Cherbourg",R64="Q","Queenstown")</f>
        <v>Southampton</v>
      </c>
    </row>
    <row r="65" spans="1:19" x14ac:dyDescent="0.3">
      <c r="A65">
        <v>64</v>
      </c>
      <c r="B65">
        <v>1</v>
      </c>
      <c r="C65" s="1" t="str" cm="1">
        <f t="array" ref="C65">_xlfn.IFS(B65=1,"First Class",B65=2,"Second Class",B65=3,"Third Class")</f>
        <v>First Class</v>
      </c>
      <c r="D65">
        <v>1</v>
      </c>
      <c r="E65" s="1" t="str">
        <f t="shared" si="0"/>
        <v>Alive</v>
      </c>
      <c r="F65" t="s">
        <v>166</v>
      </c>
      <c r="G65" s="1" t="s">
        <v>3001</v>
      </c>
      <c r="H65" t="s">
        <v>15</v>
      </c>
      <c r="I65" s="1" t="str">
        <f t="shared" si="1"/>
        <v>Female</v>
      </c>
      <c r="J65" s="3">
        <v>47</v>
      </c>
      <c r="K65" s="3" t="str" cm="1">
        <f t="array" ref="K65">_xlfn.IFS(J65&lt;=13,"Child",J65&lt;=18,"Teenager",J65&lt;=30,"Young Adult",J65&lt;=50,"Middle Aged Adult",J65&gt;50,"Senior")</f>
        <v>Middle Aged Adult</v>
      </c>
      <c r="L65">
        <v>1</v>
      </c>
      <c r="M65">
        <v>0</v>
      </c>
      <c r="N65" s="1">
        <f t="shared" si="2"/>
        <v>2</v>
      </c>
      <c r="O65" s="1" t="str">
        <f t="shared" si="3"/>
        <v>With Family</v>
      </c>
      <c r="P65">
        <v>61.174999999999997</v>
      </c>
      <c r="Q65" s="1" t="str" cm="1">
        <f t="array" ref="Q65">_xlfn.IFS(P65&lt;=50,"Low",P65&lt;=100,"Medium",P65&gt;100,"High")</f>
        <v>Medium</v>
      </c>
      <c r="R65" t="s">
        <v>17</v>
      </c>
      <c r="S65" s="1" t="str" cm="1">
        <f t="array" ref="S65">_xlfn.IFS(R65="S","Southampton",R65="C","Cherbourg",R65="Q","Queenstown")</f>
        <v>Southampton</v>
      </c>
    </row>
    <row r="66" spans="1:19" x14ac:dyDescent="0.3">
      <c r="A66">
        <v>65</v>
      </c>
      <c r="B66">
        <v>1</v>
      </c>
      <c r="C66" s="1" t="str" cm="1">
        <f t="array" ref="C66">_xlfn.IFS(B66=1,"First Class",B66=2,"Second Class",B66=3,"Third Class")</f>
        <v>First Class</v>
      </c>
      <c r="D66">
        <v>1</v>
      </c>
      <c r="E66" s="1" t="str">
        <f t="shared" si="0"/>
        <v>Alive</v>
      </c>
      <c r="F66" t="s">
        <v>167</v>
      </c>
      <c r="G66" s="1" t="s">
        <v>2999</v>
      </c>
      <c r="H66" t="s">
        <v>20</v>
      </c>
      <c r="I66" s="1" t="str">
        <f t="shared" si="1"/>
        <v>Male</v>
      </c>
      <c r="J66" s="3">
        <v>27</v>
      </c>
      <c r="K66" s="3" t="str" cm="1">
        <f t="array" ref="K66">_xlfn.IFS(J66&lt;=13,"Child",J66&lt;=18,"Teenager",J66&lt;=30,"Young Adult",J66&lt;=50,"Middle Aged Adult",J66&gt;50,"Senior")</f>
        <v>Young Adult</v>
      </c>
      <c r="L66">
        <v>1</v>
      </c>
      <c r="M66">
        <v>0</v>
      </c>
      <c r="N66" s="1">
        <f t="shared" si="2"/>
        <v>2</v>
      </c>
      <c r="O66" s="1" t="str">
        <f t="shared" si="3"/>
        <v>With Family</v>
      </c>
      <c r="P66">
        <v>53.1</v>
      </c>
      <c r="Q66" s="1" t="str" cm="1">
        <f t="array" ref="Q66">_xlfn.IFS(P66&lt;=50,"Low",P66&lt;=100,"Medium",P66&gt;100,"High")</f>
        <v>Medium</v>
      </c>
      <c r="R66" t="s">
        <v>17</v>
      </c>
      <c r="S66" s="1" t="str" cm="1">
        <f t="array" ref="S66">_xlfn.IFS(R66="S","Southampton",R66="C","Cherbourg",R66="Q","Queenstown")</f>
        <v>Southampton</v>
      </c>
    </row>
    <row r="67" spans="1:19" x14ac:dyDescent="0.3">
      <c r="A67">
        <v>66</v>
      </c>
      <c r="B67">
        <v>1</v>
      </c>
      <c r="C67" s="1" t="str" cm="1">
        <f t="array" ref="C67">_xlfn.IFS(B67=1,"First Class",B67=2,"Second Class",B67=3,"Third Class")</f>
        <v>First Class</v>
      </c>
      <c r="D67">
        <v>1</v>
      </c>
      <c r="E67" s="1" t="str">
        <f t="shared" ref="E67:E130" si="4">IF(D67=0,"Dead","Alive")</f>
        <v>Alive</v>
      </c>
      <c r="F67" t="s">
        <v>170</v>
      </c>
      <c r="G67" s="1" t="s">
        <v>3001</v>
      </c>
      <c r="H67" t="s">
        <v>15</v>
      </c>
      <c r="I67" s="1" t="str">
        <f t="shared" ref="I67:I130" si="5">PROPER(H67)</f>
        <v>Female</v>
      </c>
      <c r="J67" s="3">
        <v>33</v>
      </c>
      <c r="K67" s="3" t="str" cm="1">
        <f t="array" ref="K67">_xlfn.IFS(J67&lt;=13,"Child",J67&lt;=18,"Teenager",J67&lt;=30,"Young Adult",J67&lt;=50,"Middle Aged Adult",J67&gt;50,"Senior")</f>
        <v>Middle Aged Adult</v>
      </c>
      <c r="L67">
        <v>1</v>
      </c>
      <c r="M67">
        <v>0</v>
      </c>
      <c r="N67" s="1">
        <f t="shared" ref="N67:N130" si="6">L67+M67+1</f>
        <v>2</v>
      </c>
      <c r="O67" s="1" t="str">
        <f t="shared" ref="O67:O130" si="7">IF(N67=1,"Single","With Family")</f>
        <v>With Family</v>
      </c>
      <c r="P67">
        <v>53.1</v>
      </c>
      <c r="Q67" s="1" t="str" cm="1">
        <f t="array" ref="Q67">_xlfn.IFS(P67&lt;=50,"Low",P67&lt;=100,"Medium",P67&gt;100,"High")</f>
        <v>Medium</v>
      </c>
      <c r="R67" t="s">
        <v>17</v>
      </c>
      <c r="S67" s="1" t="str" cm="1">
        <f t="array" ref="S67">_xlfn.IFS(R67="S","Southampton",R67="C","Cherbourg",R67="Q","Queenstown")</f>
        <v>Southampton</v>
      </c>
    </row>
    <row r="68" spans="1:19" x14ac:dyDescent="0.3">
      <c r="A68">
        <v>67</v>
      </c>
      <c r="B68">
        <v>1</v>
      </c>
      <c r="C68" s="1" t="str" cm="1">
        <f t="array" ref="C68">_xlfn.IFS(B68=1,"First Class",B68=2,"Second Class",B68=3,"Third Class")</f>
        <v>First Class</v>
      </c>
      <c r="D68">
        <v>1</v>
      </c>
      <c r="E68" s="1" t="str">
        <f t="shared" si="4"/>
        <v>Alive</v>
      </c>
      <c r="F68" t="s">
        <v>171</v>
      </c>
      <c r="G68" s="1" t="s">
        <v>2994</v>
      </c>
      <c r="H68" t="s">
        <v>15</v>
      </c>
      <c r="I68" s="1" t="str">
        <f t="shared" si="5"/>
        <v>Female</v>
      </c>
      <c r="J68" s="3">
        <v>36</v>
      </c>
      <c r="K68" s="3" t="str" cm="1">
        <f t="array" ref="K68">_xlfn.IFS(J68&lt;=13,"Child",J68&lt;=18,"Teenager",J68&lt;=30,"Young Adult",J68&lt;=50,"Middle Aged Adult",J68&gt;50,"Senior")</f>
        <v>Middle Aged Adult</v>
      </c>
      <c r="L68">
        <v>0</v>
      </c>
      <c r="M68">
        <v>0</v>
      </c>
      <c r="N68" s="1">
        <f t="shared" si="6"/>
        <v>1</v>
      </c>
      <c r="O68" s="1" t="str">
        <f t="shared" si="7"/>
        <v>Single</v>
      </c>
      <c r="P68">
        <v>262.375</v>
      </c>
      <c r="Q68" s="1" t="str" cm="1">
        <f t="array" ref="Q68">_xlfn.IFS(P68&lt;=50,"Low",P68&lt;=100,"Medium",P68&gt;100,"High")</f>
        <v>High</v>
      </c>
      <c r="R68" t="s">
        <v>41</v>
      </c>
      <c r="S68" s="1" t="str" cm="1">
        <f t="array" ref="S68">_xlfn.IFS(R68="S","Southampton",R68="C","Cherbourg",R68="Q","Queenstown")</f>
        <v>Cherbourg</v>
      </c>
    </row>
    <row r="69" spans="1:19" x14ac:dyDescent="0.3">
      <c r="A69">
        <v>68</v>
      </c>
      <c r="B69">
        <v>1</v>
      </c>
      <c r="C69" s="1" t="str" cm="1">
        <f t="array" ref="C69">_xlfn.IFS(B69=1,"First Class",B69=2,"Second Class",B69=3,"Third Class")</f>
        <v>First Class</v>
      </c>
      <c r="D69">
        <v>1</v>
      </c>
      <c r="E69" s="1" t="str">
        <f t="shared" si="4"/>
        <v>Alive</v>
      </c>
      <c r="F69" t="s">
        <v>173</v>
      </c>
      <c r="G69" s="1" t="s">
        <v>2994</v>
      </c>
      <c r="H69" t="s">
        <v>15</v>
      </c>
      <c r="I69" s="1" t="str">
        <f t="shared" si="5"/>
        <v>Female</v>
      </c>
      <c r="J69" s="3">
        <v>30</v>
      </c>
      <c r="K69" s="3" t="str" cm="1">
        <f t="array" ref="K69">_xlfn.IFS(J69&lt;=13,"Child",J69&lt;=18,"Teenager",J69&lt;=30,"Young Adult",J69&lt;=50,"Middle Aged Adult",J69&gt;50,"Senior")</f>
        <v>Young Adult</v>
      </c>
      <c r="L69">
        <v>0</v>
      </c>
      <c r="M69">
        <v>0</v>
      </c>
      <c r="N69" s="1">
        <f t="shared" si="6"/>
        <v>1</v>
      </c>
      <c r="O69" s="1" t="str">
        <f t="shared" si="7"/>
        <v>Single</v>
      </c>
      <c r="P69">
        <v>86.5</v>
      </c>
      <c r="Q69" s="1" t="str" cm="1">
        <f t="array" ref="Q69">_xlfn.IFS(P69&lt;=50,"Low",P69&lt;=100,"Medium",P69&gt;100,"High")</f>
        <v>Medium</v>
      </c>
      <c r="R69" t="s">
        <v>17</v>
      </c>
      <c r="S69" s="1" t="str" cm="1">
        <f t="array" ref="S69">_xlfn.IFS(R69="S","Southampton",R69="C","Cherbourg",R69="Q","Queenstown")</f>
        <v>Southampton</v>
      </c>
    </row>
    <row r="70" spans="1:19" x14ac:dyDescent="0.3">
      <c r="A70">
        <v>69</v>
      </c>
      <c r="B70">
        <v>1</v>
      </c>
      <c r="C70" s="1" t="str" cm="1">
        <f t="array" ref="C70">_xlfn.IFS(B70=1,"First Class",B70=2,"Second Class",B70=3,"Third Class")</f>
        <v>First Class</v>
      </c>
      <c r="D70">
        <v>1</v>
      </c>
      <c r="E70" s="1" t="str">
        <f t="shared" si="4"/>
        <v>Alive</v>
      </c>
      <c r="F70" t="s">
        <v>176</v>
      </c>
      <c r="G70" s="1" t="s">
        <v>2999</v>
      </c>
      <c r="H70" t="s">
        <v>20</v>
      </c>
      <c r="I70" s="1" t="str">
        <f t="shared" si="5"/>
        <v>Male</v>
      </c>
      <c r="J70" s="3">
        <v>45</v>
      </c>
      <c r="K70" s="3" t="str" cm="1">
        <f t="array" ref="K70">_xlfn.IFS(J70&lt;=13,"Child",J70&lt;=18,"Teenager",J70&lt;=30,"Young Adult",J70&lt;=50,"Middle Aged Adult",J70&gt;50,"Senior")</f>
        <v>Middle Aged Adult</v>
      </c>
      <c r="L70">
        <v>0</v>
      </c>
      <c r="M70">
        <v>0</v>
      </c>
      <c r="N70" s="1">
        <f t="shared" si="6"/>
        <v>1</v>
      </c>
      <c r="O70" s="1" t="str">
        <f t="shared" si="7"/>
        <v>Single</v>
      </c>
      <c r="P70">
        <v>29.7</v>
      </c>
      <c r="Q70" s="1" t="str" cm="1">
        <f t="array" ref="Q70">_xlfn.IFS(P70&lt;=50,"Low",P70&lt;=100,"Medium",P70&gt;100,"High")</f>
        <v>Low</v>
      </c>
      <c r="R70" t="s">
        <v>41</v>
      </c>
      <c r="S70" s="1" t="str" cm="1">
        <f t="array" ref="S70">_xlfn.IFS(R70="S","Southampton",R70="C","Cherbourg",R70="Q","Queenstown")</f>
        <v>Cherbourg</v>
      </c>
    </row>
    <row r="71" spans="1:19" x14ac:dyDescent="0.3">
      <c r="A71">
        <v>70</v>
      </c>
      <c r="B71">
        <v>1</v>
      </c>
      <c r="C71" s="1" t="str" cm="1">
        <f t="array" ref="C71">_xlfn.IFS(B71=1,"First Class",B71=2,"Second Class",B71=3,"Third Class")</f>
        <v>First Class</v>
      </c>
      <c r="D71">
        <v>1</v>
      </c>
      <c r="E71" s="1" t="str">
        <f t="shared" si="4"/>
        <v>Alive</v>
      </c>
      <c r="F71" t="s">
        <v>179</v>
      </c>
      <c r="G71" s="1" t="s">
        <v>3001</v>
      </c>
      <c r="H71" t="s">
        <v>15</v>
      </c>
      <c r="I71" s="1" t="str">
        <f t="shared" si="5"/>
        <v>Female</v>
      </c>
      <c r="J71" s="3">
        <v>29.881137667304014</v>
      </c>
      <c r="K71" s="3" t="str" cm="1">
        <f t="array" ref="K71">_xlfn.IFS(J71&lt;=13,"Child",J71&lt;=18,"Teenager",J71&lt;=30,"Young Adult",J71&lt;=50,"Middle Aged Adult",J71&gt;50,"Senior")</f>
        <v>Young Adult</v>
      </c>
      <c r="L71">
        <v>0</v>
      </c>
      <c r="M71">
        <v>1</v>
      </c>
      <c r="N71" s="1">
        <f t="shared" si="6"/>
        <v>2</v>
      </c>
      <c r="O71" s="1" t="str">
        <f t="shared" si="7"/>
        <v>With Family</v>
      </c>
      <c r="P71">
        <v>55</v>
      </c>
      <c r="Q71" s="1" t="str" cm="1">
        <f t="array" ref="Q71">_xlfn.IFS(P71&lt;=50,"Low",P71&lt;=100,"Medium",P71&gt;100,"High")</f>
        <v>Medium</v>
      </c>
      <c r="R71" t="s">
        <v>17</v>
      </c>
      <c r="S71" s="1" t="str" cm="1">
        <f t="array" ref="S71">_xlfn.IFS(R71="S","Southampton",R71="C","Cherbourg",R71="Q","Queenstown")</f>
        <v>Southampton</v>
      </c>
    </row>
    <row r="72" spans="1:19" x14ac:dyDescent="0.3">
      <c r="A72">
        <v>71</v>
      </c>
      <c r="B72">
        <v>1</v>
      </c>
      <c r="C72" s="1" t="str" cm="1">
        <f t="array" ref="C72">_xlfn.IFS(B72=1,"First Class",B72=2,"Second Class",B72=3,"Third Class")</f>
        <v>First Class</v>
      </c>
      <c r="D72">
        <v>0</v>
      </c>
      <c r="E72" s="1" t="str">
        <f t="shared" si="4"/>
        <v>Dead</v>
      </c>
      <c r="F72" t="s">
        <v>180</v>
      </c>
      <c r="G72" s="1" t="s">
        <v>2999</v>
      </c>
      <c r="H72" t="s">
        <v>20</v>
      </c>
      <c r="I72" s="1" t="str">
        <f t="shared" si="5"/>
        <v>Male</v>
      </c>
      <c r="J72" s="3">
        <v>29.881137667304014</v>
      </c>
      <c r="K72" s="3" t="str" cm="1">
        <f t="array" ref="K72">_xlfn.IFS(J72&lt;=13,"Child",J72&lt;=18,"Teenager",J72&lt;=30,"Young Adult",J72&lt;=50,"Middle Aged Adult",J72&gt;50,"Senior")</f>
        <v>Young Adult</v>
      </c>
      <c r="L72">
        <v>0</v>
      </c>
      <c r="M72">
        <v>0</v>
      </c>
      <c r="N72" s="1">
        <f t="shared" si="6"/>
        <v>1</v>
      </c>
      <c r="O72" s="1" t="str">
        <f t="shared" si="7"/>
        <v>Single</v>
      </c>
      <c r="P72">
        <v>0</v>
      </c>
      <c r="Q72" s="1" t="str" cm="1">
        <f t="array" ref="Q72">_xlfn.IFS(P72&lt;=50,"Low",P72&lt;=100,"Medium",P72&gt;100,"High")</f>
        <v>Low</v>
      </c>
      <c r="R72" t="s">
        <v>17</v>
      </c>
      <c r="S72" s="1" t="str" cm="1">
        <f t="array" ref="S72">_xlfn.IFS(R72="S","Southampton",R72="C","Cherbourg",R72="Q","Queenstown")</f>
        <v>Southampton</v>
      </c>
    </row>
    <row r="73" spans="1:19" x14ac:dyDescent="0.3">
      <c r="A73">
        <v>72</v>
      </c>
      <c r="B73">
        <v>1</v>
      </c>
      <c r="C73" s="1" t="str" cm="1">
        <f t="array" ref="C73">_xlfn.IFS(B73=1,"First Class",B73=2,"Second Class",B73=3,"Third Class")</f>
        <v>First Class</v>
      </c>
      <c r="D73">
        <v>0</v>
      </c>
      <c r="E73" s="1" t="str">
        <f t="shared" si="4"/>
        <v>Dead</v>
      </c>
      <c r="F73" t="s">
        <v>182</v>
      </c>
      <c r="G73" s="1" t="s">
        <v>2999</v>
      </c>
      <c r="H73" t="s">
        <v>20</v>
      </c>
      <c r="I73" s="1" t="str">
        <f t="shared" si="5"/>
        <v>Male</v>
      </c>
      <c r="J73" s="3">
        <v>27</v>
      </c>
      <c r="K73" s="3" t="str" cm="1">
        <f t="array" ref="K73">_xlfn.IFS(J73&lt;=13,"Child",J73&lt;=18,"Teenager",J73&lt;=30,"Young Adult",J73&lt;=50,"Middle Aged Adult",J73&gt;50,"Senior")</f>
        <v>Young Adult</v>
      </c>
      <c r="L73">
        <v>1</v>
      </c>
      <c r="M73">
        <v>0</v>
      </c>
      <c r="N73" s="1">
        <f t="shared" si="6"/>
        <v>2</v>
      </c>
      <c r="O73" s="1" t="str">
        <f t="shared" si="7"/>
        <v>With Family</v>
      </c>
      <c r="P73">
        <v>136.7792</v>
      </c>
      <c r="Q73" s="1" t="str" cm="1">
        <f t="array" ref="Q73">_xlfn.IFS(P73&lt;=50,"Low",P73&lt;=100,"Medium",P73&gt;100,"High")</f>
        <v>High</v>
      </c>
      <c r="R73" t="s">
        <v>41</v>
      </c>
      <c r="S73" s="1" t="str" cm="1">
        <f t="array" ref="S73">_xlfn.IFS(R73="S","Southampton",R73="C","Cherbourg",R73="Q","Queenstown")</f>
        <v>Cherbourg</v>
      </c>
    </row>
    <row r="74" spans="1:19" x14ac:dyDescent="0.3">
      <c r="A74">
        <v>73</v>
      </c>
      <c r="B74">
        <v>1</v>
      </c>
      <c r="C74" s="1" t="str" cm="1">
        <f t="array" ref="C74">_xlfn.IFS(B74=1,"First Class",B74=2,"Second Class",B74=3,"Third Class")</f>
        <v>First Class</v>
      </c>
      <c r="D74">
        <v>1</v>
      </c>
      <c r="E74" s="1" t="str">
        <f t="shared" si="4"/>
        <v>Alive</v>
      </c>
      <c r="F74" t="s">
        <v>184</v>
      </c>
      <c r="G74" s="1" t="s">
        <v>3001</v>
      </c>
      <c r="H74" t="s">
        <v>15</v>
      </c>
      <c r="I74" s="1" t="str">
        <f t="shared" si="5"/>
        <v>Female</v>
      </c>
      <c r="J74" s="3">
        <v>26</v>
      </c>
      <c r="K74" s="3" t="str" cm="1">
        <f t="array" ref="K74">_xlfn.IFS(J74&lt;=13,"Child",J74&lt;=18,"Teenager",J74&lt;=30,"Young Adult",J74&lt;=50,"Middle Aged Adult",J74&gt;50,"Senior")</f>
        <v>Young Adult</v>
      </c>
      <c r="L74">
        <v>1</v>
      </c>
      <c r="M74">
        <v>0</v>
      </c>
      <c r="N74" s="1">
        <f t="shared" si="6"/>
        <v>2</v>
      </c>
      <c r="O74" s="1" t="str">
        <f t="shared" si="7"/>
        <v>With Family</v>
      </c>
      <c r="P74">
        <v>136.7792</v>
      </c>
      <c r="Q74" s="1" t="str" cm="1">
        <f t="array" ref="Q74">_xlfn.IFS(P74&lt;=50,"Low",P74&lt;=100,"Medium",P74&gt;100,"High")</f>
        <v>High</v>
      </c>
      <c r="R74" t="s">
        <v>41</v>
      </c>
      <c r="S74" s="1" t="str" cm="1">
        <f t="array" ref="S74">_xlfn.IFS(R74="S","Southampton",R74="C","Cherbourg",R74="Q","Queenstown")</f>
        <v>Cherbourg</v>
      </c>
    </row>
    <row r="75" spans="1:19" x14ac:dyDescent="0.3">
      <c r="A75">
        <v>74</v>
      </c>
      <c r="B75">
        <v>1</v>
      </c>
      <c r="C75" s="1" t="str" cm="1">
        <f t="array" ref="C75">_xlfn.IFS(B75=1,"First Class",B75=2,"Second Class",B75=3,"Third Class")</f>
        <v>First Class</v>
      </c>
      <c r="D75">
        <v>1</v>
      </c>
      <c r="E75" s="1" t="str">
        <f t="shared" si="4"/>
        <v>Alive</v>
      </c>
      <c r="F75" t="s">
        <v>185</v>
      </c>
      <c r="G75" s="1" t="s">
        <v>2994</v>
      </c>
      <c r="H75" t="s">
        <v>15</v>
      </c>
      <c r="I75" s="1" t="str">
        <f t="shared" si="5"/>
        <v>Female</v>
      </c>
      <c r="J75" s="3">
        <v>22</v>
      </c>
      <c r="K75" s="3" t="str" cm="1">
        <f t="array" ref="K75">_xlfn.IFS(J75&lt;=13,"Child",J75&lt;=18,"Teenager",J75&lt;=30,"Young Adult",J75&lt;=50,"Middle Aged Adult",J75&gt;50,"Senior")</f>
        <v>Young Adult</v>
      </c>
      <c r="L75">
        <v>0</v>
      </c>
      <c r="M75">
        <v>0</v>
      </c>
      <c r="N75" s="1">
        <f t="shared" si="6"/>
        <v>1</v>
      </c>
      <c r="O75" s="1" t="str">
        <f t="shared" si="7"/>
        <v>Single</v>
      </c>
      <c r="P75">
        <v>151.55000000000001</v>
      </c>
      <c r="Q75" s="1" t="str" cm="1">
        <f t="array" ref="Q75">_xlfn.IFS(P75&lt;=50,"Low",P75&lt;=100,"Medium",P75&gt;100,"High")</f>
        <v>High</v>
      </c>
      <c r="R75" t="s">
        <v>17</v>
      </c>
      <c r="S75" s="1" t="str" cm="1">
        <f t="array" ref="S75">_xlfn.IFS(R75="S","Southampton",R75="C","Cherbourg",R75="Q","Queenstown")</f>
        <v>Southampton</v>
      </c>
    </row>
    <row r="76" spans="1:19" x14ac:dyDescent="0.3">
      <c r="A76">
        <v>75</v>
      </c>
      <c r="B76">
        <v>1</v>
      </c>
      <c r="C76" s="1" t="str" cm="1">
        <f t="array" ref="C76">_xlfn.IFS(B76=1,"First Class",B76=2,"Second Class",B76=3,"Third Class")</f>
        <v>First Class</v>
      </c>
      <c r="D76">
        <v>0</v>
      </c>
      <c r="E76" s="1" t="str">
        <f t="shared" si="4"/>
        <v>Dead</v>
      </c>
      <c r="F76" t="s">
        <v>186</v>
      </c>
      <c r="G76" s="1" t="s">
        <v>2999</v>
      </c>
      <c r="H76" t="s">
        <v>20</v>
      </c>
      <c r="I76" s="1" t="str">
        <f t="shared" si="5"/>
        <v>Male</v>
      </c>
      <c r="J76" s="3">
        <v>29.881137667304014</v>
      </c>
      <c r="K76" s="3" t="str" cm="1">
        <f t="array" ref="K76">_xlfn.IFS(J76&lt;=13,"Child",J76&lt;=18,"Teenager",J76&lt;=30,"Young Adult",J76&lt;=50,"Middle Aged Adult",J76&gt;50,"Senior")</f>
        <v>Young Adult</v>
      </c>
      <c r="L76">
        <v>0</v>
      </c>
      <c r="M76">
        <v>0</v>
      </c>
      <c r="N76" s="1">
        <f t="shared" si="6"/>
        <v>1</v>
      </c>
      <c r="O76" s="1" t="str">
        <f t="shared" si="7"/>
        <v>Single</v>
      </c>
      <c r="P76">
        <v>52</v>
      </c>
      <c r="Q76" s="1" t="str" cm="1">
        <f t="array" ref="Q76">_xlfn.IFS(P76&lt;=50,"Low",P76&lt;=100,"Medium",P76&gt;100,"High")</f>
        <v>Medium</v>
      </c>
      <c r="R76" t="s">
        <v>17</v>
      </c>
      <c r="S76" s="1" t="str" cm="1">
        <f t="array" ref="S76">_xlfn.IFS(R76="S","Southampton",R76="C","Cherbourg",R76="Q","Queenstown")</f>
        <v>Southampton</v>
      </c>
    </row>
    <row r="77" spans="1:19" x14ac:dyDescent="0.3">
      <c r="A77">
        <v>76</v>
      </c>
      <c r="B77">
        <v>1</v>
      </c>
      <c r="C77" s="1" t="str" cm="1">
        <f t="array" ref="C77">_xlfn.IFS(B77=1,"First Class",B77=2,"Second Class",B77=3,"Third Class")</f>
        <v>First Class</v>
      </c>
      <c r="D77">
        <v>0</v>
      </c>
      <c r="E77" s="1" t="str">
        <f t="shared" si="4"/>
        <v>Dead</v>
      </c>
      <c r="F77" t="s">
        <v>189</v>
      </c>
      <c r="G77" s="1" t="s">
        <v>2999</v>
      </c>
      <c r="H77" t="s">
        <v>20</v>
      </c>
      <c r="I77" s="1" t="str">
        <f t="shared" si="5"/>
        <v>Male</v>
      </c>
      <c r="J77" s="3">
        <v>47</v>
      </c>
      <c r="K77" s="3" t="str" cm="1">
        <f t="array" ref="K77">_xlfn.IFS(J77&lt;=13,"Child",J77&lt;=18,"Teenager",J77&lt;=30,"Young Adult",J77&lt;=50,"Middle Aged Adult",J77&gt;50,"Senior")</f>
        <v>Middle Aged Adult</v>
      </c>
      <c r="L77">
        <v>0</v>
      </c>
      <c r="M77">
        <v>0</v>
      </c>
      <c r="N77" s="1">
        <f t="shared" si="6"/>
        <v>1</v>
      </c>
      <c r="O77" s="1" t="str">
        <f t="shared" si="7"/>
        <v>Single</v>
      </c>
      <c r="P77">
        <v>25.587499999999999</v>
      </c>
      <c r="Q77" s="1" t="str" cm="1">
        <f t="array" ref="Q77">_xlfn.IFS(P77&lt;=50,"Low",P77&lt;=100,"Medium",P77&gt;100,"High")</f>
        <v>Low</v>
      </c>
      <c r="R77" t="s">
        <v>17</v>
      </c>
      <c r="S77" s="1" t="str" cm="1">
        <f t="array" ref="S77">_xlfn.IFS(R77="S","Southampton",R77="C","Cherbourg",R77="Q","Queenstown")</f>
        <v>Southampton</v>
      </c>
    </row>
    <row r="78" spans="1:19" x14ac:dyDescent="0.3">
      <c r="A78">
        <v>77</v>
      </c>
      <c r="B78">
        <v>1</v>
      </c>
      <c r="C78" s="1" t="str" cm="1">
        <f t="array" ref="C78">_xlfn.IFS(B78=1,"First Class",B78=2,"Second Class",B78=3,"Third Class")</f>
        <v>First Class</v>
      </c>
      <c r="D78">
        <v>1</v>
      </c>
      <c r="E78" s="1" t="str">
        <f t="shared" si="4"/>
        <v>Alive</v>
      </c>
      <c r="F78" t="s">
        <v>192</v>
      </c>
      <c r="G78" s="1" t="s">
        <v>2994</v>
      </c>
      <c r="H78" t="s">
        <v>15</v>
      </c>
      <c r="I78" s="1" t="str">
        <f t="shared" si="5"/>
        <v>Female</v>
      </c>
      <c r="J78" s="3">
        <v>39</v>
      </c>
      <c r="K78" s="3" t="str" cm="1">
        <f t="array" ref="K78">_xlfn.IFS(J78&lt;=13,"Child",J78&lt;=18,"Teenager",J78&lt;=30,"Young Adult",J78&lt;=50,"Middle Aged Adult",J78&gt;50,"Senior")</f>
        <v>Middle Aged Adult</v>
      </c>
      <c r="L78">
        <v>1</v>
      </c>
      <c r="M78">
        <v>1</v>
      </c>
      <c r="N78" s="1">
        <f t="shared" si="6"/>
        <v>3</v>
      </c>
      <c r="O78" s="1" t="str">
        <f t="shared" si="7"/>
        <v>With Family</v>
      </c>
      <c r="P78">
        <v>83.158299999999997</v>
      </c>
      <c r="Q78" s="1" t="str" cm="1">
        <f t="array" ref="Q78">_xlfn.IFS(P78&lt;=50,"Low",P78&lt;=100,"Medium",P78&gt;100,"High")</f>
        <v>Medium</v>
      </c>
      <c r="R78" t="s">
        <v>41</v>
      </c>
      <c r="S78" s="1" t="str" cm="1">
        <f t="array" ref="S78">_xlfn.IFS(R78="S","Southampton",R78="C","Cherbourg",R78="Q","Queenstown")</f>
        <v>Cherbourg</v>
      </c>
    </row>
    <row r="79" spans="1:19" x14ac:dyDescent="0.3">
      <c r="A79">
        <v>78</v>
      </c>
      <c r="B79">
        <v>1</v>
      </c>
      <c r="C79" s="1" t="str" cm="1">
        <f t="array" ref="C79">_xlfn.IFS(B79=1,"First Class",B79=2,"Second Class",B79=3,"Third Class")</f>
        <v>First Class</v>
      </c>
      <c r="D79">
        <v>0</v>
      </c>
      <c r="E79" s="1" t="str">
        <f t="shared" si="4"/>
        <v>Dead</v>
      </c>
      <c r="F79" t="s">
        <v>196</v>
      </c>
      <c r="G79" s="1" t="s">
        <v>2999</v>
      </c>
      <c r="H79" t="s">
        <v>20</v>
      </c>
      <c r="I79" s="1" t="str">
        <f t="shared" si="5"/>
        <v>Male</v>
      </c>
      <c r="J79" s="3">
        <v>37</v>
      </c>
      <c r="K79" s="3" t="str" cm="1">
        <f t="array" ref="K79">_xlfn.IFS(J79&lt;=13,"Child",J79&lt;=18,"Teenager",J79&lt;=30,"Young Adult",J79&lt;=50,"Middle Aged Adult",J79&gt;50,"Senior")</f>
        <v>Middle Aged Adult</v>
      </c>
      <c r="L79">
        <v>1</v>
      </c>
      <c r="M79">
        <v>1</v>
      </c>
      <c r="N79" s="1">
        <f t="shared" si="6"/>
        <v>3</v>
      </c>
      <c r="O79" s="1" t="str">
        <f t="shared" si="7"/>
        <v>With Family</v>
      </c>
      <c r="P79">
        <v>83.158299999999997</v>
      </c>
      <c r="Q79" s="1" t="str" cm="1">
        <f t="array" ref="Q79">_xlfn.IFS(P79&lt;=50,"Low",P79&lt;=100,"Medium",P79&gt;100,"High")</f>
        <v>Medium</v>
      </c>
      <c r="R79" t="s">
        <v>41</v>
      </c>
      <c r="S79" s="1" t="str" cm="1">
        <f t="array" ref="S79">_xlfn.IFS(R79="S","Southampton",R79="C","Cherbourg",R79="Q","Queenstown")</f>
        <v>Cherbourg</v>
      </c>
    </row>
    <row r="80" spans="1:19" x14ac:dyDescent="0.3">
      <c r="A80">
        <v>79</v>
      </c>
      <c r="B80">
        <v>1</v>
      </c>
      <c r="C80" s="1" t="str" cm="1">
        <f t="array" ref="C80">_xlfn.IFS(B80=1,"First Class",B80=2,"Second Class",B80=3,"Third Class")</f>
        <v>First Class</v>
      </c>
      <c r="D80">
        <v>1</v>
      </c>
      <c r="E80" s="1" t="str">
        <f t="shared" si="4"/>
        <v>Alive</v>
      </c>
      <c r="F80" t="s">
        <v>198</v>
      </c>
      <c r="G80" s="1" t="s">
        <v>3001</v>
      </c>
      <c r="H80" t="s">
        <v>15</v>
      </c>
      <c r="I80" s="1" t="str">
        <f t="shared" si="5"/>
        <v>Female</v>
      </c>
      <c r="J80" s="3">
        <v>64</v>
      </c>
      <c r="K80" s="3" t="str" cm="1">
        <f t="array" ref="K80">_xlfn.IFS(J80&lt;=13,"Child",J80&lt;=18,"Teenager",J80&lt;=30,"Young Adult",J80&lt;=50,"Middle Aged Adult",J80&gt;50,"Senior")</f>
        <v>Senior</v>
      </c>
      <c r="L80">
        <v>0</v>
      </c>
      <c r="M80">
        <v>2</v>
      </c>
      <c r="N80" s="1">
        <f t="shared" si="6"/>
        <v>3</v>
      </c>
      <c r="O80" s="1" t="str">
        <f t="shared" si="7"/>
        <v>With Family</v>
      </c>
      <c r="P80">
        <v>83.158299999999997</v>
      </c>
      <c r="Q80" s="1" t="str" cm="1">
        <f t="array" ref="Q80">_xlfn.IFS(P80&lt;=50,"Low",P80&lt;=100,"Medium",P80&gt;100,"High")</f>
        <v>Medium</v>
      </c>
      <c r="R80" t="s">
        <v>41</v>
      </c>
      <c r="S80" s="1" t="str" cm="1">
        <f t="array" ref="S80">_xlfn.IFS(R80="S","Southampton",R80="C","Cherbourg",R80="Q","Queenstown")</f>
        <v>Cherbourg</v>
      </c>
    </row>
    <row r="81" spans="1:19" x14ac:dyDescent="0.3">
      <c r="A81">
        <v>80</v>
      </c>
      <c r="B81">
        <v>1</v>
      </c>
      <c r="C81" s="1" t="str" cm="1">
        <f t="array" ref="C81">_xlfn.IFS(B81=1,"First Class",B81=2,"Second Class",B81=3,"Third Class")</f>
        <v>First Class</v>
      </c>
      <c r="D81">
        <v>1</v>
      </c>
      <c r="E81" s="1" t="str">
        <f t="shared" si="4"/>
        <v>Alive</v>
      </c>
      <c r="F81" t="s">
        <v>200</v>
      </c>
      <c r="G81" s="1" t="s">
        <v>3001</v>
      </c>
      <c r="H81" t="s">
        <v>15</v>
      </c>
      <c r="I81" s="1" t="str">
        <f t="shared" si="5"/>
        <v>Female</v>
      </c>
      <c r="J81" s="3">
        <v>55</v>
      </c>
      <c r="K81" s="3" t="str" cm="1">
        <f t="array" ref="K81">_xlfn.IFS(J81&lt;=13,"Child",J81&lt;=18,"Teenager",J81&lt;=30,"Young Adult",J81&lt;=50,"Middle Aged Adult",J81&gt;50,"Senior")</f>
        <v>Senior</v>
      </c>
      <c r="L81">
        <v>2</v>
      </c>
      <c r="M81">
        <v>0</v>
      </c>
      <c r="N81" s="1">
        <f t="shared" si="6"/>
        <v>3</v>
      </c>
      <c r="O81" s="1" t="str">
        <f t="shared" si="7"/>
        <v>With Family</v>
      </c>
      <c r="P81">
        <v>25.7</v>
      </c>
      <c r="Q81" s="1" t="str" cm="1">
        <f t="array" ref="Q81">_xlfn.IFS(P81&lt;=50,"Low",P81&lt;=100,"Medium",P81&gt;100,"High")</f>
        <v>Low</v>
      </c>
      <c r="R81" t="s">
        <v>17</v>
      </c>
      <c r="S81" s="1" t="str" cm="1">
        <f t="array" ref="S81">_xlfn.IFS(R81="S","Southampton",R81="C","Cherbourg",R81="Q","Queenstown")</f>
        <v>Southampton</v>
      </c>
    </row>
    <row r="82" spans="1:19" x14ac:dyDescent="0.3">
      <c r="A82">
        <v>81</v>
      </c>
      <c r="B82">
        <v>1</v>
      </c>
      <c r="C82" s="1" t="str" cm="1">
        <f t="array" ref="C82">_xlfn.IFS(B82=1,"First Class",B82=2,"Second Class",B82=3,"Third Class")</f>
        <v>First Class</v>
      </c>
      <c r="D82">
        <v>0</v>
      </c>
      <c r="E82" s="1" t="str">
        <f t="shared" si="4"/>
        <v>Dead</v>
      </c>
      <c r="F82" t="s">
        <v>201</v>
      </c>
      <c r="G82" s="1" t="s">
        <v>2999</v>
      </c>
      <c r="H82" t="s">
        <v>20</v>
      </c>
      <c r="I82" s="1" t="str">
        <f t="shared" si="5"/>
        <v>Male</v>
      </c>
      <c r="J82" s="3">
        <v>29.881137667304014</v>
      </c>
      <c r="K82" s="3" t="str" cm="1">
        <f t="array" ref="K82">_xlfn.IFS(J82&lt;=13,"Child",J82&lt;=18,"Teenager",J82&lt;=30,"Young Adult",J82&lt;=50,"Middle Aged Adult",J82&gt;50,"Senior")</f>
        <v>Young Adult</v>
      </c>
      <c r="L82">
        <v>0</v>
      </c>
      <c r="M82">
        <v>0</v>
      </c>
      <c r="N82" s="1">
        <f t="shared" si="6"/>
        <v>1</v>
      </c>
      <c r="O82" s="1" t="str">
        <f t="shared" si="7"/>
        <v>Single</v>
      </c>
      <c r="P82">
        <v>26.55</v>
      </c>
      <c r="Q82" s="1" t="str" cm="1">
        <f t="array" ref="Q82">_xlfn.IFS(P82&lt;=50,"Low",P82&lt;=100,"Medium",P82&gt;100,"High")</f>
        <v>Low</v>
      </c>
      <c r="R82" t="s">
        <v>17</v>
      </c>
      <c r="S82" s="1" t="str" cm="1">
        <f t="array" ref="S82">_xlfn.IFS(R82="S","Southampton",R82="C","Cherbourg",R82="Q","Queenstown")</f>
        <v>Southampton</v>
      </c>
    </row>
    <row r="83" spans="1:19" x14ac:dyDescent="0.3">
      <c r="A83">
        <v>82</v>
      </c>
      <c r="B83">
        <v>1</v>
      </c>
      <c r="C83" s="1" t="str" cm="1">
        <f t="array" ref="C83">_xlfn.IFS(B83=1,"First Class",B83=2,"Second Class",B83=3,"Third Class")</f>
        <v>First Class</v>
      </c>
      <c r="D83">
        <v>0</v>
      </c>
      <c r="E83" s="1" t="str">
        <f t="shared" si="4"/>
        <v>Dead</v>
      </c>
      <c r="F83" t="s">
        <v>203</v>
      </c>
      <c r="G83" s="1" t="s">
        <v>3082</v>
      </c>
      <c r="H83" t="s">
        <v>20</v>
      </c>
      <c r="I83" s="1" t="str">
        <f t="shared" si="5"/>
        <v>Male</v>
      </c>
      <c r="J83" s="3">
        <v>70</v>
      </c>
      <c r="K83" s="3" t="str" cm="1">
        <f t="array" ref="K83">_xlfn.IFS(J83&lt;=13,"Child",J83&lt;=18,"Teenager",J83&lt;=30,"Young Adult",J83&lt;=50,"Middle Aged Adult",J83&gt;50,"Senior")</f>
        <v>Senior</v>
      </c>
      <c r="L83">
        <v>1</v>
      </c>
      <c r="M83">
        <v>1</v>
      </c>
      <c r="N83" s="1">
        <f t="shared" si="6"/>
        <v>3</v>
      </c>
      <c r="O83" s="1" t="str">
        <f t="shared" si="7"/>
        <v>With Family</v>
      </c>
      <c r="P83">
        <v>71</v>
      </c>
      <c r="Q83" s="1" t="str" cm="1">
        <f t="array" ref="Q83">_xlfn.IFS(P83&lt;=50,"Low",P83&lt;=100,"Medium",P83&gt;100,"High")</f>
        <v>Medium</v>
      </c>
      <c r="R83" t="s">
        <v>17</v>
      </c>
      <c r="S83" s="1" t="str" cm="1">
        <f t="array" ref="S83">_xlfn.IFS(R83="S","Southampton",R83="C","Cherbourg",R83="Q","Queenstown")</f>
        <v>Southampton</v>
      </c>
    </row>
    <row r="84" spans="1:19" x14ac:dyDescent="0.3">
      <c r="A84">
        <v>83</v>
      </c>
      <c r="B84">
        <v>1</v>
      </c>
      <c r="C84" s="1" t="str" cm="1">
        <f t="array" ref="C84">_xlfn.IFS(B84=1,"First Class",B84=2,"Second Class",B84=3,"Third Class")</f>
        <v>First Class</v>
      </c>
      <c r="D84">
        <v>1</v>
      </c>
      <c r="E84" s="1" t="str">
        <f t="shared" si="4"/>
        <v>Alive</v>
      </c>
      <c r="F84" t="s">
        <v>207</v>
      </c>
      <c r="G84" s="1" t="s">
        <v>2994</v>
      </c>
      <c r="H84" t="s">
        <v>15</v>
      </c>
      <c r="I84" s="1" t="str">
        <f t="shared" si="5"/>
        <v>Female</v>
      </c>
      <c r="J84" s="3">
        <v>36</v>
      </c>
      <c r="K84" s="3" t="str" cm="1">
        <f t="array" ref="K84">_xlfn.IFS(J84&lt;=13,"Child",J84&lt;=18,"Teenager",J84&lt;=30,"Young Adult",J84&lt;=50,"Middle Aged Adult",J84&gt;50,"Senior")</f>
        <v>Middle Aged Adult</v>
      </c>
      <c r="L84">
        <v>0</v>
      </c>
      <c r="M84">
        <v>2</v>
      </c>
      <c r="N84" s="1">
        <f t="shared" si="6"/>
        <v>3</v>
      </c>
      <c r="O84" s="1" t="str">
        <f t="shared" si="7"/>
        <v>With Family</v>
      </c>
      <c r="P84">
        <v>71</v>
      </c>
      <c r="Q84" s="1" t="str" cm="1">
        <f t="array" ref="Q84">_xlfn.IFS(P84&lt;=50,"Low",P84&lt;=100,"Medium",P84&gt;100,"High")</f>
        <v>Medium</v>
      </c>
      <c r="R84" t="s">
        <v>17</v>
      </c>
      <c r="S84" s="1" t="str" cm="1">
        <f t="array" ref="S84">_xlfn.IFS(R84="S","Southampton",R84="C","Cherbourg",R84="Q","Queenstown")</f>
        <v>Southampton</v>
      </c>
    </row>
    <row r="85" spans="1:19" x14ac:dyDescent="0.3">
      <c r="A85">
        <v>84</v>
      </c>
      <c r="B85">
        <v>1</v>
      </c>
      <c r="C85" s="1" t="str" cm="1">
        <f t="array" ref="C85">_xlfn.IFS(B85=1,"First Class",B85=2,"Second Class",B85=3,"Third Class")</f>
        <v>First Class</v>
      </c>
      <c r="D85">
        <v>1</v>
      </c>
      <c r="E85" s="1" t="str">
        <f t="shared" si="4"/>
        <v>Alive</v>
      </c>
      <c r="F85" t="s">
        <v>208</v>
      </c>
      <c r="G85" s="1" t="s">
        <v>3001</v>
      </c>
      <c r="H85" t="s">
        <v>15</v>
      </c>
      <c r="I85" s="1" t="str">
        <f t="shared" si="5"/>
        <v>Female</v>
      </c>
      <c r="J85" s="3">
        <v>64</v>
      </c>
      <c r="K85" s="3" t="str" cm="1">
        <f t="array" ref="K85">_xlfn.IFS(J85&lt;=13,"Child",J85&lt;=18,"Teenager",J85&lt;=30,"Young Adult",J85&lt;=50,"Middle Aged Adult",J85&gt;50,"Senior")</f>
        <v>Senior</v>
      </c>
      <c r="L85">
        <v>1</v>
      </c>
      <c r="M85">
        <v>1</v>
      </c>
      <c r="N85" s="1">
        <f t="shared" si="6"/>
        <v>3</v>
      </c>
      <c r="O85" s="1" t="str">
        <f t="shared" si="7"/>
        <v>With Family</v>
      </c>
      <c r="P85">
        <v>26.55</v>
      </c>
      <c r="Q85" s="1" t="str" cm="1">
        <f t="array" ref="Q85">_xlfn.IFS(P85&lt;=50,"Low",P85&lt;=100,"Medium",P85&gt;100,"High")</f>
        <v>Low</v>
      </c>
      <c r="R85" t="s">
        <v>17</v>
      </c>
      <c r="S85" s="1" t="str" cm="1">
        <f t="array" ref="S85">_xlfn.IFS(R85="S","Southampton",R85="C","Cherbourg",R85="Q","Queenstown")</f>
        <v>Southampton</v>
      </c>
    </row>
    <row r="86" spans="1:19" x14ac:dyDescent="0.3">
      <c r="A86">
        <v>85</v>
      </c>
      <c r="B86">
        <v>1</v>
      </c>
      <c r="C86" s="1" t="str" cm="1">
        <f t="array" ref="C86">_xlfn.IFS(B86=1,"First Class",B86=2,"Second Class",B86=3,"Third Class")</f>
        <v>First Class</v>
      </c>
      <c r="D86">
        <v>0</v>
      </c>
      <c r="E86" s="1" t="str">
        <f t="shared" si="4"/>
        <v>Dead</v>
      </c>
      <c r="F86" t="s">
        <v>210</v>
      </c>
      <c r="G86" s="1" t="s">
        <v>2999</v>
      </c>
      <c r="H86" t="s">
        <v>20</v>
      </c>
      <c r="I86" s="1" t="str">
        <f t="shared" si="5"/>
        <v>Male</v>
      </c>
      <c r="J86" s="3">
        <v>39</v>
      </c>
      <c r="K86" s="3" t="str" cm="1">
        <f t="array" ref="K86">_xlfn.IFS(J86&lt;=13,"Child",J86&lt;=18,"Teenager",J86&lt;=30,"Young Adult",J86&lt;=50,"Middle Aged Adult",J86&gt;50,"Senior")</f>
        <v>Middle Aged Adult</v>
      </c>
      <c r="L86">
        <v>1</v>
      </c>
      <c r="M86">
        <v>0</v>
      </c>
      <c r="N86" s="1">
        <f t="shared" si="6"/>
        <v>2</v>
      </c>
      <c r="O86" s="1" t="str">
        <f t="shared" si="7"/>
        <v>With Family</v>
      </c>
      <c r="P86">
        <v>71.283299999999997</v>
      </c>
      <c r="Q86" s="1" t="str" cm="1">
        <f t="array" ref="Q86">_xlfn.IFS(P86&lt;=50,"Low",P86&lt;=100,"Medium",P86&gt;100,"High")</f>
        <v>Medium</v>
      </c>
      <c r="R86" t="s">
        <v>41</v>
      </c>
      <c r="S86" s="1" t="str" cm="1">
        <f t="array" ref="S86">_xlfn.IFS(R86="S","Southampton",R86="C","Cherbourg",R86="Q","Queenstown")</f>
        <v>Cherbourg</v>
      </c>
    </row>
    <row r="87" spans="1:19" x14ac:dyDescent="0.3">
      <c r="A87">
        <v>86</v>
      </c>
      <c r="B87">
        <v>1</v>
      </c>
      <c r="C87" s="1" t="str" cm="1">
        <f t="array" ref="C87">_xlfn.IFS(B87=1,"First Class",B87=2,"Second Class",B87=3,"Third Class")</f>
        <v>First Class</v>
      </c>
      <c r="D87">
        <v>1</v>
      </c>
      <c r="E87" s="1" t="str">
        <f t="shared" si="4"/>
        <v>Alive</v>
      </c>
      <c r="F87" t="s">
        <v>213</v>
      </c>
      <c r="G87" s="1" t="s">
        <v>3001</v>
      </c>
      <c r="H87" t="s">
        <v>15</v>
      </c>
      <c r="I87" s="1" t="str">
        <f t="shared" si="5"/>
        <v>Female</v>
      </c>
      <c r="J87" s="3">
        <v>38</v>
      </c>
      <c r="K87" s="3" t="str" cm="1">
        <f t="array" ref="K87">_xlfn.IFS(J87&lt;=13,"Child",J87&lt;=18,"Teenager",J87&lt;=30,"Young Adult",J87&lt;=50,"Middle Aged Adult",J87&gt;50,"Senior")</f>
        <v>Middle Aged Adult</v>
      </c>
      <c r="L87">
        <v>1</v>
      </c>
      <c r="M87">
        <v>0</v>
      </c>
      <c r="N87" s="1">
        <f t="shared" si="6"/>
        <v>2</v>
      </c>
      <c r="O87" s="1" t="str">
        <f t="shared" si="7"/>
        <v>With Family</v>
      </c>
      <c r="P87">
        <v>71.283299999999997</v>
      </c>
      <c r="Q87" s="1" t="str" cm="1">
        <f t="array" ref="Q87">_xlfn.IFS(P87&lt;=50,"Low",P87&lt;=100,"Medium",P87&gt;100,"High")</f>
        <v>Medium</v>
      </c>
      <c r="R87" t="s">
        <v>41</v>
      </c>
      <c r="S87" s="1" t="str" cm="1">
        <f t="array" ref="S87">_xlfn.IFS(R87="S","Southampton",R87="C","Cherbourg",R87="Q","Queenstown")</f>
        <v>Cherbourg</v>
      </c>
    </row>
    <row r="88" spans="1:19" x14ac:dyDescent="0.3">
      <c r="A88">
        <v>87</v>
      </c>
      <c r="B88">
        <v>1</v>
      </c>
      <c r="C88" s="1" t="str" cm="1">
        <f t="array" ref="C88">_xlfn.IFS(B88=1,"First Class",B88=2,"Second Class",B88=3,"Third Class")</f>
        <v>First Class</v>
      </c>
      <c r="D88">
        <v>1</v>
      </c>
      <c r="E88" s="1" t="str">
        <f t="shared" si="4"/>
        <v>Alive</v>
      </c>
      <c r="F88" t="s">
        <v>214</v>
      </c>
      <c r="G88" s="1" t="s">
        <v>2999</v>
      </c>
      <c r="H88" t="s">
        <v>20</v>
      </c>
      <c r="I88" s="1" t="str">
        <f t="shared" si="5"/>
        <v>Male</v>
      </c>
      <c r="J88" s="3">
        <v>51</v>
      </c>
      <c r="K88" s="3" t="str" cm="1">
        <f t="array" ref="K88">_xlfn.IFS(J88&lt;=13,"Child",J88&lt;=18,"Teenager",J88&lt;=30,"Young Adult",J88&lt;=50,"Middle Aged Adult",J88&gt;50,"Senior")</f>
        <v>Senior</v>
      </c>
      <c r="L88">
        <v>0</v>
      </c>
      <c r="M88">
        <v>0</v>
      </c>
      <c r="N88" s="1">
        <f t="shared" si="6"/>
        <v>1</v>
      </c>
      <c r="O88" s="1" t="str">
        <f t="shared" si="7"/>
        <v>Single</v>
      </c>
      <c r="P88">
        <v>26.55</v>
      </c>
      <c r="Q88" s="1" t="str" cm="1">
        <f t="array" ref="Q88">_xlfn.IFS(P88&lt;=50,"Low",P88&lt;=100,"Medium",P88&gt;100,"High")</f>
        <v>Low</v>
      </c>
      <c r="R88" t="s">
        <v>17</v>
      </c>
      <c r="S88" s="1" t="str" cm="1">
        <f t="array" ref="S88">_xlfn.IFS(R88="S","Southampton",R88="C","Cherbourg",R88="Q","Queenstown")</f>
        <v>Southampton</v>
      </c>
    </row>
    <row r="89" spans="1:19" x14ac:dyDescent="0.3">
      <c r="A89">
        <v>88</v>
      </c>
      <c r="B89">
        <v>1</v>
      </c>
      <c r="C89" s="1" t="str" cm="1">
        <f t="array" ref="C89">_xlfn.IFS(B89=1,"First Class",B89=2,"Second Class",B89=3,"Third Class")</f>
        <v>First Class</v>
      </c>
      <c r="D89">
        <v>1</v>
      </c>
      <c r="E89" s="1" t="str">
        <f t="shared" si="4"/>
        <v>Alive</v>
      </c>
      <c r="F89" t="s">
        <v>218</v>
      </c>
      <c r="G89" s="1" t="s">
        <v>2999</v>
      </c>
      <c r="H89" t="s">
        <v>20</v>
      </c>
      <c r="I89" s="1" t="str">
        <f t="shared" si="5"/>
        <v>Male</v>
      </c>
      <c r="J89" s="3">
        <v>27</v>
      </c>
      <c r="K89" s="3" t="str" cm="1">
        <f t="array" ref="K89">_xlfn.IFS(J89&lt;=13,"Child",J89&lt;=18,"Teenager",J89&lt;=30,"Young Adult",J89&lt;=50,"Middle Aged Adult",J89&gt;50,"Senior")</f>
        <v>Young Adult</v>
      </c>
      <c r="L89">
        <v>0</v>
      </c>
      <c r="M89">
        <v>0</v>
      </c>
      <c r="N89" s="1">
        <f t="shared" si="6"/>
        <v>1</v>
      </c>
      <c r="O89" s="1" t="str">
        <f t="shared" si="7"/>
        <v>Single</v>
      </c>
      <c r="P89">
        <v>30.5</v>
      </c>
      <c r="Q89" s="1" t="str" cm="1">
        <f t="array" ref="Q89">_xlfn.IFS(P89&lt;=50,"Low",P89&lt;=100,"Medium",P89&gt;100,"High")</f>
        <v>Low</v>
      </c>
      <c r="R89" t="s">
        <v>17</v>
      </c>
      <c r="S89" s="1" t="str" cm="1">
        <f t="array" ref="S89">_xlfn.IFS(R89="S","Southampton",R89="C","Cherbourg",R89="Q","Queenstown")</f>
        <v>Southampton</v>
      </c>
    </row>
    <row r="90" spans="1:19" x14ac:dyDescent="0.3">
      <c r="A90">
        <v>89</v>
      </c>
      <c r="B90">
        <v>1</v>
      </c>
      <c r="C90" s="1" t="str" cm="1">
        <f t="array" ref="C90">_xlfn.IFS(B90=1,"First Class",B90=2,"Second Class",B90=3,"Third Class")</f>
        <v>First Class</v>
      </c>
      <c r="D90">
        <v>1</v>
      </c>
      <c r="E90" s="1" t="str">
        <f t="shared" si="4"/>
        <v>Alive</v>
      </c>
      <c r="F90" t="s">
        <v>219</v>
      </c>
      <c r="G90" s="1" t="s">
        <v>2994</v>
      </c>
      <c r="H90" t="s">
        <v>15</v>
      </c>
      <c r="I90" s="1" t="str">
        <f t="shared" si="5"/>
        <v>Female</v>
      </c>
      <c r="J90" s="3">
        <v>33</v>
      </c>
      <c r="K90" s="3" t="str" cm="1">
        <f t="array" ref="K90">_xlfn.IFS(J90&lt;=13,"Child",J90&lt;=18,"Teenager",J90&lt;=30,"Young Adult",J90&lt;=50,"Middle Aged Adult",J90&gt;50,"Senior")</f>
        <v>Middle Aged Adult</v>
      </c>
      <c r="L90">
        <v>0</v>
      </c>
      <c r="M90">
        <v>0</v>
      </c>
      <c r="N90" s="1">
        <f t="shared" si="6"/>
        <v>1</v>
      </c>
      <c r="O90" s="1" t="str">
        <f t="shared" si="7"/>
        <v>Single</v>
      </c>
      <c r="P90">
        <v>151.55000000000001</v>
      </c>
      <c r="Q90" s="1" t="str" cm="1">
        <f t="array" ref="Q90">_xlfn.IFS(P90&lt;=50,"Low",P90&lt;=100,"Medium",P90&gt;100,"High")</f>
        <v>High</v>
      </c>
      <c r="R90" t="s">
        <v>17</v>
      </c>
      <c r="S90" s="1" t="str" cm="1">
        <f t="array" ref="S90">_xlfn.IFS(R90="S","Southampton",R90="C","Cherbourg",R90="Q","Queenstown")</f>
        <v>Southampton</v>
      </c>
    </row>
    <row r="91" spans="1:19" x14ac:dyDescent="0.3">
      <c r="A91">
        <v>90</v>
      </c>
      <c r="B91">
        <v>1</v>
      </c>
      <c r="C91" s="1" t="str" cm="1">
        <f t="array" ref="C91">_xlfn.IFS(B91=1,"First Class",B91=2,"Second Class",B91=3,"Third Class")</f>
        <v>First Class</v>
      </c>
      <c r="D91">
        <v>0</v>
      </c>
      <c r="E91" s="1" t="str">
        <f t="shared" si="4"/>
        <v>Dead</v>
      </c>
      <c r="F91" t="s">
        <v>220</v>
      </c>
      <c r="G91" s="1" t="s">
        <v>2999</v>
      </c>
      <c r="H91" t="s">
        <v>20</v>
      </c>
      <c r="I91" s="1" t="str">
        <f t="shared" si="5"/>
        <v>Male</v>
      </c>
      <c r="J91" s="3">
        <v>31</v>
      </c>
      <c r="K91" s="3" t="str" cm="1">
        <f t="array" ref="K91">_xlfn.IFS(J91&lt;=13,"Child",J91&lt;=18,"Teenager",J91&lt;=30,"Young Adult",J91&lt;=50,"Middle Aged Adult",J91&gt;50,"Senior")</f>
        <v>Middle Aged Adult</v>
      </c>
      <c r="L91">
        <v>1</v>
      </c>
      <c r="M91">
        <v>0</v>
      </c>
      <c r="N91" s="1">
        <f t="shared" si="6"/>
        <v>2</v>
      </c>
      <c r="O91" s="1" t="str">
        <f t="shared" si="7"/>
        <v>With Family</v>
      </c>
      <c r="P91">
        <v>52</v>
      </c>
      <c r="Q91" s="1" t="str" cm="1">
        <f t="array" ref="Q91">_xlfn.IFS(P91&lt;=50,"Low",P91&lt;=100,"Medium",P91&gt;100,"High")</f>
        <v>Medium</v>
      </c>
      <c r="R91" t="s">
        <v>17</v>
      </c>
      <c r="S91" s="1" t="str" cm="1">
        <f t="array" ref="S91">_xlfn.IFS(R91="S","Southampton",R91="C","Cherbourg",R91="Q","Queenstown")</f>
        <v>Southampton</v>
      </c>
    </row>
    <row r="92" spans="1:19" x14ac:dyDescent="0.3">
      <c r="A92">
        <v>91</v>
      </c>
      <c r="B92">
        <v>1</v>
      </c>
      <c r="C92" s="1" t="str" cm="1">
        <f t="array" ref="C92">_xlfn.IFS(B92=1,"First Class",B92=2,"Second Class",B92=3,"Third Class")</f>
        <v>First Class</v>
      </c>
      <c r="D92">
        <v>1</v>
      </c>
      <c r="E92" s="1" t="str">
        <f t="shared" si="4"/>
        <v>Alive</v>
      </c>
      <c r="F92" t="s">
        <v>223</v>
      </c>
      <c r="G92" s="1" t="s">
        <v>3001</v>
      </c>
      <c r="H92" t="s">
        <v>15</v>
      </c>
      <c r="I92" s="1" t="str">
        <f t="shared" si="5"/>
        <v>Female</v>
      </c>
      <c r="J92" s="3">
        <v>27</v>
      </c>
      <c r="K92" s="3" t="str" cm="1">
        <f t="array" ref="K92">_xlfn.IFS(J92&lt;=13,"Child",J92&lt;=18,"Teenager",J92&lt;=30,"Young Adult",J92&lt;=50,"Middle Aged Adult",J92&gt;50,"Senior")</f>
        <v>Young Adult</v>
      </c>
      <c r="L92">
        <v>1</v>
      </c>
      <c r="M92">
        <v>2</v>
      </c>
      <c r="N92" s="1">
        <f t="shared" si="6"/>
        <v>4</v>
      </c>
      <c r="O92" s="1" t="str">
        <f t="shared" si="7"/>
        <v>With Family</v>
      </c>
      <c r="P92">
        <v>52</v>
      </c>
      <c r="Q92" s="1" t="str" cm="1">
        <f t="array" ref="Q92">_xlfn.IFS(P92&lt;=50,"Low",P92&lt;=100,"Medium",P92&gt;100,"High")</f>
        <v>Medium</v>
      </c>
      <c r="R92" t="s">
        <v>17</v>
      </c>
      <c r="S92" s="1" t="str" cm="1">
        <f t="array" ref="S92">_xlfn.IFS(R92="S","Southampton",R92="C","Cherbourg",R92="Q","Queenstown")</f>
        <v>Southampton</v>
      </c>
    </row>
    <row r="93" spans="1:19" x14ac:dyDescent="0.3">
      <c r="A93">
        <v>92</v>
      </c>
      <c r="B93">
        <v>1</v>
      </c>
      <c r="C93" s="1" t="str" cm="1">
        <f t="array" ref="C93">_xlfn.IFS(B93=1,"First Class",B93=2,"Second Class",B93=3,"Third Class")</f>
        <v>First Class</v>
      </c>
      <c r="D93">
        <v>1</v>
      </c>
      <c r="E93" s="1" t="str">
        <f t="shared" si="4"/>
        <v>Alive</v>
      </c>
      <c r="F93" t="s">
        <v>224</v>
      </c>
      <c r="G93" s="1" t="s">
        <v>2999</v>
      </c>
      <c r="H93" t="s">
        <v>20</v>
      </c>
      <c r="I93" s="1" t="str">
        <f t="shared" si="5"/>
        <v>Male</v>
      </c>
      <c r="J93" s="3">
        <v>31</v>
      </c>
      <c r="K93" s="3" t="str" cm="1">
        <f t="array" ref="K93">_xlfn.IFS(J93&lt;=13,"Child",J93&lt;=18,"Teenager",J93&lt;=30,"Young Adult",J93&lt;=50,"Middle Aged Adult",J93&gt;50,"Senior")</f>
        <v>Middle Aged Adult</v>
      </c>
      <c r="L93">
        <v>1</v>
      </c>
      <c r="M93">
        <v>0</v>
      </c>
      <c r="N93" s="1">
        <f t="shared" si="6"/>
        <v>2</v>
      </c>
      <c r="O93" s="1" t="str">
        <f t="shared" si="7"/>
        <v>With Family</v>
      </c>
      <c r="P93">
        <v>57</v>
      </c>
      <c r="Q93" s="1" t="str" cm="1">
        <f t="array" ref="Q93">_xlfn.IFS(P93&lt;=50,"Low",P93&lt;=100,"Medium",P93&gt;100,"High")</f>
        <v>Medium</v>
      </c>
      <c r="R93" t="s">
        <v>17</v>
      </c>
      <c r="S93" s="1" t="str" cm="1">
        <f t="array" ref="S93">_xlfn.IFS(R93="S","Southampton",R93="C","Cherbourg",R93="Q","Queenstown")</f>
        <v>Southampton</v>
      </c>
    </row>
    <row r="94" spans="1:19" x14ac:dyDescent="0.3">
      <c r="A94">
        <v>93</v>
      </c>
      <c r="B94">
        <v>1</v>
      </c>
      <c r="C94" s="1" t="str" cm="1">
        <f t="array" ref="C94">_xlfn.IFS(B94=1,"First Class",B94=2,"Second Class",B94=3,"Third Class")</f>
        <v>First Class</v>
      </c>
      <c r="D94">
        <v>1</v>
      </c>
      <c r="E94" s="1" t="str">
        <f t="shared" si="4"/>
        <v>Alive</v>
      </c>
      <c r="F94" t="s">
        <v>227</v>
      </c>
      <c r="G94" s="1" t="s">
        <v>3001</v>
      </c>
      <c r="H94" t="s">
        <v>15</v>
      </c>
      <c r="I94" s="1" t="str">
        <f t="shared" si="5"/>
        <v>Female</v>
      </c>
      <c r="J94" s="3">
        <v>17</v>
      </c>
      <c r="K94" s="3" t="str" cm="1">
        <f t="array" ref="K94">_xlfn.IFS(J94&lt;=13,"Child",J94&lt;=18,"Teenager",J94&lt;=30,"Young Adult",J94&lt;=50,"Middle Aged Adult",J94&gt;50,"Senior")</f>
        <v>Teenager</v>
      </c>
      <c r="L94">
        <v>1</v>
      </c>
      <c r="M94">
        <v>0</v>
      </c>
      <c r="N94" s="1">
        <f t="shared" si="6"/>
        <v>2</v>
      </c>
      <c r="O94" s="1" t="str">
        <f t="shared" si="7"/>
        <v>With Family</v>
      </c>
      <c r="P94">
        <v>57</v>
      </c>
      <c r="Q94" s="1" t="str" cm="1">
        <f t="array" ref="Q94">_xlfn.IFS(P94&lt;=50,"Low",P94&lt;=100,"Medium",P94&gt;100,"High")</f>
        <v>Medium</v>
      </c>
      <c r="R94" t="s">
        <v>17</v>
      </c>
      <c r="S94" s="1" t="str" cm="1">
        <f t="array" ref="S94">_xlfn.IFS(R94="S","Southampton",R94="C","Cherbourg",R94="Q","Queenstown")</f>
        <v>Southampton</v>
      </c>
    </row>
    <row r="95" spans="1:19" x14ac:dyDescent="0.3">
      <c r="A95">
        <v>94</v>
      </c>
      <c r="B95">
        <v>1</v>
      </c>
      <c r="C95" s="1" t="str" cm="1">
        <f t="array" ref="C95">_xlfn.IFS(B95=1,"First Class",B95=2,"Second Class",B95=3,"Third Class")</f>
        <v>First Class</v>
      </c>
      <c r="D95">
        <v>1</v>
      </c>
      <c r="E95" s="1" t="str">
        <f t="shared" si="4"/>
        <v>Alive</v>
      </c>
      <c r="F95" t="s">
        <v>228</v>
      </c>
      <c r="G95" s="1" t="s">
        <v>3040</v>
      </c>
      <c r="H95" t="s">
        <v>20</v>
      </c>
      <c r="I95" s="1" t="str">
        <f t="shared" si="5"/>
        <v>Male</v>
      </c>
      <c r="J95" s="3">
        <v>53</v>
      </c>
      <c r="K95" s="3" t="str" cm="1">
        <f t="array" ref="K95">_xlfn.IFS(J95&lt;=13,"Child",J95&lt;=18,"Teenager",J95&lt;=30,"Young Adult",J95&lt;=50,"Middle Aged Adult",J95&gt;50,"Senior")</f>
        <v>Senior</v>
      </c>
      <c r="L95">
        <v>1</v>
      </c>
      <c r="M95">
        <v>1</v>
      </c>
      <c r="N95" s="1">
        <f t="shared" si="6"/>
        <v>3</v>
      </c>
      <c r="O95" s="1" t="str">
        <f t="shared" si="7"/>
        <v>With Family</v>
      </c>
      <c r="P95">
        <v>81.8583</v>
      </c>
      <c r="Q95" s="1" t="str" cm="1">
        <f t="array" ref="Q95">_xlfn.IFS(P95&lt;=50,"Low",P95&lt;=100,"Medium",P95&gt;100,"High")</f>
        <v>Medium</v>
      </c>
      <c r="R95" t="s">
        <v>17</v>
      </c>
      <c r="S95" s="1" t="str" cm="1">
        <f t="array" ref="S95">_xlfn.IFS(R95="S","Southampton",R95="C","Cherbourg",R95="Q","Queenstown")</f>
        <v>Southampton</v>
      </c>
    </row>
    <row r="96" spans="1:19" x14ac:dyDescent="0.3">
      <c r="A96">
        <v>95</v>
      </c>
      <c r="B96">
        <v>1</v>
      </c>
      <c r="C96" s="1" t="str" cm="1">
        <f t="array" ref="C96">_xlfn.IFS(B96=1,"First Class",B96=2,"Second Class",B96=3,"Third Class")</f>
        <v>First Class</v>
      </c>
      <c r="D96">
        <v>1</v>
      </c>
      <c r="E96" s="1" t="str">
        <f t="shared" si="4"/>
        <v>Alive</v>
      </c>
      <c r="F96" t="s">
        <v>230</v>
      </c>
      <c r="G96" s="1" t="s">
        <v>2996</v>
      </c>
      <c r="H96" t="s">
        <v>20</v>
      </c>
      <c r="I96" s="1" t="str">
        <f t="shared" si="5"/>
        <v>Male</v>
      </c>
      <c r="J96" s="3">
        <v>4</v>
      </c>
      <c r="K96" s="3" t="str" cm="1">
        <f t="array" ref="K96">_xlfn.IFS(J96&lt;=13,"Child",J96&lt;=18,"Teenager",J96&lt;=30,"Young Adult",J96&lt;=50,"Middle Aged Adult",J96&gt;50,"Senior")</f>
        <v>Child</v>
      </c>
      <c r="L96">
        <v>0</v>
      </c>
      <c r="M96">
        <v>2</v>
      </c>
      <c r="N96" s="1">
        <f t="shared" si="6"/>
        <v>3</v>
      </c>
      <c r="O96" s="1" t="str">
        <f t="shared" si="7"/>
        <v>With Family</v>
      </c>
      <c r="P96">
        <v>81.8583</v>
      </c>
      <c r="Q96" s="1" t="str" cm="1">
        <f t="array" ref="Q96">_xlfn.IFS(P96&lt;=50,"Low",P96&lt;=100,"Medium",P96&gt;100,"High")</f>
        <v>Medium</v>
      </c>
      <c r="R96" t="s">
        <v>17</v>
      </c>
      <c r="S96" s="1" t="str" cm="1">
        <f t="array" ref="S96">_xlfn.IFS(R96="S","Southampton",R96="C","Cherbourg",R96="Q","Queenstown")</f>
        <v>Southampton</v>
      </c>
    </row>
    <row r="97" spans="1:19" x14ac:dyDescent="0.3">
      <c r="A97">
        <v>96</v>
      </c>
      <c r="B97">
        <v>1</v>
      </c>
      <c r="C97" s="1" t="str" cm="1">
        <f t="array" ref="C97">_xlfn.IFS(B97=1,"First Class",B97=2,"Second Class",B97=3,"Third Class")</f>
        <v>First Class</v>
      </c>
      <c r="D97">
        <v>1</v>
      </c>
      <c r="E97" s="1" t="str">
        <f t="shared" si="4"/>
        <v>Alive</v>
      </c>
      <c r="F97" t="s">
        <v>231</v>
      </c>
      <c r="G97" s="1" t="s">
        <v>3001</v>
      </c>
      <c r="H97" t="s">
        <v>15</v>
      </c>
      <c r="I97" s="1" t="str">
        <f t="shared" si="5"/>
        <v>Female</v>
      </c>
      <c r="J97" s="3">
        <v>54</v>
      </c>
      <c r="K97" s="3" t="str" cm="1">
        <f t="array" ref="K97">_xlfn.IFS(J97&lt;=13,"Child",J97&lt;=18,"Teenager",J97&lt;=30,"Young Adult",J97&lt;=50,"Middle Aged Adult",J97&gt;50,"Senior")</f>
        <v>Senior</v>
      </c>
      <c r="L97">
        <v>1</v>
      </c>
      <c r="M97">
        <v>1</v>
      </c>
      <c r="N97" s="1">
        <f t="shared" si="6"/>
        <v>3</v>
      </c>
      <c r="O97" s="1" t="str">
        <f t="shared" si="7"/>
        <v>With Family</v>
      </c>
      <c r="P97">
        <v>81.8583</v>
      </c>
      <c r="Q97" s="1" t="str" cm="1">
        <f t="array" ref="Q97">_xlfn.IFS(P97&lt;=50,"Low",P97&lt;=100,"Medium",P97&gt;100,"High")</f>
        <v>Medium</v>
      </c>
      <c r="R97" t="s">
        <v>17</v>
      </c>
      <c r="S97" s="1" t="str" cm="1">
        <f t="array" ref="S97">_xlfn.IFS(R97="S","Southampton",R97="C","Cherbourg",R97="Q","Queenstown")</f>
        <v>Southampton</v>
      </c>
    </row>
    <row r="98" spans="1:19" x14ac:dyDescent="0.3">
      <c r="A98">
        <v>97</v>
      </c>
      <c r="B98">
        <v>1</v>
      </c>
      <c r="C98" s="1" t="str" cm="1">
        <f t="array" ref="C98">_xlfn.IFS(B98=1,"First Class",B98=2,"Second Class",B98=3,"Third Class")</f>
        <v>First Class</v>
      </c>
      <c r="D98">
        <v>0</v>
      </c>
      <c r="E98" s="1" t="str">
        <f t="shared" si="4"/>
        <v>Dead</v>
      </c>
      <c r="F98" t="s">
        <v>232</v>
      </c>
      <c r="G98" s="1" t="s">
        <v>2999</v>
      </c>
      <c r="H98" t="s">
        <v>20</v>
      </c>
      <c r="I98" s="1" t="str">
        <f t="shared" si="5"/>
        <v>Male</v>
      </c>
      <c r="J98" s="3">
        <v>50</v>
      </c>
      <c r="K98" s="3" t="str" cm="1">
        <f t="array" ref="K98">_xlfn.IFS(J98&lt;=13,"Child",J98&lt;=18,"Teenager",J98&lt;=30,"Young Adult",J98&lt;=50,"Middle Aged Adult",J98&gt;50,"Senior")</f>
        <v>Middle Aged Adult</v>
      </c>
      <c r="L98">
        <v>1</v>
      </c>
      <c r="M98">
        <v>0</v>
      </c>
      <c r="N98" s="1">
        <f t="shared" si="6"/>
        <v>2</v>
      </c>
      <c r="O98" s="1" t="str">
        <f t="shared" si="7"/>
        <v>With Family</v>
      </c>
      <c r="P98">
        <v>106.425</v>
      </c>
      <c r="Q98" s="1" t="str" cm="1">
        <f t="array" ref="Q98">_xlfn.IFS(P98&lt;=50,"Low",P98&lt;=100,"Medium",P98&gt;100,"High")</f>
        <v>High</v>
      </c>
      <c r="R98" t="s">
        <v>41</v>
      </c>
      <c r="S98" s="1" t="str" cm="1">
        <f t="array" ref="S98">_xlfn.IFS(R98="S","Southampton",R98="C","Cherbourg",R98="Q","Queenstown")</f>
        <v>Cherbourg</v>
      </c>
    </row>
    <row r="99" spans="1:19" x14ac:dyDescent="0.3">
      <c r="A99">
        <v>98</v>
      </c>
      <c r="B99">
        <v>1</v>
      </c>
      <c r="C99" s="1" t="str" cm="1">
        <f t="array" ref="C99">_xlfn.IFS(B99=1,"First Class",B99=2,"Second Class",B99=3,"Third Class")</f>
        <v>First Class</v>
      </c>
      <c r="D99">
        <v>1</v>
      </c>
      <c r="E99" s="1" t="str">
        <f t="shared" si="4"/>
        <v>Alive</v>
      </c>
      <c r="F99" t="s">
        <v>236</v>
      </c>
      <c r="G99" s="1" t="s">
        <v>3001</v>
      </c>
      <c r="H99" t="s">
        <v>15</v>
      </c>
      <c r="I99" s="1" t="str">
        <f t="shared" si="5"/>
        <v>Female</v>
      </c>
      <c r="J99" s="3">
        <v>27</v>
      </c>
      <c r="K99" s="3" t="str" cm="1">
        <f t="array" ref="K99">_xlfn.IFS(J99&lt;=13,"Child",J99&lt;=18,"Teenager",J99&lt;=30,"Young Adult",J99&lt;=50,"Middle Aged Adult",J99&gt;50,"Senior")</f>
        <v>Young Adult</v>
      </c>
      <c r="L99">
        <v>1</v>
      </c>
      <c r="M99">
        <v>1</v>
      </c>
      <c r="N99" s="1">
        <f t="shared" si="6"/>
        <v>3</v>
      </c>
      <c r="O99" s="1" t="str">
        <f t="shared" si="7"/>
        <v>With Family</v>
      </c>
      <c r="P99">
        <v>247.52080000000001</v>
      </c>
      <c r="Q99" s="1" t="str" cm="1">
        <f t="array" ref="Q99">_xlfn.IFS(P99&lt;=50,"Low",P99&lt;=100,"Medium",P99&gt;100,"High")</f>
        <v>High</v>
      </c>
      <c r="R99" t="s">
        <v>41</v>
      </c>
      <c r="S99" s="1" t="str" cm="1">
        <f t="array" ref="S99">_xlfn.IFS(R99="S","Southampton",R99="C","Cherbourg",R99="Q","Queenstown")</f>
        <v>Cherbourg</v>
      </c>
    </row>
    <row r="100" spans="1:19" x14ac:dyDescent="0.3">
      <c r="A100">
        <v>99</v>
      </c>
      <c r="B100">
        <v>1</v>
      </c>
      <c r="C100" s="1" t="str" cm="1">
        <f t="array" ref="C100">_xlfn.IFS(B100=1,"First Class",B100=2,"Second Class",B100=3,"Third Class")</f>
        <v>First Class</v>
      </c>
      <c r="D100">
        <v>1</v>
      </c>
      <c r="E100" s="1" t="str">
        <f t="shared" si="4"/>
        <v>Alive</v>
      </c>
      <c r="F100" t="s">
        <v>237</v>
      </c>
      <c r="G100" s="1" t="s">
        <v>3001</v>
      </c>
      <c r="H100" t="s">
        <v>15</v>
      </c>
      <c r="I100" s="1" t="str">
        <f t="shared" si="5"/>
        <v>Female</v>
      </c>
      <c r="J100" s="3">
        <v>48</v>
      </c>
      <c r="K100" s="3" t="str" cm="1">
        <f t="array" ref="K100">_xlfn.IFS(J100&lt;=13,"Child",J100&lt;=18,"Teenager",J100&lt;=30,"Young Adult",J100&lt;=50,"Middle Aged Adult",J100&gt;50,"Senior")</f>
        <v>Middle Aged Adult</v>
      </c>
      <c r="L100">
        <v>1</v>
      </c>
      <c r="M100">
        <v>0</v>
      </c>
      <c r="N100" s="1">
        <f t="shared" si="6"/>
        <v>2</v>
      </c>
      <c r="O100" s="1" t="str">
        <f t="shared" si="7"/>
        <v>With Family</v>
      </c>
      <c r="P100">
        <v>106.425</v>
      </c>
      <c r="Q100" s="1" t="str" cm="1">
        <f t="array" ref="Q100">_xlfn.IFS(P100&lt;=50,"Low",P100&lt;=100,"Medium",P100&gt;100,"High")</f>
        <v>High</v>
      </c>
      <c r="R100" t="s">
        <v>41</v>
      </c>
      <c r="S100" s="1" t="str" cm="1">
        <f t="array" ref="S100">_xlfn.IFS(R100="S","Southampton",R100="C","Cherbourg",R100="Q","Queenstown")</f>
        <v>Cherbourg</v>
      </c>
    </row>
    <row r="101" spans="1:19" x14ac:dyDescent="0.3">
      <c r="A101">
        <v>100</v>
      </c>
      <c r="B101">
        <v>1</v>
      </c>
      <c r="C101" s="1" t="str" cm="1">
        <f t="array" ref="C101">_xlfn.IFS(B101=1,"First Class",B101=2,"Second Class",B101=3,"Third Class")</f>
        <v>First Class</v>
      </c>
      <c r="D101">
        <v>1</v>
      </c>
      <c r="E101" s="1" t="str">
        <f t="shared" si="4"/>
        <v>Alive</v>
      </c>
      <c r="F101" t="s">
        <v>238</v>
      </c>
      <c r="G101" s="1" t="s">
        <v>3100</v>
      </c>
      <c r="H101" t="s">
        <v>15</v>
      </c>
      <c r="I101" s="1" t="str">
        <f t="shared" si="5"/>
        <v>Female</v>
      </c>
      <c r="J101" s="3">
        <v>48</v>
      </c>
      <c r="K101" s="3" t="str" cm="1">
        <f t="array" ref="K101">_xlfn.IFS(J101&lt;=13,"Child",J101&lt;=18,"Teenager",J101&lt;=30,"Young Adult",J101&lt;=50,"Middle Aged Adult",J101&gt;50,"Senior")</f>
        <v>Middle Aged Adult</v>
      </c>
      <c r="L101">
        <v>1</v>
      </c>
      <c r="M101">
        <v>0</v>
      </c>
      <c r="N101" s="1">
        <f t="shared" si="6"/>
        <v>2</v>
      </c>
      <c r="O101" s="1" t="str">
        <f t="shared" si="7"/>
        <v>With Family</v>
      </c>
      <c r="P101">
        <v>39.6</v>
      </c>
      <c r="Q101" s="1" t="str" cm="1">
        <f t="array" ref="Q101">_xlfn.IFS(P101&lt;=50,"Low",P101&lt;=100,"Medium",P101&gt;100,"High")</f>
        <v>Low</v>
      </c>
      <c r="R101" t="s">
        <v>41</v>
      </c>
      <c r="S101" s="1" t="str" cm="1">
        <f t="array" ref="S101">_xlfn.IFS(R101="S","Southampton",R101="C","Cherbourg",R101="Q","Queenstown")</f>
        <v>Cherbourg</v>
      </c>
    </row>
    <row r="102" spans="1:19" x14ac:dyDescent="0.3">
      <c r="A102">
        <v>101</v>
      </c>
      <c r="B102">
        <v>1</v>
      </c>
      <c r="C102" s="1" t="str" cm="1">
        <f t="array" ref="C102">_xlfn.IFS(B102=1,"First Class",B102=2,"Second Class",B102=3,"Third Class")</f>
        <v>First Class</v>
      </c>
      <c r="D102">
        <v>1</v>
      </c>
      <c r="E102" s="1" t="str">
        <f t="shared" si="4"/>
        <v>Alive</v>
      </c>
      <c r="F102" t="s">
        <v>241</v>
      </c>
      <c r="G102" s="1" t="s">
        <v>3102</v>
      </c>
      <c r="H102" t="s">
        <v>20</v>
      </c>
      <c r="I102" s="1" t="str">
        <f t="shared" si="5"/>
        <v>Male</v>
      </c>
      <c r="J102" s="3">
        <v>49</v>
      </c>
      <c r="K102" s="3" t="str" cm="1">
        <f t="array" ref="K102">_xlfn.IFS(J102&lt;=13,"Child",J102&lt;=18,"Teenager",J102&lt;=30,"Young Adult",J102&lt;=50,"Middle Aged Adult",J102&gt;50,"Senior")</f>
        <v>Middle Aged Adult</v>
      </c>
      <c r="L102">
        <v>1</v>
      </c>
      <c r="M102">
        <v>0</v>
      </c>
      <c r="N102" s="1">
        <f t="shared" si="6"/>
        <v>2</v>
      </c>
      <c r="O102" s="1" t="str">
        <f t="shared" si="7"/>
        <v>With Family</v>
      </c>
      <c r="P102">
        <v>56.929200000000002</v>
      </c>
      <c r="Q102" s="1" t="str" cm="1">
        <f t="array" ref="Q102">_xlfn.IFS(P102&lt;=50,"Low",P102&lt;=100,"Medium",P102&gt;100,"High")</f>
        <v>Medium</v>
      </c>
      <c r="R102" t="s">
        <v>41</v>
      </c>
      <c r="S102" s="1" t="str" cm="1">
        <f t="array" ref="S102">_xlfn.IFS(R102="S","Southampton",R102="C","Cherbourg",R102="Q","Queenstown")</f>
        <v>Cherbourg</v>
      </c>
    </row>
    <row r="103" spans="1:19" x14ac:dyDescent="0.3">
      <c r="A103">
        <v>102</v>
      </c>
      <c r="B103">
        <v>1</v>
      </c>
      <c r="C103" s="1" t="str" cm="1">
        <f t="array" ref="C103">_xlfn.IFS(B103=1,"First Class",B103=2,"Second Class",B103=3,"Third Class")</f>
        <v>First Class</v>
      </c>
      <c r="D103">
        <v>0</v>
      </c>
      <c r="E103" s="1" t="str">
        <f t="shared" si="4"/>
        <v>Dead</v>
      </c>
      <c r="F103" t="s">
        <v>244</v>
      </c>
      <c r="G103" s="1" t="s">
        <v>2999</v>
      </c>
      <c r="H103" t="s">
        <v>20</v>
      </c>
      <c r="I103" s="1" t="str">
        <f t="shared" si="5"/>
        <v>Male</v>
      </c>
      <c r="J103" s="3">
        <v>39</v>
      </c>
      <c r="K103" s="3" t="str" cm="1">
        <f t="array" ref="K103">_xlfn.IFS(J103&lt;=13,"Child",J103&lt;=18,"Teenager",J103&lt;=30,"Young Adult",J103&lt;=50,"Middle Aged Adult",J103&gt;50,"Senior")</f>
        <v>Middle Aged Adult</v>
      </c>
      <c r="L103">
        <v>0</v>
      </c>
      <c r="M103">
        <v>0</v>
      </c>
      <c r="N103" s="1">
        <f t="shared" si="6"/>
        <v>1</v>
      </c>
      <c r="O103" s="1" t="str">
        <f t="shared" si="7"/>
        <v>Single</v>
      </c>
      <c r="P103">
        <v>29.7</v>
      </c>
      <c r="Q103" s="1" t="str" cm="1">
        <f t="array" ref="Q103">_xlfn.IFS(P103&lt;=50,"Low",P103&lt;=100,"Medium",P103&gt;100,"High")</f>
        <v>Low</v>
      </c>
      <c r="R103" t="s">
        <v>41</v>
      </c>
      <c r="S103" s="1" t="str" cm="1">
        <f t="array" ref="S103">_xlfn.IFS(R103="S","Southampton",R103="C","Cherbourg",R103="Q","Queenstown")</f>
        <v>Cherbourg</v>
      </c>
    </row>
    <row r="104" spans="1:19" x14ac:dyDescent="0.3">
      <c r="A104">
        <v>103</v>
      </c>
      <c r="B104">
        <v>1</v>
      </c>
      <c r="C104" s="1" t="str" cm="1">
        <f t="array" ref="C104">_xlfn.IFS(B104=1,"First Class",B104=2,"Second Class",B104=3,"Third Class")</f>
        <v>First Class</v>
      </c>
      <c r="D104">
        <v>1</v>
      </c>
      <c r="E104" s="1" t="str">
        <f t="shared" si="4"/>
        <v>Alive</v>
      </c>
      <c r="F104" t="s">
        <v>247</v>
      </c>
      <c r="G104" s="1" t="s">
        <v>3001</v>
      </c>
      <c r="H104" t="s">
        <v>15</v>
      </c>
      <c r="I104" s="1" t="str">
        <f t="shared" si="5"/>
        <v>Female</v>
      </c>
      <c r="J104" s="3">
        <v>23</v>
      </c>
      <c r="K104" s="3" t="str" cm="1">
        <f t="array" ref="K104">_xlfn.IFS(J104&lt;=13,"Child",J104&lt;=18,"Teenager",J104&lt;=30,"Young Adult",J104&lt;=50,"Middle Aged Adult",J104&gt;50,"Senior")</f>
        <v>Young Adult</v>
      </c>
      <c r="L104">
        <v>0</v>
      </c>
      <c r="M104">
        <v>1</v>
      </c>
      <c r="N104" s="1">
        <f t="shared" si="6"/>
        <v>2</v>
      </c>
      <c r="O104" s="1" t="str">
        <f t="shared" si="7"/>
        <v>With Family</v>
      </c>
      <c r="P104">
        <v>83.158299999999997</v>
      </c>
      <c r="Q104" s="1" t="str" cm="1">
        <f t="array" ref="Q104">_xlfn.IFS(P104&lt;=50,"Low",P104&lt;=100,"Medium",P104&gt;100,"High")</f>
        <v>Medium</v>
      </c>
      <c r="R104" t="s">
        <v>41</v>
      </c>
      <c r="S104" s="1" t="str" cm="1">
        <f t="array" ref="S104">_xlfn.IFS(R104="S","Southampton",R104="C","Cherbourg",R104="Q","Queenstown")</f>
        <v>Cherbourg</v>
      </c>
    </row>
    <row r="105" spans="1:19" x14ac:dyDescent="0.3">
      <c r="A105">
        <v>104</v>
      </c>
      <c r="B105">
        <v>1</v>
      </c>
      <c r="C105" s="1" t="str" cm="1">
        <f t="array" ref="C105">_xlfn.IFS(B105=1,"First Class",B105=2,"Second Class",B105=3,"Third Class")</f>
        <v>First Class</v>
      </c>
      <c r="D105">
        <v>1</v>
      </c>
      <c r="E105" s="1" t="str">
        <f t="shared" si="4"/>
        <v>Alive</v>
      </c>
      <c r="F105" t="s">
        <v>250</v>
      </c>
      <c r="G105" s="1" t="s">
        <v>2994</v>
      </c>
      <c r="H105" t="s">
        <v>15</v>
      </c>
      <c r="I105" s="1" t="str">
        <f t="shared" si="5"/>
        <v>Female</v>
      </c>
      <c r="J105" s="3">
        <v>38</v>
      </c>
      <c r="K105" s="3" t="str" cm="1">
        <f t="array" ref="K105">_xlfn.IFS(J105&lt;=13,"Child",J105&lt;=18,"Teenager",J105&lt;=30,"Young Adult",J105&lt;=50,"Middle Aged Adult",J105&gt;50,"Senior")</f>
        <v>Middle Aged Adult</v>
      </c>
      <c r="L105">
        <v>0</v>
      </c>
      <c r="M105">
        <v>0</v>
      </c>
      <c r="N105" s="1">
        <f t="shared" si="6"/>
        <v>1</v>
      </c>
      <c r="O105" s="1" t="str">
        <f t="shared" si="7"/>
        <v>Single</v>
      </c>
      <c r="P105">
        <v>227.52500000000001</v>
      </c>
      <c r="Q105" s="1" t="str" cm="1">
        <f t="array" ref="Q105">_xlfn.IFS(P105&lt;=50,"Low",P105&lt;=100,"Medium",P105&gt;100,"High")</f>
        <v>High</v>
      </c>
      <c r="R105" t="s">
        <v>41</v>
      </c>
      <c r="S105" s="1" t="str" cm="1">
        <f t="array" ref="S105">_xlfn.IFS(R105="S","Southampton",R105="C","Cherbourg",R105="Q","Queenstown")</f>
        <v>Cherbourg</v>
      </c>
    </row>
    <row r="106" spans="1:19" x14ac:dyDescent="0.3">
      <c r="A106">
        <v>105</v>
      </c>
      <c r="B106">
        <v>1</v>
      </c>
      <c r="C106" s="1" t="str" cm="1">
        <f t="array" ref="C106">_xlfn.IFS(B106=1,"First Class",B106=2,"Second Class",B106=3,"Third Class")</f>
        <v>First Class</v>
      </c>
      <c r="D106">
        <v>1</v>
      </c>
      <c r="E106" s="1" t="str">
        <f t="shared" si="4"/>
        <v>Alive</v>
      </c>
      <c r="F106" t="s">
        <v>252</v>
      </c>
      <c r="G106" s="1" t="s">
        <v>2994</v>
      </c>
      <c r="H106" t="s">
        <v>15</v>
      </c>
      <c r="I106" s="1" t="str">
        <f t="shared" si="5"/>
        <v>Female</v>
      </c>
      <c r="J106" s="3">
        <v>54</v>
      </c>
      <c r="K106" s="3" t="str" cm="1">
        <f t="array" ref="K106">_xlfn.IFS(J106&lt;=13,"Child",J106&lt;=18,"Teenager",J106&lt;=30,"Young Adult",J106&lt;=50,"Middle Aged Adult",J106&gt;50,"Senior")</f>
        <v>Senior</v>
      </c>
      <c r="L106">
        <v>1</v>
      </c>
      <c r="M106">
        <v>0</v>
      </c>
      <c r="N106" s="1">
        <f t="shared" si="6"/>
        <v>2</v>
      </c>
      <c r="O106" s="1" t="str">
        <f t="shared" si="7"/>
        <v>With Family</v>
      </c>
      <c r="P106">
        <v>78.2667</v>
      </c>
      <c r="Q106" s="1" t="str" cm="1">
        <f t="array" ref="Q106">_xlfn.IFS(P106&lt;=50,"Low",P106&lt;=100,"Medium",P106&gt;100,"High")</f>
        <v>Medium</v>
      </c>
      <c r="R106" t="s">
        <v>41</v>
      </c>
      <c r="S106" s="1" t="str" cm="1">
        <f t="array" ref="S106">_xlfn.IFS(R106="S","Southampton",R106="C","Cherbourg",R106="Q","Queenstown")</f>
        <v>Cherbourg</v>
      </c>
    </row>
    <row r="107" spans="1:19" x14ac:dyDescent="0.3">
      <c r="A107">
        <v>106</v>
      </c>
      <c r="B107">
        <v>1</v>
      </c>
      <c r="C107" s="1" t="str" cm="1">
        <f t="array" ref="C107">_xlfn.IFS(B107=1,"First Class",B107=2,"Second Class",B107=3,"Third Class")</f>
        <v>First Class</v>
      </c>
      <c r="D107">
        <v>0</v>
      </c>
      <c r="E107" s="1" t="str">
        <f t="shared" si="4"/>
        <v>Dead</v>
      </c>
      <c r="F107" t="s">
        <v>255</v>
      </c>
      <c r="G107" s="1" t="s">
        <v>2994</v>
      </c>
      <c r="H107" t="s">
        <v>15</v>
      </c>
      <c r="I107" s="1" t="str">
        <f t="shared" si="5"/>
        <v>Female</v>
      </c>
      <c r="J107" s="3">
        <v>36</v>
      </c>
      <c r="K107" s="3" t="str" cm="1">
        <f t="array" ref="K107">_xlfn.IFS(J107&lt;=13,"Child",J107&lt;=18,"Teenager",J107&lt;=30,"Young Adult",J107&lt;=50,"Middle Aged Adult",J107&gt;50,"Senior")</f>
        <v>Middle Aged Adult</v>
      </c>
      <c r="L107">
        <v>0</v>
      </c>
      <c r="M107">
        <v>0</v>
      </c>
      <c r="N107" s="1">
        <f t="shared" si="6"/>
        <v>1</v>
      </c>
      <c r="O107" s="1" t="str">
        <f t="shared" si="7"/>
        <v>Single</v>
      </c>
      <c r="P107">
        <v>31.679200000000002</v>
      </c>
      <c r="Q107" s="1" t="str" cm="1">
        <f t="array" ref="Q107">_xlfn.IFS(P107&lt;=50,"Low",P107&lt;=100,"Medium",P107&gt;100,"High")</f>
        <v>Low</v>
      </c>
      <c r="R107" t="s">
        <v>41</v>
      </c>
      <c r="S107" s="1" t="str" cm="1">
        <f t="array" ref="S107">_xlfn.IFS(R107="S","Southampton",R107="C","Cherbourg",R107="Q","Queenstown")</f>
        <v>Cherbourg</v>
      </c>
    </row>
    <row r="108" spans="1:19" x14ac:dyDescent="0.3">
      <c r="A108">
        <v>107</v>
      </c>
      <c r="B108">
        <v>1</v>
      </c>
      <c r="C108" s="1" t="str" cm="1">
        <f t="array" ref="C108">_xlfn.IFS(B108=1,"First Class",B108=2,"Second Class",B108=3,"Third Class")</f>
        <v>First Class</v>
      </c>
      <c r="D108">
        <v>0</v>
      </c>
      <c r="E108" s="1" t="str">
        <f t="shared" si="4"/>
        <v>Dead</v>
      </c>
      <c r="F108" t="s">
        <v>258</v>
      </c>
      <c r="G108" s="1" t="s">
        <v>2999</v>
      </c>
      <c r="H108" t="s">
        <v>20</v>
      </c>
      <c r="I108" s="1" t="str">
        <f t="shared" si="5"/>
        <v>Male</v>
      </c>
      <c r="J108" s="3">
        <v>29.881137667304014</v>
      </c>
      <c r="K108" s="3" t="str" cm="1">
        <f t="array" ref="K108">_xlfn.IFS(J108&lt;=13,"Child",J108&lt;=18,"Teenager",J108&lt;=30,"Young Adult",J108&lt;=50,"Middle Aged Adult",J108&gt;50,"Senior")</f>
        <v>Young Adult</v>
      </c>
      <c r="L108">
        <v>0</v>
      </c>
      <c r="M108">
        <v>0</v>
      </c>
      <c r="N108" s="1">
        <f t="shared" si="6"/>
        <v>1</v>
      </c>
      <c r="O108" s="1" t="str">
        <f t="shared" si="7"/>
        <v>Single</v>
      </c>
      <c r="P108">
        <v>221.7792</v>
      </c>
      <c r="Q108" s="1" t="str" cm="1">
        <f t="array" ref="Q108">_xlfn.IFS(P108&lt;=50,"Low",P108&lt;=100,"Medium",P108&gt;100,"High")</f>
        <v>High</v>
      </c>
      <c r="R108" t="s">
        <v>17</v>
      </c>
      <c r="S108" s="1" t="str" cm="1">
        <f t="array" ref="S108">_xlfn.IFS(R108="S","Southampton",R108="C","Cherbourg",R108="Q","Queenstown")</f>
        <v>Southampton</v>
      </c>
    </row>
    <row r="109" spans="1:19" x14ac:dyDescent="0.3">
      <c r="A109">
        <v>108</v>
      </c>
      <c r="B109">
        <v>1</v>
      </c>
      <c r="C109" s="1" t="str" cm="1">
        <f t="array" ref="C109">_xlfn.IFS(B109=1,"First Class",B109=2,"Second Class",B109=3,"Third Class")</f>
        <v>First Class</v>
      </c>
      <c r="D109">
        <v>1</v>
      </c>
      <c r="E109" s="1" t="str">
        <f t="shared" si="4"/>
        <v>Alive</v>
      </c>
      <c r="F109" t="s">
        <v>260</v>
      </c>
      <c r="G109" s="1" t="s">
        <v>3001</v>
      </c>
      <c r="H109" t="s">
        <v>15</v>
      </c>
      <c r="I109" s="1" t="str">
        <f t="shared" si="5"/>
        <v>Female</v>
      </c>
      <c r="J109" s="3">
        <v>29.881137667304014</v>
      </c>
      <c r="K109" s="3" t="str" cm="1">
        <f t="array" ref="K109">_xlfn.IFS(J109&lt;=13,"Child",J109&lt;=18,"Teenager",J109&lt;=30,"Young Adult",J109&lt;=50,"Middle Aged Adult",J109&gt;50,"Senior")</f>
        <v>Young Adult</v>
      </c>
      <c r="L109">
        <v>0</v>
      </c>
      <c r="M109">
        <v>0</v>
      </c>
      <c r="N109" s="1">
        <f t="shared" si="6"/>
        <v>1</v>
      </c>
      <c r="O109" s="1" t="str">
        <f t="shared" si="7"/>
        <v>Single</v>
      </c>
      <c r="P109">
        <v>31.683299999999999</v>
      </c>
      <c r="Q109" s="1" t="str" cm="1">
        <f t="array" ref="Q109">_xlfn.IFS(P109&lt;=50,"Low",P109&lt;=100,"Medium",P109&gt;100,"High")</f>
        <v>Low</v>
      </c>
      <c r="R109" t="s">
        <v>17</v>
      </c>
      <c r="S109" s="1" t="str" cm="1">
        <f t="array" ref="S109">_xlfn.IFS(R109="S","Southampton",R109="C","Cherbourg",R109="Q","Queenstown")</f>
        <v>Southampton</v>
      </c>
    </row>
    <row r="110" spans="1:19" x14ac:dyDescent="0.3">
      <c r="A110">
        <v>109</v>
      </c>
      <c r="B110">
        <v>1</v>
      </c>
      <c r="C110" s="1" t="str" cm="1">
        <f t="array" ref="C110">_xlfn.IFS(B110=1,"First Class",B110=2,"Second Class",B110=3,"Third Class")</f>
        <v>First Class</v>
      </c>
      <c r="D110">
        <v>1</v>
      </c>
      <c r="E110" s="1" t="str">
        <f t="shared" si="4"/>
        <v>Alive</v>
      </c>
      <c r="F110" t="s">
        <v>262</v>
      </c>
      <c r="G110" s="1" t="s">
        <v>2994</v>
      </c>
      <c r="H110" t="s">
        <v>15</v>
      </c>
      <c r="I110" s="1" t="str">
        <f t="shared" si="5"/>
        <v>Female</v>
      </c>
      <c r="J110" s="3">
        <v>29.881137667304014</v>
      </c>
      <c r="K110" s="3" t="str" cm="1">
        <f t="array" ref="K110">_xlfn.IFS(J110&lt;=13,"Child",J110&lt;=18,"Teenager",J110&lt;=30,"Young Adult",J110&lt;=50,"Middle Aged Adult",J110&gt;50,"Senior")</f>
        <v>Young Adult</v>
      </c>
      <c r="L110">
        <v>0</v>
      </c>
      <c r="M110">
        <v>0</v>
      </c>
      <c r="N110" s="1">
        <f t="shared" si="6"/>
        <v>1</v>
      </c>
      <c r="O110" s="1" t="str">
        <f t="shared" si="7"/>
        <v>Single</v>
      </c>
      <c r="P110">
        <v>110.88330000000001</v>
      </c>
      <c r="Q110" s="1" t="str" cm="1">
        <f t="array" ref="Q110">_xlfn.IFS(P110&lt;=50,"Low",P110&lt;=100,"Medium",P110&gt;100,"High")</f>
        <v>High</v>
      </c>
      <c r="R110" t="s">
        <v>41</v>
      </c>
      <c r="S110" s="1" t="str" cm="1">
        <f t="array" ref="S110">_xlfn.IFS(R110="S","Southampton",R110="C","Cherbourg",R110="Q","Queenstown")</f>
        <v>Cherbourg</v>
      </c>
    </row>
    <row r="111" spans="1:19" x14ac:dyDescent="0.3">
      <c r="A111">
        <v>110</v>
      </c>
      <c r="B111">
        <v>1</v>
      </c>
      <c r="C111" s="1" t="str" cm="1">
        <f t="array" ref="C111">_xlfn.IFS(B111=1,"First Class",B111=2,"Second Class",B111=3,"Third Class")</f>
        <v>First Class</v>
      </c>
      <c r="D111">
        <v>1</v>
      </c>
      <c r="E111" s="1" t="str">
        <f t="shared" si="4"/>
        <v>Alive</v>
      </c>
      <c r="F111" t="s">
        <v>263</v>
      </c>
      <c r="G111" s="1" t="s">
        <v>2999</v>
      </c>
      <c r="H111" t="s">
        <v>20</v>
      </c>
      <c r="I111" s="1" t="str">
        <f t="shared" si="5"/>
        <v>Male</v>
      </c>
      <c r="J111" s="3">
        <v>36</v>
      </c>
      <c r="K111" s="3" t="str" cm="1">
        <f t="array" ref="K111">_xlfn.IFS(J111&lt;=13,"Child",J111&lt;=18,"Teenager",J111&lt;=30,"Young Adult",J111&lt;=50,"Middle Aged Adult",J111&gt;50,"Senior")</f>
        <v>Middle Aged Adult</v>
      </c>
      <c r="L111">
        <v>0</v>
      </c>
      <c r="M111">
        <v>0</v>
      </c>
      <c r="N111" s="1">
        <f t="shared" si="6"/>
        <v>1</v>
      </c>
      <c r="O111" s="1" t="str">
        <f t="shared" si="7"/>
        <v>Single</v>
      </c>
      <c r="P111">
        <v>26.387499999999999</v>
      </c>
      <c r="Q111" s="1" t="str" cm="1">
        <f t="array" ref="Q111">_xlfn.IFS(P111&lt;=50,"Low",P111&lt;=100,"Medium",P111&gt;100,"High")</f>
        <v>Low</v>
      </c>
      <c r="R111" t="s">
        <v>17</v>
      </c>
      <c r="S111" s="1" t="str" cm="1">
        <f t="array" ref="S111">_xlfn.IFS(R111="S","Southampton",R111="C","Cherbourg",R111="Q","Queenstown")</f>
        <v>Southampton</v>
      </c>
    </row>
    <row r="112" spans="1:19" x14ac:dyDescent="0.3">
      <c r="A112">
        <v>111</v>
      </c>
      <c r="B112">
        <v>1</v>
      </c>
      <c r="C112" s="1" t="str" cm="1">
        <f t="array" ref="C112">_xlfn.IFS(B112=1,"First Class",B112=2,"Second Class",B112=3,"Third Class")</f>
        <v>First Class</v>
      </c>
      <c r="D112">
        <v>0</v>
      </c>
      <c r="E112" s="1" t="str">
        <f t="shared" si="4"/>
        <v>Dead</v>
      </c>
      <c r="F112" t="s">
        <v>267</v>
      </c>
      <c r="G112" s="1" t="s">
        <v>2999</v>
      </c>
      <c r="H112" t="s">
        <v>20</v>
      </c>
      <c r="I112" s="1" t="str">
        <f t="shared" si="5"/>
        <v>Male</v>
      </c>
      <c r="J112" s="3">
        <v>30</v>
      </c>
      <c r="K112" s="3" t="str" cm="1">
        <f t="array" ref="K112">_xlfn.IFS(J112&lt;=13,"Child",J112&lt;=18,"Teenager",J112&lt;=30,"Young Adult",J112&lt;=50,"Middle Aged Adult",J112&gt;50,"Senior")</f>
        <v>Young Adult</v>
      </c>
      <c r="L112">
        <v>0</v>
      </c>
      <c r="M112">
        <v>0</v>
      </c>
      <c r="N112" s="1">
        <f t="shared" si="6"/>
        <v>1</v>
      </c>
      <c r="O112" s="1" t="str">
        <f t="shared" si="7"/>
        <v>Single</v>
      </c>
      <c r="P112">
        <v>27.75</v>
      </c>
      <c r="Q112" s="1" t="str" cm="1">
        <f t="array" ref="Q112">_xlfn.IFS(P112&lt;=50,"Low",P112&lt;=100,"Medium",P112&gt;100,"High")</f>
        <v>Low</v>
      </c>
      <c r="R112" t="s">
        <v>41</v>
      </c>
      <c r="S112" s="1" t="str" cm="1">
        <f t="array" ref="S112">_xlfn.IFS(R112="S","Southampton",R112="C","Cherbourg",R112="Q","Queenstown")</f>
        <v>Cherbourg</v>
      </c>
    </row>
    <row r="113" spans="1:19" x14ac:dyDescent="0.3">
      <c r="A113">
        <v>112</v>
      </c>
      <c r="B113">
        <v>1</v>
      </c>
      <c r="C113" s="1" t="str" cm="1">
        <f t="array" ref="C113">_xlfn.IFS(B113=1,"First Class",B113=2,"Second Class",B113=3,"Third Class")</f>
        <v>First Class</v>
      </c>
      <c r="D113">
        <v>1</v>
      </c>
      <c r="E113" s="1" t="str">
        <f t="shared" si="4"/>
        <v>Alive</v>
      </c>
      <c r="F113" t="s">
        <v>269</v>
      </c>
      <c r="G113" s="1" t="s">
        <v>2994</v>
      </c>
      <c r="H113" t="s">
        <v>15</v>
      </c>
      <c r="I113" s="1" t="str">
        <f t="shared" si="5"/>
        <v>Female</v>
      </c>
      <c r="J113" s="3">
        <v>24</v>
      </c>
      <c r="K113" s="3" t="str" cm="1">
        <f t="array" ref="K113">_xlfn.IFS(J113&lt;=13,"Child",J113&lt;=18,"Teenager",J113&lt;=30,"Young Adult",J113&lt;=50,"Middle Aged Adult",J113&gt;50,"Senior")</f>
        <v>Young Adult</v>
      </c>
      <c r="L113">
        <v>3</v>
      </c>
      <c r="M113">
        <v>2</v>
      </c>
      <c r="N113" s="1">
        <f t="shared" si="6"/>
        <v>6</v>
      </c>
      <c r="O113" s="1" t="str">
        <f t="shared" si="7"/>
        <v>With Family</v>
      </c>
      <c r="P113">
        <v>263</v>
      </c>
      <c r="Q113" s="1" t="str" cm="1">
        <f t="array" ref="Q113">_xlfn.IFS(P113&lt;=50,"Low",P113&lt;=100,"Medium",P113&gt;100,"High")</f>
        <v>High</v>
      </c>
      <c r="R113" t="s">
        <v>17</v>
      </c>
      <c r="S113" s="1" t="str" cm="1">
        <f t="array" ref="S113">_xlfn.IFS(R113="S","Southampton",R113="C","Cherbourg",R113="Q","Queenstown")</f>
        <v>Southampton</v>
      </c>
    </row>
    <row r="114" spans="1:19" x14ac:dyDescent="0.3">
      <c r="A114">
        <v>113</v>
      </c>
      <c r="B114">
        <v>1</v>
      </c>
      <c r="C114" s="1" t="str" cm="1">
        <f t="array" ref="C114">_xlfn.IFS(B114=1,"First Class",B114=2,"Second Class",B114=3,"Third Class")</f>
        <v>First Class</v>
      </c>
      <c r="D114">
        <v>1</v>
      </c>
      <c r="E114" s="1" t="str">
        <f t="shared" si="4"/>
        <v>Alive</v>
      </c>
      <c r="F114" t="s">
        <v>272</v>
      </c>
      <c r="G114" s="1" t="s">
        <v>2994</v>
      </c>
      <c r="H114" t="s">
        <v>15</v>
      </c>
      <c r="I114" s="1" t="str">
        <f t="shared" si="5"/>
        <v>Female</v>
      </c>
      <c r="J114" s="3">
        <v>28</v>
      </c>
      <c r="K114" s="3" t="str" cm="1">
        <f t="array" ref="K114">_xlfn.IFS(J114&lt;=13,"Child",J114&lt;=18,"Teenager",J114&lt;=30,"Young Adult",J114&lt;=50,"Middle Aged Adult",J114&gt;50,"Senior")</f>
        <v>Young Adult</v>
      </c>
      <c r="L114">
        <v>3</v>
      </c>
      <c r="M114">
        <v>2</v>
      </c>
      <c r="N114" s="1">
        <f t="shared" si="6"/>
        <v>6</v>
      </c>
      <c r="O114" s="1" t="str">
        <f t="shared" si="7"/>
        <v>With Family</v>
      </c>
      <c r="P114">
        <v>263</v>
      </c>
      <c r="Q114" s="1" t="str" cm="1">
        <f t="array" ref="Q114">_xlfn.IFS(P114&lt;=50,"Low",P114&lt;=100,"Medium",P114&gt;100,"High")</f>
        <v>High</v>
      </c>
      <c r="R114" t="s">
        <v>17</v>
      </c>
      <c r="S114" s="1" t="str" cm="1">
        <f t="array" ref="S114">_xlfn.IFS(R114="S","Southampton",R114="C","Cherbourg",R114="Q","Queenstown")</f>
        <v>Southampton</v>
      </c>
    </row>
    <row r="115" spans="1:19" x14ac:dyDescent="0.3">
      <c r="A115">
        <v>114</v>
      </c>
      <c r="B115">
        <v>1</v>
      </c>
      <c r="C115" s="1" t="str" cm="1">
        <f t="array" ref="C115">_xlfn.IFS(B115=1,"First Class",B115=2,"Second Class",B115=3,"Third Class")</f>
        <v>First Class</v>
      </c>
      <c r="D115">
        <v>1</v>
      </c>
      <c r="E115" s="1" t="str">
        <f t="shared" si="4"/>
        <v>Alive</v>
      </c>
      <c r="F115" t="s">
        <v>273</v>
      </c>
      <c r="G115" s="1" t="s">
        <v>2994</v>
      </c>
      <c r="H115" t="s">
        <v>15</v>
      </c>
      <c r="I115" s="1" t="str">
        <f t="shared" si="5"/>
        <v>Female</v>
      </c>
      <c r="J115" s="3">
        <v>23</v>
      </c>
      <c r="K115" s="3" t="str" cm="1">
        <f t="array" ref="K115">_xlfn.IFS(J115&lt;=13,"Child",J115&lt;=18,"Teenager",J115&lt;=30,"Young Adult",J115&lt;=50,"Middle Aged Adult",J115&gt;50,"Senior")</f>
        <v>Young Adult</v>
      </c>
      <c r="L115">
        <v>3</v>
      </c>
      <c r="M115">
        <v>2</v>
      </c>
      <c r="N115" s="1">
        <f t="shared" si="6"/>
        <v>6</v>
      </c>
      <c r="O115" s="1" t="str">
        <f t="shared" si="7"/>
        <v>With Family</v>
      </c>
      <c r="P115">
        <v>263</v>
      </c>
      <c r="Q115" s="1" t="str" cm="1">
        <f t="array" ref="Q115">_xlfn.IFS(P115&lt;=50,"Low",P115&lt;=100,"Medium",P115&gt;100,"High")</f>
        <v>High</v>
      </c>
      <c r="R115" t="s">
        <v>17</v>
      </c>
      <c r="S115" s="1" t="str" cm="1">
        <f t="array" ref="S115">_xlfn.IFS(R115="S","Southampton",R115="C","Cherbourg",R115="Q","Queenstown")</f>
        <v>Southampton</v>
      </c>
    </row>
    <row r="116" spans="1:19" x14ac:dyDescent="0.3">
      <c r="A116">
        <v>115</v>
      </c>
      <c r="B116">
        <v>1</v>
      </c>
      <c r="C116" s="1" t="str" cm="1">
        <f t="array" ref="C116">_xlfn.IFS(B116=1,"First Class",B116=2,"Second Class",B116=3,"Third Class")</f>
        <v>First Class</v>
      </c>
      <c r="D116">
        <v>0</v>
      </c>
      <c r="E116" s="1" t="str">
        <f t="shared" si="4"/>
        <v>Dead</v>
      </c>
      <c r="F116" t="s">
        <v>274</v>
      </c>
      <c r="G116" s="1" t="s">
        <v>2999</v>
      </c>
      <c r="H116" t="s">
        <v>20</v>
      </c>
      <c r="I116" s="1" t="str">
        <f t="shared" si="5"/>
        <v>Male</v>
      </c>
      <c r="J116" s="3">
        <v>19</v>
      </c>
      <c r="K116" s="3" t="str" cm="1">
        <f t="array" ref="K116">_xlfn.IFS(J116&lt;=13,"Child",J116&lt;=18,"Teenager",J116&lt;=30,"Young Adult",J116&lt;=50,"Middle Aged Adult",J116&gt;50,"Senior")</f>
        <v>Young Adult</v>
      </c>
      <c r="L116">
        <v>3</v>
      </c>
      <c r="M116">
        <v>2</v>
      </c>
      <c r="N116" s="1">
        <f t="shared" si="6"/>
        <v>6</v>
      </c>
      <c r="O116" s="1" t="str">
        <f t="shared" si="7"/>
        <v>With Family</v>
      </c>
      <c r="P116">
        <v>263</v>
      </c>
      <c r="Q116" s="1" t="str" cm="1">
        <f t="array" ref="Q116">_xlfn.IFS(P116&lt;=50,"Low",P116&lt;=100,"Medium",P116&gt;100,"High")</f>
        <v>High</v>
      </c>
      <c r="R116" t="s">
        <v>17</v>
      </c>
      <c r="S116" s="1" t="str" cm="1">
        <f t="array" ref="S116">_xlfn.IFS(R116="S","Southampton",R116="C","Cherbourg",R116="Q","Queenstown")</f>
        <v>Southampton</v>
      </c>
    </row>
    <row r="117" spans="1:19" x14ac:dyDescent="0.3">
      <c r="A117">
        <v>116</v>
      </c>
      <c r="B117">
        <v>1</v>
      </c>
      <c r="C117" s="1" t="str" cm="1">
        <f t="array" ref="C117">_xlfn.IFS(B117=1,"First Class",B117=2,"Second Class",B117=3,"Third Class")</f>
        <v>First Class</v>
      </c>
      <c r="D117">
        <v>0</v>
      </c>
      <c r="E117" s="1" t="str">
        <f t="shared" si="4"/>
        <v>Dead</v>
      </c>
      <c r="F117" t="s">
        <v>275</v>
      </c>
      <c r="G117" s="1" t="s">
        <v>2999</v>
      </c>
      <c r="H117" t="s">
        <v>20</v>
      </c>
      <c r="I117" s="1" t="str">
        <f t="shared" si="5"/>
        <v>Male</v>
      </c>
      <c r="J117" s="3">
        <v>64</v>
      </c>
      <c r="K117" s="3" t="str" cm="1">
        <f t="array" ref="K117">_xlfn.IFS(J117&lt;=13,"Child",J117&lt;=18,"Teenager",J117&lt;=30,"Young Adult",J117&lt;=50,"Middle Aged Adult",J117&gt;50,"Senior")</f>
        <v>Senior</v>
      </c>
      <c r="L117">
        <v>1</v>
      </c>
      <c r="M117">
        <v>4</v>
      </c>
      <c r="N117" s="1">
        <f t="shared" si="6"/>
        <v>6</v>
      </c>
      <c r="O117" s="1" t="str">
        <f t="shared" si="7"/>
        <v>With Family</v>
      </c>
      <c r="P117">
        <v>263</v>
      </c>
      <c r="Q117" s="1" t="str" cm="1">
        <f t="array" ref="Q117">_xlfn.IFS(P117&lt;=50,"Low",P117&lt;=100,"Medium",P117&gt;100,"High")</f>
        <v>High</v>
      </c>
      <c r="R117" t="s">
        <v>17</v>
      </c>
      <c r="S117" s="1" t="str" cm="1">
        <f t="array" ref="S117">_xlfn.IFS(R117="S","Southampton",R117="C","Cherbourg",R117="Q","Queenstown")</f>
        <v>Southampton</v>
      </c>
    </row>
    <row r="118" spans="1:19" x14ac:dyDescent="0.3">
      <c r="A118">
        <v>117</v>
      </c>
      <c r="B118">
        <v>1</v>
      </c>
      <c r="C118" s="1" t="str" cm="1">
        <f t="array" ref="C118">_xlfn.IFS(B118=1,"First Class",B118=2,"Second Class",B118=3,"Third Class")</f>
        <v>First Class</v>
      </c>
      <c r="D118">
        <v>1</v>
      </c>
      <c r="E118" s="1" t="str">
        <f t="shared" si="4"/>
        <v>Alive</v>
      </c>
      <c r="F118" t="s">
        <v>276</v>
      </c>
      <c r="G118" s="1" t="s">
        <v>3001</v>
      </c>
      <c r="H118" t="s">
        <v>15</v>
      </c>
      <c r="I118" s="1" t="str">
        <f t="shared" si="5"/>
        <v>Female</v>
      </c>
      <c r="J118" s="3">
        <v>60</v>
      </c>
      <c r="K118" s="3" t="str" cm="1">
        <f t="array" ref="K118">_xlfn.IFS(J118&lt;=13,"Child",J118&lt;=18,"Teenager",J118&lt;=30,"Young Adult",J118&lt;=50,"Middle Aged Adult",J118&gt;50,"Senior")</f>
        <v>Senior</v>
      </c>
      <c r="L118">
        <v>1</v>
      </c>
      <c r="M118">
        <v>4</v>
      </c>
      <c r="N118" s="1">
        <f t="shared" si="6"/>
        <v>6</v>
      </c>
      <c r="O118" s="1" t="str">
        <f t="shared" si="7"/>
        <v>With Family</v>
      </c>
      <c r="P118">
        <v>263</v>
      </c>
      <c r="Q118" s="1" t="str" cm="1">
        <f t="array" ref="Q118">_xlfn.IFS(P118&lt;=50,"Low",P118&lt;=100,"Medium",P118&gt;100,"High")</f>
        <v>High</v>
      </c>
      <c r="R118" t="s">
        <v>17</v>
      </c>
      <c r="S118" s="1" t="str" cm="1">
        <f t="array" ref="S118">_xlfn.IFS(R118="S","Southampton",R118="C","Cherbourg",R118="Q","Queenstown")</f>
        <v>Southampton</v>
      </c>
    </row>
    <row r="119" spans="1:19" x14ac:dyDescent="0.3">
      <c r="A119">
        <v>118</v>
      </c>
      <c r="B119">
        <v>1</v>
      </c>
      <c r="C119" s="1" t="str" cm="1">
        <f t="array" ref="C119">_xlfn.IFS(B119=1,"First Class",B119=2,"Second Class",B119=3,"Third Class")</f>
        <v>First Class</v>
      </c>
      <c r="D119">
        <v>1</v>
      </c>
      <c r="E119" s="1" t="str">
        <f t="shared" si="4"/>
        <v>Alive</v>
      </c>
      <c r="F119" t="s">
        <v>277</v>
      </c>
      <c r="G119" s="1" t="s">
        <v>2994</v>
      </c>
      <c r="H119" t="s">
        <v>15</v>
      </c>
      <c r="I119" s="1" t="str">
        <f t="shared" si="5"/>
        <v>Female</v>
      </c>
      <c r="J119" s="3">
        <v>30</v>
      </c>
      <c r="K119" s="3" t="str" cm="1">
        <f t="array" ref="K119">_xlfn.IFS(J119&lt;=13,"Child",J119&lt;=18,"Teenager",J119&lt;=30,"Young Adult",J119&lt;=50,"Middle Aged Adult",J119&gt;50,"Senior")</f>
        <v>Young Adult</v>
      </c>
      <c r="L119">
        <v>0</v>
      </c>
      <c r="M119">
        <v>0</v>
      </c>
      <c r="N119" s="1">
        <f t="shared" si="6"/>
        <v>1</v>
      </c>
      <c r="O119" s="1" t="str">
        <f t="shared" si="7"/>
        <v>Single</v>
      </c>
      <c r="P119">
        <v>56.929200000000002</v>
      </c>
      <c r="Q119" s="1" t="str" cm="1">
        <f t="array" ref="Q119">_xlfn.IFS(P119&lt;=50,"Low",P119&lt;=100,"Medium",P119&gt;100,"High")</f>
        <v>Medium</v>
      </c>
      <c r="R119" t="s">
        <v>41</v>
      </c>
      <c r="S119" s="1" t="str" cm="1">
        <f t="array" ref="S119">_xlfn.IFS(R119="S","Southampton",R119="C","Cherbourg",R119="Q","Queenstown")</f>
        <v>Cherbourg</v>
      </c>
    </row>
    <row r="120" spans="1:19" x14ac:dyDescent="0.3">
      <c r="A120">
        <v>119</v>
      </c>
      <c r="B120">
        <v>1</v>
      </c>
      <c r="C120" s="1" t="str" cm="1">
        <f t="array" ref="C120">_xlfn.IFS(B120=1,"First Class",B120=2,"Second Class",B120=3,"Third Class")</f>
        <v>First Class</v>
      </c>
      <c r="D120">
        <v>0</v>
      </c>
      <c r="E120" s="1" t="str">
        <f t="shared" si="4"/>
        <v>Dead</v>
      </c>
      <c r="F120" t="s">
        <v>279</v>
      </c>
      <c r="G120" s="1" t="s">
        <v>2999</v>
      </c>
      <c r="H120" t="s">
        <v>20</v>
      </c>
      <c r="I120" s="1" t="str">
        <f t="shared" si="5"/>
        <v>Male</v>
      </c>
      <c r="J120" s="3">
        <v>29.881137667304014</v>
      </c>
      <c r="K120" s="3" t="str" cm="1">
        <f t="array" ref="K120">_xlfn.IFS(J120&lt;=13,"Child",J120&lt;=18,"Teenager",J120&lt;=30,"Young Adult",J120&lt;=50,"Middle Aged Adult",J120&gt;50,"Senior")</f>
        <v>Young Adult</v>
      </c>
      <c r="L120">
        <v>0</v>
      </c>
      <c r="M120">
        <v>0</v>
      </c>
      <c r="N120" s="1">
        <f t="shared" si="6"/>
        <v>1</v>
      </c>
      <c r="O120" s="1" t="str">
        <f t="shared" si="7"/>
        <v>Single</v>
      </c>
      <c r="P120">
        <v>26.55</v>
      </c>
      <c r="Q120" s="1" t="str" cm="1">
        <f t="array" ref="Q120">_xlfn.IFS(P120&lt;=50,"Low",P120&lt;=100,"Medium",P120&gt;100,"High")</f>
        <v>Low</v>
      </c>
      <c r="R120" t="s">
        <v>17</v>
      </c>
      <c r="S120" s="1" t="str" cm="1">
        <f t="array" ref="S120">_xlfn.IFS(R120="S","Southampton",R120="C","Cherbourg",R120="Q","Queenstown")</f>
        <v>Southampton</v>
      </c>
    </row>
    <row r="121" spans="1:19" x14ac:dyDescent="0.3">
      <c r="A121">
        <v>120</v>
      </c>
      <c r="B121">
        <v>1</v>
      </c>
      <c r="C121" s="1" t="str" cm="1">
        <f t="array" ref="C121">_xlfn.IFS(B121=1,"First Class",B121=2,"Second Class",B121=3,"Third Class")</f>
        <v>First Class</v>
      </c>
      <c r="D121">
        <v>1</v>
      </c>
      <c r="E121" s="1" t="str">
        <f t="shared" si="4"/>
        <v>Alive</v>
      </c>
      <c r="F121" t="s">
        <v>282</v>
      </c>
      <c r="G121" s="1" t="s">
        <v>3040</v>
      </c>
      <c r="H121" t="s">
        <v>20</v>
      </c>
      <c r="I121" s="1" t="str">
        <f t="shared" si="5"/>
        <v>Male</v>
      </c>
      <c r="J121" s="3">
        <v>50</v>
      </c>
      <c r="K121" s="3" t="str" cm="1">
        <f t="array" ref="K121">_xlfn.IFS(J121&lt;=13,"Child",J121&lt;=18,"Teenager",J121&lt;=30,"Young Adult",J121&lt;=50,"Middle Aged Adult",J121&gt;50,"Senior")</f>
        <v>Middle Aged Adult</v>
      </c>
      <c r="L121">
        <v>2</v>
      </c>
      <c r="M121">
        <v>0</v>
      </c>
      <c r="N121" s="1">
        <f t="shared" si="6"/>
        <v>3</v>
      </c>
      <c r="O121" s="1" t="str">
        <f t="shared" si="7"/>
        <v>With Family</v>
      </c>
      <c r="P121">
        <v>133.65</v>
      </c>
      <c r="Q121" s="1" t="str" cm="1">
        <f t="array" ref="Q121">_xlfn.IFS(P121&lt;=50,"Low",P121&lt;=100,"Medium",P121&gt;100,"High")</f>
        <v>High</v>
      </c>
      <c r="R121" t="s">
        <v>17</v>
      </c>
      <c r="S121" s="1" t="str" cm="1">
        <f t="array" ref="S121">_xlfn.IFS(R121="S","Southampton",R121="C","Cherbourg",R121="Q","Queenstown")</f>
        <v>Southampton</v>
      </c>
    </row>
    <row r="122" spans="1:19" x14ac:dyDescent="0.3">
      <c r="A122">
        <v>121</v>
      </c>
      <c r="B122">
        <v>1</v>
      </c>
      <c r="C122" s="1" t="str" cm="1">
        <f t="array" ref="C122">_xlfn.IFS(B122=1,"First Class",B122=2,"Second Class",B122=3,"Third Class")</f>
        <v>First Class</v>
      </c>
      <c r="D122">
        <v>1</v>
      </c>
      <c r="E122" s="1" t="str">
        <f t="shared" si="4"/>
        <v>Alive</v>
      </c>
      <c r="F122" t="s">
        <v>284</v>
      </c>
      <c r="G122" s="1" t="s">
        <v>2999</v>
      </c>
      <c r="H122" t="s">
        <v>20</v>
      </c>
      <c r="I122" s="1" t="str">
        <f t="shared" si="5"/>
        <v>Male</v>
      </c>
      <c r="J122" s="3">
        <v>43</v>
      </c>
      <c r="K122" s="3" t="str" cm="1">
        <f t="array" ref="K122">_xlfn.IFS(J122&lt;=13,"Child",J122&lt;=18,"Teenager",J122&lt;=30,"Young Adult",J122&lt;=50,"Middle Aged Adult",J122&gt;50,"Senior")</f>
        <v>Middle Aged Adult</v>
      </c>
      <c r="L122">
        <v>1</v>
      </c>
      <c r="M122">
        <v>0</v>
      </c>
      <c r="N122" s="1">
        <f t="shared" si="6"/>
        <v>2</v>
      </c>
      <c r="O122" s="1" t="str">
        <f t="shared" si="7"/>
        <v>With Family</v>
      </c>
      <c r="P122">
        <v>27.720800000000001</v>
      </c>
      <c r="Q122" s="1" t="str" cm="1">
        <f t="array" ref="Q122">_xlfn.IFS(P122&lt;=50,"Low",P122&lt;=100,"Medium",P122&gt;100,"High")</f>
        <v>Low</v>
      </c>
      <c r="R122" t="s">
        <v>41</v>
      </c>
      <c r="S122" s="1" t="str" cm="1">
        <f t="array" ref="S122">_xlfn.IFS(R122="S","Southampton",R122="C","Cherbourg",R122="Q","Queenstown")</f>
        <v>Cherbourg</v>
      </c>
    </row>
    <row r="123" spans="1:19" x14ac:dyDescent="0.3">
      <c r="A123">
        <v>122</v>
      </c>
      <c r="B123">
        <v>1</v>
      </c>
      <c r="C123" s="1" t="str" cm="1">
        <f t="array" ref="C123">_xlfn.IFS(B123=1,"First Class",B123=2,"Second Class",B123=3,"Third Class")</f>
        <v>First Class</v>
      </c>
      <c r="D123">
        <v>1</v>
      </c>
      <c r="E123" s="1" t="str">
        <f t="shared" si="4"/>
        <v>Alive</v>
      </c>
      <c r="F123" t="s">
        <v>286</v>
      </c>
      <c r="G123" s="1" t="s">
        <v>3001</v>
      </c>
      <c r="H123" t="s">
        <v>15</v>
      </c>
      <c r="I123" s="1" t="str">
        <f t="shared" si="5"/>
        <v>Female</v>
      </c>
      <c r="J123" s="3">
        <v>29.881137667304014</v>
      </c>
      <c r="K123" s="3" t="str" cm="1">
        <f t="array" ref="K123">_xlfn.IFS(J123&lt;=13,"Child",J123&lt;=18,"Teenager",J123&lt;=30,"Young Adult",J123&lt;=50,"Middle Aged Adult",J123&gt;50,"Senior")</f>
        <v>Young Adult</v>
      </c>
      <c r="L123">
        <v>1</v>
      </c>
      <c r="M123">
        <v>0</v>
      </c>
      <c r="N123" s="1">
        <f t="shared" si="6"/>
        <v>2</v>
      </c>
      <c r="O123" s="1" t="str">
        <f t="shared" si="7"/>
        <v>With Family</v>
      </c>
      <c r="P123">
        <v>133.65</v>
      </c>
      <c r="Q123" s="1" t="str" cm="1">
        <f t="array" ref="Q123">_xlfn.IFS(P123&lt;=50,"Low",P123&lt;=100,"Medium",P123&gt;100,"High")</f>
        <v>High</v>
      </c>
      <c r="R123" t="s">
        <v>17</v>
      </c>
      <c r="S123" s="1" t="str" cm="1">
        <f t="array" ref="S123">_xlfn.IFS(R123="S","Southampton",R123="C","Cherbourg",R123="Q","Queenstown")</f>
        <v>Southampton</v>
      </c>
    </row>
    <row r="124" spans="1:19" x14ac:dyDescent="0.3">
      <c r="A124">
        <v>123</v>
      </c>
      <c r="B124">
        <v>1</v>
      </c>
      <c r="C124" s="1" t="str" cm="1">
        <f t="array" ref="C124">_xlfn.IFS(B124=1,"First Class",B124=2,"Second Class",B124=3,"Third Class")</f>
        <v>First Class</v>
      </c>
      <c r="D124">
        <v>1</v>
      </c>
      <c r="E124" s="1" t="str">
        <f t="shared" si="4"/>
        <v>Alive</v>
      </c>
      <c r="F124" t="s">
        <v>287</v>
      </c>
      <c r="G124" s="1" t="s">
        <v>2994</v>
      </c>
      <c r="H124" t="s">
        <v>15</v>
      </c>
      <c r="I124" s="1" t="str">
        <f t="shared" si="5"/>
        <v>Female</v>
      </c>
      <c r="J124" s="3">
        <v>22</v>
      </c>
      <c r="K124" s="3" t="str" cm="1">
        <f t="array" ref="K124">_xlfn.IFS(J124&lt;=13,"Child",J124&lt;=18,"Teenager",J124&lt;=30,"Young Adult",J124&lt;=50,"Middle Aged Adult",J124&gt;50,"Senior")</f>
        <v>Young Adult</v>
      </c>
      <c r="L124">
        <v>0</v>
      </c>
      <c r="M124">
        <v>2</v>
      </c>
      <c r="N124" s="1">
        <f t="shared" si="6"/>
        <v>3</v>
      </c>
      <c r="O124" s="1" t="str">
        <f t="shared" si="7"/>
        <v>With Family</v>
      </c>
      <c r="P124">
        <v>49.5</v>
      </c>
      <c r="Q124" s="1" t="str" cm="1">
        <f t="array" ref="Q124">_xlfn.IFS(P124&lt;=50,"Low",P124&lt;=100,"Medium",P124&gt;100,"High")</f>
        <v>Low</v>
      </c>
      <c r="R124" t="s">
        <v>41</v>
      </c>
      <c r="S124" s="1" t="str" cm="1">
        <f t="array" ref="S124">_xlfn.IFS(R124="S","Southampton",R124="C","Cherbourg",R124="Q","Queenstown")</f>
        <v>Cherbourg</v>
      </c>
    </row>
    <row r="125" spans="1:19" x14ac:dyDescent="0.3">
      <c r="A125">
        <v>124</v>
      </c>
      <c r="B125">
        <v>1</v>
      </c>
      <c r="C125" s="1" t="str" cm="1">
        <f t="array" ref="C125">_xlfn.IFS(B125=1,"First Class",B125=2,"Second Class",B125=3,"Third Class")</f>
        <v>First Class</v>
      </c>
      <c r="D125">
        <v>1</v>
      </c>
      <c r="E125" s="1" t="str">
        <f t="shared" si="4"/>
        <v>Alive</v>
      </c>
      <c r="F125" t="s">
        <v>290</v>
      </c>
      <c r="G125" s="1" t="s">
        <v>2999</v>
      </c>
      <c r="H125" t="s">
        <v>20</v>
      </c>
      <c r="I125" s="1" t="str">
        <f t="shared" si="5"/>
        <v>Male</v>
      </c>
      <c r="J125" s="3">
        <v>60</v>
      </c>
      <c r="K125" s="3" t="str" cm="1">
        <f t="array" ref="K125">_xlfn.IFS(J125&lt;=13,"Child",J125&lt;=18,"Teenager",J125&lt;=30,"Young Adult",J125&lt;=50,"Middle Aged Adult",J125&gt;50,"Senior")</f>
        <v>Senior</v>
      </c>
      <c r="L125">
        <v>1</v>
      </c>
      <c r="M125">
        <v>1</v>
      </c>
      <c r="N125" s="1">
        <f t="shared" si="6"/>
        <v>3</v>
      </c>
      <c r="O125" s="1" t="str">
        <f t="shared" si="7"/>
        <v>With Family</v>
      </c>
      <c r="P125">
        <v>79.2</v>
      </c>
      <c r="Q125" s="1" t="str" cm="1">
        <f t="array" ref="Q125">_xlfn.IFS(P125&lt;=50,"Low",P125&lt;=100,"Medium",P125&gt;100,"High")</f>
        <v>Medium</v>
      </c>
      <c r="R125" t="s">
        <v>41</v>
      </c>
      <c r="S125" s="1" t="str" cm="1">
        <f t="array" ref="S125">_xlfn.IFS(R125="S","Southampton",R125="C","Cherbourg",R125="Q","Queenstown")</f>
        <v>Cherbourg</v>
      </c>
    </row>
    <row r="126" spans="1:19" x14ac:dyDescent="0.3">
      <c r="A126">
        <v>125</v>
      </c>
      <c r="B126">
        <v>1</v>
      </c>
      <c r="C126" s="1" t="str" cm="1">
        <f t="array" ref="C126">_xlfn.IFS(B126=1,"First Class",B126=2,"Second Class",B126=3,"Third Class")</f>
        <v>First Class</v>
      </c>
      <c r="D126">
        <v>1</v>
      </c>
      <c r="E126" s="1" t="str">
        <f t="shared" si="4"/>
        <v>Alive</v>
      </c>
      <c r="F126" t="s">
        <v>292</v>
      </c>
      <c r="G126" s="1" t="s">
        <v>3001</v>
      </c>
      <c r="H126" t="s">
        <v>15</v>
      </c>
      <c r="I126" s="1" t="str">
        <f t="shared" si="5"/>
        <v>Female</v>
      </c>
      <c r="J126" s="3">
        <v>48</v>
      </c>
      <c r="K126" s="3" t="str" cm="1">
        <f t="array" ref="K126">_xlfn.IFS(J126&lt;=13,"Child",J126&lt;=18,"Teenager",J126&lt;=30,"Young Adult",J126&lt;=50,"Middle Aged Adult",J126&gt;50,"Senior")</f>
        <v>Middle Aged Adult</v>
      </c>
      <c r="L126">
        <v>1</v>
      </c>
      <c r="M126">
        <v>1</v>
      </c>
      <c r="N126" s="1">
        <f t="shared" si="6"/>
        <v>3</v>
      </c>
      <c r="O126" s="1" t="str">
        <f t="shared" si="7"/>
        <v>With Family</v>
      </c>
      <c r="P126">
        <v>79.2</v>
      </c>
      <c r="Q126" s="1" t="str" cm="1">
        <f t="array" ref="Q126">_xlfn.IFS(P126&lt;=50,"Low",P126&lt;=100,"Medium",P126&gt;100,"High")</f>
        <v>Medium</v>
      </c>
      <c r="R126" t="s">
        <v>41</v>
      </c>
      <c r="S126" s="1" t="str" cm="1">
        <f t="array" ref="S126">_xlfn.IFS(R126="S","Southampton",R126="C","Cherbourg",R126="Q","Queenstown")</f>
        <v>Cherbourg</v>
      </c>
    </row>
    <row r="127" spans="1:19" x14ac:dyDescent="0.3">
      <c r="A127">
        <v>126</v>
      </c>
      <c r="B127">
        <v>1</v>
      </c>
      <c r="C127" s="1" t="str" cm="1">
        <f t="array" ref="C127">_xlfn.IFS(B127=1,"First Class",B127=2,"Second Class",B127=3,"Third Class")</f>
        <v>First Class</v>
      </c>
      <c r="D127">
        <v>0</v>
      </c>
      <c r="E127" s="1" t="str">
        <f t="shared" si="4"/>
        <v>Dead</v>
      </c>
      <c r="F127" t="s">
        <v>293</v>
      </c>
      <c r="G127" s="1" t="s">
        <v>2999</v>
      </c>
      <c r="H127" t="s">
        <v>20</v>
      </c>
      <c r="I127" s="1" t="str">
        <f t="shared" si="5"/>
        <v>Male</v>
      </c>
      <c r="J127" s="3">
        <v>29.881137667304014</v>
      </c>
      <c r="K127" s="3" t="str" cm="1">
        <f t="array" ref="K127">_xlfn.IFS(J127&lt;=13,"Child",J127&lt;=18,"Teenager",J127&lt;=30,"Young Adult",J127&lt;=50,"Middle Aged Adult",J127&gt;50,"Senior")</f>
        <v>Young Adult</v>
      </c>
      <c r="L127">
        <v>0</v>
      </c>
      <c r="M127">
        <v>0</v>
      </c>
      <c r="N127" s="1">
        <f t="shared" si="6"/>
        <v>1</v>
      </c>
      <c r="O127" s="1" t="str">
        <f t="shared" si="7"/>
        <v>Single</v>
      </c>
      <c r="P127">
        <v>0</v>
      </c>
      <c r="Q127" s="1" t="str" cm="1">
        <f t="array" ref="Q127">_xlfn.IFS(P127&lt;=50,"Low",P127&lt;=100,"Medium",P127&gt;100,"High")</f>
        <v>Low</v>
      </c>
      <c r="R127" t="s">
        <v>17</v>
      </c>
      <c r="S127" s="1" t="str" cm="1">
        <f t="array" ref="S127">_xlfn.IFS(R127="S","Southampton",R127="C","Cherbourg",R127="Q","Queenstown")</f>
        <v>Southampton</v>
      </c>
    </row>
    <row r="128" spans="1:19" x14ac:dyDescent="0.3">
      <c r="A128">
        <v>127</v>
      </c>
      <c r="B128">
        <v>1</v>
      </c>
      <c r="C128" s="1" t="str" cm="1">
        <f t="array" ref="C128">_xlfn.IFS(B128=1,"First Class",B128=2,"Second Class",B128=3,"Third Class")</f>
        <v>First Class</v>
      </c>
      <c r="D128">
        <v>0</v>
      </c>
      <c r="E128" s="1" t="str">
        <f t="shared" si="4"/>
        <v>Dead</v>
      </c>
      <c r="F128" t="s">
        <v>295</v>
      </c>
      <c r="G128" s="1" t="s">
        <v>2999</v>
      </c>
      <c r="H128" t="s">
        <v>20</v>
      </c>
      <c r="I128" s="1" t="str">
        <f t="shared" si="5"/>
        <v>Male</v>
      </c>
      <c r="J128" s="3">
        <v>37</v>
      </c>
      <c r="K128" s="3" t="str" cm="1">
        <f t="array" ref="K128">_xlfn.IFS(J128&lt;=13,"Child",J128&lt;=18,"Teenager",J128&lt;=30,"Young Adult",J128&lt;=50,"Middle Aged Adult",J128&gt;50,"Senior")</f>
        <v>Middle Aged Adult</v>
      </c>
      <c r="L128">
        <v>1</v>
      </c>
      <c r="M128">
        <v>0</v>
      </c>
      <c r="N128" s="1">
        <f t="shared" si="6"/>
        <v>2</v>
      </c>
      <c r="O128" s="1" t="str">
        <f t="shared" si="7"/>
        <v>With Family</v>
      </c>
      <c r="P128">
        <v>53.1</v>
      </c>
      <c r="Q128" s="1" t="str" cm="1">
        <f t="array" ref="Q128">_xlfn.IFS(P128&lt;=50,"Low",P128&lt;=100,"Medium",P128&gt;100,"High")</f>
        <v>Medium</v>
      </c>
      <c r="R128" t="s">
        <v>17</v>
      </c>
      <c r="S128" s="1" t="str" cm="1">
        <f t="array" ref="S128">_xlfn.IFS(R128="S","Southampton",R128="C","Cherbourg",R128="Q","Queenstown")</f>
        <v>Southampton</v>
      </c>
    </row>
    <row r="129" spans="1:19" x14ac:dyDescent="0.3">
      <c r="A129">
        <v>128</v>
      </c>
      <c r="B129">
        <v>1</v>
      </c>
      <c r="C129" s="1" t="str" cm="1">
        <f t="array" ref="C129">_xlfn.IFS(B129=1,"First Class",B129=2,"Second Class",B129=3,"Third Class")</f>
        <v>First Class</v>
      </c>
      <c r="D129">
        <v>1</v>
      </c>
      <c r="E129" s="1" t="str">
        <f t="shared" si="4"/>
        <v>Alive</v>
      </c>
      <c r="F129" t="s">
        <v>298</v>
      </c>
      <c r="G129" s="1" t="s">
        <v>3001</v>
      </c>
      <c r="H129" t="s">
        <v>15</v>
      </c>
      <c r="I129" s="1" t="str">
        <f t="shared" si="5"/>
        <v>Female</v>
      </c>
      <c r="J129" s="3">
        <v>35</v>
      </c>
      <c r="K129" s="3" t="str" cm="1">
        <f t="array" ref="K129">_xlfn.IFS(J129&lt;=13,"Child",J129&lt;=18,"Teenager",J129&lt;=30,"Young Adult",J129&lt;=50,"Middle Aged Adult",J129&gt;50,"Senior")</f>
        <v>Middle Aged Adult</v>
      </c>
      <c r="L129">
        <v>1</v>
      </c>
      <c r="M129">
        <v>0</v>
      </c>
      <c r="N129" s="1">
        <f t="shared" si="6"/>
        <v>2</v>
      </c>
      <c r="O129" s="1" t="str">
        <f t="shared" si="7"/>
        <v>With Family</v>
      </c>
      <c r="P129">
        <v>53.1</v>
      </c>
      <c r="Q129" s="1" t="str" cm="1">
        <f t="array" ref="Q129">_xlfn.IFS(P129&lt;=50,"Low",P129&lt;=100,"Medium",P129&gt;100,"High")</f>
        <v>Medium</v>
      </c>
      <c r="R129" t="s">
        <v>17</v>
      </c>
      <c r="S129" s="1" t="str" cm="1">
        <f t="array" ref="S129">_xlfn.IFS(R129="S","Southampton",R129="C","Cherbourg",R129="Q","Queenstown")</f>
        <v>Southampton</v>
      </c>
    </row>
    <row r="130" spans="1:19" x14ac:dyDescent="0.3">
      <c r="A130">
        <v>129</v>
      </c>
      <c r="B130">
        <v>1</v>
      </c>
      <c r="C130" s="1" t="str" cm="1">
        <f t="array" ref="C130">_xlfn.IFS(B130=1,"First Class",B130=2,"Second Class",B130=3,"Third Class")</f>
        <v>First Class</v>
      </c>
      <c r="D130">
        <v>0</v>
      </c>
      <c r="E130" s="1" t="str">
        <f t="shared" si="4"/>
        <v>Dead</v>
      </c>
      <c r="F130" t="s">
        <v>299</v>
      </c>
      <c r="G130" s="1" t="s">
        <v>2999</v>
      </c>
      <c r="H130" t="s">
        <v>20</v>
      </c>
      <c r="I130" s="1" t="str">
        <f t="shared" si="5"/>
        <v>Male</v>
      </c>
      <c r="J130" s="3">
        <v>47</v>
      </c>
      <c r="K130" s="3" t="str" cm="1">
        <f t="array" ref="K130">_xlfn.IFS(J130&lt;=13,"Child",J130&lt;=18,"Teenager",J130&lt;=30,"Young Adult",J130&lt;=50,"Middle Aged Adult",J130&gt;50,"Senior")</f>
        <v>Middle Aged Adult</v>
      </c>
      <c r="L130">
        <v>0</v>
      </c>
      <c r="M130">
        <v>0</v>
      </c>
      <c r="N130" s="1">
        <f t="shared" si="6"/>
        <v>1</v>
      </c>
      <c r="O130" s="1" t="str">
        <f t="shared" si="7"/>
        <v>Single</v>
      </c>
      <c r="P130">
        <v>38.5</v>
      </c>
      <c r="Q130" s="1" t="str" cm="1">
        <f t="array" ref="Q130">_xlfn.IFS(P130&lt;=50,"Low",P130&lt;=100,"Medium",P130&gt;100,"High")</f>
        <v>Low</v>
      </c>
      <c r="R130" t="s">
        <v>17</v>
      </c>
      <c r="S130" s="1" t="str" cm="1">
        <f t="array" ref="S130">_xlfn.IFS(R130="S","Southampton",R130="C","Cherbourg",R130="Q","Queenstown")</f>
        <v>Southampton</v>
      </c>
    </row>
    <row r="131" spans="1:19" x14ac:dyDescent="0.3">
      <c r="A131">
        <v>130</v>
      </c>
      <c r="B131">
        <v>1</v>
      </c>
      <c r="C131" s="1" t="str" cm="1">
        <f t="array" ref="C131">_xlfn.IFS(B131=1,"First Class",B131=2,"Second Class",B131=3,"Third Class")</f>
        <v>First Class</v>
      </c>
      <c r="D131">
        <v>1</v>
      </c>
      <c r="E131" s="1" t="str">
        <f t="shared" ref="E131:E194" si="8">IF(D131=0,"Dead","Alive")</f>
        <v>Alive</v>
      </c>
      <c r="F131" t="s">
        <v>302</v>
      </c>
      <c r="G131" s="1" t="s">
        <v>2994</v>
      </c>
      <c r="H131" t="s">
        <v>15</v>
      </c>
      <c r="I131" s="1" t="str">
        <f t="shared" ref="I131:I194" si="9">PROPER(H131)</f>
        <v>Female</v>
      </c>
      <c r="J131" s="3">
        <v>35</v>
      </c>
      <c r="K131" s="3" t="str" cm="1">
        <f t="array" ref="K131">_xlfn.IFS(J131&lt;=13,"Child",J131&lt;=18,"Teenager",J131&lt;=30,"Young Adult",J131&lt;=50,"Middle Aged Adult",J131&gt;50,"Senior")</f>
        <v>Middle Aged Adult</v>
      </c>
      <c r="L131">
        <v>0</v>
      </c>
      <c r="M131">
        <v>0</v>
      </c>
      <c r="N131" s="1">
        <f t="shared" ref="N131:N194" si="10">L131+M131+1</f>
        <v>1</v>
      </c>
      <c r="O131" s="1" t="str">
        <f t="shared" ref="O131:O194" si="11">IF(N131=1,"Single","With Family")</f>
        <v>Single</v>
      </c>
      <c r="P131">
        <v>211.5</v>
      </c>
      <c r="Q131" s="1" t="str" cm="1">
        <f t="array" ref="Q131">_xlfn.IFS(P131&lt;=50,"Low",P131&lt;=100,"Medium",P131&gt;100,"High")</f>
        <v>High</v>
      </c>
      <c r="R131" t="s">
        <v>41</v>
      </c>
      <c r="S131" s="1" t="str" cm="1">
        <f t="array" ref="S131">_xlfn.IFS(R131="S","Southampton",R131="C","Cherbourg",R131="Q","Queenstown")</f>
        <v>Cherbourg</v>
      </c>
    </row>
    <row r="132" spans="1:19" x14ac:dyDescent="0.3">
      <c r="A132">
        <v>131</v>
      </c>
      <c r="B132">
        <v>1</v>
      </c>
      <c r="C132" s="1" t="str" cm="1">
        <f t="array" ref="C132">_xlfn.IFS(B132=1,"First Class",B132=2,"Second Class",B132=3,"Third Class")</f>
        <v>First Class</v>
      </c>
      <c r="D132">
        <v>1</v>
      </c>
      <c r="E132" s="1" t="str">
        <f t="shared" si="8"/>
        <v>Alive</v>
      </c>
      <c r="F132" t="s">
        <v>304</v>
      </c>
      <c r="G132" s="1" t="s">
        <v>2994</v>
      </c>
      <c r="H132" t="s">
        <v>15</v>
      </c>
      <c r="I132" s="1" t="str">
        <f t="shared" si="9"/>
        <v>Female</v>
      </c>
      <c r="J132" s="3">
        <v>22</v>
      </c>
      <c r="K132" s="3" t="str" cm="1">
        <f t="array" ref="K132">_xlfn.IFS(J132&lt;=13,"Child",J132&lt;=18,"Teenager",J132&lt;=30,"Young Adult",J132&lt;=50,"Middle Aged Adult",J132&gt;50,"Senior")</f>
        <v>Young Adult</v>
      </c>
      <c r="L132">
        <v>0</v>
      </c>
      <c r="M132">
        <v>1</v>
      </c>
      <c r="N132" s="1">
        <f t="shared" si="10"/>
        <v>2</v>
      </c>
      <c r="O132" s="1" t="str">
        <f t="shared" si="11"/>
        <v>With Family</v>
      </c>
      <c r="P132">
        <v>59.4</v>
      </c>
      <c r="Q132" s="1" t="str" cm="1">
        <f t="array" ref="Q132">_xlfn.IFS(P132&lt;=50,"Low",P132&lt;=100,"Medium",P132&gt;100,"High")</f>
        <v>Medium</v>
      </c>
      <c r="R132" t="s">
        <v>41</v>
      </c>
      <c r="S132" s="1" t="str" cm="1">
        <f t="array" ref="S132">_xlfn.IFS(R132="S","Southampton",R132="C","Cherbourg",R132="Q","Queenstown")</f>
        <v>Cherbourg</v>
      </c>
    </row>
    <row r="133" spans="1:19" x14ac:dyDescent="0.3">
      <c r="A133">
        <v>132</v>
      </c>
      <c r="B133">
        <v>1</v>
      </c>
      <c r="C133" s="1" t="str" cm="1">
        <f t="array" ref="C133">_xlfn.IFS(B133=1,"First Class",B133=2,"Second Class",B133=3,"Third Class")</f>
        <v>First Class</v>
      </c>
      <c r="D133">
        <v>1</v>
      </c>
      <c r="E133" s="1" t="str">
        <f t="shared" si="8"/>
        <v>Alive</v>
      </c>
      <c r="F133" t="s">
        <v>305</v>
      </c>
      <c r="G133" s="1" t="s">
        <v>3001</v>
      </c>
      <c r="H133" t="s">
        <v>15</v>
      </c>
      <c r="I133" s="1" t="str">
        <f t="shared" si="9"/>
        <v>Female</v>
      </c>
      <c r="J133" s="3">
        <v>45</v>
      </c>
      <c r="K133" s="3" t="str" cm="1">
        <f t="array" ref="K133">_xlfn.IFS(J133&lt;=13,"Child",J133&lt;=18,"Teenager",J133&lt;=30,"Young Adult",J133&lt;=50,"Middle Aged Adult",J133&gt;50,"Senior")</f>
        <v>Middle Aged Adult</v>
      </c>
      <c r="L133">
        <v>0</v>
      </c>
      <c r="M133">
        <v>1</v>
      </c>
      <c r="N133" s="1">
        <f t="shared" si="10"/>
        <v>2</v>
      </c>
      <c r="O133" s="1" t="str">
        <f t="shared" si="11"/>
        <v>With Family</v>
      </c>
      <c r="P133">
        <v>59.4</v>
      </c>
      <c r="Q133" s="1" t="str" cm="1">
        <f t="array" ref="Q133">_xlfn.IFS(P133&lt;=50,"Low",P133&lt;=100,"Medium",P133&gt;100,"High")</f>
        <v>Medium</v>
      </c>
      <c r="R133" t="s">
        <v>41</v>
      </c>
      <c r="S133" s="1" t="str" cm="1">
        <f t="array" ref="S133">_xlfn.IFS(R133="S","Southampton",R133="C","Cherbourg",R133="Q","Queenstown")</f>
        <v>Cherbourg</v>
      </c>
    </row>
    <row r="134" spans="1:19" x14ac:dyDescent="0.3">
      <c r="A134">
        <v>133</v>
      </c>
      <c r="B134">
        <v>1</v>
      </c>
      <c r="C134" s="1" t="str" cm="1">
        <f t="array" ref="C134">_xlfn.IFS(B134=1,"First Class",B134=2,"Second Class",B134=3,"Third Class")</f>
        <v>First Class</v>
      </c>
      <c r="D134">
        <v>0</v>
      </c>
      <c r="E134" s="1" t="str">
        <f t="shared" si="8"/>
        <v>Dead</v>
      </c>
      <c r="F134" t="s">
        <v>306</v>
      </c>
      <c r="G134" s="1" t="s">
        <v>2999</v>
      </c>
      <c r="H134" t="s">
        <v>20</v>
      </c>
      <c r="I134" s="1" t="str">
        <f t="shared" si="9"/>
        <v>Male</v>
      </c>
      <c r="J134" s="3">
        <v>24</v>
      </c>
      <c r="K134" s="3" t="str" cm="1">
        <f t="array" ref="K134">_xlfn.IFS(J134&lt;=13,"Child",J134&lt;=18,"Teenager",J134&lt;=30,"Young Adult",J134&lt;=50,"Middle Aged Adult",J134&gt;50,"Senior")</f>
        <v>Young Adult</v>
      </c>
      <c r="L134">
        <v>0</v>
      </c>
      <c r="M134">
        <v>0</v>
      </c>
      <c r="N134" s="1">
        <f t="shared" si="10"/>
        <v>1</v>
      </c>
      <c r="O134" s="1" t="str">
        <f t="shared" si="11"/>
        <v>Single</v>
      </c>
      <c r="P134">
        <v>79.2</v>
      </c>
      <c r="Q134" s="1" t="str" cm="1">
        <f t="array" ref="Q134">_xlfn.IFS(P134&lt;=50,"Low",P134&lt;=100,"Medium",P134&gt;100,"High")</f>
        <v>Medium</v>
      </c>
      <c r="R134" t="s">
        <v>41</v>
      </c>
      <c r="S134" s="1" t="str" cm="1">
        <f t="array" ref="S134">_xlfn.IFS(R134="S","Southampton",R134="C","Cherbourg",R134="Q","Queenstown")</f>
        <v>Cherbourg</v>
      </c>
    </row>
    <row r="135" spans="1:19" x14ac:dyDescent="0.3">
      <c r="A135">
        <v>134</v>
      </c>
      <c r="B135">
        <v>1</v>
      </c>
      <c r="C135" s="1" t="str" cm="1">
        <f t="array" ref="C135">_xlfn.IFS(B135=1,"First Class",B135=2,"Second Class",B135=3,"Third Class")</f>
        <v>First Class</v>
      </c>
      <c r="D135">
        <v>1</v>
      </c>
      <c r="E135" s="1" t="str">
        <f t="shared" si="8"/>
        <v>Alive</v>
      </c>
      <c r="F135" t="s">
        <v>309</v>
      </c>
      <c r="G135" s="1" t="s">
        <v>2999</v>
      </c>
      <c r="H135" t="s">
        <v>20</v>
      </c>
      <c r="I135" s="1" t="str">
        <f t="shared" si="9"/>
        <v>Male</v>
      </c>
      <c r="J135" s="3">
        <v>49</v>
      </c>
      <c r="K135" s="3" t="str" cm="1">
        <f t="array" ref="K135">_xlfn.IFS(J135&lt;=13,"Child",J135&lt;=18,"Teenager",J135&lt;=30,"Young Adult",J135&lt;=50,"Middle Aged Adult",J135&gt;50,"Senior")</f>
        <v>Middle Aged Adult</v>
      </c>
      <c r="L135">
        <v>1</v>
      </c>
      <c r="M135">
        <v>0</v>
      </c>
      <c r="N135" s="1">
        <f t="shared" si="10"/>
        <v>2</v>
      </c>
      <c r="O135" s="1" t="str">
        <f t="shared" si="11"/>
        <v>With Family</v>
      </c>
      <c r="P135">
        <v>89.104200000000006</v>
      </c>
      <c r="Q135" s="1" t="str" cm="1">
        <f t="array" ref="Q135">_xlfn.IFS(P135&lt;=50,"Low",P135&lt;=100,"Medium",P135&gt;100,"High")</f>
        <v>Medium</v>
      </c>
      <c r="R135" t="s">
        <v>41</v>
      </c>
      <c r="S135" s="1" t="str" cm="1">
        <f t="array" ref="S135">_xlfn.IFS(R135="S","Southampton",R135="C","Cherbourg",R135="Q","Queenstown")</f>
        <v>Cherbourg</v>
      </c>
    </row>
    <row r="136" spans="1:19" x14ac:dyDescent="0.3">
      <c r="A136">
        <v>135</v>
      </c>
      <c r="B136">
        <v>1</v>
      </c>
      <c r="C136" s="1" t="str" cm="1">
        <f t="array" ref="C136">_xlfn.IFS(B136=1,"First Class",B136=2,"Second Class",B136=3,"Third Class")</f>
        <v>First Class</v>
      </c>
      <c r="D136">
        <v>1</v>
      </c>
      <c r="E136" s="1" t="str">
        <f t="shared" si="8"/>
        <v>Alive</v>
      </c>
      <c r="F136" t="s">
        <v>312</v>
      </c>
      <c r="G136" s="1" t="s">
        <v>3001</v>
      </c>
      <c r="H136" t="s">
        <v>15</v>
      </c>
      <c r="I136" s="1" t="str">
        <f t="shared" si="9"/>
        <v>Female</v>
      </c>
      <c r="J136" s="3">
        <v>29.881137667304014</v>
      </c>
      <c r="K136" s="3" t="str" cm="1">
        <f t="array" ref="K136">_xlfn.IFS(J136&lt;=13,"Child",J136&lt;=18,"Teenager",J136&lt;=30,"Young Adult",J136&lt;=50,"Middle Aged Adult",J136&gt;50,"Senior")</f>
        <v>Young Adult</v>
      </c>
      <c r="L136">
        <v>1</v>
      </c>
      <c r="M136">
        <v>0</v>
      </c>
      <c r="N136" s="1">
        <f t="shared" si="10"/>
        <v>2</v>
      </c>
      <c r="O136" s="1" t="str">
        <f t="shared" si="11"/>
        <v>With Family</v>
      </c>
      <c r="P136">
        <v>89.104200000000006</v>
      </c>
      <c r="Q136" s="1" t="str" cm="1">
        <f t="array" ref="Q136">_xlfn.IFS(P136&lt;=50,"Low",P136&lt;=100,"Medium",P136&gt;100,"High")</f>
        <v>Medium</v>
      </c>
      <c r="R136" t="s">
        <v>41</v>
      </c>
      <c r="S136" s="1" t="str" cm="1">
        <f t="array" ref="S136">_xlfn.IFS(R136="S","Southampton",R136="C","Cherbourg",R136="Q","Queenstown")</f>
        <v>Cherbourg</v>
      </c>
    </row>
    <row r="137" spans="1:19" x14ac:dyDescent="0.3">
      <c r="A137">
        <v>136</v>
      </c>
      <c r="B137">
        <v>1</v>
      </c>
      <c r="C137" s="1" t="str" cm="1">
        <f t="array" ref="C137">_xlfn.IFS(B137=1,"First Class",B137=2,"Second Class",B137=3,"Third Class")</f>
        <v>First Class</v>
      </c>
      <c r="D137">
        <v>0</v>
      </c>
      <c r="E137" s="1" t="str">
        <f t="shared" si="8"/>
        <v>Dead</v>
      </c>
      <c r="F137" t="s">
        <v>313</v>
      </c>
      <c r="G137" s="1" t="s">
        <v>2999</v>
      </c>
      <c r="H137" t="s">
        <v>20</v>
      </c>
      <c r="I137" s="1" t="str">
        <f t="shared" si="9"/>
        <v>Male</v>
      </c>
      <c r="J137" s="3">
        <v>71</v>
      </c>
      <c r="K137" s="3" t="str" cm="1">
        <f t="array" ref="K137">_xlfn.IFS(J137&lt;=13,"Child",J137&lt;=18,"Teenager",J137&lt;=30,"Young Adult",J137&lt;=50,"Middle Aged Adult",J137&gt;50,"Senior")</f>
        <v>Senior</v>
      </c>
      <c r="L137">
        <v>0</v>
      </c>
      <c r="M137">
        <v>0</v>
      </c>
      <c r="N137" s="1">
        <f t="shared" si="10"/>
        <v>1</v>
      </c>
      <c r="O137" s="1" t="str">
        <f t="shared" si="11"/>
        <v>Single</v>
      </c>
      <c r="P137">
        <v>34.654200000000003</v>
      </c>
      <c r="Q137" s="1" t="str" cm="1">
        <f t="array" ref="Q137">_xlfn.IFS(P137&lt;=50,"Low",P137&lt;=100,"Medium",P137&gt;100,"High")</f>
        <v>Low</v>
      </c>
      <c r="R137" t="s">
        <v>41</v>
      </c>
      <c r="S137" s="1" t="str" cm="1">
        <f t="array" ref="S137">_xlfn.IFS(R137="S","Southampton",R137="C","Cherbourg",R137="Q","Queenstown")</f>
        <v>Cherbourg</v>
      </c>
    </row>
    <row r="138" spans="1:19" x14ac:dyDescent="0.3">
      <c r="A138">
        <v>137</v>
      </c>
      <c r="B138">
        <v>1</v>
      </c>
      <c r="C138" s="1" t="str" cm="1">
        <f t="array" ref="C138">_xlfn.IFS(B138=1,"First Class",B138=2,"Second Class",B138=3,"Third Class")</f>
        <v>First Class</v>
      </c>
      <c r="D138">
        <v>1</v>
      </c>
      <c r="E138" s="1" t="str">
        <f t="shared" si="8"/>
        <v>Alive</v>
      </c>
      <c r="F138" t="s">
        <v>316</v>
      </c>
      <c r="G138" s="1" t="s">
        <v>3008</v>
      </c>
      <c r="H138" t="s">
        <v>20</v>
      </c>
      <c r="I138" s="1" t="str">
        <f t="shared" si="9"/>
        <v>Male</v>
      </c>
      <c r="J138" s="3">
        <v>53</v>
      </c>
      <c r="K138" s="3" t="str" cm="1">
        <f t="array" ref="K138">_xlfn.IFS(J138&lt;=13,"Child",J138&lt;=18,"Teenager",J138&lt;=30,"Young Adult",J138&lt;=50,"Middle Aged Adult",J138&gt;50,"Senior")</f>
        <v>Senior</v>
      </c>
      <c r="L138">
        <v>0</v>
      </c>
      <c r="M138">
        <v>0</v>
      </c>
      <c r="N138" s="1">
        <f t="shared" si="10"/>
        <v>1</v>
      </c>
      <c r="O138" s="1" t="str">
        <f t="shared" si="11"/>
        <v>Single</v>
      </c>
      <c r="P138">
        <v>28.5</v>
      </c>
      <c r="Q138" s="1" t="str" cm="1">
        <f t="array" ref="Q138">_xlfn.IFS(P138&lt;=50,"Low",P138&lt;=100,"Medium",P138&gt;100,"High")</f>
        <v>Low</v>
      </c>
      <c r="R138" t="s">
        <v>41</v>
      </c>
      <c r="S138" s="1" t="str" cm="1">
        <f t="array" ref="S138">_xlfn.IFS(R138="S","Southampton",R138="C","Cherbourg",R138="Q","Queenstown")</f>
        <v>Cherbourg</v>
      </c>
    </row>
    <row r="139" spans="1:19" x14ac:dyDescent="0.3">
      <c r="A139">
        <v>138</v>
      </c>
      <c r="B139">
        <v>1</v>
      </c>
      <c r="C139" s="1" t="str" cm="1">
        <f t="array" ref="C139">_xlfn.IFS(B139=1,"First Class",B139=2,"Second Class",B139=3,"Third Class")</f>
        <v>First Class</v>
      </c>
      <c r="D139">
        <v>1</v>
      </c>
      <c r="E139" s="1" t="str">
        <f t="shared" si="8"/>
        <v>Alive</v>
      </c>
      <c r="F139" t="s">
        <v>318</v>
      </c>
      <c r="G139" s="1" t="s">
        <v>2994</v>
      </c>
      <c r="H139" t="s">
        <v>15</v>
      </c>
      <c r="I139" s="1" t="str">
        <f t="shared" si="9"/>
        <v>Female</v>
      </c>
      <c r="J139" s="3">
        <v>19</v>
      </c>
      <c r="K139" s="3" t="str" cm="1">
        <f t="array" ref="K139">_xlfn.IFS(J139&lt;=13,"Child",J139&lt;=18,"Teenager",J139&lt;=30,"Young Adult",J139&lt;=50,"Middle Aged Adult",J139&gt;50,"Senior")</f>
        <v>Young Adult</v>
      </c>
      <c r="L139">
        <v>0</v>
      </c>
      <c r="M139">
        <v>0</v>
      </c>
      <c r="N139" s="1">
        <f t="shared" si="10"/>
        <v>1</v>
      </c>
      <c r="O139" s="1" t="str">
        <f t="shared" si="11"/>
        <v>Single</v>
      </c>
      <c r="P139">
        <v>30</v>
      </c>
      <c r="Q139" s="1" t="str" cm="1">
        <f t="array" ref="Q139">_xlfn.IFS(P139&lt;=50,"Low",P139&lt;=100,"Medium",P139&gt;100,"High")</f>
        <v>Low</v>
      </c>
      <c r="R139" t="s">
        <v>17</v>
      </c>
      <c r="S139" s="1" t="str" cm="1">
        <f t="array" ref="S139">_xlfn.IFS(R139="S","Southampton",R139="C","Cherbourg",R139="Q","Queenstown")</f>
        <v>Southampton</v>
      </c>
    </row>
    <row r="140" spans="1:19" x14ac:dyDescent="0.3">
      <c r="A140">
        <v>139</v>
      </c>
      <c r="B140">
        <v>1</v>
      </c>
      <c r="C140" s="1" t="str" cm="1">
        <f t="array" ref="C140">_xlfn.IFS(B140=1,"First Class",B140=2,"Second Class",B140=3,"Third Class")</f>
        <v>First Class</v>
      </c>
      <c r="D140">
        <v>0</v>
      </c>
      <c r="E140" s="1" t="str">
        <f t="shared" si="8"/>
        <v>Dead</v>
      </c>
      <c r="F140" t="s">
        <v>321</v>
      </c>
      <c r="G140" s="1" t="s">
        <v>2999</v>
      </c>
      <c r="H140" t="s">
        <v>20</v>
      </c>
      <c r="I140" s="1" t="str">
        <f t="shared" si="9"/>
        <v>Male</v>
      </c>
      <c r="J140" s="3">
        <v>38</v>
      </c>
      <c r="K140" s="3" t="str" cm="1">
        <f t="array" ref="K140">_xlfn.IFS(J140&lt;=13,"Child",J140&lt;=18,"Teenager",J140&lt;=30,"Young Adult",J140&lt;=50,"Middle Aged Adult",J140&gt;50,"Senior")</f>
        <v>Middle Aged Adult</v>
      </c>
      <c r="L140">
        <v>0</v>
      </c>
      <c r="M140">
        <v>1</v>
      </c>
      <c r="N140" s="1">
        <f t="shared" si="10"/>
        <v>2</v>
      </c>
      <c r="O140" s="1" t="str">
        <f t="shared" si="11"/>
        <v>With Family</v>
      </c>
      <c r="P140">
        <v>153.46250000000001</v>
      </c>
      <c r="Q140" s="1" t="str" cm="1">
        <f t="array" ref="Q140">_xlfn.IFS(P140&lt;=50,"Low",P140&lt;=100,"Medium",P140&gt;100,"High")</f>
        <v>High</v>
      </c>
      <c r="R140" t="s">
        <v>17</v>
      </c>
      <c r="S140" s="1" t="str" cm="1">
        <f t="array" ref="S140">_xlfn.IFS(R140="S","Southampton",R140="C","Cherbourg",R140="Q","Queenstown")</f>
        <v>Southampton</v>
      </c>
    </row>
    <row r="141" spans="1:19" x14ac:dyDescent="0.3">
      <c r="A141">
        <v>140</v>
      </c>
      <c r="B141">
        <v>1</v>
      </c>
      <c r="C141" s="1" t="str" cm="1">
        <f t="array" ref="C141">_xlfn.IFS(B141=1,"First Class",B141=2,"Second Class",B141=3,"Third Class")</f>
        <v>First Class</v>
      </c>
      <c r="D141">
        <v>1</v>
      </c>
      <c r="E141" s="1" t="str">
        <f t="shared" si="8"/>
        <v>Alive</v>
      </c>
      <c r="F141" t="s">
        <v>324</v>
      </c>
      <c r="G141" s="1" t="s">
        <v>3001</v>
      </c>
      <c r="H141" t="s">
        <v>15</v>
      </c>
      <c r="I141" s="1" t="str">
        <f t="shared" si="9"/>
        <v>Female</v>
      </c>
      <c r="J141" s="3">
        <v>58</v>
      </c>
      <c r="K141" s="3" t="str" cm="1">
        <f t="array" ref="K141">_xlfn.IFS(J141&lt;=13,"Child",J141&lt;=18,"Teenager",J141&lt;=30,"Young Adult",J141&lt;=50,"Middle Aged Adult",J141&gt;50,"Senior")</f>
        <v>Senior</v>
      </c>
      <c r="L141">
        <v>0</v>
      </c>
      <c r="M141">
        <v>1</v>
      </c>
      <c r="N141" s="1">
        <f t="shared" si="10"/>
        <v>2</v>
      </c>
      <c r="O141" s="1" t="str">
        <f t="shared" si="11"/>
        <v>With Family</v>
      </c>
      <c r="P141">
        <v>153.46250000000001</v>
      </c>
      <c r="Q141" s="1" t="str" cm="1">
        <f t="array" ref="Q141">_xlfn.IFS(P141&lt;=50,"Low",P141&lt;=100,"Medium",P141&gt;100,"High")</f>
        <v>High</v>
      </c>
      <c r="R141" t="s">
        <v>17</v>
      </c>
      <c r="S141" s="1" t="str" cm="1">
        <f t="array" ref="S141">_xlfn.IFS(R141="S","Southampton",R141="C","Cherbourg",R141="Q","Queenstown")</f>
        <v>Southampton</v>
      </c>
    </row>
    <row r="142" spans="1:19" x14ac:dyDescent="0.3">
      <c r="A142">
        <v>141</v>
      </c>
      <c r="B142">
        <v>1</v>
      </c>
      <c r="C142" s="1" t="str" cm="1">
        <f t="array" ref="C142">_xlfn.IFS(B142=1,"First Class",B142=2,"Second Class",B142=3,"Third Class")</f>
        <v>First Class</v>
      </c>
      <c r="D142">
        <v>1</v>
      </c>
      <c r="E142" s="1" t="str">
        <f t="shared" si="8"/>
        <v>Alive</v>
      </c>
      <c r="F142" t="s">
        <v>326</v>
      </c>
      <c r="G142" s="1" t="s">
        <v>2999</v>
      </c>
      <c r="H142" t="s">
        <v>20</v>
      </c>
      <c r="I142" s="1" t="str">
        <f t="shared" si="9"/>
        <v>Male</v>
      </c>
      <c r="J142" s="3">
        <v>23</v>
      </c>
      <c r="K142" s="3" t="str" cm="1">
        <f t="array" ref="K142">_xlfn.IFS(J142&lt;=13,"Child",J142&lt;=18,"Teenager",J142&lt;=30,"Young Adult",J142&lt;=50,"Middle Aged Adult",J142&gt;50,"Senior")</f>
        <v>Young Adult</v>
      </c>
      <c r="L142">
        <v>0</v>
      </c>
      <c r="M142">
        <v>1</v>
      </c>
      <c r="N142" s="1">
        <f t="shared" si="10"/>
        <v>2</v>
      </c>
      <c r="O142" s="1" t="str">
        <f t="shared" si="11"/>
        <v>With Family</v>
      </c>
      <c r="P142">
        <v>63.3583</v>
      </c>
      <c r="Q142" s="1" t="str" cm="1">
        <f t="array" ref="Q142">_xlfn.IFS(P142&lt;=50,"Low",P142&lt;=100,"Medium",P142&gt;100,"High")</f>
        <v>Medium</v>
      </c>
      <c r="R142" t="s">
        <v>41</v>
      </c>
      <c r="S142" s="1" t="str" cm="1">
        <f t="array" ref="S142">_xlfn.IFS(R142="S","Southampton",R142="C","Cherbourg",R142="Q","Queenstown")</f>
        <v>Cherbourg</v>
      </c>
    </row>
    <row r="143" spans="1:19" x14ac:dyDescent="0.3">
      <c r="A143">
        <v>142</v>
      </c>
      <c r="B143">
        <v>1</v>
      </c>
      <c r="C143" s="1" t="str" cm="1">
        <f t="array" ref="C143">_xlfn.IFS(B143=1,"First Class",B143=2,"Second Class",B143=3,"Third Class")</f>
        <v>First Class</v>
      </c>
      <c r="D143">
        <v>1</v>
      </c>
      <c r="E143" s="1" t="str">
        <f t="shared" si="8"/>
        <v>Alive</v>
      </c>
      <c r="F143" t="s">
        <v>329</v>
      </c>
      <c r="G143" s="1" t="s">
        <v>3001</v>
      </c>
      <c r="H143" t="s">
        <v>15</v>
      </c>
      <c r="I143" s="1" t="str">
        <f t="shared" si="9"/>
        <v>Female</v>
      </c>
      <c r="J143" s="3">
        <v>45</v>
      </c>
      <c r="K143" s="3" t="str" cm="1">
        <f t="array" ref="K143">_xlfn.IFS(J143&lt;=13,"Child",J143&lt;=18,"Teenager",J143&lt;=30,"Young Adult",J143&lt;=50,"Middle Aged Adult",J143&gt;50,"Senior")</f>
        <v>Middle Aged Adult</v>
      </c>
      <c r="L143">
        <v>0</v>
      </c>
      <c r="M143">
        <v>1</v>
      </c>
      <c r="N143" s="1">
        <f t="shared" si="10"/>
        <v>2</v>
      </c>
      <c r="O143" s="1" t="str">
        <f t="shared" si="11"/>
        <v>With Family</v>
      </c>
      <c r="P143">
        <v>63.3583</v>
      </c>
      <c r="Q143" s="1" t="str" cm="1">
        <f t="array" ref="Q143">_xlfn.IFS(P143&lt;=50,"Low",P143&lt;=100,"Medium",P143&gt;100,"High")</f>
        <v>Medium</v>
      </c>
      <c r="R143" t="s">
        <v>41</v>
      </c>
      <c r="S143" s="1" t="str" cm="1">
        <f t="array" ref="S143">_xlfn.IFS(R143="S","Southampton",R143="C","Cherbourg",R143="Q","Queenstown")</f>
        <v>Cherbourg</v>
      </c>
    </row>
    <row r="144" spans="1:19" x14ac:dyDescent="0.3">
      <c r="A144">
        <v>143</v>
      </c>
      <c r="B144">
        <v>1</v>
      </c>
      <c r="C144" s="1" t="str" cm="1">
        <f t="array" ref="C144">_xlfn.IFS(B144=1,"First Class",B144=2,"Second Class",B144=3,"Third Class")</f>
        <v>First Class</v>
      </c>
      <c r="D144">
        <v>0</v>
      </c>
      <c r="E144" s="1" t="str">
        <f t="shared" si="8"/>
        <v>Dead</v>
      </c>
      <c r="F144" t="s">
        <v>330</v>
      </c>
      <c r="G144" s="1" t="s">
        <v>2999</v>
      </c>
      <c r="H144" t="s">
        <v>20</v>
      </c>
      <c r="I144" s="1" t="str">
        <f t="shared" si="9"/>
        <v>Male</v>
      </c>
      <c r="J144" s="3">
        <v>46</v>
      </c>
      <c r="K144" s="3" t="str" cm="1">
        <f t="array" ref="K144">_xlfn.IFS(J144&lt;=13,"Child",J144&lt;=18,"Teenager",J144&lt;=30,"Young Adult",J144&lt;=50,"Middle Aged Adult",J144&gt;50,"Senior")</f>
        <v>Middle Aged Adult</v>
      </c>
      <c r="L144">
        <v>0</v>
      </c>
      <c r="M144">
        <v>0</v>
      </c>
      <c r="N144" s="1">
        <f t="shared" si="10"/>
        <v>1</v>
      </c>
      <c r="O144" s="1" t="str">
        <f t="shared" si="11"/>
        <v>Single</v>
      </c>
      <c r="P144">
        <v>79.2</v>
      </c>
      <c r="Q144" s="1" t="str" cm="1">
        <f t="array" ref="Q144">_xlfn.IFS(P144&lt;=50,"Low",P144&lt;=100,"Medium",P144&gt;100,"High")</f>
        <v>Medium</v>
      </c>
      <c r="R144" t="s">
        <v>41</v>
      </c>
      <c r="S144" s="1" t="str" cm="1">
        <f t="array" ref="S144">_xlfn.IFS(R144="S","Southampton",R144="C","Cherbourg",R144="Q","Queenstown")</f>
        <v>Cherbourg</v>
      </c>
    </row>
    <row r="145" spans="1:19" x14ac:dyDescent="0.3">
      <c r="A145">
        <v>144</v>
      </c>
      <c r="B145">
        <v>1</v>
      </c>
      <c r="C145" s="1" t="str" cm="1">
        <f t="array" ref="C145">_xlfn.IFS(B145=1,"First Class",B145=2,"Second Class",B145=3,"Third Class")</f>
        <v>First Class</v>
      </c>
      <c r="D145">
        <v>1</v>
      </c>
      <c r="E145" s="1" t="str">
        <f t="shared" si="8"/>
        <v>Alive</v>
      </c>
      <c r="F145" t="s">
        <v>332</v>
      </c>
      <c r="G145" s="1" t="s">
        <v>2999</v>
      </c>
      <c r="H145" t="s">
        <v>20</v>
      </c>
      <c r="I145" s="1" t="str">
        <f t="shared" si="9"/>
        <v>Male</v>
      </c>
      <c r="J145" s="3">
        <v>25</v>
      </c>
      <c r="K145" s="3" t="str" cm="1">
        <f t="array" ref="K145">_xlfn.IFS(J145&lt;=13,"Child",J145&lt;=18,"Teenager",J145&lt;=30,"Young Adult",J145&lt;=50,"Middle Aged Adult",J145&gt;50,"Senior")</f>
        <v>Young Adult</v>
      </c>
      <c r="L145">
        <v>1</v>
      </c>
      <c r="M145">
        <v>0</v>
      </c>
      <c r="N145" s="1">
        <f t="shared" si="10"/>
        <v>2</v>
      </c>
      <c r="O145" s="1" t="str">
        <f t="shared" si="11"/>
        <v>With Family</v>
      </c>
      <c r="P145">
        <v>55.441699999999997</v>
      </c>
      <c r="Q145" s="1" t="str" cm="1">
        <f t="array" ref="Q145">_xlfn.IFS(P145&lt;=50,"Low",P145&lt;=100,"Medium",P145&gt;100,"High")</f>
        <v>Medium</v>
      </c>
      <c r="R145" t="s">
        <v>41</v>
      </c>
      <c r="S145" s="1" t="str" cm="1">
        <f t="array" ref="S145">_xlfn.IFS(R145="S","Southampton",R145="C","Cherbourg",R145="Q","Queenstown")</f>
        <v>Cherbourg</v>
      </c>
    </row>
    <row r="146" spans="1:19" x14ac:dyDescent="0.3">
      <c r="A146">
        <v>145</v>
      </c>
      <c r="B146">
        <v>1</v>
      </c>
      <c r="C146" s="1" t="str" cm="1">
        <f t="array" ref="C146">_xlfn.IFS(B146=1,"First Class",B146=2,"Second Class",B146=3,"Third Class")</f>
        <v>First Class</v>
      </c>
      <c r="D146">
        <v>1</v>
      </c>
      <c r="E146" s="1" t="str">
        <f t="shared" si="8"/>
        <v>Alive</v>
      </c>
      <c r="F146" t="s">
        <v>334</v>
      </c>
      <c r="G146" s="1" t="s">
        <v>3001</v>
      </c>
      <c r="H146" t="s">
        <v>15</v>
      </c>
      <c r="I146" s="1" t="str">
        <f t="shared" si="9"/>
        <v>Female</v>
      </c>
      <c r="J146" s="3">
        <v>25</v>
      </c>
      <c r="K146" s="3" t="str" cm="1">
        <f t="array" ref="K146">_xlfn.IFS(J146&lt;=13,"Child",J146&lt;=18,"Teenager",J146&lt;=30,"Young Adult",J146&lt;=50,"Middle Aged Adult",J146&gt;50,"Senior")</f>
        <v>Young Adult</v>
      </c>
      <c r="L146">
        <v>1</v>
      </c>
      <c r="M146">
        <v>0</v>
      </c>
      <c r="N146" s="1">
        <f t="shared" si="10"/>
        <v>2</v>
      </c>
      <c r="O146" s="1" t="str">
        <f t="shared" si="11"/>
        <v>With Family</v>
      </c>
      <c r="P146">
        <v>55.441699999999997</v>
      </c>
      <c r="Q146" s="1" t="str" cm="1">
        <f t="array" ref="Q146">_xlfn.IFS(P146&lt;=50,"Low",P146&lt;=100,"Medium",P146&gt;100,"High")</f>
        <v>Medium</v>
      </c>
      <c r="R146" t="s">
        <v>41</v>
      </c>
      <c r="S146" s="1" t="str" cm="1">
        <f t="array" ref="S146">_xlfn.IFS(R146="S","Southampton",R146="C","Cherbourg",R146="Q","Queenstown")</f>
        <v>Cherbourg</v>
      </c>
    </row>
    <row r="147" spans="1:19" x14ac:dyDescent="0.3">
      <c r="A147">
        <v>146</v>
      </c>
      <c r="B147">
        <v>1</v>
      </c>
      <c r="C147" s="1" t="str" cm="1">
        <f t="array" ref="C147">_xlfn.IFS(B147=1,"First Class",B147=2,"Second Class",B147=3,"Third Class")</f>
        <v>First Class</v>
      </c>
      <c r="D147">
        <v>1</v>
      </c>
      <c r="E147" s="1" t="str">
        <f t="shared" si="8"/>
        <v>Alive</v>
      </c>
      <c r="F147" t="s">
        <v>335</v>
      </c>
      <c r="G147" s="1" t="s">
        <v>2999</v>
      </c>
      <c r="H147" t="s">
        <v>20</v>
      </c>
      <c r="I147" s="1" t="str">
        <f t="shared" si="9"/>
        <v>Male</v>
      </c>
      <c r="J147" s="3">
        <v>48</v>
      </c>
      <c r="K147" s="3" t="str" cm="1">
        <f t="array" ref="K147">_xlfn.IFS(J147&lt;=13,"Child",J147&lt;=18,"Teenager",J147&lt;=30,"Young Adult",J147&lt;=50,"Middle Aged Adult",J147&gt;50,"Senior")</f>
        <v>Middle Aged Adult</v>
      </c>
      <c r="L147">
        <v>1</v>
      </c>
      <c r="M147">
        <v>0</v>
      </c>
      <c r="N147" s="1">
        <f t="shared" si="10"/>
        <v>2</v>
      </c>
      <c r="O147" s="1" t="str">
        <f t="shared" si="11"/>
        <v>With Family</v>
      </c>
      <c r="P147">
        <v>76.729200000000006</v>
      </c>
      <c r="Q147" s="1" t="str" cm="1">
        <f t="array" ref="Q147">_xlfn.IFS(P147&lt;=50,"Low",P147&lt;=100,"Medium",P147&gt;100,"High")</f>
        <v>Medium</v>
      </c>
      <c r="R147" t="s">
        <v>41</v>
      </c>
      <c r="S147" s="1" t="str" cm="1">
        <f t="array" ref="S147">_xlfn.IFS(R147="S","Southampton",R147="C","Cherbourg",R147="Q","Queenstown")</f>
        <v>Cherbourg</v>
      </c>
    </row>
    <row r="148" spans="1:19" x14ac:dyDescent="0.3">
      <c r="A148">
        <v>147</v>
      </c>
      <c r="B148">
        <v>1</v>
      </c>
      <c r="C148" s="1" t="str" cm="1">
        <f t="array" ref="C148">_xlfn.IFS(B148=1,"First Class",B148=2,"Second Class",B148=3,"Third Class")</f>
        <v>First Class</v>
      </c>
      <c r="D148">
        <v>1</v>
      </c>
      <c r="E148" s="1" t="str">
        <f t="shared" si="8"/>
        <v>Alive</v>
      </c>
      <c r="F148" t="s">
        <v>338</v>
      </c>
      <c r="G148" s="1" t="s">
        <v>3001</v>
      </c>
      <c r="H148" t="s">
        <v>15</v>
      </c>
      <c r="I148" s="1" t="str">
        <f t="shared" si="9"/>
        <v>Female</v>
      </c>
      <c r="J148" s="3">
        <v>49</v>
      </c>
      <c r="K148" s="3" t="str" cm="1">
        <f t="array" ref="K148">_xlfn.IFS(J148&lt;=13,"Child",J148&lt;=18,"Teenager",J148&lt;=30,"Young Adult",J148&lt;=50,"Middle Aged Adult",J148&gt;50,"Senior")</f>
        <v>Middle Aged Adult</v>
      </c>
      <c r="L148">
        <v>1</v>
      </c>
      <c r="M148">
        <v>0</v>
      </c>
      <c r="N148" s="1">
        <f t="shared" si="10"/>
        <v>2</v>
      </c>
      <c r="O148" s="1" t="str">
        <f t="shared" si="11"/>
        <v>With Family</v>
      </c>
      <c r="P148">
        <v>76.729200000000006</v>
      </c>
      <c r="Q148" s="1" t="str" cm="1">
        <f t="array" ref="Q148">_xlfn.IFS(P148&lt;=50,"Low",P148&lt;=100,"Medium",P148&gt;100,"High")</f>
        <v>Medium</v>
      </c>
      <c r="R148" t="s">
        <v>41</v>
      </c>
      <c r="S148" s="1" t="str" cm="1">
        <f t="array" ref="S148">_xlfn.IFS(R148="S","Southampton",R148="C","Cherbourg",R148="Q","Queenstown")</f>
        <v>Cherbourg</v>
      </c>
    </row>
    <row r="149" spans="1:19" x14ac:dyDescent="0.3">
      <c r="A149">
        <v>148</v>
      </c>
      <c r="B149">
        <v>1</v>
      </c>
      <c r="C149" s="1" t="str" cm="1">
        <f t="array" ref="C149">_xlfn.IFS(B149=1,"First Class",B149=2,"Second Class",B149=3,"Third Class")</f>
        <v>First Class</v>
      </c>
      <c r="D149">
        <v>0</v>
      </c>
      <c r="E149" s="1" t="str">
        <f t="shared" si="8"/>
        <v>Dead</v>
      </c>
      <c r="F149" t="s">
        <v>339</v>
      </c>
      <c r="G149" s="1" t="s">
        <v>2999</v>
      </c>
      <c r="H149" t="s">
        <v>20</v>
      </c>
      <c r="I149" s="1" t="str">
        <f t="shared" si="9"/>
        <v>Male</v>
      </c>
      <c r="J149" s="3">
        <v>29.881137667304014</v>
      </c>
      <c r="K149" s="3" t="str" cm="1">
        <f t="array" ref="K149">_xlfn.IFS(J149&lt;=13,"Child",J149&lt;=18,"Teenager",J149&lt;=30,"Young Adult",J149&lt;=50,"Middle Aged Adult",J149&gt;50,"Senior")</f>
        <v>Young Adult</v>
      </c>
      <c r="L149">
        <v>0</v>
      </c>
      <c r="M149">
        <v>0</v>
      </c>
      <c r="N149" s="1">
        <f t="shared" si="10"/>
        <v>1</v>
      </c>
      <c r="O149" s="1" t="str">
        <f t="shared" si="11"/>
        <v>Single</v>
      </c>
      <c r="P149">
        <v>42.4</v>
      </c>
      <c r="Q149" s="1" t="str" cm="1">
        <f t="array" ref="Q149">_xlfn.IFS(P149&lt;=50,"Low",P149&lt;=100,"Medium",P149&gt;100,"High")</f>
        <v>Low</v>
      </c>
      <c r="R149" t="s">
        <v>17</v>
      </c>
      <c r="S149" s="1" t="str" cm="1">
        <f t="array" ref="S149">_xlfn.IFS(R149="S","Southampton",R149="C","Cherbourg",R149="Q","Queenstown")</f>
        <v>Southampton</v>
      </c>
    </row>
    <row r="150" spans="1:19" x14ac:dyDescent="0.3">
      <c r="A150">
        <v>149</v>
      </c>
      <c r="B150">
        <v>1</v>
      </c>
      <c r="C150" s="1" t="str" cm="1">
        <f t="array" ref="C150">_xlfn.IFS(B150=1,"First Class",B150=2,"Second Class",B150=3,"Third Class")</f>
        <v>First Class</v>
      </c>
      <c r="D150">
        <v>0</v>
      </c>
      <c r="E150" s="1" t="str">
        <f t="shared" si="8"/>
        <v>Dead</v>
      </c>
      <c r="F150" t="s">
        <v>340</v>
      </c>
      <c r="G150" s="1" t="s">
        <v>2999</v>
      </c>
      <c r="H150" t="s">
        <v>20</v>
      </c>
      <c r="I150" s="1" t="str">
        <f t="shared" si="9"/>
        <v>Male</v>
      </c>
      <c r="J150" s="3">
        <v>45</v>
      </c>
      <c r="K150" s="3" t="str" cm="1">
        <f t="array" ref="K150">_xlfn.IFS(J150&lt;=13,"Child",J150&lt;=18,"Teenager",J150&lt;=30,"Young Adult",J150&lt;=50,"Middle Aged Adult",J150&gt;50,"Senior")</f>
        <v>Middle Aged Adult</v>
      </c>
      <c r="L150">
        <v>1</v>
      </c>
      <c r="M150">
        <v>0</v>
      </c>
      <c r="N150" s="1">
        <f t="shared" si="10"/>
        <v>2</v>
      </c>
      <c r="O150" s="1" t="str">
        <f t="shared" si="11"/>
        <v>With Family</v>
      </c>
      <c r="P150">
        <v>83.474999999999994</v>
      </c>
      <c r="Q150" s="1" t="str" cm="1">
        <f t="array" ref="Q150">_xlfn.IFS(P150&lt;=50,"Low",P150&lt;=100,"Medium",P150&gt;100,"High")</f>
        <v>Medium</v>
      </c>
      <c r="R150" t="s">
        <v>17</v>
      </c>
      <c r="S150" s="1" t="str" cm="1">
        <f t="array" ref="S150">_xlfn.IFS(R150="S","Southampton",R150="C","Cherbourg",R150="Q","Queenstown")</f>
        <v>Southampton</v>
      </c>
    </row>
    <row r="151" spans="1:19" x14ac:dyDescent="0.3">
      <c r="A151">
        <v>150</v>
      </c>
      <c r="B151">
        <v>1</v>
      </c>
      <c r="C151" s="1" t="str" cm="1">
        <f t="array" ref="C151">_xlfn.IFS(B151=1,"First Class",B151=2,"Second Class",B151=3,"Third Class")</f>
        <v>First Class</v>
      </c>
      <c r="D151">
        <v>1</v>
      </c>
      <c r="E151" s="1" t="str">
        <f t="shared" si="8"/>
        <v>Alive</v>
      </c>
      <c r="F151" t="s">
        <v>342</v>
      </c>
      <c r="G151" s="1" t="s">
        <v>3001</v>
      </c>
      <c r="H151" t="s">
        <v>15</v>
      </c>
      <c r="I151" s="1" t="str">
        <f t="shared" si="9"/>
        <v>Female</v>
      </c>
      <c r="J151" s="3">
        <v>35</v>
      </c>
      <c r="K151" s="3" t="str" cm="1">
        <f t="array" ref="K151">_xlfn.IFS(J151&lt;=13,"Child",J151&lt;=18,"Teenager",J151&lt;=30,"Young Adult",J151&lt;=50,"Middle Aged Adult",J151&gt;50,"Senior")</f>
        <v>Middle Aged Adult</v>
      </c>
      <c r="L151">
        <v>1</v>
      </c>
      <c r="M151">
        <v>0</v>
      </c>
      <c r="N151" s="1">
        <f t="shared" si="10"/>
        <v>2</v>
      </c>
      <c r="O151" s="1" t="str">
        <f t="shared" si="11"/>
        <v>With Family</v>
      </c>
      <c r="P151">
        <v>83.474999999999994</v>
      </c>
      <c r="Q151" s="1" t="str" cm="1">
        <f t="array" ref="Q151">_xlfn.IFS(P151&lt;=50,"Low",P151&lt;=100,"Medium",P151&gt;100,"High")</f>
        <v>Medium</v>
      </c>
      <c r="R151" t="s">
        <v>17</v>
      </c>
      <c r="S151" s="1" t="str" cm="1">
        <f t="array" ref="S151">_xlfn.IFS(R151="S","Southampton",R151="C","Cherbourg",R151="Q","Queenstown")</f>
        <v>Southampton</v>
      </c>
    </row>
    <row r="152" spans="1:19" x14ac:dyDescent="0.3">
      <c r="A152">
        <v>151</v>
      </c>
      <c r="B152">
        <v>1</v>
      </c>
      <c r="C152" s="1" t="str" cm="1">
        <f t="array" ref="C152">_xlfn.IFS(B152=1,"First Class",B152=2,"Second Class",B152=3,"Third Class")</f>
        <v>First Class</v>
      </c>
      <c r="D152">
        <v>0</v>
      </c>
      <c r="E152" s="1" t="str">
        <f t="shared" si="8"/>
        <v>Dead</v>
      </c>
      <c r="F152" t="s">
        <v>343</v>
      </c>
      <c r="G152" s="1" t="s">
        <v>2999</v>
      </c>
      <c r="H152" t="s">
        <v>20</v>
      </c>
      <c r="I152" s="1" t="str">
        <f t="shared" si="9"/>
        <v>Male</v>
      </c>
      <c r="J152" s="3">
        <v>40</v>
      </c>
      <c r="K152" s="3" t="str" cm="1">
        <f t="array" ref="K152">_xlfn.IFS(J152&lt;=13,"Child",J152&lt;=18,"Teenager",J152&lt;=30,"Young Adult",J152&lt;=50,"Middle Aged Adult",J152&gt;50,"Senior")</f>
        <v>Middle Aged Adult</v>
      </c>
      <c r="L152">
        <v>0</v>
      </c>
      <c r="M152">
        <v>0</v>
      </c>
      <c r="N152" s="1">
        <f t="shared" si="10"/>
        <v>1</v>
      </c>
      <c r="O152" s="1" t="str">
        <f t="shared" si="11"/>
        <v>Single</v>
      </c>
      <c r="P152">
        <v>0</v>
      </c>
      <c r="Q152" s="1" t="str" cm="1">
        <f t="array" ref="Q152">_xlfn.IFS(P152&lt;=50,"Low",P152&lt;=100,"Medium",P152&gt;100,"High")</f>
        <v>Low</v>
      </c>
      <c r="R152" t="s">
        <v>17</v>
      </c>
      <c r="S152" s="1" t="str" cm="1">
        <f t="array" ref="S152">_xlfn.IFS(R152="S","Southampton",R152="C","Cherbourg",R152="Q","Queenstown")</f>
        <v>Southampton</v>
      </c>
    </row>
    <row r="153" spans="1:19" x14ac:dyDescent="0.3">
      <c r="A153">
        <v>152</v>
      </c>
      <c r="B153">
        <v>1</v>
      </c>
      <c r="C153" s="1" t="str" cm="1">
        <f t="array" ref="C153">_xlfn.IFS(B153=1,"First Class",B153=2,"Second Class",B153=3,"Third Class")</f>
        <v>First Class</v>
      </c>
      <c r="D153">
        <v>1</v>
      </c>
      <c r="E153" s="1" t="str">
        <f t="shared" si="8"/>
        <v>Alive</v>
      </c>
      <c r="F153" t="s">
        <v>345</v>
      </c>
      <c r="G153" s="1" t="s">
        <v>2999</v>
      </c>
      <c r="H153" t="s">
        <v>20</v>
      </c>
      <c r="I153" s="1" t="str">
        <f t="shared" si="9"/>
        <v>Male</v>
      </c>
      <c r="J153" s="3">
        <v>27</v>
      </c>
      <c r="K153" s="3" t="str" cm="1">
        <f t="array" ref="K153">_xlfn.IFS(J153&lt;=13,"Child",J153&lt;=18,"Teenager",J153&lt;=30,"Young Adult",J153&lt;=50,"Middle Aged Adult",J153&gt;50,"Senior")</f>
        <v>Young Adult</v>
      </c>
      <c r="L153">
        <v>0</v>
      </c>
      <c r="M153">
        <v>0</v>
      </c>
      <c r="N153" s="1">
        <f t="shared" si="10"/>
        <v>1</v>
      </c>
      <c r="O153" s="1" t="str">
        <f t="shared" si="11"/>
        <v>Single</v>
      </c>
      <c r="P153">
        <v>76.729200000000006</v>
      </c>
      <c r="Q153" s="1" t="str" cm="1">
        <f t="array" ref="Q153">_xlfn.IFS(P153&lt;=50,"Low",P153&lt;=100,"Medium",P153&gt;100,"High")</f>
        <v>Medium</v>
      </c>
      <c r="R153" t="s">
        <v>41</v>
      </c>
      <c r="S153" s="1" t="str" cm="1">
        <f t="array" ref="S153">_xlfn.IFS(R153="S","Southampton",R153="C","Cherbourg",R153="Q","Queenstown")</f>
        <v>Cherbourg</v>
      </c>
    </row>
    <row r="154" spans="1:19" x14ac:dyDescent="0.3">
      <c r="A154">
        <v>153</v>
      </c>
      <c r="B154">
        <v>1</v>
      </c>
      <c r="C154" s="1" t="str" cm="1">
        <f t="array" ref="C154">_xlfn.IFS(B154=1,"First Class",B154=2,"Second Class",B154=3,"Third Class")</f>
        <v>First Class</v>
      </c>
      <c r="D154">
        <v>1</v>
      </c>
      <c r="E154" s="1" t="str">
        <f t="shared" si="8"/>
        <v>Alive</v>
      </c>
      <c r="F154" t="s">
        <v>347</v>
      </c>
      <c r="G154" s="1" t="s">
        <v>2999</v>
      </c>
      <c r="H154" t="s">
        <v>20</v>
      </c>
      <c r="I154" s="1" t="str">
        <f t="shared" si="9"/>
        <v>Male</v>
      </c>
      <c r="J154" s="3">
        <v>29.881137667304014</v>
      </c>
      <c r="K154" s="3" t="str" cm="1">
        <f t="array" ref="K154">_xlfn.IFS(J154&lt;=13,"Child",J154&lt;=18,"Teenager",J154&lt;=30,"Young Adult",J154&lt;=50,"Middle Aged Adult",J154&gt;50,"Senior")</f>
        <v>Young Adult</v>
      </c>
      <c r="L154">
        <v>0</v>
      </c>
      <c r="M154">
        <v>0</v>
      </c>
      <c r="N154" s="1">
        <f t="shared" si="10"/>
        <v>1</v>
      </c>
      <c r="O154" s="1" t="str">
        <f t="shared" si="11"/>
        <v>Single</v>
      </c>
      <c r="P154">
        <v>30</v>
      </c>
      <c r="Q154" s="1" t="str" cm="1">
        <f t="array" ref="Q154">_xlfn.IFS(P154&lt;=50,"Low",P154&lt;=100,"Medium",P154&gt;100,"High")</f>
        <v>Low</v>
      </c>
      <c r="R154" t="s">
        <v>17</v>
      </c>
      <c r="S154" s="1" t="str" cm="1">
        <f t="array" ref="S154">_xlfn.IFS(R154="S","Southampton",R154="C","Cherbourg",R154="Q","Queenstown")</f>
        <v>Southampton</v>
      </c>
    </row>
    <row r="155" spans="1:19" x14ac:dyDescent="0.3">
      <c r="A155">
        <v>154</v>
      </c>
      <c r="B155">
        <v>1</v>
      </c>
      <c r="C155" s="1" t="str" cm="1">
        <f t="array" ref="C155">_xlfn.IFS(B155=1,"First Class",B155=2,"Second Class",B155=3,"Third Class")</f>
        <v>First Class</v>
      </c>
      <c r="D155">
        <v>1</v>
      </c>
      <c r="E155" s="1" t="str">
        <f t="shared" si="8"/>
        <v>Alive</v>
      </c>
      <c r="F155" t="s">
        <v>350</v>
      </c>
      <c r="G155" s="1" t="s">
        <v>2994</v>
      </c>
      <c r="H155" t="s">
        <v>15</v>
      </c>
      <c r="I155" s="1" t="str">
        <f t="shared" si="9"/>
        <v>Female</v>
      </c>
      <c r="J155" s="3">
        <v>24</v>
      </c>
      <c r="K155" s="3" t="str" cm="1">
        <f t="array" ref="K155">_xlfn.IFS(J155&lt;=13,"Child",J155&lt;=18,"Teenager",J155&lt;=30,"Young Adult",J155&lt;=50,"Middle Aged Adult",J155&gt;50,"Senior")</f>
        <v>Young Adult</v>
      </c>
      <c r="L155">
        <v>0</v>
      </c>
      <c r="M155">
        <v>0</v>
      </c>
      <c r="N155" s="1">
        <f t="shared" si="10"/>
        <v>1</v>
      </c>
      <c r="O155" s="1" t="str">
        <f t="shared" si="11"/>
        <v>Single</v>
      </c>
      <c r="P155">
        <v>83.158299999999997</v>
      </c>
      <c r="Q155" s="1" t="str" cm="1">
        <f t="array" ref="Q155">_xlfn.IFS(P155&lt;=50,"Low",P155&lt;=100,"Medium",P155&gt;100,"High")</f>
        <v>Medium</v>
      </c>
      <c r="R155" t="s">
        <v>41</v>
      </c>
      <c r="S155" s="1" t="str" cm="1">
        <f t="array" ref="S155">_xlfn.IFS(R155="S","Southampton",R155="C","Cherbourg",R155="Q","Queenstown")</f>
        <v>Cherbourg</v>
      </c>
    </row>
    <row r="156" spans="1:19" x14ac:dyDescent="0.3">
      <c r="A156">
        <v>155</v>
      </c>
      <c r="B156">
        <v>1</v>
      </c>
      <c r="C156" s="1" t="str" cm="1">
        <f t="array" ref="C156">_xlfn.IFS(B156=1,"First Class",B156=2,"Second Class",B156=3,"Third Class")</f>
        <v>First Class</v>
      </c>
      <c r="D156">
        <v>0</v>
      </c>
      <c r="E156" s="1" t="str">
        <f t="shared" si="8"/>
        <v>Dead</v>
      </c>
      <c r="F156" t="s">
        <v>351</v>
      </c>
      <c r="G156" s="1" t="s">
        <v>2999</v>
      </c>
      <c r="H156" t="s">
        <v>20</v>
      </c>
      <c r="I156" s="1" t="str">
        <f t="shared" si="9"/>
        <v>Male</v>
      </c>
      <c r="J156" s="3">
        <v>55</v>
      </c>
      <c r="K156" s="3" t="str" cm="1">
        <f t="array" ref="K156">_xlfn.IFS(J156&lt;=13,"Child",J156&lt;=18,"Teenager",J156&lt;=30,"Young Adult",J156&lt;=50,"Middle Aged Adult",J156&gt;50,"Senior")</f>
        <v>Senior</v>
      </c>
      <c r="L156">
        <v>1</v>
      </c>
      <c r="M156">
        <v>1</v>
      </c>
      <c r="N156" s="1">
        <f t="shared" si="10"/>
        <v>3</v>
      </c>
      <c r="O156" s="1" t="str">
        <f t="shared" si="11"/>
        <v>With Family</v>
      </c>
      <c r="P156">
        <v>93.5</v>
      </c>
      <c r="Q156" s="1" t="str" cm="1">
        <f t="array" ref="Q156">_xlfn.IFS(P156&lt;=50,"Low",P156&lt;=100,"Medium",P156&gt;100,"High")</f>
        <v>Medium</v>
      </c>
      <c r="R156" t="s">
        <v>17</v>
      </c>
      <c r="S156" s="1" t="str" cm="1">
        <f t="array" ref="S156">_xlfn.IFS(R156="S","Southampton",R156="C","Cherbourg",R156="Q","Queenstown")</f>
        <v>Southampton</v>
      </c>
    </row>
    <row r="157" spans="1:19" x14ac:dyDescent="0.3">
      <c r="A157">
        <v>156</v>
      </c>
      <c r="B157">
        <v>1</v>
      </c>
      <c r="C157" s="1" t="str" cm="1">
        <f t="array" ref="C157">_xlfn.IFS(B157=1,"First Class",B157=2,"Second Class",B157=3,"Third Class")</f>
        <v>First Class</v>
      </c>
      <c r="D157">
        <v>1</v>
      </c>
      <c r="E157" s="1" t="str">
        <f t="shared" si="8"/>
        <v>Alive</v>
      </c>
      <c r="F157" t="s">
        <v>353</v>
      </c>
      <c r="G157" s="1" t="s">
        <v>3001</v>
      </c>
      <c r="H157" t="s">
        <v>15</v>
      </c>
      <c r="I157" s="1" t="str">
        <f t="shared" si="9"/>
        <v>Female</v>
      </c>
      <c r="J157" s="3">
        <v>52</v>
      </c>
      <c r="K157" s="3" t="str" cm="1">
        <f t="array" ref="K157">_xlfn.IFS(J157&lt;=13,"Child",J157&lt;=18,"Teenager",J157&lt;=30,"Young Adult",J157&lt;=50,"Middle Aged Adult",J157&gt;50,"Senior")</f>
        <v>Senior</v>
      </c>
      <c r="L157">
        <v>1</v>
      </c>
      <c r="M157">
        <v>1</v>
      </c>
      <c r="N157" s="1">
        <f t="shared" si="10"/>
        <v>3</v>
      </c>
      <c r="O157" s="1" t="str">
        <f t="shared" si="11"/>
        <v>With Family</v>
      </c>
      <c r="P157">
        <v>93.5</v>
      </c>
      <c r="Q157" s="1" t="str" cm="1">
        <f t="array" ref="Q157">_xlfn.IFS(P157&lt;=50,"Low",P157&lt;=100,"Medium",P157&gt;100,"High")</f>
        <v>Medium</v>
      </c>
      <c r="R157" t="s">
        <v>17</v>
      </c>
      <c r="S157" s="1" t="str" cm="1">
        <f t="array" ref="S157">_xlfn.IFS(R157="S","Southampton",R157="C","Cherbourg",R157="Q","Queenstown")</f>
        <v>Southampton</v>
      </c>
    </row>
    <row r="158" spans="1:19" x14ac:dyDescent="0.3">
      <c r="A158">
        <v>157</v>
      </c>
      <c r="B158">
        <v>1</v>
      </c>
      <c r="C158" s="1" t="str" cm="1">
        <f t="array" ref="C158">_xlfn.IFS(B158=1,"First Class",B158=2,"Second Class",B158=3,"Third Class")</f>
        <v>First Class</v>
      </c>
      <c r="D158">
        <v>0</v>
      </c>
      <c r="E158" s="1" t="str">
        <f t="shared" si="8"/>
        <v>Dead</v>
      </c>
      <c r="F158" t="s">
        <v>354</v>
      </c>
      <c r="G158" s="1" t="s">
        <v>2999</v>
      </c>
      <c r="H158" t="s">
        <v>20</v>
      </c>
      <c r="I158" s="1" t="str">
        <f t="shared" si="9"/>
        <v>Male</v>
      </c>
      <c r="J158" s="3">
        <v>42</v>
      </c>
      <c r="K158" s="3" t="str" cm="1">
        <f t="array" ref="K158">_xlfn.IFS(J158&lt;=13,"Child",J158&lt;=18,"Teenager",J158&lt;=30,"Young Adult",J158&lt;=50,"Middle Aged Adult",J158&gt;50,"Senior")</f>
        <v>Middle Aged Adult</v>
      </c>
      <c r="L158">
        <v>0</v>
      </c>
      <c r="M158">
        <v>0</v>
      </c>
      <c r="N158" s="1">
        <f t="shared" si="10"/>
        <v>1</v>
      </c>
      <c r="O158" s="1" t="str">
        <f t="shared" si="11"/>
        <v>Single</v>
      </c>
      <c r="P158">
        <v>42.5</v>
      </c>
      <c r="Q158" s="1" t="str" cm="1">
        <f t="array" ref="Q158">_xlfn.IFS(P158&lt;=50,"Low",P158&lt;=100,"Medium",P158&gt;100,"High")</f>
        <v>Low</v>
      </c>
      <c r="R158" t="s">
        <v>17</v>
      </c>
      <c r="S158" s="1" t="str" cm="1">
        <f t="array" ref="S158">_xlfn.IFS(R158="S","Southampton",R158="C","Cherbourg",R158="Q","Queenstown")</f>
        <v>Southampton</v>
      </c>
    </row>
    <row r="159" spans="1:19" x14ac:dyDescent="0.3">
      <c r="A159">
        <v>158</v>
      </c>
      <c r="B159">
        <v>1</v>
      </c>
      <c r="C159" s="1" t="str" cm="1">
        <f t="array" ref="C159">_xlfn.IFS(B159=1,"First Class",B159=2,"Second Class",B159=3,"Third Class")</f>
        <v>First Class</v>
      </c>
      <c r="D159">
        <v>0</v>
      </c>
      <c r="E159" s="1" t="str">
        <f t="shared" si="8"/>
        <v>Dead</v>
      </c>
      <c r="F159" t="s">
        <v>357</v>
      </c>
      <c r="G159" s="1" t="s">
        <v>2999</v>
      </c>
      <c r="H159" t="s">
        <v>20</v>
      </c>
      <c r="I159" s="1" t="str">
        <f t="shared" si="9"/>
        <v>Male</v>
      </c>
      <c r="J159" s="3">
        <v>29.881137667304014</v>
      </c>
      <c r="K159" s="3" t="str" cm="1">
        <f t="array" ref="K159">_xlfn.IFS(J159&lt;=13,"Child",J159&lt;=18,"Teenager",J159&lt;=30,"Young Adult",J159&lt;=50,"Middle Aged Adult",J159&gt;50,"Senior")</f>
        <v>Young Adult</v>
      </c>
      <c r="L159">
        <v>0</v>
      </c>
      <c r="M159">
        <v>0</v>
      </c>
      <c r="N159" s="1">
        <f t="shared" si="10"/>
        <v>1</v>
      </c>
      <c r="O159" s="1" t="str">
        <f t="shared" si="11"/>
        <v>Single</v>
      </c>
      <c r="P159">
        <v>51.862499999999997</v>
      </c>
      <c r="Q159" s="1" t="str" cm="1">
        <f t="array" ref="Q159">_xlfn.IFS(P159&lt;=50,"Low",P159&lt;=100,"Medium",P159&gt;100,"High")</f>
        <v>Medium</v>
      </c>
      <c r="R159" t="s">
        <v>17</v>
      </c>
      <c r="S159" s="1" t="str" cm="1">
        <f t="array" ref="S159">_xlfn.IFS(R159="S","Southampton",R159="C","Cherbourg",R159="Q","Queenstown")</f>
        <v>Southampton</v>
      </c>
    </row>
    <row r="160" spans="1:19" x14ac:dyDescent="0.3">
      <c r="A160">
        <v>159</v>
      </c>
      <c r="B160">
        <v>1</v>
      </c>
      <c r="C160" s="1" t="str" cm="1">
        <f t="array" ref="C160">_xlfn.IFS(B160=1,"First Class",B160=2,"Second Class",B160=3,"Third Class")</f>
        <v>First Class</v>
      </c>
      <c r="D160">
        <v>0</v>
      </c>
      <c r="E160" s="1" t="str">
        <f t="shared" si="8"/>
        <v>Dead</v>
      </c>
      <c r="F160" t="s">
        <v>360</v>
      </c>
      <c r="G160" s="1" t="s">
        <v>2999</v>
      </c>
      <c r="H160" t="s">
        <v>20</v>
      </c>
      <c r="I160" s="1" t="str">
        <f t="shared" si="9"/>
        <v>Male</v>
      </c>
      <c r="J160" s="3">
        <v>55</v>
      </c>
      <c r="K160" s="3" t="str" cm="1">
        <f t="array" ref="K160">_xlfn.IFS(J160&lt;=13,"Child",J160&lt;=18,"Teenager",J160&lt;=30,"Young Adult",J160&lt;=50,"Middle Aged Adult",J160&gt;50,"Senior")</f>
        <v>Senior</v>
      </c>
      <c r="L160">
        <v>0</v>
      </c>
      <c r="M160">
        <v>0</v>
      </c>
      <c r="N160" s="1">
        <f t="shared" si="10"/>
        <v>1</v>
      </c>
      <c r="O160" s="1" t="str">
        <f t="shared" si="11"/>
        <v>Single</v>
      </c>
      <c r="P160">
        <v>50</v>
      </c>
      <c r="Q160" s="1" t="str" cm="1">
        <f t="array" ref="Q160">_xlfn.IFS(P160&lt;=50,"Low",P160&lt;=100,"Medium",P160&gt;100,"High")</f>
        <v>Low</v>
      </c>
      <c r="R160" t="s">
        <v>17</v>
      </c>
      <c r="S160" s="1" t="str" cm="1">
        <f t="array" ref="S160">_xlfn.IFS(R160="S","Southampton",R160="C","Cherbourg",R160="Q","Queenstown")</f>
        <v>Southampton</v>
      </c>
    </row>
    <row r="161" spans="1:19" x14ac:dyDescent="0.3">
      <c r="A161">
        <v>160</v>
      </c>
      <c r="B161">
        <v>1</v>
      </c>
      <c r="C161" s="1" t="str" cm="1">
        <f t="array" ref="C161">_xlfn.IFS(B161=1,"First Class",B161=2,"Second Class",B161=3,"Third Class")</f>
        <v>First Class</v>
      </c>
      <c r="D161">
        <v>1</v>
      </c>
      <c r="E161" s="1" t="str">
        <f t="shared" si="8"/>
        <v>Alive</v>
      </c>
      <c r="F161" t="s">
        <v>363</v>
      </c>
      <c r="G161" s="1" t="s">
        <v>2994</v>
      </c>
      <c r="H161" t="s">
        <v>15</v>
      </c>
      <c r="I161" s="1" t="str">
        <f t="shared" si="9"/>
        <v>Female</v>
      </c>
      <c r="J161" s="3">
        <v>16</v>
      </c>
      <c r="K161" s="3" t="str" cm="1">
        <f t="array" ref="K161">_xlfn.IFS(J161&lt;=13,"Child",J161&lt;=18,"Teenager",J161&lt;=30,"Young Adult",J161&lt;=50,"Middle Aged Adult",J161&gt;50,"Senior")</f>
        <v>Teenager</v>
      </c>
      <c r="L161">
        <v>0</v>
      </c>
      <c r="M161">
        <v>1</v>
      </c>
      <c r="N161" s="1">
        <f t="shared" si="10"/>
        <v>2</v>
      </c>
      <c r="O161" s="1" t="str">
        <f t="shared" si="11"/>
        <v>With Family</v>
      </c>
      <c r="P161">
        <v>57.979199999999999</v>
      </c>
      <c r="Q161" s="1" t="str" cm="1">
        <f t="array" ref="Q161">_xlfn.IFS(P161&lt;=50,"Low",P161&lt;=100,"Medium",P161&gt;100,"High")</f>
        <v>Medium</v>
      </c>
      <c r="R161" t="s">
        <v>41</v>
      </c>
      <c r="S161" s="1" t="str" cm="1">
        <f t="array" ref="S161">_xlfn.IFS(R161="S","Southampton",R161="C","Cherbourg",R161="Q","Queenstown")</f>
        <v>Cherbourg</v>
      </c>
    </row>
    <row r="162" spans="1:19" x14ac:dyDescent="0.3">
      <c r="A162">
        <v>161</v>
      </c>
      <c r="B162">
        <v>1</v>
      </c>
      <c r="C162" s="1" t="str" cm="1">
        <f t="array" ref="C162">_xlfn.IFS(B162=1,"First Class",B162=2,"Second Class",B162=3,"Third Class")</f>
        <v>First Class</v>
      </c>
      <c r="D162">
        <v>1</v>
      </c>
      <c r="E162" s="1" t="str">
        <f t="shared" si="8"/>
        <v>Alive</v>
      </c>
      <c r="F162" t="s">
        <v>366</v>
      </c>
      <c r="G162" s="1" t="s">
        <v>3001</v>
      </c>
      <c r="H162" t="s">
        <v>15</v>
      </c>
      <c r="I162" s="1" t="str">
        <f t="shared" si="9"/>
        <v>Female</v>
      </c>
      <c r="J162" s="3">
        <v>44</v>
      </c>
      <c r="K162" s="3" t="str" cm="1">
        <f t="array" ref="K162">_xlfn.IFS(J162&lt;=13,"Child",J162&lt;=18,"Teenager",J162&lt;=30,"Young Adult",J162&lt;=50,"Middle Aged Adult",J162&gt;50,"Senior")</f>
        <v>Middle Aged Adult</v>
      </c>
      <c r="L162">
        <v>0</v>
      </c>
      <c r="M162">
        <v>1</v>
      </c>
      <c r="N162" s="1">
        <f t="shared" si="10"/>
        <v>2</v>
      </c>
      <c r="O162" s="1" t="str">
        <f t="shared" si="11"/>
        <v>With Family</v>
      </c>
      <c r="P162">
        <v>57.979199999999999</v>
      </c>
      <c r="Q162" s="1" t="str" cm="1">
        <f t="array" ref="Q162">_xlfn.IFS(P162&lt;=50,"Low",P162&lt;=100,"Medium",P162&gt;100,"High")</f>
        <v>Medium</v>
      </c>
      <c r="R162" t="s">
        <v>41</v>
      </c>
      <c r="S162" s="1" t="str" cm="1">
        <f t="array" ref="S162">_xlfn.IFS(R162="S","Southampton",R162="C","Cherbourg",R162="Q","Queenstown")</f>
        <v>Cherbourg</v>
      </c>
    </row>
    <row r="163" spans="1:19" x14ac:dyDescent="0.3">
      <c r="A163">
        <v>162</v>
      </c>
      <c r="B163">
        <v>1</v>
      </c>
      <c r="C163" s="1" t="str" cm="1">
        <f t="array" ref="C163">_xlfn.IFS(B163=1,"First Class",B163=2,"Second Class",B163=3,"Third Class")</f>
        <v>First Class</v>
      </c>
      <c r="D163">
        <v>1</v>
      </c>
      <c r="E163" s="1" t="str">
        <f t="shared" si="8"/>
        <v>Alive</v>
      </c>
      <c r="F163" t="s">
        <v>367</v>
      </c>
      <c r="G163" s="1" t="s">
        <v>3001</v>
      </c>
      <c r="H163" t="s">
        <v>15</v>
      </c>
      <c r="I163" s="1" t="str">
        <f t="shared" si="9"/>
        <v>Female</v>
      </c>
      <c r="J163" s="3">
        <v>51</v>
      </c>
      <c r="K163" s="3" t="str" cm="1">
        <f t="array" ref="K163">_xlfn.IFS(J163&lt;=13,"Child",J163&lt;=18,"Teenager",J163&lt;=30,"Young Adult",J163&lt;=50,"Middle Aged Adult",J163&gt;50,"Senior")</f>
        <v>Senior</v>
      </c>
      <c r="L163">
        <v>1</v>
      </c>
      <c r="M163">
        <v>0</v>
      </c>
      <c r="N163" s="1">
        <f t="shared" si="10"/>
        <v>2</v>
      </c>
      <c r="O163" s="1" t="str">
        <f t="shared" si="11"/>
        <v>With Family</v>
      </c>
      <c r="P163">
        <v>77.958299999999994</v>
      </c>
      <c r="Q163" s="1" t="str" cm="1">
        <f t="array" ref="Q163">_xlfn.IFS(P163&lt;=50,"Low",P163&lt;=100,"Medium",P163&gt;100,"High")</f>
        <v>Medium</v>
      </c>
      <c r="R163" t="s">
        <v>17</v>
      </c>
      <c r="S163" s="1" t="str" cm="1">
        <f t="array" ref="S163">_xlfn.IFS(R163="S","Southampton",R163="C","Cherbourg",R163="Q","Queenstown")</f>
        <v>Southampton</v>
      </c>
    </row>
    <row r="164" spans="1:19" x14ac:dyDescent="0.3">
      <c r="A164">
        <v>163</v>
      </c>
      <c r="B164">
        <v>1</v>
      </c>
      <c r="C164" s="1" t="str" cm="1">
        <f t="array" ref="C164">_xlfn.IFS(B164=1,"First Class",B164=2,"Second Class",B164=3,"Third Class")</f>
        <v>First Class</v>
      </c>
      <c r="D164">
        <v>0</v>
      </c>
      <c r="E164" s="1" t="str">
        <f t="shared" si="8"/>
        <v>Dead</v>
      </c>
      <c r="F164" t="s">
        <v>369</v>
      </c>
      <c r="G164" s="1" t="s">
        <v>2999</v>
      </c>
      <c r="H164" t="s">
        <v>20</v>
      </c>
      <c r="I164" s="1" t="str">
        <f t="shared" si="9"/>
        <v>Male</v>
      </c>
      <c r="J164" s="3">
        <v>42</v>
      </c>
      <c r="K164" s="3" t="str" cm="1">
        <f t="array" ref="K164">_xlfn.IFS(J164&lt;=13,"Child",J164&lt;=18,"Teenager",J164&lt;=30,"Young Adult",J164&lt;=50,"Middle Aged Adult",J164&gt;50,"Senior")</f>
        <v>Middle Aged Adult</v>
      </c>
      <c r="L164">
        <v>1</v>
      </c>
      <c r="M164">
        <v>0</v>
      </c>
      <c r="N164" s="1">
        <f t="shared" si="10"/>
        <v>2</v>
      </c>
      <c r="O164" s="1" t="str">
        <f t="shared" si="11"/>
        <v>With Family</v>
      </c>
      <c r="P164">
        <v>52</v>
      </c>
      <c r="Q164" s="1" t="str" cm="1">
        <f t="array" ref="Q164">_xlfn.IFS(P164&lt;=50,"Low",P164&lt;=100,"Medium",P164&gt;100,"High")</f>
        <v>Medium</v>
      </c>
      <c r="R164" t="s">
        <v>17</v>
      </c>
      <c r="S164" s="1" t="str" cm="1">
        <f t="array" ref="S164">_xlfn.IFS(R164="S","Southampton",R164="C","Cherbourg",R164="Q","Queenstown")</f>
        <v>Southampton</v>
      </c>
    </row>
    <row r="165" spans="1:19" x14ac:dyDescent="0.3">
      <c r="A165">
        <v>164</v>
      </c>
      <c r="B165">
        <v>1</v>
      </c>
      <c r="C165" s="1" t="str" cm="1">
        <f t="array" ref="C165">_xlfn.IFS(B165=1,"First Class",B165=2,"Second Class",B165=3,"Third Class")</f>
        <v>First Class</v>
      </c>
      <c r="D165">
        <v>1</v>
      </c>
      <c r="E165" s="1" t="str">
        <f t="shared" si="8"/>
        <v>Alive</v>
      </c>
      <c r="F165" t="s">
        <v>370</v>
      </c>
      <c r="G165" s="1" t="s">
        <v>3001</v>
      </c>
      <c r="H165" t="s">
        <v>15</v>
      </c>
      <c r="I165" s="1" t="str">
        <f t="shared" si="9"/>
        <v>Female</v>
      </c>
      <c r="J165" s="3">
        <v>35</v>
      </c>
      <c r="K165" s="3" t="str" cm="1">
        <f t="array" ref="K165">_xlfn.IFS(J165&lt;=13,"Child",J165&lt;=18,"Teenager",J165&lt;=30,"Young Adult",J165&lt;=50,"Middle Aged Adult",J165&gt;50,"Senior")</f>
        <v>Middle Aged Adult</v>
      </c>
      <c r="L165">
        <v>1</v>
      </c>
      <c r="M165">
        <v>0</v>
      </c>
      <c r="N165" s="1">
        <f t="shared" si="10"/>
        <v>2</v>
      </c>
      <c r="O165" s="1" t="str">
        <f t="shared" si="11"/>
        <v>With Family</v>
      </c>
      <c r="P165">
        <v>52</v>
      </c>
      <c r="Q165" s="1" t="str" cm="1">
        <f t="array" ref="Q165">_xlfn.IFS(P165&lt;=50,"Low",P165&lt;=100,"Medium",P165&gt;100,"High")</f>
        <v>Medium</v>
      </c>
      <c r="R165" t="s">
        <v>17</v>
      </c>
      <c r="S165" s="1" t="str" cm="1">
        <f t="array" ref="S165">_xlfn.IFS(R165="S","Southampton",R165="C","Cherbourg",R165="Q","Queenstown")</f>
        <v>Southampton</v>
      </c>
    </row>
    <row r="166" spans="1:19" x14ac:dyDescent="0.3">
      <c r="A166">
        <v>165</v>
      </c>
      <c r="B166">
        <v>1</v>
      </c>
      <c r="C166" s="1" t="str" cm="1">
        <f t="array" ref="C166">_xlfn.IFS(B166=1,"First Class",B166=2,"Second Class",B166=3,"Third Class")</f>
        <v>First Class</v>
      </c>
      <c r="D166">
        <v>1</v>
      </c>
      <c r="E166" s="1" t="str">
        <f t="shared" si="8"/>
        <v>Alive</v>
      </c>
      <c r="F166" t="s">
        <v>371</v>
      </c>
      <c r="G166" s="1" t="s">
        <v>2999</v>
      </c>
      <c r="H166" t="s">
        <v>20</v>
      </c>
      <c r="I166" s="1" t="str">
        <f t="shared" si="9"/>
        <v>Male</v>
      </c>
      <c r="J166" s="3">
        <v>35</v>
      </c>
      <c r="K166" s="3" t="str" cm="1">
        <f t="array" ref="K166">_xlfn.IFS(J166&lt;=13,"Child",J166&lt;=18,"Teenager",J166&lt;=30,"Young Adult",J166&lt;=50,"Middle Aged Adult",J166&gt;50,"Senior")</f>
        <v>Middle Aged Adult</v>
      </c>
      <c r="L166">
        <v>0</v>
      </c>
      <c r="M166">
        <v>0</v>
      </c>
      <c r="N166" s="1">
        <f t="shared" si="10"/>
        <v>1</v>
      </c>
      <c r="O166" s="1" t="str">
        <f t="shared" si="11"/>
        <v>Single</v>
      </c>
      <c r="P166">
        <v>26.55</v>
      </c>
      <c r="Q166" s="1" t="str" cm="1">
        <f t="array" ref="Q166">_xlfn.IFS(P166&lt;=50,"Low",P166&lt;=100,"Medium",P166&gt;100,"High")</f>
        <v>Low</v>
      </c>
      <c r="R166" t="s">
        <v>41</v>
      </c>
      <c r="S166" s="1" t="str" cm="1">
        <f t="array" ref="S166">_xlfn.IFS(R166="S","Southampton",R166="C","Cherbourg",R166="Q","Queenstown")</f>
        <v>Cherbourg</v>
      </c>
    </row>
    <row r="167" spans="1:19" x14ac:dyDescent="0.3">
      <c r="A167">
        <v>166</v>
      </c>
      <c r="B167">
        <v>1</v>
      </c>
      <c r="C167" s="1" t="str" cm="1">
        <f t="array" ref="C167">_xlfn.IFS(B167=1,"First Class",B167=2,"Second Class",B167=3,"Third Class")</f>
        <v>First Class</v>
      </c>
      <c r="D167">
        <v>1</v>
      </c>
      <c r="E167" s="1" t="str">
        <f t="shared" si="8"/>
        <v>Alive</v>
      </c>
      <c r="F167" t="s">
        <v>373</v>
      </c>
      <c r="G167" s="1" t="s">
        <v>2999</v>
      </c>
      <c r="H167" t="s">
        <v>20</v>
      </c>
      <c r="I167" s="1" t="str">
        <f t="shared" si="9"/>
        <v>Male</v>
      </c>
      <c r="J167" s="3">
        <v>38</v>
      </c>
      <c r="K167" s="3" t="str" cm="1">
        <f t="array" ref="K167">_xlfn.IFS(J167&lt;=13,"Child",J167&lt;=18,"Teenager",J167&lt;=30,"Young Adult",J167&lt;=50,"Middle Aged Adult",J167&gt;50,"Senior")</f>
        <v>Middle Aged Adult</v>
      </c>
      <c r="L167">
        <v>1</v>
      </c>
      <c r="M167">
        <v>0</v>
      </c>
      <c r="N167" s="1">
        <f t="shared" si="10"/>
        <v>2</v>
      </c>
      <c r="O167" s="1" t="str">
        <f t="shared" si="11"/>
        <v>With Family</v>
      </c>
      <c r="P167">
        <v>90</v>
      </c>
      <c r="Q167" s="1" t="str" cm="1">
        <f t="array" ref="Q167">_xlfn.IFS(P167&lt;=50,"Low",P167&lt;=100,"Medium",P167&gt;100,"High")</f>
        <v>Medium</v>
      </c>
      <c r="R167" t="s">
        <v>17</v>
      </c>
      <c r="S167" s="1" t="str" cm="1">
        <f t="array" ref="S167">_xlfn.IFS(R167="S","Southampton",R167="C","Cherbourg",R167="Q","Queenstown")</f>
        <v>Southampton</v>
      </c>
    </row>
    <row r="168" spans="1:19" x14ac:dyDescent="0.3">
      <c r="A168">
        <v>167</v>
      </c>
      <c r="B168">
        <v>1</v>
      </c>
      <c r="C168" s="1" t="str" cm="1">
        <f t="array" ref="C168">_xlfn.IFS(B168=1,"First Class",B168=2,"Second Class",B168=3,"Third Class")</f>
        <v>First Class</v>
      </c>
      <c r="D168">
        <v>0</v>
      </c>
      <c r="E168" s="1" t="str">
        <f t="shared" si="8"/>
        <v>Dead</v>
      </c>
      <c r="F168" t="s">
        <v>376</v>
      </c>
      <c r="G168" s="1" t="s">
        <v>2999</v>
      </c>
      <c r="H168" t="s">
        <v>20</v>
      </c>
      <c r="I168" s="1" t="str">
        <f t="shared" si="9"/>
        <v>Male</v>
      </c>
      <c r="J168" s="3">
        <v>29.881137667304014</v>
      </c>
      <c r="K168" s="3" t="str" cm="1">
        <f t="array" ref="K168">_xlfn.IFS(J168&lt;=13,"Child",J168&lt;=18,"Teenager",J168&lt;=30,"Young Adult",J168&lt;=50,"Middle Aged Adult",J168&gt;50,"Senior")</f>
        <v>Young Adult</v>
      </c>
      <c r="L168">
        <v>0</v>
      </c>
      <c r="M168">
        <v>0</v>
      </c>
      <c r="N168" s="1">
        <f t="shared" si="10"/>
        <v>1</v>
      </c>
      <c r="O168" s="1" t="str">
        <f t="shared" si="11"/>
        <v>Single</v>
      </c>
      <c r="P168">
        <v>30.695799999999998</v>
      </c>
      <c r="Q168" s="1" t="str" cm="1">
        <f t="array" ref="Q168">_xlfn.IFS(P168&lt;=50,"Low",P168&lt;=100,"Medium",P168&gt;100,"High")</f>
        <v>Low</v>
      </c>
      <c r="R168" t="s">
        <v>41</v>
      </c>
      <c r="S168" s="1" t="str" cm="1">
        <f t="array" ref="S168">_xlfn.IFS(R168="S","Southampton",R168="C","Cherbourg",R168="Q","Queenstown")</f>
        <v>Cherbourg</v>
      </c>
    </row>
    <row r="169" spans="1:19" x14ac:dyDescent="0.3">
      <c r="A169">
        <v>168</v>
      </c>
      <c r="B169">
        <v>1</v>
      </c>
      <c r="C169" s="1" t="str" cm="1">
        <f t="array" ref="C169">_xlfn.IFS(B169=1,"First Class",B169=2,"Second Class",B169=3,"Third Class")</f>
        <v>First Class</v>
      </c>
      <c r="D169">
        <v>1</v>
      </c>
      <c r="E169" s="1" t="str">
        <f t="shared" si="8"/>
        <v>Alive</v>
      </c>
      <c r="F169" t="s">
        <v>378</v>
      </c>
      <c r="G169" s="1" t="s">
        <v>3001</v>
      </c>
      <c r="H169" t="s">
        <v>15</v>
      </c>
      <c r="I169" s="1" t="str">
        <f t="shared" si="9"/>
        <v>Female</v>
      </c>
      <c r="J169" s="3">
        <v>35</v>
      </c>
      <c r="K169" s="3" t="str" cm="1">
        <f t="array" ref="K169">_xlfn.IFS(J169&lt;=13,"Child",J169&lt;=18,"Teenager",J169&lt;=30,"Young Adult",J169&lt;=50,"Middle Aged Adult",J169&gt;50,"Senior")</f>
        <v>Middle Aged Adult</v>
      </c>
      <c r="L169">
        <v>1</v>
      </c>
      <c r="M169">
        <v>0</v>
      </c>
      <c r="N169" s="1">
        <f t="shared" si="10"/>
        <v>2</v>
      </c>
      <c r="O169" s="1" t="str">
        <f t="shared" si="11"/>
        <v>With Family</v>
      </c>
      <c r="P169">
        <v>90</v>
      </c>
      <c r="Q169" s="1" t="str" cm="1">
        <f t="array" ref="Q169">_xlfn.IFS(P169&lt;=50,"Low",P169&lt;=100,"Medium",P169&gt;100,"High")</f>
        <v>Medium</v>
      </c>
      <c r="R169" t="s">
        <v>17</v>
      </c>
      <c r="S169" s="1" t="str" cm="1">
        <f t="array" ref="S169">_xlfn.IFS(R169="S","Southampton",R169="C","Cherbourg",R169="Q","Queenstown")</f>
        <v>Southampton</v>
      </c>
    </row>
    <row r="170" spans="1:19" x14ac:dyDescent="0.3">
      <c r="A170">
        <v>169</v>
      </c>
      <c r="B170">
        <v>1</v>
      </c>
      <c r="C170" s="1" t="str" cm="1">
        <f t="array" ref="C170">_xlfn.IFS(B170=1,"First Class",B170=2,"Second Class",B170=3,"Third Class")</f>
        <v>First Class</v>
      </c>
      <c r="D170">
        <v>1</v>
      </c>
      <c r="E170" s="1" t="str">
        <f t="shared" si="8"/>
        <v>Alive</v>
      </c>
      <c r="F170" t="s">
        <v>379</v>
      </c>
      <c r="G170" s="1" t="s">
        <v>2994</v>
      </c>
      <c r="H170" t="s">
        <v>15</v>
      </c>
      <c r="I170" s="1" t="str">
        <f t="shared" si="9"/>
        <v>Female</v>
      </c>
      <c r="J170" s="3">
        <v>38</v>
      </c>
      <c r="K170" s="3" t="str" cm="1">
        <f t="array" ref="K170">_xlfn.IFS(J170&lt;=13,"Child",J170&lt;=18,"Teenager",J170&lt;=30,"Young Adult",J170&lt;=50,"Middle Aged Adult",J170&gt;50,"Senior")</f>
        <v>Middle Aged Adult</v>
      </c>
      <c r="L170">
        <v>0</v>
      </c>
      <c r="M170">
        <v>0</v>
      </c>
      <c r="N170" s="1">
        <f t="shared" si="10"/>
        <v>1</v>
      </c>
      <c r="O170" s="1" t="str">
        <f t="shared" si="11"/>
        <v>Single</v>
      </c>
      <c r="P170">
        <v>80</v>
      </c>
      <c r="Q170" s="1" t="str" cm="1">
        <f t="array" ref="Q170">_xlfn.IFS(P170&lt;=50,"Low",P170&lt;=100,"Medium",P170&gt;100,"High")</f>
        <v>Medium</v>
      </c>
      <c r="S170" s="1" t="e" cm="1">
        <f t="array" ref="S170">_xlfn.IFS(R170="S","Southampton",R170="C","Cherbourg",R170="Q","Queenstown")</f>
        <v>#N/A</v>
      </c>
    </row>
    <row r="171" spans="1:19" x14ac:dyDescent="0.3">
      <c r="A171">
        <v>170</v>
      </c>
      <c r="B171">
        <v>1</v>
      </c>
      <c r="C171" s="1" t="str" cm="1">
        <f t="array" ref="C171">_xlfn.IFS(B171=1,"First Class",B171=2,"Second Class",B171=3,"Third Class")</f>
        <v>First Class</v>
      </c>
      <c r="D171">
        <v>0</v>
      </c>
      <c r="E171" s="1" t="str">
        <f t="shared" si="8"/>
        <v>Dead</v>
      </c>
      <c r="F171" t="s">
        <v>381</v>
      </c>
      <c r="G171" s="1" t="s">
        <v>2994</v>
      </c>
      <c r="H171" t="s">
        <v>15</v>
      </c>
      <c r="I171" s="1" t="str">
        <f t="shared" si="9"/>
        <v>Female</v>
      </c>
      <c r="J171" s="3">
        <v>50</v>
      </c>
      <c r="K171" s="3" t="str" cm="1">
        <f t="array" ref="K171">_xlfn.IFS(J171&lt;=13,"Child",J171&lt;=18,"Teenager",J171&lt;=30,"Young Adult",J171&lt;=50,"Middle Aged Adult",J171&gt;50,"Senior")</f>
        <v>Middle Aged Adult</v>
      </c>
      <c r="L171">
        <v>0</v>
      </c>
      <c r="M171">
        <v>0</v>
      </c>
      <c r="N171" s="1">
        <f t="shared" si="10"/>
        <v>1</v>
      </c>
      <c r="O171" s="1" t="str">
        <f t="shared" si="11"/>
        <v>Single</v>
      </c>
      <c r="P171">
        <v>28.712499999999999</v>
      </c>
      <c r="Q171" s="1" t="str" cm="1">
        <f t="array" ref="Q171">_xlfn.IFS(P171&lt;=50,"Low",P171&lt;=100,"Medium",P171&gt;100,"High")</f>
        <v>Low</v>
      </c>
      <c r="R171" t="s">
        <v>41</v>
      </c>
      <c r="S171" s="1" t="str" cm="1">
        <f t="array" ref="S171">_xlfn.IFS(R171="S","Southampton",R171="C","Cherbourg",R171="Q","Queenstown")</f>
        <v>Cherbourg</v>
      </c>
    </row>
    <row r="172" spans="1:19" x14ac:dyDescent="0.3">
      <c r="A172">
        <v>171</v>
      </c>
      <c r="B172">
        <v>1</v>
      </c>
      <c r="C172" s="1" t="str" cm="1">
        <f t="array" ref="C172">_xlfn.IFS(B172=1,"First Class",B172=2,"Second Class",B172=3,"Third Class")</f>
        <v>First Class</v>
      </c>
      <c r="D172">
        <v>1</v>
      </c>
      <c r="E172" s="1" t="str">
        <f t="shared" si="8"/>
        <v>Alive</v>
      </c>
      <c r="F172" t="s">
        <v>385</v>
      </c>
      <c r="G172" s="1" t="s">
        <v>2999</v>
      </c>
      <c r="H172" t="s">
        <v>20</v>
      </c>
      <c r="I172" s="1" t="str">
        <f t="shared" si="9"/>
        <v>Male</v>
      </c>
      <c r="J172" s="3">
        <v>49</v>
      </c>
      <c r="K172" s="3" t="str" cm="1">
        <f t="array" ref="K172">_xlfn.IFS(J172&lt;=13,"Child",J172&lt;=18,"Teenager",J172&lt;=30,"Young Adult",J172&lt;=50,"Middle Aged Adult",J172&gt;50,"Senior")</f>
        <v>Middle Aged Adult</v>
      </c>
      <c r="L172">
        <v>0</v>
      </c>
      <c r="M172">
        <v>0</v>
      </c>
      <c r="N172" s="1">
        <f t="shared" si="10"/>
        <v>1</v>
      </c>
      <c r="O172" s="1" t="str">
        <f t="shared" si="11"/>
        <v>Single</v>
      </c>
      <c r="P172">
        <v>0</v>
      </c>
      <c r="Q172" s="1" t="str" cm="1">
        <f t="array" ref="Q172">_xlfn.IFS(P172&lt;=50,"Low",P172&lt;=100,"Medium",P172&gt;100,"High")</f>
        <v>Low</v>
      </c>
      <c r="R172" t="s">
        <v>17</v>
      </c>
      <c r="S172" s="1" t="str" cm="1">
        <f t="array" ref="S172">_xlfn.IFS(R172="S","Southampton",R172="C","Cherbourg",R172="Q","Queenstown")</f>
        <v>Southampton</v>
      </c>
    </row>
    <row r="173" spans="1:19" x14ac:dyDescent="0.3">
      <c r="A173">
        <v>172</v>
      </c>
      <c r="B173">
        <v>1</v>
      </c>
      <c r="C173" s="1" t="str" cm="1">
        <f t="array" ref="C173">_xlfn.IFS(B173=1,"First Class",B173=2,"Second Class",B173=3,"Third Class")</f>
        <v>First Class</v>
      </c>
      <c r="D173">
        <v>0</v>
      </c>
      <c r="E173" s="1" t="str">
        <f t="shared" si="8"/>
        <v>Dead</v>
      </c>
      <c r="F173" t="s">
        <v>388</v>
      </c>
      <c r="G173" s="1" t="s">
        <v>2999</v>
      </c>
      <c r="H173" t="s">
        <v>20</v>
      </c>
      <c r="I173" s="1" t="str">
        <f t="shared" si="9"/>
        <v>Male</v>
      </c>
      <c r="J173" s="3">
        <v>46</v>
      </c>
      <c r="K173" s="3" t="str" cm="1">
        <f t="array" ref="K173">_xlfn.IFS(J173&lt;=13,"Child",J173&lt;=18,"Teenager",J173&lt;=30,"Young Adult",J173&lt;=50,"Middle Aged Adult",J173&gt;50,"Senior")</f>
        <v>Middle Aged Adult</v>
      </c>
      <c r="L173">
        <v>0</v>
      </c>
      <c r="M173">
        <v>0</v>
      </c>
      <c r="N173" s="1">
        <f t="shared" si="10"/>
        <v>1</v>
      </c>
      <c r="O173" s="1" t="str">
        <f t="shared" si="11"/>
        <v>Single</v>
      </c>
      <c r="P173">
        <v>26</v>
      </c>
      <c r="Q173" s="1" t="str" cm="1">
        <f t="array" ref="Q173">_xlfn.IFS(P173&lt;=50,"Low",P173&lt;=100,"Medium",P173&gt;100,"High")</f>
        <v>Low</v>
      </c>
      <c r="R173" t="s">
        <v>17</v>
      </c>
      <c r="S173" s="1" t="str" cm="1">
        <f t="array" ref="S173">_xlfn.IFS(R173="S","Southampton",R173="C","Cherbourg",R173="Q","Queenstown")</f>
        <v>Southampton</v>
      </c>
    </row>
    <row r="174" spans="1:19" x14ac:dyDescent="0.3">
      <c r="A174">
        <v>173</v>
      </c>
      <c r="B174">
        <v>1</v>
      </c>
      <c r="C174" s="1" t="str" cm="1">
        <f t="array" ref="C174">_xlfn.IFS(B174=1,"First Class",B174=2,"Second Class",B174=3,"Third Class")</f>
        <v>First Class</v>
      </c>
      <c r="D174">
        <v>0</v>
      </c>
      <c r="E174" s="1" t="str">
        <f t="shared" si="8"/>
        <v>Dead</v>
      </c>
      <c r="F174" t="s">
        <v>390</v>
      </c>
      <c r="G174" s="1" t="s">
        <v>2999</v>
      </c>
      <c r="H174" t="s">
        <v>20</v>
      </c>
      <c r="I174" s="1" t="str">
        <f t="shared" si="9"/>
        <v>Male</v>
      </c>
      <c r="J174" s="3">
        <v>50</v>
      </c>
      <c r="K174" s="3" t="str" cm="1">
        <f t="array" ref="K174">_xlfn.IFS(J174&lt;=13,"Child",J174&lt;=18,"Teenager",J174&lt;=30,"Young Adult",J174&lt;=50,"Middle Aged Adult",J174&gt;50,"Senior")</f>
        <v>Middle Aged Adult</v>
      </c>
      <c r="L174">
        <v>0</v>
      </c>
      <c r="M174">
        <v>0</v>
      </c>
      <c r="N174" s="1">
        <f t="shared" si="10"/>
        <v>1</v>
      </c>
      <c r="O174" s="1" t="str">
        <f t="shared" si="11"/>
        <v>Single</v>
      </c>
      <c r="P174">
        <v>26</v>
      </c>
      <c r="Q174" s="1" t="str" cm="1">
        <f t="array" ref="Q174">_xlfn.IFS(P174&lt;=50,"Low",P174&lt;=100,"Medium",P174&gt;100,"High")</f>
        <v>Low</v>
      </c>
      <c r="R174" t="s">
        <v>17</v>
      </c>
      <c r="S174" s="1" t="str" cm="1">
        <f t="array" ref="S174">_xlfn.IFS(R174="S","Southampton",R174="C","Cherbourg",R174="Q","Queenstown")</f>
        <v>Southampton</v>
      </c>
    </row>
    <row r="175" spans="1:19" x14ac:dyDescent="0.3">
      <c r="A175">
        <v>174</v>
      </c>
      <c r="B175">
        <v>1</v>
      </c>
      <c r="C175" s="1" t="str" cm="1">
        <f t="array" ref="C175">_xlfn.IFS(B175=1,"First Class",B175=2,"Second Class",B175=3,"Third Class")</f>
        <v>First Class</v>
      </c>
      <c r="D175">
        <v>0</v>
      </c>
      <c r="E175" s="1" t="str">
        <f t="shared" si="8"/>
        <v>Dead</v>
      </c>
      <c r="F175" t="s">
        <v>393</v>
      </c>
      <c r="G175" s="1" t="s">
        <v>2999</v>
      </c>
      <c r="H175" t="s">
        <v>20</v>
      </c>
      <c r="I175" s="1" t="str">
        <f t="shared" si="9"/>
        <v>Male</v>
      </c>
      <c r="J175" s="3">
        <v>32.5</v>
      </c>
      <c r="K175" s="3" t="str" cm="1">
        <f t="array" ref="K175">_xlfn.IFS(J175&lt;=13,"Child",J175&lt;=18,"Teenager",J175&lt;=30,"Young Adult",J175&lt;=50,"Middle Aged Adult",J175&gt;50,"Senior")</f>
        <v>Middle Aged Adult</v>
      </c>
      <c r="L175">
        <v>0</v>
      </c>
      <c r="M175">
        <v>0</v>
      </c>
      <c r="N175" s="1">
        <f t="shared" si="10"/>
        <v>1</v>
      </c>
      <c r="O175" s="1" t="str">
        <f t="shared" si="11"/>
        <v>Single</v>
      </c>
      <c r="P175">
        <v>211.5</v>
      </c>
      <c r="Q175" s="1" t="str" cm="1">
        <f t="array" ref="Q175">_xlfn.IFS(P175&lt;=50,"Low",P175&lt;=100,"Medium",P175&gt;100,"High")</f>
        <v>High</v>
      </c>
      <c r="R175" t="s">
        <v>41</v>
      </c>
      <c r="S175" s="1" t="str" cm="1">
        <f t="array" ref="S175">_xlfn.IFS(R175="S","Southampton",R175="C","Cherbourg",R175="Q","Queenstown")</f>
        <v>Cherbourg</v>
      </c>
    </row>
    <row r="176" spans="1:19" x14ac:dyDescent="0.3">
      <c r="A176">
        <v>175</v>
      </c>
      <c r="B176">
        <v>1</v>
      </c>
      <c r="C176" s="1" t="str" cm="1">
        <f t="array" ref="C176">_xlfn.IFS(B176=1,"First Class",B176=2,"Second Class",B176=3,"Third Class")</f>
        <v>First Class</v>
      </c>
      <c r="D176">
        <v>0</v>
      </c>
      <c r="E176" s="1" t="str">
        <f t="shared" si="8"/>
        <v>Dead</v>
      </c>
      <c r="F176" t="s">
        <v>395</v>
      </c>
      <c r="G176" s="1" t="s">
        <v>2999</v>
      </c>
      <c r="H176" t="s">
        <v>20</v>
      </c>
      <c r="I176" s="1" t="str">
        <f t="shared" si="9"/>
        <v>Male</v>
      </c>
      <c r="J176" s="3">
        <v>58</v>
      </c>
      <c r="K176" s="3" t="str" cm="1">
        <f t="array" ref="K176">_xlfn.IFS(J176&lt;=13,"Child",J176&lt;=18,"Teenager",J176&lt;=30,"Young Adult",J176&lt;=50,"Middle Aged Adult",J176&gt;50,"Senior")</f>
        <v>Senior</v>
      </c>
      <c r="L176">
        <v>0</v>
      </c>
      <c r="M176">
        <v>0</v>
      </c>
      <c r="N176" s="1">
        <f t="shared" si="10"/>
        <v>1</v>
      </c>
      <c r="O176" s="1" t="str">
        <f t="shared" si="11"/>
        <v>Single</v>
      </c>
      <c r="P176">
        <v>29.7</v>
      </c>
      <c r="Q176" s="1" t="str" cm="1">
        <f t="array" ref="Q176">_xlfn.IFS(P176&lt;=50,"Low",P176&lt;=100,"Medium",P176&gt;100,"High")</f>
        <v>Low</v>
      </c>
      <c r="R176" t="s">
        <v>41</v>
      </c>
      <c r="S176" s="1" t="str" cm="1">
        <f t="array" ref="S176">_xlfn.IFS(R176="S","Southampton",R176="C","Cherbourg",R176="Q","Queenstown")</f>
        <v>Cherbourg</v>
      </c>
    </row>
    <row r="177" spans="1:19" x14ac:dyDescent="0.3">
      <c r="A177">
        <v>176</v>
      </c>
      <c r="B177">
        <v>1</v>
      </c>
      <c r="C177" s="1" t="str" cm="1">
        <f t="array" ref="C177">_xlfn.IFS(B177=1,"First Class",B177=2,"Second Class",B177=3,"Third Class")</f>
        <v>First Class</v>
      </c>
      <c r="D177">
        <v>0</v>
      </c>
      <c r="E177" s="1" t="str">
        <f t="shared" si="8"/>
        <v>Dead</v>
      </c>
      <c r="F177" t="s">
        <v>398</v>
      </c>
      <c r="G177" s="1" t="s">
        <v>2999</v>
      </c>
      <c r="H177" t="s">
        <v>20</v>
      </c>
      <c r="I177" s="1" t="str">
        <f t="shared" si="9"/>
        <v>Male</v>
      </c>
      <c r="J177" s="3">
        <v>41</v>
      </c>
      <c r="K177" s="3" t="str" cm="1">
        <f t="array" ref="K177">_xlfn.IFS(J177&lt;=13,"Child",J177&lt;=18,"Teenager",J177&lt;=30,"Young Adult",J177&lt;=50,"Middle Aged Adult",J177&gt;50,"Senior")</f>
        <v>Middle Aged Adult</v>
      </c>
      <c r="L177">
        <v>1</v>
      </c>
      <c r="M177">
        <v>0</v>
      </c>
      <c r="N177" s="1">
        <f t="shared" si="10"/>
        <v>2</v>
      </c>
      <c r="O177" s="1" t="str">
        <f t="shared" si="11"/>
        <v>With Family</v>
      </c>
      <c r="P177">
        <v>51.862499999999997</v>
      </c>
      <c r="Q177" s="1" t="str" cm="1">
        <f t="array" ref="Q177">_xlfn.IFS(P177&lt;=50,"Low",P177&lt;=100,"Medium",P177&gt;100,"High")</f>
        <v>Medium</v>
      </c>
      <c r="R177" t="s">
        <v>17</v>
      </c>
      <c r="S177" s="1" t="str" cm="1">
        <f t="array" ref="S177">_xlfn.IFS(R177="S","Southampton",R177="C","Cherbourg",R177="Q","Queenstown")</f>
        <v>Southampton</v>
      </c>
    </row>
    <row r="178" spans="1:19" x14ac:dyDescent="0.3">
      <c r="A178">
        <v>177</v>
      </c>
      <c r="B178">
        <v>1</v>
      </c>
      <c r="C178" s="1" t="str" cm="1">
        <f t="array" ref="C178">_xlfn.IFS(B178=1,"First Class",B178=2,"Second Class",B178=3,"Third Class")</f>
        <v>First Class</v>
      </c>
      <c r="D178">
        <v>1</v>
      </c>
      <c r="E178" s="1" t="str">
        <f t="shared" si="8"/>
        <v>Alive</v>
      </c>
      <c r="F178" t="s">
        <v>401</v>
      </c>
      <c r="G178" s="1" t="s">
        <v>3001</v>
      </c>
      <c r="H178" t="s">
        <v>15</v>
      </c>
      <c r="I178" s="1" t="str">
        <f t="shared" si="9"/>
        <v>Female</v>
      </c>
      <c r="J178" s="3">
        <v>29.881137667304014</v>
      </c>
      <c r="K178" s="3" t="str" cm="1">
        <f t="array" ref="K178">_xlfn.IFS(J178&lt;=13,"Child",J178&lt;=18,"Teenager",J178&lt;=30,"Young Adult",J178&lt;=50,"Middle Aged Adult",J178&gt;50,"Senior")</f>
        <v>Young Adult</v>
      </c>
      <c r="L178">
        <v>1</v>
      </c>
      <c r="M178">
        <v>0</v>
      </c>
      <c r="N178" s="1">
        <f t="shared" si="10"/>
        <v>2</v>
      </c>
      <c r="O178" s="1" t="str">
        <f t="shared" si="11"/>
        <v>With Family</v>
      </c>
      <c r="P178">
        <v>51.862499999999997</v>
      </c>
      <c r="Q178" s="1" t="str" cm="1">
        <f t="array" ref="Q178">_xlfn.IFS(P178&lt;=50,"Low",P178&lt;=100,"Medium",P178&gt;100,"High")</f>
        <v>Medium</v>
      </c>
      <c r="R178" t="s">
        <v>17</v>
      </c>
      <c r="S178" s="1" t="str" cm="1">
        <f t="array" ref="S178">_xlfn.IFS(R178="S","Southampton",R178="C","Cherbourg",R178="Q","Queenstown")</f>
        <v>Southampton</v>
      </c>
    </row>
    <row r="179" spans="1:19" x14ac:dyDescent="0.3">
      <c r="A179">
        <v>178</v>
      </c>
      <c r="B179">
        <v>1</v>
      </c>
      <c r="C179" s="1" t="str" cm="1">
        <f t="array" ref="C179">_xlfn.IFS(B179=1,"First Class",B179=2,"Second Class",B179=3,"Third Class")</f>
        <v>First Class</v>
      </c>
      <c r="D179">
        <v>1</v>
      </c>
      <c r="E179" s="1" t="str">
        <f t="shared" si="8"/>
        <v>Alive</v>
      </c>
      <c r="F179" t="s">
        <v>402</v>
      </c>
      <c r="G179" s="1" t="s">
        <v>2999</v>
      </c>
      <c r="H179" t="s">
        <v>20</v>
      </c>
      <c r="I179" s="1" t="str">
        <f t="shared" si="9"/>
        <v>Male</v>
      </c>
      <c r="J179" s="3">
        <v>42</v>
      </c>
      <c r="K179" s="3" t="str" cm="1">
        <f t="array" ref="K179">_xlfn.IFS(J179&lt;=13,"Child",J179&lt;=18,"Teenager",J179&lt;=30,"Young Adult",J179&lt;=50,"Middle Aged Adult",J179&gt;50,"Senior")</f>
        <v>Middle Aged Adult</v>
      </c>
      <c r="L179">
        <v>1</v>
      </c>
      <c r="M179">
        <v>0</v>
      </c>
      <c r="N179" s="1">
        <f t="shared" si="10"/>
        <v>2</v>
      </c>
      <c r="O179" s="1" t="str">
        <f t="shared" si="11"/>
        <v>With Family</v>
      </c>
      <c r="P179">
        <v>52.554200000000002</v>
      </c>
      <c r="Q179" s="1" t="str" cm="1">
        <f t="array" ref="Q179">_xlfn.IFS(P179&lt;=50,"Low",P179&lt;=100,"Medium",P179&gt;100,"High")</f>
        <v>Medium</v>
      </c>
      <c r="R179" t="s">
        <v>17</v>
      </c>
      <c r="S179" s="1" t="str" cm="1">
        <f t="array" ref="S179">_xlfn.IFS(R179="S","Southampton",R179="C","Cherbourg",R179="Q","Queenstown")</f>
        <v>Southampton</v>
      </c>
    </row>
    <row r="180" spans="1:19" x14ac:dyDescent="0.3">
      <c r="A180">
        <v>179</v>
      </c>
      <c r="B180">
        <v>1</v>
      </c>
      <c r="C180" s="1" t="str" cm="1">
        <f t="array" ref="C180">_xlfn.IFS(B180=1,"First Class",B180=2,"Second Class",B180=3,"Third Class")</f>
        <v>First Class</v>
      </c>
      <c r="D180">
        <v>1</v>
      </c>
      <c r="E180" s="1" t="str">
        <f t="shared" si="8"/>
        <v>Alive</v>
      </c>
      <c r="F180" t="s">
        <v>405</v>
      </c>
      <c r="G180" s="1" t="s">
        <v>3001</v>
      </c>
      <c r="H180" t="s">
        <v>15</v>
      </c>
      <c r="I180" s="1" t="str">
        <f t="shared" si="9"/>
        <v>Female</v>
      </c>
      <c r="J180" s="3">
        <v>45</v>
      </c>
      <c r="K180" s="3" t="str" cm="1">
        <f t="array" ref="K180">_xlfn.IFS(J180&lt;=13,"Child",J180&lt;=18,"Teenager",J180&lt;=30,"Young Adult",J180&lt;=50,"Middle Aged Adult",J180&gt;50,"Senior")</f>
        <v>Middle Aged Adult</v>
      </c>
      <c r="L180">
        <v>1</v>
      </c>
      <c r="M180">
        <v>0</v>
      </c>
      <c r="N180" s="1">
        <f t="shared" si="10"/>
        <v>2</v>
      </c>
      <c r="O180" s="1" t="str">
        <f t="shared" si="11"/>
        <v>With Family</v>
      </c>
      <c r="P180">
        <v>52.554200000000002</v>
      </c>
      <c r="Q180" s="1" t="str" cm="1">
        <f t="array" ref="Q180">_xlfn.IFS(P180&lt;=50,"Low",P180&lt;=100,"Medium",P180&gt;100,"High")</f>
        <v>Medium</v>
      </c>
      <c r="R180" t="s">
        <v>17</v>
      </c>
      <c r="S180" s="1" t="str" cm="1">
        <f t="array" ref="S180">_xlfn.IFS(R180="S","Southampton",R180="C","Cherbourg",R180="Q","Queenstown")</f>
        <v>Southampton</v>
      </c>
    </row>
    <row r="181" spans="1:19" x14ac:dyDescent="0.3">
      <c r="A181">
        <v>180</v>
      </c>
      <c r="B181">
        <v>1</v>
      </c>
      <c r="C181" s="1" t="str" cm="1">
        <f t="array" ref="C181">_xlfn.IFS(B181=1,"First Class",B181=2,"Second Class",B181=3,"Third Class")</f>
        <v>First Class</v>
      </c>
      <c r="D181">
        <v>0</v>
      </c>
      <c r="E181" s="1" t="str">
        <f t="shared" si="8"/>
        <v>Dead</v>
      </c>
      <c r="F181" t="s">
        <v>406</v>
      </c>
      <c r="G181" s="1" t="s">
        <v>2999</v>
      </c>
      <c r="H181" t="s">
        <v>20</v>
      </c>
      <c r="I181" s="1" t="str">
        <f t="shared" si="9"/>
        <v>Male</v>
      </c>
      <c r="J181" s="3">
        <v>29.881137667304014</v>
      </c>
      <c r="K181" s="3" t="str" cm="1">
        <f t="array" ref="K181">_xlfn.IFS(J181&lt;=13,"Child",J181&lt;=18,"Teenager",J181&lt;=30,"Young Adult",J181&lt;=50,"Middle Aged Adult",J181&gt;50,"Senior")</f>
        <v>Young Adult</v>
      </c>
      <c r="L181">
        <v>0</v>
      </c>
      <c r="M181">
        <v>0</v>
      </c>
      <c r="N181" s="1">
        <f t="shared" si="10"/>
        <v>1</v>
      </c>
      <c r="O181" s="1" t="str">
        <f t="shared" si="11"/>
        <v>Single</v>
      </c>
      <c r="P181">
        <v>26.55</v>
      </c>
      <c r="Q181" s="1" t="str" cm="1">
        <f t="array" ref="Q181">_xlfn.IFS(P181&lt;=50,"Low",P181&lt;=100,"Medium",P181&gt;100,"High")</f>
        <v>Low</v>
      </c>
      <c r="R181" t="s">
        <v>17</v>
      </c>
      <c r="S181" s="1" t="str" cm="1">
        <f t="array" ref="S181">_xlfn.IFS(R181="S","Southampton",R181="C","Cherbourg",R181="Q","Queenstown")</f>
        <v>Southampton</v>
      </c>
    </row>
    <row r="182" spans="1:19" x14ac:dyDescent="0.3">
      <c r="A182">
        <v>181</v>
      </c>
      <c r="B182">
        <v>1</v>
      </c>
      <c r="C182" s="1" t="str" cm="1">
        <f t="array" ref="C182">_xlfn.IFS(B182=1,"First Class",B182=2,"Second Class",B182=3,"Third Class")</f>
        <v>First Class</v>
      </c>
      <c r="D182">
        <v>1</v>
      </c>
      <c r="E182" s="1" t="str">
        <f t="shared" si="8"/>
        <v>Alive</v>
      </c>
      <c r="F182" t="s">
        <v>409</v>
      </c>
      <c r="G182" s="1" t="s">
        <v>2994</v>
      </c>
      <c r="H182" t="s">
        <v>15</v>
      </c>
      <c r="I182" s="1" t="str">
        <f t="shared" si="9"/>
        <v>Female</v>
      </c>
      <c r="J182" s="3">
        <v>39</v>
      </c>
      <c r="K182" s="3" t="str" cm="1">
        <f t="array" ref="K182">_xlfn.IFS(J182&lt;=13,"Child",J182&lt;=18,"Teenager",J182&lt;=30,"Young Adult",J182&lt;=50,"Middle Aged Adult",J182&gt;50,"Senior")</f>
        <v>Middle Aged Adult</v>
      </c>
      <c r="L182">
        <v>0</v>
      </c>
      <c r="M182">
        <v>0</v>
      </c>
      <c r="N182" s="1">
        <f t="shared" si="10"/>
        <v>1</v>
      </c>
      <c r="O182" s="1" t="str">
        <f t="shared" si="11"/>
        <v>Single</v>
      </c>
      <c r="P182">
        <v>211.33750000000001</v>
      </c>
      <c r="Q182" s="1" t="str" cm="1">
        <f t="array" ref="Q182">_xlfn.IFS(P182&lt;=50,"Low",P182&lt;=100,"Medium",P182&gt;100,"High")</f>
        <v>High</v>
      </c>
      <c r="R182" t="s">
        <v>17</v>
      </c>
      <c r="S182" s="1" t="str" cm="1">
        <f t="array" ref="S182">_xlfn.IFS(R182="S","Southampton",R182="C","Cherbourg",R182="Q","Queenstown")</f>
        <v>Southampton</v>
      </c>
    </row>
    <row r="183" spans="1:19" x14ac:dyDescent="0.3">
      <c r="A183">
        <v>182</v>
      </c>
      <c r="B183">
        <v>1</v>
      </c>
      <c r="C183" s="1" t="str" cm="1">
        <f t="array" ref="C183">_xlfn.IFS(B183=1,"First Class",B183=2,"Second Class",B183=3,"Third Class")</f>
        <v>First Class</v>
      </c>
      <c r="D183">
        <v>1</v>
      </c>
      <c r="E183" s="1" t="str">
        <f t="shared" si="8"/>
        <v>Alive</v>
      </c>
      <c r="F183" t="s">
        <v>410</v>
      </c>
      <c r="G183" s="1" t="s">
        <v>3040</v>
      </c>
      <c r="H183" t="s">
        <v>15</v>
      </c>
      <c r="I183" s="1" t="str">
        <f t="shared" si="9"/>
        <v>Female</v>
      </c>
      <c r="J183" s="3">
        <v>49</v>
      </c>
      <c r="K183" s="3" t="str" cm="1">
        <f t="array" ref="K183">_xlfn.IFS(J183&lt;=13,"Child",J183&lt;=18,"Teenager",J183&lt;=30,"Young Adult",J183&lt;=50,"Middle Aged Adult",J183&gt;50,"Senior")</f>
        <v>Middle Aged Adult</v>
      </c>
      <c r="L183">
        <v>0</v>
      </c>
      <c r="M183">
        <v>0</v>
      </c>
      <c r="N183" s="1">
        <f t="shared" si="10"/>
        <v>1</v>
      </c>
      <c r="O183" s="1" t="str">
        <f t="shared" si="11"/>
        <v>Single</v>
      </c>
      <c r="P183">
        <v>25.929200000000002</v>
      </c>
      <c r="Q183" s="1" t="str" cm="1">
        <f t="array" ref="Q183">_xlfn.IFS(P183&lt;=50,"Low",P183&lt;=100,"Medium",P183&gt;100,"High")</f>
        <v>Low</v>
      </c>
      <c r="R183" t="s">
        <v>17</v>
      </c>
      <c r="S183" s="1" t="str" cm="1">
        <f t="array" ref="S183">_xlfn.IFS(R183="S","Southampton",R183="C","Cherbourg",R183="Q","Queenstown")</f>
        <v>Southampton</v>
      </c>
    </row>
    <row r="184" spans="1:19" x14ac:dyDescent="0.3">
      <c r="A184">
        <v>183</v>
      </c>
      <c r="B184">
        <v>1</v>
      </c>
      <c r="C184" s="1" t="str" cm="1">
        <f t="array" ref="C184">_xlfn.IFS(B184=1,"First Class",B184=2,"Second Class",B184=3,"Third Class")</f>
        <v>First Class</v>
      </c>
      <c r="D184">
        <v>1</v>
      </c>
      <c r="E184" s="1" t="str">
        <f t="shared" si="8"/>
        <v>Alive</v>
      </c>
      <c r="F184" t="s">
        <v>412</v>
      </c>
      <c r="G184" s="1" t="s">
        <v>2994</v>
      </c>
      <c r="H184" t="s">
        <v>15</v>
      </c>
      <c r="I184" s="1" t="str">
        <f t="shared" si="9"/>
        <v>Female</v>
      </c>
      <c r="J184" s="3">
        <v>30</v>
      </c>
      <c r="K184" s="3" t="str" cm="1">
        <f t="array" ref="K184">_xlfn.IFS(J184&lt;=13,"Child",J184&lt;=18,"Teenager",J184&lt;=30,"Young Adult",J184&lt;=50,"Middle Aged Adult",J184&gt;50,"Senior")</f>
        <v>Young Adult</v>
      </c>
      <c r="L184">
        <v>0</v>
      </c>
      <c r="M184">
        <v>0</v>
      </c>
      <c r="N184" s="1">
        <f t="shared" si="10"/>
        <v>1</v>
      </c>
      <c r="O184" s="1" t="str">
        <f t="shared" si="11"/>
        <v>Single</v>
      </c>
      <c r="P184">
        <v>106.425</v>
      </c>
      <c r="Q184" s="1" t="str" cm="1">
        <f t="array" ref="Q184">_xlfn.IFS(P184&lt;=50,"Low",P184&lt;=100,"Medium",P184&gt;100,"High")</f>
        <v>High</v>
      </c>
      <c r="R184" t="s">
        <v>41</v>
      </c>
      <c r="S184" s="1" t="str" cm="1">
        <f t="array" ref="S184">_xlfn.IFS(R184="S","Southampton",R184="C","Cherbourg",R184="Q","Queenstown")</f>
        <v>Cherbourg</v>
      </c>
    </row>
    <row r="185" spans="1:19" x14ac:dyDescent="0.3">
      <c r="A185">
        <v>184</v>
      </c>
      <c r="B185">
        <v>1</v>
      </c>
      <c r="C185" s="1" t="str" cm="1">
        <f t="array" ref="C185">_xlfn.IFS(B185=1,"First Class",B185=2,"Second Class",B185=3,"Third Class")</f>
        <v>First Class</v>
      </c>
      <c r="D185">
        <v>1</v>
      </c>
      <c r="E185" s="1" t="str">
        <f t="shared" si="8"/>
        <v>Alive</v>
      </c>
      <c r="F185" t="s">
        <v>413</v>
      </c>
      <c r="G185" s="1" t="s">
        <v>2999</v>
      </c>
      <c r="H185" t="s">
        <v>20</v>
      </c>
      <c r="I185" s="1" t="str">
        <f t="shared" si="9"/>
        <v>Male</v>
      </c>
      <c r="J185" s="3">
        <v>35</v>
      </c>
      <c r="K185" s="3" t="str" cm="1">
        <f t="array" ref="K185">_xlfn.IFS(J185&lt;=13,"Child",J185&lt;=18,"Teenager",J185&lt;=30,"Young Adult",J185&lt;=50,"Middle Aged Adult",J185&gt;50,"Senior")</f>
        <v>Middle Aged Adult</v>
      </c>
      <c r="L185">
        <v>0</v>
      </c>
      <c r="M185">
        <v>0</v>
      </c>
      <c r="N185" s="1">
        <f t="shared" si="10"/>
        <v>1</v>
      </c>
      <c r="O185" s="1" t="str">
        <f t="shared" si="11"/>
        <v>Single</v>
      </c>
      <c r="P185">
        <v>512.32920000000001</v>
      </c>
      <c r="Q185" s="1" t="str" cm="1">
        <f t="array" ref="Q185">_xlfn.IFS(P185&lt;=50,"Low",P185&lt;=100,"Medium",P185&gt;100,"High")</f>
        <v>High</v>
      </c>
      <c r="R185" t="s">
        <v>41</v>
      </c>
      <c r="S185" s="1" t="str" cm="1">
        <f t="array" ref="S185">_xlfn.IFS(R185="S","Southampton",R185="C","Cherbourg",R185="Q","Queenstown")</f>
        <v>Cherbourg</v>
      </c>
    </row>
    <row r="186" spans="1:19" x14ac:dyDescent="0.3">
      <c r="A186">
        <v>185</v>
      </c>
      <c r="B186">
        <v>1</v>
      </c>
      <c r="C186" s="1" t="str" cm="1">
        <f t="array" ref="C186">_xlfn.IFS(B186=1,"First Class",B186=2,"Second Class",B186=3,"Third Class")</f>
        <v>First Class</v>
      </c>
      <c r="D186">
        <v>0</v>
      </c>
      <c r="E186" s="1" t="str">
        <f t="shared" si="8"/>
        <v>Dead</v>
      </c>
      <c r="F186" t="s">
        <v>415</v>
      </c>
      <c r="G186" s="1" t="s">
        <v>2999</v>
      </c>
      <c r="H186" t="s">
        <v>20</v>
      </c>
      <c r="I186" s="1" t="str">
        <f t="shared" si="9"/>
        <v>Male</v>
      </c>
      <c r="J186" s="3">
        <v>29.881137667304014</v>
      </c>
      <c r="K186" s="3" t="str" cm="1">
        <f t="array" ref="K186">_xlfn.IFS(J186&lt;=13,"Child",J186&lt;=18,"Teenager",J186&lt;=30,"Young Adult",J186&lt;=50,"Middle Aged Adult",J186&gt;50,"Senior")</f>
        <v>Young Adult</v>
      </c>
      <c r="L186">
        <v>0</v>
      </c>
      <c r="M186">
        <v>0</v>
      </c>
      <c r="N186" s="1">
        <f t="shared" si="10"/>
        <v>1</v>
      </c>
      <c r="O186" s="1" t="str">
        <f t="shared" si="11"/>
        <v>Single</v>
      </c>
      <c r="P186">
        <v>27.720800000000001</v>
      </c>
      <c r="Q186" s="1" t="str" cm="1">
        <f t="array" ref="Q186">_xlfn.IFS(P186&lt;=50,"Low",P186&lt;=100,"Medium",P186&gt;100,"High")</f>
        <v>Low</v>
      </c>
      <c r="R186" t="s">
        <v>41</v>
      </c>
      <c r="S186" s="1" t="str" cm="1">
        <f t="array" ref="S186">_xlfn.IFS(R186="S","Southampton",R186="C","Cherbourg",R186="Q","Queenstown")</f>
        <v>Cherbourg</v>
      </c>
    </row>
    <row r="187" spans="1:19" x14ac:dyDescent="0.3">
      <c r="A187">
        <v>186</v>
      </c>
      <c r="B187">
        <v>1</v>
      </c>
      <c r="C187" s="1" t="str" cm="1">
        <f t="array" ref="C187">_xlfn.IFS(B187=1,"First Class",B187=2,"Second Class",B187=3,"Third Class")</f>
        <v>First Class</v>
      </c>
      <c r="D187">
        <v>0</v>
      </c>
      <c r="E187" s="1" t="str">
        <f t="shared" si="8"/>
        <v>Dead</v>
      </c>
      <c r="F187" t="s">
        <v>417</v>
      </c>
      <c r="G187" s="1" t="s">
        <v>2999</v>
      </c>
      <c r="H187" t="s">
        <v>20</v>
      </c>
      <c r="I187" s="1" t="str">
        <f t="shared" si="9"/>
        <v>Male</v>
      </c>
      <c r="J187" s="3">
        <v>42</v>
      </c>
      <c r="K187" s="3" t="str" cm="1">
        <f t="array" ref="K187">_xlfn.IFS(J187&lt;=13,"Child",J187&lt;=18,"Teenager",J187&lt;=30,"Young Adult",J187&lt;=50,"Middle Aged Adult",J187&gt;50,"Senior")</f>
        <v>Middle Aged Adult</v>
      </c>
      <c r="L187">
        <v>0</v>
      </c>
      <c r="M187">
        <v>0</v>
      </c>
      <c r="N187" s="1">
        <f t="shared" si="10"/>
        <v>1</v>
      </c>
      <c r="O187" s="1" t="str">
        <f t="shared" si="11"/>
        <v>Single</v>
      </c>
      <c r="P187">
        <v>26.55</v>
      </c>
      <c r="Q187" s="1" t="str" cm="1">
        <f t="array" ref="Q187">_xlfn.IFS(P187&lt;=50,"Low",P187&lt;=100,"Medium",P187&gt;100,"High")</f>
        <v>Low</v>
      </c>
      <c r="R187" t="s">
        <v>17</v>
      </c>
      <c r="S187" s="1" t="str" cm="1">
        <f t="array" ref="S187">_xlfn.IFS(R187="S","Southampton",R187="C","Cherbourg",R187="Q","Queenstown")</f>
        <v>Southampton</v>
      </c>
    </row>
    <row r="188" spans="1:19" x14ac:dyDescent="0.3">
      <c r="A188">
        <v>187</v>
      </c>
      <c r="B188">
        <v>1</v>
      </c>
      <c r="C188" s="1" t="str" cm="1">
        <f t="array" ref="C188">_xlfn.IFS(B188=1,"First Class",B188=2,"Second Class",B188=3,"Third Class")</f>
        <v>First Class</v>
      </c>
      <c r="D188">
        <v>1</v>
      </c>
      <c r="E188" s="1" t="str">
        <f t="shared" si="8"/>
        <v>Alive</v>
      </c>
      <c r="F188" t="s">
        <v>419</v>
      </c>
      <c r="G188" s="1" t="s">
        <v>3001</v>
      </c>
      <c r="H188" t="s">
        <v>15</v>
      </c>
      <c r="I188" s="1" t="str">
        <f t="shared" si="9"/>
        <v>Female</v>
      </c>
      <c r="J188" s="3">
        <v>55</v>
      </c>
      <c r="K188" s="3" t="str" cm="1">
        <f t="array" ref="K188">_xlfn.IFS(J188&lt;=13,"Child",J188&lt;=18,"Teenager",J188&lt;=30,"Young Adult",J188&lt;=50,"Middle Aged Adult",J188&gt;50,"Senior")</f>
        <v>Senior</v>
      </c>
      <c r="L188">
        <v>0</v>
      </c>
      <c r="M188">
        <v>0</v>
      </c>
      <c r="N188" s="1">
        <f t="shared" si="10"/>
        <v>1</v>
      </c>
      <c r="O188" s="1" t="str">
        <f t="shared" si="11"/>
        <v>Single</v>
      </c>
      <c r="P188">
        <v>27.720800000000001</v>
      </c>
      <c r="Q188" s="1" t="str" cm="1">
        <f t="array" ref="Q188">_xlfn.IFS(P188&lt;=50,"Low",P188&lt;=100,"Medium",P188&gt;100,"High")</f>
        <v>Low</v>
      </c>
      <c r="R188" t="s">
        <v>41</v>
      </c>
      <c r="S188" s="1" t="str" cm="1">
        <f t="array" ref="S188">_xlfn.IFS(R188="S","Southampton",R188="C","Cherbourg",R188="Q","Queenstown")</f>
        <v>Cherbourg</v>
      </c>
    </row>
    <row r="189" spans="1:19" x14ac:dyDescent="0.3">
      <c r="A189">
        <v>188</v>
      </c>
      <c r="B189">
        <v>1</v>
      </c>
      <c r="C189" s="1" t="str" cm="1">
        <f t="array" ref="C189">_xlfn.IFS(B189=1,"First Class",B189=2,"Second Class",B189=3,"Third Class")</f>
        <v>First Class</v>
      </c>
      <c r="D189">
        <v>1</v>
      </c>
      <c r="E189" s="1" t="str">
        <f t="shared" si="8"/>
        <v>Alive</v>
      </c>
      <c r="F189" t="s">
        <v>420</v>
      </c>
      <c r="G189" s="1" t="s">
        <v>2994</v>
      </c>
      <c r="H189" t="s">
        <v>15</v>
      </c>
      <c r="I189" s="1" t="str">
        <f t="shared" si="9"/>
        <v>Female</v>
      </c>
      <c r="J189" s="3">
        <v>16</v>
      </c>
      <c r="K189" s="3" t="str" cm="1">
        <f t="array" ref="K189">_xlfn.IFS(J189&lt;=13,"Child",J189&lt;=18,"Teenager",J189&lt;=30,"Young Adult",J189&lt;=50,"Middle Aged Adult",J189&gt;50,"Senior")</f>
        <v>Teenager</v>
      </c>
      <c r="L189">
        <v>0</v>
      </c>
      <c r="M189">
        <v>1</v>
      </c>
      <c r="N189" s="1">
        <f t="shared" si="10"/>
        <v>2</v>
      </c>
      <c r="O189" s="1" t="str">
        <f t="shared" si="11"/>
        <v>With Family</v>
      </c>
      <c r="P189">
        <v>39.4</v>
      </c>
      <c r="Q189" s="1" t="str" cm="1">
        <f t="array" ref="Q189">_xlfn.IFS(P189&lt;=50,"Low",P189&lt;=100,"Medium",P189&gt;100,"High")</f>
        <v>Low</v>
      </c>
      <c r="R189" t="s">
        <v>17</v>
      </c>
      <c r="S189" s="1" t="str" cm="1">
        <f t="array" ref="S189">_xlfn.IFS(R189="S","Southampton",R189="C","Cherbourg",R189="Q","Queenstown")</f>
        <v>Southampton</v>
      </c>
    </row>
    <row r="190" spans="1:19" x14ac:dyDescent="0.3">
      <c r="A190">
        <v>189</v>
      </c>
      <c r="B190">
        <v>1</v>
      </c>
      <c r="C190" s="1" t="str" cm="1">
        <f t="array" ref="C190">_xlfn.IFS(B190=1,"First Class",B190=2,"Second Class",B190=3,"Third Class")</f>
        <v>First Class</v>
      </c>
      <c r="D190">
        <v>1</v>
      </c>
      <c r="E190" s="1" t="str">
        <f t="shared" si="8"/>
        <v>Alive</v>
      </c>
      <c r="F190" t="s">
        <v>423</v>
      </c>
      <c r="G190" s="1" t="s">
        <v>3001</v>
      </c>
      <c r="H190" t="s">
        <v>15</v>
      </c>
      <c r="I190" s="1" t="str">
        <f t="shared" si="9"/>
        <v>Female</v>
      </c>
      <c r="J190" s="3">
        <v>51</v>
      </c>
      <c r="K190" s="3" t="str" cm="1">
        <f t="array" ref="K190">_xlfn.IFS(J190&lt;=13,"Child",J190&lt;=18,"Teenager",J190&lt;=30,"Young Adult",J190&lt;=50,"Middle Aged Adult",J190&gt;50,"Senior")</f>
        <v>Senior</v>
      </c>
      <c r="L190">
        <v>0</v>
      </c>
      <c r="M190">
        <v>1</v>
      </c>
      <c r="N190" s="1">
        <f t="shared" si="10"/>
        <v>2</v>
      </c>
      <c r="O190" s="1" t="str">
        <f t="shared" si="11"/>
        <v>With Family</v>
      </c>
      <c r="P190">
        <v>39.4</v>
      </c>
      <c r="Q190" s="1" t="str" cm="1">
        <f t="array" ref="Q190">_xlfn.IFS(P190&lt;=50,"Low",P190&lt;=100,"Medium",P190&gt;100,"High")</f>
        <v>Low</v>
      </c>
      <c r="R190" t="s">
        <v>17</v>
      </c>
      <c r="S190" s="1" t="str" cm="1">
        <f t="array" ref="S190">_xlfn.IFS(R190="S","Southampton",R190="C","Cherbourg",R190="Q","Queenstown")</f>
        <v>Southampton</v>
      </c>
    </row>
    <row r="191" spans="1:19" x14ac:dyDescent="0.3">
      <c r="A191">
        <v>190</v>
      </c>
      <c r="B191">
        <v>1</v>
      </c>
      <c r="C191" s="1" t="str" cm="1">
        <f t="array" ref="C191">_xlfn.IFS(B191=1,"First Class",B191=2,"Second Class",B191=3,"Third Class")</f>
        <v>First Class</v>
      </c>
      <c r="D191">
        <v>0</v>
      </c>
      <c r="E191" s="1" t="str">
        <f t="shared" si="8"/>
        <v>Dead</v>
      </c>
      <c r="F191" t="s">
        <v>424</v>
      </c>
      <c r="G191" s="1" t="s">
        <v>2999</v>
      </c>
      <c r="H191" t="s">
        <v>20</v>
      </c>
      <c r="I191" s="1" t="str">
        <f t="shared" si="9"/>
        <v>Male</v>
      </c>
      <c r="J191" s="3">
        <v>29</v>
      </c>
      <c r="K191" s="3" t="str" cm="1">
        <f t="array" ref="K191">_xlfn.IFS(J191&lt;=13,"Child",J191&lt;=18,"Teenager",J191&lt;=30,"Young Adult",J191&lt;=50,"Middle Aged Adult",J191&gt;50,"Senior")</f>
        <v>Young Adult</v>
      </c>
      <c r="L191">
        <v>0</v>
      </c>
      <c r="M191">
        <v>0</v>
      </c>
      <c r="N191" s="1">
        <f t="shared" si="10"/>
        <v>1</v>
      </c>
      <c r="O191" s="1" t="str">
        <f t="shared" si="11"/>
        <v>Single</v>
      </c>
      <c r="P191">
        <v>30</v>
      </c>
      <c r="Q191" s="1" t="str" cm="1">
        <f t="array" ref="Q191">_xlfn.IFS(P191&lt;=50,"Low",P191&lt;=100,"Medium",P191&gt;100,"High")</f>
        <v>Low</v>
      </c>
      <c r="R191" t="s">
        <v>17</v>
      </c>
      <c r="S191" s="1" t="str" cm="1">
        <f t="array" ref="S191">_xlfn.IFS(R191="S","Southampton",R191="C","Cherbourg",R191="Q","Queenstown")</f>
        <v>Southampton</v>
      </c>
    </row>
    <row r="192" spans="1:19" x14ac:dyDescent="0.3">
      <c r="A192">
        <v>191</v>
      </c>
      <c r="B192">
        <v>1</v>
      </c>
      <c r="C192" s="1" t="str" cm="1">
        <f t="array" ref="C192">_xlfn.IFS(B192=1,"First Class",B192=2,"Second Class",B192=3,"Third Class")</f>
        <v>First Class</v>
      </c>
      <c r="D192">
        <v>1</v>
      </c>
      <c r="E192" s="1" t="str">
        <f t="shared" si="8"/>
        <v>Alive</v>
      </c>
      <c r="F192" t="s">
        <v>427</v>
      </c>
      <c r="G192" s="1" t="s">
        <v>2994</v>
      </c>
      <c r="H192" t="s">
        <v>15</v>
      </c>
      <c r="I192" s="1" t="str">
        <f t="shared" si="9"/>
        <v>Female</v>
      </c>
      <c r="J192" s="3">
        <v>21</v>
      </c>
      <c r="K192" s="3" t="str" cm="1">
        <f t="array" ref="K192">_xlfn.IFS(J192&lt;=13,"Child",J192&lt;=18,"Teenager",J192&lt;=30,"Young Adult",J192&lt;=50,"Middle Aged Adult",J192&gt;50,"Senior")</f>
        <v>Young Adult</v>
      </c>
      <c r="L192">
        <v>0</v>
      </c>
      <c r="M192">
        <v>0</v>
      </c>
      <c r="N192" s="1">
        <f t="shared" si="10"/>
        <v>1</v>
      </c>
      <c r="O192" s="1" t="str">
        <f t="shared" si="11"/>
        <v>Single</v>
      </c>
      <c r="P192">
        <v>77.958299999999994</v>
      </c>
      <c r="Q192" s="1" t="str" cm="1">
        <f t="array" ref="Q192">_xlfn.IFS(P192&lt;=50,"Low",P192&lt;=100,"Medium",P192&gt;100,"High")</f>
        <v>Medium</v>
      </c>
      <c r="R192" t="s">
        <v>17</v>
      </c>
      <c r="S192" s="1" t="str" cm="1">
        <f t="array" ref="S192">_xlfn.IFS(R192="S","Southampton",R192="C","Cherbourg",R192="Q","Queenstown")</f>
        <v>Southampton</v>
      </c>
    </row>
    <row r="193" spans="1:19" x14ac:dyDescent="0.3">
      <c r="A193">
        <v>192</v>
      </c>
      <c r="B193">
        <v>1</v>
      </c>
      <c r="C193" s="1" t="str" cm="1">
        <f t="array" ref="C193">_xlfn.IFS(B193=1,"First Class",B193=2,"Second Class",B193=3,"Third Class")</f>
        <v>First Class</v>
      </c>
      <c r="D193">
        <v>0</v>
      </c>
      <c r="E193" s="1" t="str">
        <f t="shared" si="8"/>
        <v>Dead</v>
      </c>
      <c r="F193" t="s">
        <v>429</v>
      </c>
      <c r="G193" s="1" t="s">
        <v>2999</v>
      </c>
      <c r="H193" t="s">
        <v>20</v>
      </c>
      <c r="I193" s="1" t="str">
        <f t="shared" si="9"/>
        <v>Male</v>
      </c>
      <c r="J193" s="3">
        <v>30</v>
      </c>
      <c r="K193" s="3" t="str" cm="1">
        <f t="array" ref="K193">_xlfn.IFS(J193&lt;=13,"Child",J193&lt;=18,"Teenager",J193&lt;=30,"Young Adult",J193&lt;=50,"Middle Aged Adult",J193&gt;50,"Senior")</f>
        <v>Young Adult</v>
      </c>
      <c r="L193">
        <v>0</v>
      </c>
      <c r="M193">
        <v>0</v>
      </c>
      <c r="N193" s="1">
        <f t="shared" si="10"/>
        <v>1</v>
      </c>
      <c r="O193" s="1" t="str">
        <f t="shared" si="11"/>
        <v>Single</v>
      </c>
      <c r="P193">
        <v>45.5</v>
      </c>
      <c r="Q193" s="1" t="str" cm="1">
        <f t="array" ref="Q193">_xlfn.IFS(P193&lt;=50,"Low",P193&lt;=100,"Medium",P193&gt;100,"High")</f>
        <v>Low</v>
      </c>
      <c r="R193" t="s">
        <v>17</v>
      </c>
      <c r="S193" s="1" t="str" cm="1">
        <f t="array" ref="S193">_xlfn.IFS(R193="S","Southampton",R193="C","Cherbourg",R193="Q","Queenstown")</f>
        <v>Southampton</v>
      </c>
    </row>
    <row r="194" spans="1:19" x14ac:dyDescent="0.3">
      <c r="A194">
        <v>193</v>
      </c>
      <c r="B194">
        <v>1</v>
      </c>
      <c r="C194" s="1" t="str" cm="1">
        <f t="array" ref="C194">_xlfn.IFS(B194=1,"First Class",B194=2,"Second Class",B194=3,"Third Class")</f>
        <v>First Class</v>
      </c>
      <c r="D194">
        <v>1</v>
      </c>
      <c r="E194" s="1" t="str">
        <f t="shared" si="8"/>
        <v>Alive</v>
      </c>
      <c r="F194" t="s">
        <v>431</v>
      </c>
      <c r="G194" s="1" t="s">
        <v>2994</v>
      </c>
      <c r="H194" t="s">
        <v>15</v>
      </c>
      <c r="I194" s="1" t="str">
        <f t="shared" si="9"/>
        <v>Female</v>
      </c>
      <c r="J194" s="3">
        <v>58</v>
      </c>
      <c r="K194" s="3" t="str" cm="1">
        <f t="array" ref="K194">_xlfn.IFS(J194&lt;=13,"Child",J194&lt;=18,"Teenager",J194&lt;=30,"Young Adult",J194&lt;=50,"Middle Aged Adult",J194&gt;50,"Senior")</f>
        <v>Senior</v>
      </c>
      <c r="L194">
        <v>0</v>
      </c>
      <c r="M194">
        <v>0</v>
      </c>
      <c r="N194" s="1">
        <f t="shared" si="10"/>
        <v>1</v>
      </c>
      <c r="O194" s="1" t="str">
        <f t="shared" si="11"/>
        <v>Single</v>
      </c>
      <c r="P194">
        <v>146.52080000000001</v>
      </c>
      <c r="Q194" s="1" t="str" cm="1">
        <f t="array" ref="Q194">_xlfn.IFS(P194&lt;=50,"Low",P194&lt;=100,"Medium",P194&gt;100,"High")</f>
        <v>High</v>
      </c>
      <c r="R194" t="s">
        <v>41</v>
      </c>
      <c r="S194" s="1" t="str" cm="1">
        <f t="array" ref="S194">_xlfn.IFS(R194="S","Southampton",R194="C","Cherbourg",R194="Q","Queenstown")</f>
        <v>Cherbourg</v>
      </c>
    </row>
    <row r="195" spans="1:19" x14ac:dyDescent="0.3">
      <c r="A195">
        <v>194</v>
      </c>
      <c r="B195">
        <v>1</v>
      </c>
      <c r="C195" s="1" t="str" cm="1">
        <f t="array" ref="C195">_xlfn.IFS(B195=1,"First Class",B195=2,"Second Class",B195=3,"Third Class")</f>
        <v>First Class</v>
      </c>
      <c r="D195">
        <v>1</v>
      </c>
      <c r="E195" s="1" t="str">
        <f t="shared" ref="E195:E258" si="12">IF(D195=0,"Dead","Alive")</f>
        <v>Alive</v>
      </c>
      <c r="F195" t="s">
        <v>434</v>
      </c>
      <c r="G195" s="1" t="s">
        <v>2994</v>
      </c>
      <c r="H195" t="s">
        <v>15</v>
      </c>
      <c r="I195" s="1" t="str">
        <f t="shared" ref="I195:I258" si="13">PROPER(H195)</f>
        <v>Female</v>
      </c>
      <c r="J195" s="3">
        <v>15</v>
      </c>
      <c r="K195" s="3" t="str" cm="1">
        <f t="array" ref="K195">_xlfn.IFS(J195&lt;=13,"Child",J195&lt;=18,"Teenager",J195&lt;=30,"Young Adult",J195&lt;=50,"Middle Aged Adult",J195&gt;50,"Senior")</f>
        <v>Teenager</v>
      </c>
      <c r="L195">
        <v>0</v>
      </c>
      <c r="M195">
        <v>1</v>
      </c>
      <c r="N195" s="1">
        <f t="shared" ref="N195:N258" si="14">L195+M195+1</f>
        <v>2</v>
      </c>
      <c r="O195" s="1" t="str">
        <f t="shared" ref="O195:O258" si="15">IF(N195=1,"Single","With Family")</f>
        <v>With Family</v>
      </c>
      <c r="P195">
        <v>211.33750000000001</v>
      </c>
      <c r="Q195" s="1" t="str" cm="1">
        <f t="array" ref="Q195">_xlfn.IFS(P195&lt;=50,"Low",P195&lt;=100,"Medium",P195&gt;100,"High")</f>
        <v>High</v>
      </c>
      <c r="R195" t="s">
        <v>17</v>
      </c>
      <c r="S195" s="1" t="str" cm="1">
        <f t="array" ref="S195">_xlfn.IFS(R195="S","Southampton",R195="C","Cherbourg",R195="Q","Queenstown")</f>
        <v>Southampton</v>
      </c>
    </row>
    <row r="196" spans="1:19" x14ac:dyDescent="0.3">
      <c r="A196">
        <v>195</v>
      </c>
      <c r="B196">
        <v>1</v>
      </c>
      <c r="C196" s="1" t="str" cm="1">
        <f t="array" ref="C196">_xlfn.IFS(B196=1,"First Class",B196=2,"Second Class",B196=3,"Third Class")</f>
        <v>First Class</v>
      </c>
      <c r="D196">
        <v>0</v>
      </c>
      <c r="E196" s="1" t="str">
        <f t="shared" si="12"/>
        <v>Dead</v>
      </c>
      <c r="F196" t="s">
        <v>435</v>
      </c>
      <c r="G196" s="1" t="s">
        <v>2999</v>
      </c>
      <c r="H196" t="s">
        <v>20</v>
      </c>
      <c r="I196" s="1" t="str">
        <f t="shared" si="13"/>
        <v>Male</v>
      </c>
      <c r="J196" s="3">
        <v>30</v>
      </c>
      <c r="K196" s="3" t="str" cm="1">
        <f t="array" ref="K196">_xlfn.IFS(J196&lt;=13,"Child",J196&lt;=18,"Teenager",J196&lt;=30,"Young Adult",J196&lt;=50,"Middle Aged Adult",J196&gt;50,"Senior")</f>
        <v>Young Adult</v>
      </c>
      <c r="L196">
        <v>0</v>
      </c>
      <c r="M196">
        <v>0</v>
      </c>
      <c r="N196" s="1">
        <f t="shared" si="14"/>
        <v>1</v>
      </c>
      <c r="O196" s="1" t="str">
        <f t="shared" si="15"/>
        <v>Single</v>
      </c>
      <c r="P196">
        <v>26</v>
      </c>
      <c r="Q196" s="1" t="str" cm="1">
        <f t="array" ref="Q196">_xlfn.IFS(P196&lt;=50,"Low",P196&lt;=100,"Medium",P196&gt;100,"High")</f>
        <v>Low</v>
      </c>
      <c r="R196" t="s">
        <v>17</v>
      </c>
      <c r="S196" s="1" t="str" cm="1">
        <f t="array" ref="S196">_xlfn.IFS(R196="S","Southampton",R196="C","Cherbourg",R196="Q","Queenstown")</f>
        <v>Southampton</v>
      </c>
    </row>
    <row r="197" spans="1:19" x14ac:dyDescent="0.3">
      <c r="A197">
        <v>196</v>
      </c>
      <c r="B197">
        <v>1</v>
      </c>
      <c r="C197" s="1" t="str" cm="1">
        <f t="array" ref="C197">_xlfn.IFS(B197=1,"First Class",B197=2,"Second Class",B197=3,"Third Class")</f>
        <v>First Class</v>
      </c>
      <c r="D197">
        <v>1</v>
      </c>
      <c r="E197" s="1" t="str">
        <f t="shared" si="12"/>
        <v>Alive</v>
      </c>
      <c r="F197" t="s">
        <v>438</v>
      </c>
      <c r="G197" s="1" t="s">
        <v>2994</v>
      </c>
      <c r="H197" t="s">
        <v>15</v>
      </c>
      <c r="I197" s="1" t="str">
        <f t="shared" si="13"/>
        <v>Female</v>
      </c>
      <c r="J197" s="3">
        <v>16</v>
      </c>
      <c r="K197" s="3" t="str" cm="1">
        <f t="array" ref="K197">_xlfn.IFS(J197&lt;=13,"Child",J197&lt;=18,"Teenager",J197&lt;=30,"Young Adult",J197&lt;=50,"Middle Aged Adult",J197&gt;50,"Senior")</f>
        <v>Teenager</v>
      </c>
      <c r="L197">
        <v>0</v>
      </c>
      <c r="M197">
        <v>0</v>
      </c>
      <c r="N197" s="1">
        <f t="shared" si="14"/>
        <v>1</v>
      </c>
      <c r="O197" s="1" t="str">
        <f t="shared" si="15"/>
        <v>Single</v>
      </c>
      <c r="P197">
        <v>86.5</v>
      </c>
      <c r="Q197" s="1" t="str" cm="1">
        <f t="array" ref="Q197">_xlfn.IFS(P197&lt;=50,"Low",P197&lt;=100,"Medium",P197&gt;100,"High")</f>
        <v>Medium</v>
      </c>
      <c r="R197" t="s">
        <v>17</v>
      </c>
      <c r="S197" s="1" t="str" cm="1">
        <f t="array" ref="S197">_xlfn.IFS(R197="S","Southampton",R197="C","Cherbourg",R197="Q","Queenstown")</f>
        <v>Southampton</v>
      </c>
    </row>
    <row r="198" spans="1:19" x14ac:dyDescent="0.3">
      <c r="A198">
        <v>197</v>
      </c>
      <c r="B198">
        <v>1</v>
      </c>
      <c r="C198" s="1" t="str" cm="1">
        <f t="array" ref="C198">_xlfn.IFS(B198=1,"First Class",B198=2,"Second Class",B198=3,"Third Class")</f>
        <v>First Class</v>
      </c>
      <c r="D198">
        <v>1</v>
      </c>
      <c r="E198" s="1" t="str">
        <f t="shared" si="12"/>
        <v>Alive</v>
      </c>
      <c r="F198" t="s">
        <v>440</v>
      </c>
      <c r="G198" s="1" t="s">
        <v>2999</v>
      </c>
      <c r="H198" t="s">
        <v>20</v>
      </c>
      <c r="I198" s="1" t="str">
        <f t="shared" si="13"/>
        <v>Male</v>
      </c>
      <c r="J198" s="3">
        <v>29.881137667304014</v>
      </c>
      <c r="K198" s="3" t="str" cm="1">
        <f t="array" ref="K198">_xlfn.IFS(J198&lt;=13,"Child",J198&lt;=18,"Teenager",J198&lt;=30,"Young Adult",J198&lt;=50,"Middle Aged Adult",J198&gt;50,"Senior")</f>
        <v>Young Adult</v>
      </c>
      <c r="L198">
        <v>0</v>
      </c>
      <c r="M198">
        <v>0</v>
      </c>
      <c r="N198" s="1">
        <f t="shared" si="14"/>
        <v>1</v>
      </c>
      <c r="O198" s="1" t="str">
        <f t="shared" si="15"/>
        <v>Single</v>
      </c>
      <c r="P198">
        <v>29.7</v>
      </c>
      <c r="Q198" s="1" t="str" cm="1">
        <f t="array" ref="Q198">_xlfn.IFS(P198&lt;=50,"Low",P198&lt;=100,"Medium",P198&gt;100,"High")</f>
        <v>Low</v>
      </c>
      <c r="R198" t="s">
        <v>41</v>
      </c>
      <c r="S198" s="1" t="str" cm="1">
        <f t="array" ref="S198">_xlfn.IFS(R198="S","Southampton",R198="C","Cherbourg",R198="Q","Queenstown")</f>
        <v>Cherbourg</v>
      </c>
    </row>
    <row r="199" spans="1:19" x14ac:dyDescent="0.3">
      <c r="A199">
        <v>198</v>
      </c>
      <c r="B199">
        <v>1</v>
      </c>
      <c r="C199" s="1" t="str" cm="1">
        <f t="array" ref="C199">_xlfn.IFS(B199=1,"First Class",B199=2,"Second Class",B199=3,"Third Class")</f>
        <v>First Class</v>
      </c>
      <c r="D199">
        <v>0</v>
      </c>
      <c r="E199" s="1" t="str">
        <f t="shared" si="12"/>
        <v>Dead</v>
      </c>
      <c r="F199" t="s">
        <v>442</v>
      </c>
      <c r="G199" s="1" t="s">
        <v>2999</v>
      </c>
      <c r="H199" t="s">
        <v>20</v>
      </c>
      <c r="I199" s="1" t="str">
        <f t="shared" si="13"/>
        <v>Male</v>
      </c>
      <c r="J199" s="3">
        <v>19</v>
      </c>
      <c r="K199" s="3" t="str" cm="1">
        <f t="array" ref="K199">_xlfn.IFS(J199&lt;=13,"Child",J199&lt;=18,"Teenager",J199&lt;=30,"Young Adult",J199&lt;=50,"Middle Aged Adult",J199&gt;50,"Senior")</f>
        <v>Young Adult</v>
      </c>
      <c r="L199">
        <v>1</v>
      </c>
      <c r="M199">
        <v>0</v>
      </c>
      <c r="N199" s="1">
        <f t="shared" si="14"/>
        <v>2</v>
      </c>
      <c r="O199" s="1" t="str">
        <f t="shared" si="15"/>
        <v>With Family</v>
      </c>
      <c r="P199">
        <v>53.1</v>
      </c>
      <c r="Q199" s="1" t="str" cm="1">
        <f t="array" ref="Q199">_xlfn.IFS(P199&lt;=50,"Low",P199&lt;=100,"Medium",P199&gt;100,"High")</f>
        <v>Medium</v>
      </c>
      <c r="R199" t="s">
        <v>17</v>
      </c>
      <c r="S199" s="1" t="str" cm="1">
        <f t="array" ref="S199">_xlfn.IFS(R199="S","Southampton",R199="C","Cherbourg",R199="Q","Queenstown")</f>
        <v>Southampton</v>
      </c>
    </row>
    <row r="200" spans="1:19" x14ac:dyDescent="0.3">
      <c r="A200">
        <v>199</v>
      </c>
      <c r="B200">
        <v>1</v>
      </c>
      <c r="C200" s="1" t="str" cm="1">
        <f t="array" ref="C200">_xlfn.IFS(B200=1,"First Class",B200=2,"Second Class",B200=3,"Third Class")</f>
        <v>First Class</v>
      </c>
      <c r="D200">
        <v>1</v>
      </c>
      <c r="E200" s="1" t="str">
        <f t="shared" si="12"/>
        <v>Alive</v>
      </c>
      <c r="F200" t="s">
        <v>444</v>
      </c>
      <c r="G200" s="1" t="s">
        <v>3001</v>
      </c>
      <c r="H200" t="s">
        <v>15</v>
      </c>
      <c r="I200" s="1" t="str">
        <f t="shared" si="13"/>
        <v>Female</v>
      </c>
      <c r="J200" s="3">
        <v>18</v>
      </c>
      <c r="K200" s="3" t="str" cm="1">
        <f t="array" ref="K200">_xlfn.IFS(J200&lt;=13,"Child",J200&lt;=18,"Teenager",J200&lt;=30,"Young Adult",J200&lt;=50,"Middle Aged Adult",J200&gt;50,"Senior")</f>
        <v>Teenager</v>
      </c>
      <c r="L200">
        <v>1</v>
      </c>
      <c r="M200">
        <v>0</v>
      </c>
      <c r="N200" s="1">
        <f t="shared" si="14"/>
        <v>2</v>
      </c>
      <c r="O200" s="1" t="str">
        <f t="shared" si="15"/>
        <v>With Family</v>
      </c>
      <c r="P200">
        <v>53.1</v>
      </c>
      <c r="Q200" s="1" t="str" cm="1">
        <f t="array" ref="Q200">_xlfn.IFS(P200&lt;=50,"Low",P200&lt;=100,"Medium",P200&gt;100,"High")</f>
        <v>Medium</v>
      </c>
      <c r="R200" t="s">
        <v>17</v>
      </c>
      <c r="S200" s="1" t="str" cm="1">
        <f t="array" ref="S200">_xlfn.IFS(R200="S","Southampton",R200="C","Cherbourg",R200="Q","Queenstown")</f>
        <v>Southampton</v>
      </c>
    </row>
    <row r="201" spans="1:19" x14ac:dyDescent="0.3">
      <c r="A201">
        <v>200</v>
      </c>
      <c r="B201">
        <v>1</v>
      </c>
      <c r="C201" s="1" t="str" cm="1">
        <f t="array" ref="C201">_xlfn.IFS(B201=1,"First Class",B201=2,"Second Class",B201=3,"Third Class")</f>
        <v>First Class</v>
      </c>
      <c r="D201">
        <v>1</v>
      </c>
      <c r="E201" s="1" t="str">
        <f t="shared" si="12"/>
        <v>Alive</v>
      </c>
      <c r="F201" t="s">
        <v>445</v>
      </c>
      <c r="G201" s="1" t="s">
        <v>3202</v>
      </c>
      <c r="H201" t="s">
        <v>15</v>
      </c>
      <c r="I201" s="1" t="str">
        <f t="shared" si="13"/>
        <v>Female</v>
      </c>
      <c r="J201" s="3">
        <v>24</v>
      </c>
      <c r="K201" s="3" t="str" cm="1">
        <f t="array" ref="K201">_xlfn.IFS(J201&lt;=13,"Child",J201&lt;=18,"Teenager",J201&lt;=30,"Young Adult",J201&lt;=50,"Middle Aged Adult",J201&gt;50,"Senior")</f>
        <v>Young Adult</v>
      </c>
      <c r="L201">
        <v>0</v>
      </c>
      <c r="M201">
        <v>0</v>
      </c>
      <c r="N201" s="1">
        <f t="shared" si="14"/>
        <v>1</v>
      </c>
      <c r="O201" s="1" t="str">
        <f t="shared" si="15"/>
        <v>Single</v>
      </c>
      <c r="P201">
        <v>49.504199999999997</v>
      </c>
      <c r="Q201" s="1" t="str" cm="1">
        <f t="array" ref="Q201">_xlfn.IFS(P201&lt;=50,"Low",P201&lt;=100,"Medium",P201&gt;100,"High")</f>
        <v>Low</v>
      </c>
      <c r="R201" t="s">
        <v>41</v>
      </c>
      <c r="S201" s="1" t="str" cm="1">
        <f t="array" ref="S201">_xlfn.IFS(R201="S","Southampton",R201="C","Cherbourg",R201="Q","Queenstown")</f>
        <v>Cherbourg</v>
      </c>
    </row>
    <row r="202" spans="1:19" x14ac:dyDescent="0.3">
      <c r="A202">
        <v>201</v>
      </c>
      <c r="B202">
        <v>1</v>
      </c>
      <c r="C202" s="1" t="str" cm="1">
        <f t="array" ref="C202">_xlfn.IFS(B202=1,"First Class",B202=2,"Second Class",B202=3,"Third Class")</f>
        <v>First Class</v>
      </c>
      <c r="D202">
        <v>0</v>
      </c>
      <c r="E202" s="1" t="str">
        <f t="shared" si="12"/>
        <v>Dead</v>
      </c>
      <c r="F202" t="s">
        <v>449</v>
      </c>
      <c r="G202" s="1" t="s">
        <v>2999</v>
      </c>
      <c r="H202" t="s">
        <v>20</v>
      </c>
      <c r="I202" s="1" t="str">
        <f t="shared" si="13"/>
        <v>Male</v>
      </c>
      <c r="J202" s="3">
        <v>46</v>
      </c>
      <c r="K202" s="3" t="str" cm="1">
        <f t="array" ref="K202">_xlfn.IFS(J202&lt;=13,"Child",J202&lt;=18,"Teenager",J202&lt;=30,"Young Adult",J202&lt;=50,"Middle Aged Adult",J202&gt;50,"Senior")</f>
        <v>Middle Aged Adult</v>
      </c>
      <c r="L202">
        <v>0</v>
      </c>
      <c r="M202">
        <v>0</v>
      </c>
      <c r="N202" s="1">
        <f t="shared" si="14"/>
        <v>1</v>
      </c>
      <c r="O202" s="1" t="str">
        <f t="shared" si="15"/>
        <v>Single</v>
      </c>
      <c r="P202">
        <v>75.241699999999994</v>
      </c>
      <c r="Q202" s="1" t="str" cm="1">
        <f t="array" ref="Q202">_xlfn.IFS(P202&lt;=50,"Low",P202&lt;=100,"Medium",P202&gt;100,"High")</f>
        <v>Medium</v>
      </c>
      <c r="R202" t="s">
        <v>41</v>
      </c>
      <c r="S202" s="1" t="str" cm="1">
        <f t="array" ref="S202">_xlfn.IFS(R202="S","Southampton",R202="C","Cherbourg",R202="Q","Queenstown")</f>
        <v>Cherbourg</v>
      </c>
    </row>
    <row r="203" spans="1:19" x14ac:dyDescent="0.3">
      <c r="A203">
        <v>202</v>
      </c>
      <c r="B203">
        <v>1</v>
      </c>
      <c r="C203" s="1" t="str" cm="1">
        <f t="array" ref="C203">_xlfn.IFS(B203=1,"First Class",B203=2,"Second Class",B203=3,"Third Class")</f>
        <v>First Class</v>
      </c>
      <c r="D203">
        <v>0</v>
      </c>
      <c r="E203" s="1" t="str">
        <f t="shared" si="12"/>
        <v>Dead</v>
      </c>
      <c r="F203" t="s">
        <v>451</v>
      </c>
      <c r="G203" s="1" t="s">
        <v>2999</v>
      </c>
      <c r="H203" t="s">
        <v>20</v>
      </c>
      <c r="I203" s="1" t="str">
        <f t="shared" si="13"/>
        <v>Male</v>
      </c>
      <c r="J203" s="3">
        <v>54</v>
      </c>
      <c r="K203" s="3" t="str" cm="1">
        <f t="array" ref="K203">_xlfn.IFS(J203&lt;=13,"Child",J203&lt;=18,"Teenager",J203&lt;=30,"Young Adult",J203&lt;=50,"Middle Aged Adult",J203&gt;50,"Senior")</f>
        <v>Senior</v>
      </c>
      <c r="L203">
        <v>0</v>
      </c>
      <c r="M203">
        <v>0</v>
      </c>
      <c r="N203" s="1">
        <f t="shared" si="14"/>
        <v>1</v>
      </c>
      <c r="O203" s="1" t="str">
        <f t="shared" si="15"/>
        <v>Single</v>
      </c>
      <c r="P203">
        <v>51.862499999999997</v>
      </c>
      <c r="Q203" s="1" t="str" cm="1">
        <f t="array" ref="Q203">_xlfn.IFS(P203&lt;=50,"Low",P203&lt;=100,"Medium",P203&gt;100,"High")</f>
        <v>Medium</v>
      </c>
      <c r="R203" t="s">
        <v>17</v>
      </c>
      <c r="S203" s="1" t="str" cm="1">
        <f t="array" ref="S203">_xlfn.IFS(R203="S","Southampton",R203="C","Cherbourg",R203="Q","Queenstown")</f>
        <v>Southampton</v>
      </c>
    </row>
    <row r="204" spans="1:19" x14ac:dyDescent="0.3">
      <c r="A204">
        <v>203</v>
      </c>
      <c r="B204">
        <v>1</v>
      </c>
      <c r="C204" s="1" t="str" cm="1">
        <f t="array" ref="C204">_xlfn.IFS(B204=1,"First Class",B204=2,"Second Class",B204=3,"Third Class")</f>
        <v>First Class</v>
      </c>
      <c r="D204">
        <v>1</v>
      </c>
      <c r="E204" s="1" t="str">
        <f t="shared" si="12"/>
        <v>Alive</v>
      </c>
      <c r="F204" t="s">
        <v>453</v>
      </c>
      <c r="G204" s="1" t="s">
        <v>2999</v>
      </c>
      <c r="H204" t="s">
        <v>20</v>
      </c>
      <c r="I204" s="1" t="str">
        <f t="shared" si="13"/>
        <v>Male</v>
      </c>
      <c r="J204" s="3">
        <v>36</v>
      </c>
      <c r="K204" s="3" t="str" cm="1">
        <f t="array" ref="K204">_xlfn.IFS(J204&lt;=13,"Child",J204&lt;=18,"Teenager",J204&lt;=30,"Young Adult",J204&lt;=50,"Middle Aged Adult",J204&gt;50,"Senior")</f>
        <v>Middle Aged Adult</v>
      </c>
      <c r="L204">
        <v>0</v>
      </c>
      <c r="M204">
        <v>0</v>
      </c>
      <c r="N204" s="1">
        <f t="shared" si="14"/>
        <v>1</v>
      </c>
      <c r="O204" s="1" t="str">
        <f t="shared" si="15"/>
        <v>Single</v>
      </c>
      <c r="P204">
        <v>26.287500000000001</v>
      </c>
      <c r="Q204" s="1" t="str" cm="1">
        <f t="array" ref="Q204">_xlfn.IFS(P204&lt;=50,"Low",P204&lt;=100,"Medium",P204&gt;100,"High")</f>
        <v>Low</v>
      </c>
      <c r="R204" t="s">
        <v>17</v>
      </c>
      <c r="S204" s="1" t="str" cm="1">
        <f t="array" ref="S204">_xlfn.IFS(R204="S","Southampton",R204="C","Cherbourg",R204="Q","Queenstown")</f>
        <v>Southampton</v>
      </c>
    </row>
    <row r="205" spans="1:19" x14ac:dyDescent="0.3">
      <c r="A205">
        <v>204</v>
      </c>
      <c r="B205">
        <v>1</v>
      </c>
      <c r="C205" s="1" t="str" cm="1">
        <f t="array" ref="C205">_xlfn.IFS(B205=1,"First Class",B205=2,"Second Class",B205=3,"Third Class")</f>
        <v>First Class</v>
      </c>
      <c r="D205">
        <v>0</v>
      </c>
      <c r="E205" s="1" t="str">
        <f t="shared" si="12"/>
        <v>Dead</v>
      </c>
      <c r="F205" t="s">
        <v>455</v>
      </c>
      <c r="G205" s="1" t="s">
        <v>2999</v>
      </c>
      <c r="H205" t="s">
        <v>20</v>
      </c>
      <c r="I205" s="1" t="str">
        <f t="shared" si="13"/>
        <v>Male</v>
      </c>
      <c r="J205" s="3">
        <v>28</v>
      </c>
      <c r="K205" s="3" t="str" cm="1">
        <f t="array" ref="K205">_xlfn.IFS(J205&lt;=13,"Child",J205&lt;=18,"Teenager",J205&lt;=30,"Young Adult",J205&lt;=50,"Middle Aged Adult",J205&gt;50,"Senior")</f>
        <v>Young Adult</v>
      </c>
      <c r="L205">
        <v>1</v>
      </c>
      <c r="M205">
        <v>0</v>
      </c>
      <c r="N205" s="1">
        <f t="shared" si="14"/>
        <v>2</v>
      </c>
      <c r="O205" s="1" t="str">
        <f t="shared" si="15"/>
        <v>With Family</v>
      </c>
      <c r="P205">
        <v>82.1708</v>
      </c>
      <c r="Q205" s="1" t="str" cm="1">
        <f t="array" ref="Q205">_xlfn.IFS(P205&lt;=50,"Low",P205&lt;=100,"Medium",P205&gt;100,"High")</f>
        <v>Medium</v>
      </c>
      <c r="R205" t="s">
        <v>41</v>
      </c>
      <c r="S205" s="1" t="str" cm="1">
        <f t="array" ref="S205">_xlfn.IFS(R205="S","Southampton",R205="C","Cherbourg",R205="Q","Queenstown")</f>
        <v>Cherbourg</v>
      </c>
    </row>
    <row r="206" spans="1:19" x14ac:dyDescent="0.3">
      <c r="A206">
        <v>205</v>
      </c>
      <c r="B206">
        <v>1</v>
      </c>
      <c r="C206" s="1" t="str" cm="1">
        <f t="array" ref="C206">_xlfn.IFS(B206=1,"First Class",B206=2,"Second Class",B206=3,"Third Class")</f>
        <v>First Class</v>
      </c>
      <c r="D206">
        <v>1</v>
      </c>
      <c r="E206" s="1" t="str">
        <f t="shared" si="12"/>
        <v>Alive</v>
      </c>
      <c r="F206" t="s">
        <v>457</v>
      </c>
      <c r="G206" s="1" t="s">
        <v>3001</v>
      </c>
      <c r="H206" t="s">
        <v>15</v>
      </c>
      <c r="I206" s="1" t="str">
        <f t="shared" si="13"/>
        <v>Female</v>
      </c>
      <c r="J206" s="3">
        <v>29.881137667304014</v>
      </c>
      <c r="K206" s="3" t="str" cm="1">
        <f t="array" ref="K206">_xlfn.IFS(J206&lt;=13,"Child",J206&lt;=18,"Teenager",J206&lt;=30,"Young Adult",J206&lt;=50,"Middle Aged Adult",J206&gt;50,"Senior")</f>
        <v>Young Adult</v>
      </c>
      <c r="L206">
        <v>1</v>
      </c>
      <c r="M206">
        <v>0</v>
      </c>
      <c r="N206" s="1">
        <f t="shared" si="14"/>
        <v>2</v>
      </c>
      <c r="O206" s="1" t="str">
        <f t="shared" si="15"/>
        <v>With Family</v>
      </c>
      <c r="P206">
        <v>82.1708</v>
      </c>
      <c r="Q206" s="1" t="str" cm="1">
        <f t="array" ref="Q206">_xlfn.IFS(P206&lt;=50,"Low",P206&lt;=100,"Medium",P206&gt;100,"High")</f>
        <v>Medium</v>
      </c>
      <c r="R206" t="s">
        <v>41</v>
      </c>
      <c r="S206" s="1" t="str" cm="1">
        <f t="array" ref="S206">_xlfn.IFS(R206="S","Southampton",R206="C","Cherbourg",R206="Q","Queenstown")</f>
        <v>Cherbourg</v>
      </c>
    </row>
    <row r="207" spans="1:19" x14ac:dyDescent="0.3">
      <c r="A207">
        <v>206</v>
      </c>
      <c r="B207">
        <v>1</v>
      </c>
      <c r="C207" s="1" t="str" cm="1">
        <f t="array" ref="C207">_xlfn.IFS(B207=1,"First Class",B207=2,"Second Class",B207=3,"Third Class")</f>
        <v>First Class</v>
      </c>
      <c r="D207">
        <v>0</v>
      </c>
      <c r="E207" s="1" t="str">
        <f t="shared" si="12"/>
        <v>Dead</v>
      </c>
      <c r="F207" t="s">
        <v>458</v>
      </c>
      <c r="G207" s="1" t="s">
        <v>2999</v>
      </c>
      <c r="H207" t="s">
        <v>20</v>
      </c>
      <c r="I207" s="1" t="str">
        <f t="shared" si="13"/>
        <v>Male</v>
      </c>
      <c r="J207" s="3">
        <v>65</v>
      </c>
      <c r="K207" s="3" t="str" cm="1">
        <f t="array" ref="K207">_xlfn.IFS(J207&lt;=13,"Child",J207&lt;=18,"Teenager",J207&lt;=30,"Young Adult",J207&lt;=50,"Middle Aged Adult",J207&gt;50,"Senior")</f>
        <v>Senior</v>
      </c>
      <c r="L207">
        <v>0</v>
      </c>
      <c r="M207">
        <v>0</v>
      </c>
      <c r="N207" s="1">
        <f t="shared" si="14"/>
        <v>1</v>
      </c>
      <c r="O207" s="1" t="str">
        <f t="shared" si="15"/>
        <v>Single</v>
      </c>
      <c r="P207">
        <v>26.55</v>
      </c>
      <c r="Q207" s="1" t="str" cm="1">
        <f t="array" ref="Q207">_xlfn.IFS(P207&lt;=50,"Low",P207&lt;=100,"Medium",P207&gt;100,"High")</f>
        <v>Low</v>
      </c>
      <c r="R207" t="s">
        <v>17</v>
      </c>
      <c r="S207" s="1" t="str" cm="1">
        <f t="array" ref="S207">_xlfn.IFS(R207="S","Southampton",R207="C","Cherbourg",R207="Q","Queenstown")</f>
        <v>Southampton</v>
      </c>
    </row>
    <row r="208" spans="1:19" x14ac:dyDescent="0.3">
      <c r="A208">
        <v>207</v>
      </c>
      <c r="B208">
        <v>1</v>
      </c>
      <c r="C208" s="1" t="str" cm="1">
        <f t="array" ref="C208">_xlfn.IFS(B208=1,"First Class",B208=2,"Second Class",B208=3,"Third Class")</f>
        <v>First Class</v>
      </c>
      <c r="D208">
        <v>0</v>
      </c>
      <c r="E208" s="1" t="str">
        <f t="shared" si="12"/>
        <v>Dead</v>
      </c>
      <c r="F208" t="s">
        <v>461</v>
      </c>
      <c r="G208" s="1" t="s">
        <v>3040</v>
      </c>
      <c r="H208" t="s">
        <v>20</v>
      </c>
      <c r="I208" s="1" t="str">
        <f t="shared" si="13"/>
        <v>Male</v>
      </c>
      <c r="J208" s="3">
        <v>44</v>
      </c>
      <c r="K208" s="3" t="str" cm="1">
        <f t="array" ref="K208">_xlfn.IFS(J208&lt;=13,"Child",J208&lt;=18,"Teenager",J208&lt;=30,"Young Adult",J208&lt;=50,"Middle Aged Adult",J208&gt;50,"Senior")</f>
        <v>Middle Aged Adult</v>
      </c>
      <c r="L208">
        <v>2</v>
      </c>
      <c r="M208">
        <v>0</v>
      </c>
      <c r="N208" s="1">
        <f t="shared" si="14"/>
        <v>3</v>
      </c>
      <c r="O208" s="1" t="str">
        <f t="shared" si="15"/>
        <v>With Family</v>
      </c>
      <c r="P208">
        <v>90</v>
      </c>
      <c r="Q208" s="1" t="str" cm="1">
        <f t="array" ref="Q208">_xlfn.IFS(P208&lt;=50,"Low",P208&lt;=100,"Medium",P208&gt;100,"High")</f>
        <v>Medium</v>
      </c>
      <c r="R208" t="s">
        <v>463</v>
      </c>
      <c r="S208" s="1" t="str" cm="1">
        <f t="array" ref="S208">_xlfn.IFS(R208="S","Southampton",R208="C","Cherbourg",R208="Q","Queenstown")</f>
        <v>Queenstown</v>
      </c>
    </row>
    <row r="209" spans="1:19" x14ac:dyDescent="0.3">
      <c r="A209">
        <v>208</v>
      </c>
      <c r="B209">
        <v>1</v>
      </c>
      <c r="C209" s="1" t="str" cm="1">
        <f t="array" ref="C209">_xlfn.IFS(B209=1,"First Class",B209=2,"Second Class",B209=3,"Third Class")</f>
        <v>First Class</v>
      </c>
      <c r="D209">
        <v>1</v>
      </c>
      <c r="E209" s="1" t="str">
        <f t="shared" si="12"/>
        <v>Alive</v>
      </c>
      <c r="F209" t="s">
        <v>465</v>
      </c>
      <c r="G209" s="1" t="s">
        <v>2994</v>
      </c>
      <c r="H209" t="s">
        <v>15</v>
      </c>
      <c r="I209" s="1" t="str">
        <f t="shared" si="13"/>
        <v>Female</v>
      </c>
      <c r="J209" s="3">
        <v>33</v>
      </c>
      <c r="K209" s="3" t="str" cm="1">
        <f t="array" ref="K209">_xlfn.IFS(J209&lt;=13,"Child",J209&lt;=18,"Teenager",J209&lt;=30,"Young Adult",J209&lt;=50,"Middle Aged Adult",J209&gt;50,"Senior")</f>
        <v>Middle Aged Adult</v>
      </c>
      <c r="L209">
        <v>1</v>
      </c>
      <c r="M209">
        <v>0</v>
      </c>
      <c r="N209" s="1">
        <f t="shared" si="14"/>
        <v>2</v>
      </c>
      <c r="O209" s="1" t="str">
        <f t="shared" si="15"/>
        <v>With Family</v>
      </c>
      <c r="P209">
        <v>90</v>
      </c>
      <c r="Q209" s="1" t="str" cm="1">
        <f t="array" ref="Q209">_xlfn.IFS(P209&lt;=50,"Low",P209&lt;=100,"Medium",P209&gt;100,"High")</f>
        <v>Medium</v>
      </c>
      <c r="R209" t="s">
        <v>463</v>
      </c>
      <c r="S209" s="1" t="str" cm="1">
        <f t="array" ref="S209">_xlfn.IFS(R209="S","Southampton",R209="C","Cherbourg",R209="Q","Queenstown")</f>
        <v>Queenstown</v>
      </c>
    </row>
    <row r="210" spans="1:19" x14ac:dyDescent="0.3">
      <c r="A210">
        <v>209</v>
      </c>
      <c r="B210">
        <v>1</v>
      </c>
      <c r="C210" s="1" t="str" cm="1">
        <f t="array" ref="C210">_xlfn.IFS(B210=1,"First Class",B210=2,"Second Class",B210=3,"Third Class")</f>
        <v>First Class</v>
      </c>
      <c r="D210">
        <v>1</v>
      </c>
      <c r="E210" s="1" t="str">
        <f t="shared" si="12"/>
        <v>Alive</v>
      </c>
      <c r="F210" t="s">
        <v>467</v>
      </c>
      <c r="G210" s="1" t="s">
        <v>3001</v>
      </c>
      <c r="H210" t="s">
        <v>15</v>
      </c>
      <c r="I210" s="1" t="str">
        <f t="shared" si="13"/>
        <v>Female</v>
      </c>
      <c r="J210" s="3">
        <v>37</v>
      </c>
      <c r="K210" s="3" t="str" cm="1">
        <f t="array" ref="K210">_xlfn.IFS(J210&lt;=13,"Child",J210&lt;=18,"Teenager",J210&lt;=30,"Young Adult",J210&lt;=50,"Middle Aged Adult",J210&gt;50,"Senior")</f>
        <v>Middle Aged Adult</v>
      </c>
      <c r="L210">
        <v>1</v>
      </c>
      <c r="M210">
        <v>0</v>
      </c>
      <c r="N210" s="1">
        <f t="shared" si="14"/>
        <v>2</v>
      </c>
      <c r="O210" s="1" t="str">
        <f t="shared" si="15"/>
        <v>With Family</v>
      </c>
      <c r="P210">
        <v>90</v>
      </c>
      <c r="Q210" s="1" t="str" cm="1">
        <f t="array" ref="Q210">_xlfn.IFS(P210&lt;=50,"Low",P210&lt;=100,"Medium",P210&gt;100,"High")</f>
        <v>Medium</v>
      </c>
      <c r="R210" t="s">
        <v>463</v>
      </c>
      <c r="S210" s="1" t="str" cm="1">
        <f t="array" ref="S210">_xlfn.IFS(R210="S","Southampton",R210="C","Cherbourg",R210="Q","Queenstown")</f>
        <v>Queenstown</v>
      </c>
    </row>
    <row r="211" spans="1:19" x14ac:dyDescent="0.3">
      <c r="A211">
        <v>210</v>
      </c>
      <c r="B211">
        <v>1</v>
      </c>
      <c r="C211" s="1" t="str" cm="1">
        <f t="array" ref="C211">_xlfn.IFS(B211=1,"First Class",B211=2,"Second Class",B211=3,"Third Class")</f>
        <v>First Class</v>
      </c>
      <c r="D211">
        <v>1</v>
      </c>
      <c r="E211" s="1" t="str">
        <f t="shared" si="12"/>
        <v>Alive</v>
      </c>
      <c r="F211" t="s">
        <v>468</v>
      </c>
      <c r="G211" s="1" t="s">
        <v>2999</v>
      </c>
      <c r="H211" t="s">
        <v>20</v>
      </c>
      <c r="I211" s="1" t="str">
        <f t="shared" si="13"/>
        <v>Male</v>
      </c>
      <c r="J211" s="3">
        <v>30</v>
      </c>
      <c r="K211" s="3" t="str" cm="1">
        <f t="array" ref="K211">_xlfn.IFS(J211&lt;=13,"Child",J211&lt;=18,"Teenager",J211&lt;=30,"Young Adult",J211&lt;=50,"Middle Aged Adult",J211&gt;50,"Senior")</f>
        <v>Young Adult</v>
      </c>
      <c r="L211">
        <v>1</v>
      </c>
      <c r="M211">
        <v>0</v>
      </c>
      <c r="N211" s="1">
        <f t="shared" si="14"/>
        <v>2</v>
      </c>
      <c r="O211" s="1" t="str">
        <f t="shared" si="15"/>
        <v>With Family</v>
      </c>
      <c r="P211">
        <v>57.75</v>
      </c>
      <c r="Q211" s="1" t="str" cm="1">
        <f t="array" ref="Q211">_xlfn.IFS(P211&lt;=50,"Low",P211&lt;=100,"Medium",P211&gt;100,"High")</f>
        <v>Medium</v>
      </c>
      <c r="R211" t="s">
        <v>41</v>
      </c>
      <c r="S211" s="1" t="str" cm="1">
        <f t="array" ref="S211">_xlfn.IFS(R211="S","Southampton",R211="C","Cherbourg",R211="Q","Queenstown")</f>
        <v>Cherbourg</v>
      </c>
    </row>
    <row r="212" spans="1:19" x14ac:dyDescent="0.3">
      <c r="A212">
        <v>211</v>
      </c>
      <c r="B212">
        <v>1</v>
      </c>
      <c r="C212" s="1" t="str" cm="1">
        <f t="array" ref="C212">_xlfn.IFS(B212=1,"First Class",B212=2,"Second Class",B212=3,"Third Class")</f>
        <v>First Class</v>
      </c>
      <c r="D212">
        <v>0</v>
      </c>
      <c r="E212" s="1" t="str">
        <f t="shared" si="12"/>
        <v>Dead</v>
      </c>
      <c r="F212" t="s">
        <v>469</v>
      </c>
      <c r="G212" s="1" t="s">
        <v>2999</v>
      </c>
      <c r="H212" t="s">
        <v>20</v>
      </c>
      <c r="I212" s="1" t="str">
        <f t="shared" si="13"/>
        <v>Male</v>
      </c>
      <c r="J212" s="3">
        <v>55</v>
      </c>
      <c r="K212" s="3" t="str" cm="1">
        <f t="array" ref="K212">_xlfn.IFS(J212&lt;=13,"Child",J212&lt;=18,"Teenager",J212&lt;=30,"Young Adult",J212&lt;=50,"Middle Aged Adult",J212&gt;50,"Senior")</f>
        <v>Senior</v>
      </c>
      <c r="L212">
        <v>0</v>
      </c>
      <c r="M212">
        <v>0</v>
      </c>
      <c r="N212" s="1">
        <f t="shared" si="14"/>
        <v>1</v>
      </c>
      <c r="O212" s="1" t="str">
        <f t="shared" si="15"/>
        <v>Single</v>
      </c>
      <c r="P212">
        <v>30.5</v>
      </c>
      <c r="Q212" s="1" t="str" cm="1">
        <f t="array" ref="Q212">_xlfn.IFS(P212&lt;=50,"Low",P212&lt;=100,"Medium",P212&gt;100,"High")</f>
        <v>Low</v>
      </c>
      <c r="R212" t="s">
        <v>17</v>
      </c>
      <c r="S212" s="1" t="str" cm="1">
        <f t="array" ref="S212">_xlfn.IFS(R212="S","Southampton",R212="C","Cherbourg",R212="Q","Queenstown")</f>
        <v>Southampton</v>
      </c>
    </row>
    <row r="213" spans="1:19" x14ac:dyDescent="0.3">
      <c r="A213">
        <v>212</v>
      </c>
      <c r="B213">
        <v>1</v>
      </c>
      <c r="C213" s="1" t="str" cm="1">
        <f t="array" ref="C213">_xlfn.IFS(B213=1,"First Class",B213=2,"Second Class",B213=3,"Third Class")</f>
        <v>First Class</v>
      </c>
      <c r="D213">
        <v>0</v>
      </c>
      <c r="E213" s="1" t="str">
        <f t="shared" si="12"/>
        <v>Dead</v>
      </c>
      <c r="F213" t="s">
        <v>471</v>
      </c>
      <c r="G213" s="1" t="s">
        <v>2999</v>
      </c>
      <c r="H213" t="s">
        <v>20</v>
      </c>
      <c r="I213" s="1" t="str">
        <f t="shared" si="13"/>
        <v>Male</v>
      </c>
      <c r="J213" s="3">
        <v>47</v>
      </c>
      <c r="K213" s="3" t="str" cm="1">
        <f t="array" ref="K213">_xlfn.IFS(J213&lt;=13,"Child",J213&lt;=18,"Teenager",J213&lt;=30,"Young Adult",J213&lt;=50,"Middle Aged Adult",J213&gt;50,"Senior")</f>
        <v>Middle Aged Adult</v>
      </c>
      <c r="L213">
        <v>0</v>
      </c>
      <c r="M213">
        <v>0</v>
      </c>
      <c r="N213" s="1">
        <f t="shared" si="14"/>
        <v>1</v>
      </c>
      <c r="O213" s="1" t="str">
        <f t="shared" si="15"/>
        <v>Single</v>
      </c>
      <c r="P213">
        <v>42.4</v>
      </c>
      <c r="Q213" s="1" t="str" cm="1">
        <f t="array" ref="Q213">_xlfn.IFS(P213&lt;=50,"Low",P213&lt;=100,"Medium",P213&gt;100,"High")</f>
        <v>Low</v>
      </c>
      <c r="R213" t="s">
        <v>17</v>
      </c>
      <c r="S213" s="1" t="str" cm="1">
        <f t="array" ref="S213">_xlfn.IFS(R213="S","Southampton",R213="C","Cherbourg",R213="Q","Queenstown")</f>
        <v>Southampton</v>
      </c>
    </row>
    <row r="214" spans="1:19" x14ac:dyDescent="0.3">
      <c r="A214">
        <v>213</v>
      </c>
      <c r="B214">
        <v>1</v>
      </c>
      <c r="C214" s="1" t="str" cm="1">
        <f t="array" ref="C214">_xlfn.IFS(B214=1,"First Class",B214=2,"Second Class",B214=3,"Third Class")</f>
        <v>First Class</v>
      </c>
      <c r="D214">
        <v>0</v>
      </c>
      <c r="E214" s="1" t="str">
        <f t="shared" si="12"/>
        <v>Dead</v>
      </c>
      <c r="F214" t="s">
        <v>472</v>
      </c>
      <c r="G214" s="1" t="s">
        <v>2999</v>
      </c>
      <c r="H214" t="s">
        <v>20</v>
      </c>
      <c r="I214" s="1" t="str">
        <f t="shared" si="13"/>
        <v>Male</v>
      </c>
      <c r="J214" s="3">
        <v>37</v>
      </c>
      <c r="K214" s="3" t="str" cm="1">
        <f t="array" ref="K214">_xlfn.IFS(J214&lt;=13,"Child",J214&lt;=18,"Teenager",J214&lt;=30,"Young Adult",J214&lt;=50,"Middle Aged Adult",J214&gt;50,"Senior")</f>
        <v>Middle Aged Adult</v>
      </c>
      <c r="L214">
        <v>0</v>
      </c>
      <c r="M214">
        <v>1</v>
      </c>
      <c r="N214" s="1">
        <f t="shared" si="14"/>
        <v>2</v>
      </c>
      <c r="O214" s="1" t="str">
        <f t="shared" si="15"/>
        <v>With Family</v>
      </c>
      <c r="P214">
        <v>29.7</v>
      </c>
      <c r="Q214" s="1" t="str" cm="1">
        <f t="array" ref="Q214">_xlfn.IFS(P214&lt;=50,"Low",P214&lt;=100,"Medium",P214&gt;100,"High")</f>
        <v>Low</v>
      </c>
      <c r="R214" t="s">
        <v>41</v>
      </c>
      <c r="S214" s="1" t="str" cm="1">
        <f t="array" ref="S214">_xlfn.IFS(R214="S","Southampton",R214="C","Cherbourg",R214="Q","Queenstown")</f>
        <v>Cherbourg</v>
      </c>
    </row>
    <row r="215" spans="1:19" x14ac:dyDescent="0.3">
      <c r="A215">
        <v>214</v>
      </c>
      <c r="B215">
        <v>1</v>
      </c>
      <c r="C215" s="1" t="str" cm="1">
        <f t="array" ref="C215">_xlfn.IFS(B215=1,"First Class",B215=2,"Second Class",B215=3,"Third Class")</f>
        <v>First Class</v>
      </c>
      <c r="D215">
        <v>1</v>
      </c>
      <c r="E215" s="1" t="str">
        <f t="shared" si="12"/>
        <v>Alive</v>
      </c>
      <c r="F215" t="s">
        <v>475</v>
      </c>
      <c r="G215" s="1" t="s">
        <v>2994</v>
      </c>
      <c r="H215" t="s">
        <v>15</v>
      </c>
      <c r="I215" s="1" t="str">
        <f t="shared" si="13"/>
        <v>Female</v>
      </c>
      <c r="J215" s="3">
        <v>31</v>
      </c>
      <c r="K215" s="3" t="str" cm="1">
        <f t="array" ref="K215">_xlfn.IFS(J215&lt;=13,"Child",J215&lt;=18,"Teenager",J215&lt;=30,"Young Adult",J215&lt;=50,"Middle Aged Adult",J215&gt;50,"Senior")</f>
        <v>Middle Aged Adult</v>
      </c>
      <c r="L215">
        <v>1</v>
      </c>
      <c r="M215">
        <v>0</v>
      </c>
      <c r="N215" s="1">
        <f t="shared" si="14"/>
        <v>2</v>
      </c>
      <c r="O215" s="1" t="str">
        <f t="shared" si="15"/>
        <v>With Family</v>
      </c>
      <c r="P215">
        <v>113.27500000000001</v>
      </c>
      <c r="Q215" s="1" t="str" cm="1">
        <f t="array" ref="Q215">_xlfn.IFS(P215&lt;=50,"Low",P215&lt;=100,"Medium",P215&gt;100,"High")</f>
        <v>High</v>
      </c>
      <c r="R215" t="s">
        <v>41</v>
      </c>
      <c r="S215" s="1" t="str" cm="1">
        <f t="array" ref="S215">_xlfn.IFS(R215="S","Southampton",R215="C","Cherbourg",R215="Q","Queenstown")</f>
        <v>Cherbourg</v>
      </c>
    </row>
    <row r="216" spans="1:19" x14ac:dyDescent="0.3">
      <c r="A216">
        <v>215</v>
      </c>
      <c r="B216">
        <v>1</v>
      </c>
      <c r="C216" s="1" t="str" cm="1">
        <f t="array" ref="C216">_xlfn.IFS(B216=1,"First Class",B216=2,"Second Class",B216=3,"Third Class")</f>
        <v>First Class</v>
      </c>
      <c r="D216">
        <v>1</v>
      </c>
      <c r="E216" s="1" t="str">
        <f t="shared" si="12"/>
        <v>Alive</v>
      </c>
      <c r="F216" t="s">
        <v>478</v>
      </c>
      <c r="G216" s="1" t="s">
        <v>2994</v>
      </c>
      <c r="H216" t="s">
        <v>15</v>
      </c>
      <c r="I216" s="1" t="str">
        <f t="shared" si="13"/>
        <v>Female</v>
      </c>
      <c r="J216" s="3">
        <v>23</v>
      </c>
      <c r="K216" s="3" t="str" cm="1">
        <f t="array" ref="K216">_xlfn.IFS(J216&lt;=13,"Child",J216&lt;=18,"Teenager",J216&lt;=30,"Young Adult",J216&lt;=50,"Middle Aged Adult",J216&gt;50,"Senior")</f>
        <v>Young Adult</v>
      </c>
      <c r="L216">
        <v>1</v>
      </c>
      <c r="M216">
        <v>0</v>
      </c>
      <c r="N216" s="1">
        <f t="shared" si="14"/>
        <v>2</v>
      </c>
      <c r="O216" s="1" t="str">
        <f t="shared" si="15"/>
        <v>With Family</v>
      </c>
      <c r="P216">
        <v>113.27500000000001</v>
      </c>
      <c r="Q216" s="1" t="str" cm="1">
        <f t="array" ref="Q216">_xlfn.IFS(P216&lt;=50,"Low",P216&lt;=100,"Medium",P216&gt;100,"High")</f>
        <v>High</v>
      </c>
      <c r="R216" t="s">
        <v>41</v>
      </c>
      <c r="S216" s="1" t="str" cm="1">
        <f t="array" ref="S216">_xlfn.IFS(R216="S","Southampton",R216="C","Cherbourg",R216="Q","Queenstown")</f>
        <v>Cherbourg</v>
      </c>
    </row>
    <row r="217" spans="1:19" x14ac:dyDescent="0.3">
      <c r="A217">
        <v>216</v>
      </c>
      <c r="B217">
        <v>1</v>
      </c>
      <c r="C217" s="1" t="str" cm="1">
        <f t="array" ref="C217">_xlfn.IFS(B217=1,"First Class",B217=2,"Second Class",B217=3,"Third Class")</f>
        <v>First Class</v>
      </c>
      <c r="D217">
        <v>0</v>
      </c>
      <c r="E217" s="1" t="str">
        <f t="shared" si="12"/>
        <v>Dead</v>
      </c>
      <c r="F217" t="s">
        <v>479</v>
      </c>
      <c r="G217" s="1" t="s">
        <v>2999</v>
      </c>
      <c r="H217" t="s">
        <v>20</v>
      </c>
      <c r="I217" s="1" t="str">
        <f t="shared" si="13"/>
        <v>Male</v>
      </c>
      <c r="J217" s="3">
        <v>58</v>
      </c>
      <c r="K217" s="3" t="str" cm="1">
        <f t="array" ref="K217">_xlfn.IFS(J217&lt;=13,"Child",J217&lt;=18,"Teenager",J217&lt;=30,"Young Adult",J217&lt;=50,"Middle Aged Adult",J217&gt;50,"Senior")</f>
        <v>Senior</v>
      </c>
      <c r="L217">
        <v>0</v>
      </c>
      <c r="M217">
        <v>2</v>
      </c>
      <c r="N217" s="1">
        <f t="shared" si="14"/>
        <v>3</v>
      </c>
      <c r="O217" s="1" t="str">
        <f t="shared" si="15"/>
        <v>With Family</v>
      </c>
      <c r="P217">
        <v>113.27500000000001</v>
      </c>
      <c r="Q217" s="1" t="str" cm="1">
        <f t="array" ref="Q217">_xlfn.IFS(P217&lt;=50,"Low",P217&lt;=100,"Medium",P217&gt;100,"High")</f>
        <v>High</v>
      </c>
      <c r="R217" t="s">
        <v>41</v>
      </c>
      <c r="S217" s="1" t="str" cm="1">
        <f t="array" ref="S217">_xlfn.IFS(R217="S","Southampton",R217="C","Cherbourg",R217="Q","Queenstown")</f>
        <v>Cherbourg</v>
      </c>
    </row>
    <row r="218" spans="1:19" x14ac:dyDescent="0.3">
      <c r="A218">
        <v>217</v>
      </c>
      <c r="B218">
        <v>1</v>
      </c>
      <c r="C218" s="1" t="str" cm="1">
        <f t="array" ref="C218">_xlfn.IFS(B218=1,"First Class",B218=2,"Second Class",B218=3,"Third Class")</f>
        <v>First Class</v>
      </c>
      <c r="D218">
        <v>1</v>
      </c>
      <c r="E218" s="1" t="str">
        <f t="shared" si="12"/>
        <v>Alive</v>
      </c>
      <c r="F218" t="s">
        <v>481</v>
      </c>
      <c r="G218" s="1" t="s">
        <v>2994</v>
      </c>
      <c r="H218" t="s">
        <v>15</v>
      </c>
      <c r="I218" s="1" t="str">
        <f t="shared" si="13"/>
        <v>Female</v>
      </c>
      <c r="J218" s="3">
        <v>19</v>
      </c>
      <c r="K218" s="3" t="str" cm="1">
        <f t="array" ref="K218">_xlfn.IFS(J218&lt;=13,"Child",J218&lt;=18,"Teenager",J218&lt;=30,"Young Adult",J218&lt;=50,"Middle Aged Adult",J218&gt;50,"Senior")</f>
        <v>Young Adult</v>
      </c>
      <c r="L218">
        <v>0</v>
      </c>
      <c r="M218">
        <v>2</v>
      </c>
      <c r="N218" s="1">
        <f t="shared" si="14"/>
        <v>3</v>
      </c>
      <c r="O218" s="1" t="str">
        <f t="shared" si="15"/>
        <v>With Family</v>
      </c>
      <c r="P218">
        <v>26.283300000000001</v>
      </c>
      <c r="Q218" s="1" t="str" cm="1">
        <f t="array" ref="Q218">_xlfn.IFS(P218&lt;=50,"Low",P218&lt;=100,"Medium",P218&gt;100,"High")</f>
        <v>Low</v>
      </c>
      <c r="R218" t="s">
        <v>17</v>
      </c>
      <c r="S218" s="1" t="str" cm="1">
        <f t="array" ref="S218">_xlfn.IFS(R218="S","Southampton",R218="C","Cherbourg",R218="Q","Queenstown")</f>
        <v>Southampton</v>
      </c>
    </row>
    <row r="219" spans="1:19" x14ac:dyDescent="0.3">
      <c r="A219">
        <v>218</v>
      </c>
      <c r="B219">
        <v>1</v>
      </c>
      <c r="C219" s="1" t="str" cm="1">
        <f t="array" ref="C219">_xlfn.IFS(B219=1,"First Class",B219=2,"Second Class",B219=3,"Third Class")</f>
        <v>First Class</v>
      </c>
      <c r="D219">
        <v>0</v>
      </c>
      <c r="E219" s="1" t="str">
        <f t="shared" si="12"/>
        <v>Dead</v>
      </c>
      <c r="F219" t="s">
        <v>483</v>
      </c>
      <c r="G219" s="1" t="s">
        <v>2999</v>
      </c>
      <c r="H219" t="s">
        <v>20</v>
      </c>
      <c r="I219" s="1" t="str">
        <f t="shared" si="13"/>
        <v>Male</v>
      </c>
      <c r="J219" s="3">
        <v>64</v>
      </c>
      <c r="K219" s="3" t="str" cm="1">
        <f t="array" ref="K219">_xlfn.IFS(J219&lt;=13,"Child",J219&lt;=18,"Teenager",J219&lt;=30,"Young Adult",J219&lt;=50,"Middle Aged Adult",J219&gt;50,"Senior")</f>
        <v>Senior</v>
      </c>
      <c r="L219">
        <v>0</v>
      </c>
      <c r="M219">
        <v>0</v>
      </c>
      <c r="N219" s="1">
        <f t="shared" si="14"/>
        <v>1</v>
      </c>
      <c r="O219" s="1" t="str">
        <f t="shared" si="15"/>
        <v>Single</v>
      </c>
      <c r="P219">
        <v>26</v>
      </c>
      <c r="Q219" s="1" t="str" cm="1">
        <f t="array" ref="Q219">_xlfn.IFS(P219&lt;=50,"Low",P219&lt;=100,"Medium",P219&gt;100,"High")</f>
        <v>Low</v>
      </c>
      <c r="R219" t="s">
        <v>17</v>
      </c>
      <c r="S219" s="1" t="str" cm="1">
        <f t="array" ref="S219">_xlfn.IFS(R219="S","Southampton",R219="C","Cherbourg",R219="Q","Queenstown")</f>
        <v>Southampton</v>
      </c>
    </row>
    <row r="220" spans="1:19" x14ac:dyDescent="0.3">
      <c r="A220">
        <v>219</v>
      </c>
      <c r="B220">
        <v>1</v>
      </c>
      <c r="C220" s="1" t="str" cm="1">
        <f t="array" ref="C220">_xlfn.IFS(B220=1,"First Class",B220=2,"Second Class",B220=3,"Third Class")</f>
        <v>First Class</v>
      </c>
      <c r="D220">
        <v>1</v>
      </c>
      <c r="E220" s="1" t="str">
        <f t="shared" si="12"/>
        <v>Alive</v>
      </c>
      <c r="F220" t="s">
        <v>485</v>
      </c>
      <c r="G220" s="1" t="s">
        <v>3220</v>
      </c>
      <c r="H220" t="s">
        <v>15</v>
      </c>
      <c r="I220" s="1" t="str">
        <f t="shared" si="13"/>
        <v>Female</v>
      </c>
      <c r="J220" s="3">
        <v>39</v>
      </c>
      <c r="K220" s="3" t="str" cm="1">
        <f t="array" ref="K220">_xlfn.IFS(J220&lt;=13,"Child",J220&lt;=18,"Teenager",J220&lt;=30,"Young Adult",J220&lt;=50,"Middle Aged Adult",J220&gt;50,"Senior")</f>
        <v>Middle Aged Adult</v>
      </c>
      <c r="L220">
        <v>0</v>
      </c>
      <c r="M220">
        <v>0</v>
      </c>
      <c r="N220" s="1">
        <f t="shared" si="14"/>
        <v>1</v>
      </c>
      <c r="O220" s="1" t="str">
        <f t="shared" si="15"/>
        <v>Single</v>
      </c>
      <c r="P220">
        <v>108.9</v>
      </c>
      <c r="Q220" s="1" t="str" cm="1">
        <f t="array" ref="Q220">_xlfn.IFS(P220&lt;=50,"Low",P220&lt;=100,"Medium",P220&gt;100,"High")</f>
        <v>High</v>
      </c>
      <c r="R220" t="s">
        <v>41</v>
      </c>
      <c r="S220" s="1" t="str" cm="1">
        <f t="array" ref="S220">_xlfn.IFS(R220="S","Southampton",R220="C","Cherbourg",R220="Q","Queenstown")</f>
        <v>Cherbourg</v>
      </c>
    </row>
    <row r="221" spans="1:19" x14ac:dyDescent="0.3">
      <c r="A221">
        <v>220</v>
      </c>
      <c r="B221">
        <v>1</v>
      </c>
      <c r="C221" s="1" t="str" cm="1">
        <f t="array" ref="C221">_xlfn.IFS(B221=1,"First Class",B221=2,"Second Class",B221=3,"Third Class")</f>
        <v>First Class</v>
      </c>
      <c r="D221">
        <v>1</v>
      </c>
      <c r="E221" s="1" t="str">
        <f t="shared" si="12"/>
        <v>Alive</v>
      </c>
      <c r="F221" t="s">
        <v>488</v>
      </c>
      <c r="G221" s="1" t="s">
        <v>2999</v>
      </c>
      <c r="H221" t="s">
        <v>20</v>
      </c>
      <c r="I221" s="1" t="str">
        <f t="shared" si="13"/>
        <v>Male</v>
      </c>
      <c r="J221" s="3">
        <v>29.881137667304014</v>
      </c>
      <c r="K221" s="3" t="str" cm="1">
        <f t="array" ref="K221">_xlfn.IFS(J221&lt;=13,"Child",J221&lt;=18,"Teenager",J221&lt;=30,"Young Adult",J221&lt;=50,"Middle Aged Adult",J221&gt;50,"Senior")</f>
        <v>Young Adult</v>
      </c>
      <c r="L221">
        <v>0</v>
      </c>
      <c r="M221">
        <v>0</v>
      </c>
      <c r="N221" s="1">
        <f t="shared" si="14"/>
        <v>1</v>
      </c>
      <c r="O221" s="1" t="str">
        <f t="shared" si="15"/>
        <v>Single</v>
      </c>
      <c r="P221">
        <v>25.741700000000002</v>
      </c>
      <c r="Q221" s="1" t="str" cm="1">
        <f t="array" ref="Q221">_xlfn.IFS(P221&lt;=50,"Low",P221&lt;=100,"Medium",P221&gt;100,"High")</f>
        <v>Low</v>
      </c>
      <c r="R221" t="s">
        <v>41</v>
      </c>
      <c r="S221" s="1" t="str" cm="1">
        <f t="array" ref="S221">_xlfn.IFS(R221="S","Southampton",R221="C","Cherbourg",R221="Q","Queenstown")</f>
        <v>Cherbourg</v>
      </c>
    </row>
    <row r="222" spans="1:19" x14ac:dyDescent="0.3">
      <c r="A222">
        <v>221</v>
      </c>
      <c r="B222">
        <v>1</v>
      </c>
      <c r="C222" s="1" t="str" cm="1">
        <f t="array" ref="C222">_xlfn.IFS(B222=1,"First Class",B222=2,"Second Class",B222=3,"Third Class")</f>
        <v>First Class</v>
      </c>
      <c r="D222">
        <v>1</v>
      </c>
      <c r="E222" s="1" t="str">
        <f t="shared" si="12"/>
        <v>Alive</v>
      </c>
      <c r="F222" t="s">
        <v>490</v>
      </c>
      <c r="G222" s="1" t="s">
        <v>2994</v>
      </c>
      <c r="H222" t="s">
        <v>15</v>
      </c>
      <c r="I222" s="1" t="str">
        <f t="shared" si="13"/>
        <v>Female</v>
      </c>
      <c r="J222" s="3">
        <v>22</v>
      </c>
      <c r="K222" s="3" t="str" cm="1">
        <f t="array" ref="K222">_xlfn.IFS(J222&lt;=13,"Child",J222&lt;=18,"Teenager",J222&lt;=30,"Young Adult",J222&lt;=50,"Middle Aged Adult",J222&gt;50,"Senior")</f>
        <v>Young Adult</v>
      </c>
      <c r="L222">
        <v>0</v>
      </c>
      <c r="M222">
        <v>1</v>
      </c>
      <c r="N222" s="1">
        <f t="shared" si="14"/>
        <v>2</v>
      </c>
      <c r="O222" s="1" t="str">
        <f t="shared" si="15"/>
        <v>With Family</v>
      </c>
      <c r="P222">
        <v>61.979199999999999</v>
      </c>
      <c r="Q222" s="1" t="str" cm="1">
        <f t="array" ref="Q222">_xlfn.IFS(P222&lt;=50,"Low",P222&lt;=100,"Medium",P222&gt;100,"High")</f>
        <v>Medium</v>
      </c>
      <c r="R222" t="s">
        <v>41</v>
      </c>
      <c r="S222" s="1" t="str" cm="1">
        <f t="array" ref="S222">_xlfn.IFS(R222="S","Southampton",R222="C","Cherbourg",R222="Q","Queenstown")</f>
        <v>Cherbourg</v>
      </c>
    </row>
    <row r="223" spans="1:19" x14ac:dyDescent="0.3">
      <c r="A223">
        <v>222</v>
      </c>
      <c r="B223">
        <v>1</v>
      </c>
      <c r="C223" s="1" t="str" cm="1">
        <f t="array" ref="C223">_xlfn.IFS(B223=1,"First Class",B223=2,"Second Class",B223=3,"Third Class")</f>
        <v>First Class</v>
      </c>
      <c r="D223">
        <v>0</v>
      </c>
      <c r="E223" s="1" t="str">
        <f t="shared" si="12"/>
        <v>Dead</v>
      </c>
      <c r="F223" t="s">
        <v>493</v>
      </c>
      <c r="G223" s="1" t="s">
        <v>2999</v>
      </c>
      <c r="H223" t="s">
        <v>20</v>
      </c>
      <c r="I223" s="1" t="str">
        <f t="shared" si="13"/>
        <v>Male</v>
      </c>
      <c r="J223" s="3">
        <v>65</v>
      </c>
      <c r="K223" s="3" t="str" cm="1">
        <f t="array" ref="K223">_xlfn.IFS(J223&lt;=13,"Child",J223&lt;=18,"Teenager",J223&lt;=30,"Young Adult",J223&lt;=50,"Middle Aged Adult",J223&gt;50,"Senior")</f>
        <v>Senior</v>
      </c>
      <c r="L223">
        <v>0</v>
      </c>
      <c r="M223">
        <v>1</v>
      </c>
      <c r="N223" s="1">
        <f t="shared" si="14"/>
        <v>2</v>
      </c>
      <c r="O223" s="1" t="str">
        <f t="shared" si="15"/>
        <v>With Family</v>
      </c>
      <c r="P223">
        <v>61.979199999999999</v>
      </c>
      <c r="Q223" s="1" t="str" cm="1">
        <f t="array" ref="Q223">_xlfn.IFS(P223&lt;=50,"Low",P223&lt;=100,"Medium",P223&gt;100,"High")</f>
        <v>Medium</v>
      </c>
      <c r="R223" t="s">
        <v>41</v>
      </c>
      <c r="S223" s="1" t="str" cm="1">
        <f t="array" ref="S223">_xlfn.IFS(R223="S","Southampton",R223="C","Cherbourg",R223="Q","Queenstown")</f>
        <v>Cherbourg</v>
      </c>
    </row>
    <row r="224" spans="1:19" x14ac:dyDescent="0.3">
      <c r="A224">
        <v>223</v>
      </c>
      <c r="B224">
        <v>1</v>
      </c>
      <c r="C224" s="1" t="str" cm="1">
        <f t="array" ref="C224">_xlfn.IFS(B224=1,"First Class",B224=2,"Second Class",B224=3,"Third Class")</f>
        <v>First Class</v>
      </c>
      <c r="D224">
        <v>0</v>
      </c>
      <c r="E224" s="1" t="str">
        <f t="shared" si="12"/>
        <v>Dead</v>
      </c>
      <c r="F224" t="s">
        <v>495</v>
      </c>
      <c r="G224" s="1" t="s">
        <v>2999</v>
      </c>
      <c r="H224" t="s">
        <v>20</v>
      </c>
      <c r="I224" s="1" t="str">
        <f t="shared" si="13"/>
        <v>Male</v>
      </c>
      <c r="J224" s="3">
        <v>28.5</v>
      </c>
      <c r="K224" s="3" t="str" cm="1">
        <f t="array" ref="K224">_xlfn.IFS(J224&lt;=13,"Child",J224&lt;=18,"Teenager",J224&lt;=30,"Young Adult",J224&lt;=50,"Middle Aged Adult",J224&gt;50,"Senior")</f>
        <v>Young Adult</v>
      </c>
      <c r="L224">
        <v>0</v>
      </c>
      <c r="M224">
        <v>0</v>
      </c>
      <c r="N224" s="1">
        <f t="shared" si="14"/>
        <v>1</v>
      </c>
      <c r="O224" s="1" t="str">
        <f t="shared" si="15"/>
        <v>Single</v>
      </c>
      <c r="P224">
        <v>27.720800000000001</v>
      </c>
      <c r="Q224" s="1" t="str" cm="1">
        <f t="array" ref="Q224">_xlfn.IFS(P224&lt;=50,"Low",P224&lt;=100,"Medium",P224&gt;100,"High")</f>
        <v>Low</v>
      </c>
      <c r="R224" t="s">
        <v>41</v>
      </c>
      <c r="S224" s="1" t="str" cm="1">
        <f t="array" ref="S224">_xlfn.IFS(R224="S","Southampton",R224="C","Cherbourg",R224="Q","Queenstown")</f>
        <v>Cherbourg</v>
      </c>
    </row>
    <row r="225" spans="1:19" x14ac:dyDescent="0.3">
      <c r="A225">
        <v>224</v>
      </c>
      <c r="B225">
        <v>1</v>
      </c>
      <c r="C225" s="1" t="str" cm="1">
        <f t="array" ref="C225">_xlfn.IFS(B225=1,"First Class",B225=2,"Second Class",B225=3,"Third Class")</f>
        <v>First Class</v>
      </c>
      <c r="D225">
        <v>0</v>
      </c>
      <c r="E225" s="1" t="str">
        <f t="shared" si="12"/>
        <v>Dead</v>
      </c>
      <c r="F225" t="s">
        <v>499</v>
      </c>
      <c r="G225" s="1" t="s">
        <v>2999</v>
      </c>
      <c r="H225" t="s">
        <v>20</v>
      </c>
      <c r="I225" s="1" t="str">
        <f t="shared" si="13"/>
        <v>Male</v>
      </c>
      <c r="J225" s="3">
        <v>29.881137667304014</v>
      </c>
      <c r="K225" s="3" t="str" cm="1">
        <f t="array" ref="K225">_xlfn.IFS(J225&lt;=13,"Child",J225&lt;=18,"Teenager",J225&lt;=30,"Young Adult",J225&lt;=50,"Middle Aged Adult",J225&gt;50,"Senior")</f>
        <v>Young Adult</v>
      </c>
      <c r="L225">
        <v>0</v>
      </c>
      <c r="M225">
        <v>0</v>
      </c>
      <c r="N225" s="1">
        <f t="shared" si="14"/>
        <v>1</v>
      </c>
      <c r="O225" s="1" t="str">
        <f t="shared" si="15"/>
        <v>Single</v>
      </c>
      <c r="P225">
        <v>0</v>
      </c>
      <c r="Q225" s="1" t="str" cm="1">
        <f t="array" ref="Q225">_xlfn.IFS(P225&lt;=50,"Low",P225&lt;=100,"Medium",P225&gt;100,"High")</f>
        <v>Low</v>
      </c>
      <c r="R225" t="s">
        <v>17</v>
      </c>
      <c r="S225" s="1" t="str" cm="1">
        <f t="array" ref="S225">_xlfn.IFS(R225="S","Southampton",R225="C","Cherbourg",R225="Q","Queenstown")</f>
        <v>Southampton</v>
      </c>
    </row>
    <row r="226" spans="1:19" x14ac:dyDescent="0.3">
      <c r="A226">
        <v>225</v>
      </c>
      <c r="B226">
        <v>1</v>
      </c>
      <c r="C226" s="1" t="str" cm="1">
        <f t="array" ref="C226">_xlfn.IFS(B226=1,"First Class",B226=2,"Second Class",B226=3,"Third Class")</f>
        <v>First Class</v>
      </c>
      <c r="D226">
        <v>0</v>
      </c>
      <c r="E226" s="1" t="str">
        <f t="shared" si="12"/>
        <v>Dead</v>
      </c>
      <c r="F226" t="s">
        <v>501</v>
      </c>
      <c r="G226" s="1" t="s">
        <v>2999</v>
      </c>
      <c r="H226" t="s">
        <v>20</v>
      </c>
      <c r="I226" s="1" t="str">
        <f t="shared" si="13"/>
        <v>Male</v>
      </c>
      <c r="J226" s="3">
        <v>45.5</v>
      </c>
      <c r="K226" s="3" t="str" cm="1">
        <f t="array" ref="K226">_xlfn.IFS(J226&lt;=13,"Child",J226&lt;=18,"Teenager",J226&lt;=30,"Young Adult",J226&lt;=50,"Middle Aged Adult",J226&gt;50,"Senior")</f>
        <v>Middle Aged Adult</v>
      </c>
      <c r="L226">
        <v>0</v>
      </c>
      <c r="M226">
        <v>0</v>
      </c>
      <c r="N226" s="1">
        <f t="shared" si="14"/>
        <v>1</v>
      </c>
      <c r="O226" s="1" t="str">
        <f t="shared" si="15"/>
        <v>Single</v>
      </c>
      <c r="P226">
        <v>28.5</v>
      </c>
      <c r="Q226" s="1" t="str" cm="1">
        <f t="array" ref="Q226">_xlfn.IFS(P226&lt;=50,"Low",P226&lt;=100,"Medium",P226&gt;100,"High")</f>
        <v>Low</v>
      </c>
      <c r="R226" t="s">
        <v>17</v>
      </c>
      <c r="S226" s="1" t="str" cm="1">
        <f t="array" ref="S226">_xlfn.IFS(R226="S","Southampton",R226="C","Cherbourg",R226="Q","Queenstown")</f>
        <v>Southampton</v>
      </c>
    </row>
    <row r="227" spans="1:19" x14ac:dyDescent="0.3">
      <c r="A227">
        <v>226</v>
      </c>
      <c r="B227">
        <v>1</v>
      </c>
      <c r="C227" s="1" t="str" cm="1">
        <f t="array" ref="C227">_xlfn.IFS(B227=1,"First Class",B227=2,"Second Class",B227=3,"Third Class")</f>
        <v>First Class</v>
      </c>
      <c r="D227">
        <v>0</v>
      </c>
      <c r="E227" s="1" t="str">
        <f t="shared" si="12"/>
        <v>Dead</v>
      </c>
      <c r="F227" t="s">
        <v>503</v>
      </c>
      <c r="G227" s="1" t="s">
        <v>2999</v>
      </c>
      <c r="H227" t="s">
        <v>20</v>
      </c>
      <c r="I227" s="1" t="str">
        <f t="shared" si="13"/>
        <v>Male</v>
      </c>
      <c r="J227" s="3">
        <v>23</v>
      </c>
      <c r="K227" s="3" t="str" cm="1">
        <f t="array" ref="K227">_xlfn.IFS(J227&lt;=13,"Child",J227&lt;=18,"Teenager",J227&lt;=30,"Young Adult",J227&lt;=50,"Middle Aged Adult",J227&gt;50,"Senior")</f>
        <v>Young Adult</v>
      </c>
      <c r="L227">
        <v>0</v>
      </c>
      <c r="M227">
        <v>0</v>
      </c>
      <c r="N227" s="1">
        <f t="shared" si="14"/>
        <v>1</v>
      </c>
      <c r="O227" s="1" t="str">
        <f t="shared" si="15"/>
        <v>Single</v>
      </c>
      <c r="P227">
        <v>93.5</v>
      </c>
      <c r="Q227" s="1" t="str" cm="1">
        <f t="array" ref="Q227">_xlfn.IFS(P227&lt;=50,"Low",P227&lt;=100,"Medium",P227&gt;100,"High")</f>
        <v>Medium</v>
      </c>
      <c r="R227" t="s">
        <v>17</v>
      </c>
      <c r="S227" s="1" t="str" cm="1">
        <f t="array" ref="S227">_xlfn.IFS(R227="S","Southampton",R227="C","Cherbourg",R227="Q","Queenstown")</f>
        <v>Southampton</v>
      </c>
    </row>
    <row r="228" spans="1:19" x14ac:dyDescent="0.3">
      <c r="A228">
        <v>227</v>
      </c>
      <c r="B228">
        <v>1</v>
      </c>
      <c r="C228" s="1" t="str" cm="1">
        <f t="array" ref="C228">_xlfn.IFS(B228=1,"First Class",B228=2,"Second Class",B228=3,"Third Class")</f>
        <v>First Class</v>
      </c>
      <c r="D228">
        <v>0</v>
      </c>
      <c r="E228" s="1" t="str">
        <f t="shared" si="12"/>
        <v>Dead</v>
      </c>
      <c r="F228" t="s">
        <v>505</v>
      </c>
      <c r="G228" s="1" t="s">
        <v>2999</v>
      </c>
      <c r="H228" t="s">
        <v>20</v>
      </c>
      <c r="I228" s="1" t="str">
        <f t="shared" si="13"/>
        <v>Male</v>
      </c>
      <c r="J228" s="3">
        <v>29</v>
      </c>
      <c r="K228" s="3" t="str" cm="1">
        <f t="array" ref="K228">_xlfn.IFS(J228&lt;=13,"Child",J228&lt;=18,"Teenager",J228&lt;=30,"Young Adult",J228&lt;=50,"Middle Aged Adult",J228&gt;50,"Senior")</f>
        <v>Young Adult</v>
      </c>
      <c r="L228">
        <v>1</v>
      </c>
      <c r="M228">
        <v>0</v>
      </c>
      <c r="N228" s="1">
        <f t="shared" si="14"/>
        <v>2</v>
      </c>
      <c r="O228" s="1" t="str">
        <f t="shared" si="15"/>
        <v>With Family</v>
      </c>
      <c r="P228">
        <v>66.599999999999994</v>
      </c>
      <c r="Q228" s="1" t="str" cm="1">
        <f t="array" ref="Q228">_xlfn.IFS(P228&lt;=50,"Low",P228&lt;=100,"Medium",P228&gt;100,"High")</f>
        <v>Medium</v>
      </c>
      <c r="R228" t="s">
        <v>17</v>
      </c>
      <c r="S228" s="1" t="str" cm="1">
        <f t="array" ref="S228">_xlfn.IFS(R228="S","Southampton",R228="C","Cherbourg",R228="Q","Queenstown")</f>
        <v>Southampton</v>
      </c>
    </row>
    <row r="229" spans="1:19" x14ac:dyDescent="0.3">
      <c r="A229">
        <v>228</v>
      </c>
      <c r="B229">
        <v>1</v>
      </c>
      <c r="C229" s="1" t="str" cm="1">
        <f t="array" ref="C229">_xlfn.IFS(B229=1,"First Class",B229=2,"Second Class",B229=3,"Third Class")</f>
        <v>First Class</v>
      </c>
      <c r="D229">
        <v>1</v>
      </c>
      <c r="E229" s="1" t="str">
        <f t="shared" si="12"/>
        <v>Alive</v>
      </c>
      <c r="F229" t="s">
        <v>508</v>
      </c>
      <c r="G229" s="1" t="s">
        <v>3001</v>
      </c>
      <c r="H229" t="s">
        <v>15</v>
      </c>
      <c r="I229" s="1" t="str">
        <f t="shared" si="13"/>
        <v>Female</v>
      </c>
      <c r="J229" s="3">
        <v>22</v>
      </c>
      <c r="K229" s="3" t="str" cm="1">
        <f t="array" ref="K229">_xlfn.IFS(J229&lt;=13,"Child",J229&lt;=18,"Teenager",J229&lt;=30,"Young Adult",J229&lt;=50,"Middle Aged Adult",J229&gt;50,"Senior")</f>
        <v>Young Adult</v>
      </c>
      <c r="L229">
        <v>1</v>
      </c>
      <c r="M229">
        <v>0</v>
      </c>
      <c r="N229" s="1">
        <f t="shared" si="14"/>
        <v>2</v>
      </c>
      <c r="O229" s="1" t="str">
        <f t="shared" si="15"/>
        <v>With Family</v>
      </c>
      <c r="P229">
        <v>66.599999999999994</v>
      </c>
      <c r="Q229" s="1" t="str" cm="1">
        <f t="array" ref="Q229">_xlfn.IFS(P229&lt;=50,"Low",P229&lt;=100,"Medium",P229&gt;100,"High")</f>
        <v>Medium</v>
      </c>
      <c r="R229" t="s">
        <v>17</v>
      </c>
      <c r="S229" s="1" t="str" cm="1">
        <f t="array" ref="S229">_xlfn.IFS(R229="S","Southampton",R229="C","Cherbourg",R229="Q","Queenstown")</f>
        <v>Southampton</v>
      </c>
    </row>
    <row r="230" spans="1:19" x14ac:dyDescent="0.3">
      <c r="A230">
        <v>229</v>
      </c>
      <c r="B230">
        <v>1</v>
      </c>
      <c r="C230" s="1" t="str" cm="1">
        <f t="array" ref="C230">_xlfn.IFS(B230=1,"First Class",B230=2,"Second Class",B230=3,"Third Class")</f>
        <v>First Class</v>
      </c>
      <c r="D230">
        <v>0</v>
      </c>
      <c r="E230" s="1" t="str">
        <f t="shared" si="12"/>
        <v>Dead</v>
      </c>
      <c r="F230" t="s">
        <v>509</v>
      </c>
      <c r="G230" s="1" t="s">
        <v>2999</v>
      </c>
      <c r="H230" t="s">
        <v>20</v>
      </c>
      <c r="I230" s="1" t="str">
        <f t="shared" si="13"/>
        <v>Male</v>
      </c>
      <c r="J230" s="3">
        <v>18</v>
      </c>
      <c r="K230" s="3" t="str" cm="1">
        <f t="array" ref="K230">_xlfn.IFS(J230&lt;=13,"Child",J230&lt;=18,"Teenager",J230&lt;=30,"Young Adult",J230&lt;=50,"Middle Aged Adult",J230&gt;50,"Senior")</f>
        <v>Teenager</v>
      </c>
      <c r="L230">
        <v>1</v>
      </c>
      <c r="M230">
        <v>0</v>
      </c>
      <c r="N230" s="1">
        <f t="shared" si="14"/>
        <v>2</v>
      </c>
      <c r="O230" s="1" t="str">
        <f t="shared" si="15"/>
        <v>With Family</v>
      </c>
      <c r="P230">
        <v>108.9</v>
      </c>
      <c r="Q230" s="1" t="str" cm="1">
        <f t="array" ref="Q230">_xlfn.IFS(P230&lt;=50,"Low",P230&lt;=100,"Medium",P230&gt;100,"High")</f>
        <v>High</v>
      </c>
      <c r="R230" t="s">
        <v>41</v>
      </c>
      <c r="S230" s="1" t="str" cm="1">
        <f t="array" ref="S230">_xlfn.IFS(R230="S","Southampton",R230="C","Cherbourg",R230="Q","Queenstown")</f>
        <v>Cherbourg</v>
      </c>
    </row>
    <row r="231" spans="1:19" x14ac:dyDescent="0.3">
      <c r="A231">
        <v>230</v>
      </c>
      <c r="B231">
        <v>1</v>
      </c>
      <c r="C231" s="1" t="str" cm="1">
        <f t="array" ref="C231">_xlfn.IFS(B231=1,"First Class",B231=2,"Second Class",B231=3,"Third Class")</f>
        <v>First Class</v>
      </c>
      <c r="D231">
        <v>1</v>
      </c>
      <c r="E231" s="1" t="str">
        <f t="shared" si="12"/>
        <v>Alive</v>
      </c>
      <c r="F231" t="s">
        <v>512</v>
      </c>
      <c r="G231" s="1" t="s">
        <v>3001</v>
      </c>
      <c r="H231" t="s">
        <v>15</v>
      </c>
      <c r="I231" s="1" t="str">
        <f t="shared" si="13"/>
        <v>Female</v>
      </c>
      <c r="J231" s="3">
        <v>17</v>
      </c>
      <c r="K231" s="3" t="str" cm="1">
        <f t="array" ref="K231">_xlfn.IFS(J231&lt;=13,"Child",J231&lt;=18,"Teenager",J231&lt;=30,"Young Adult",J231&lt;=50,"Middle Aged Adult",J231&gt;50,"Senior")</f>
        <v>Teenager</v>
      </c>
      <c r="L231">
        <v>1</v>
      </c>
      <c r="M231">
        <v>0</v>
      </c>
      <c r="N231" s="1">
        <f t="shared" si="14"/>
        <v>2</v>
      </c>
      <c r="O231" s="1" t="str">
        <f t="shared" si="15"/>
        <v>With Family</v>
      </c>
      <c r="P231">
        <v>108.9</v>
      </c>
      <c r="Q231" s="1" t="str" cm="1">
        <f t="array" ref="Q231">_xlfn.IFS(P231&lt;=50,"Low",P231&lt;=100,"Medium",P231&gt;100,"High")</f>
        <v>High</v>
      </c>
      <c r="R231" t="s">
        <v>41</v>
      </c>
      <c r="S231" s="1" t="str" cm="1">
        <f t="array" ref="S231">_xlfn.IFS(R231="S","Southampton",R231="C","Cherbourg",R231="Q","Queenstown")</f>
        <v>Cherbourg</v>
      </c>
    </row>
    <row r="232" spans="1:19" x14ac:dyDescent="0.3">
      <c r="A232">
        <v>231</v>
      </c>
      <c r="B232">
        <v>1</v>
      </c>
      <c r="C232" s="1" t="str" cm="1">
        <f t="array" ref="C232">_xlfn.IFS(B232=1,"First Class",B232=2,"Second Class",B232=3,"Third Class")</f>
        <v>First Class</v>
      </c>
      <c r="D232">
        <v>1</v>
      </c>
      <c r="E232" s="1" t="str">
        <f t="shared" si="12"/>
        <v>Alive</v>
      </c>
      <c r="F232" t="s">
        <v>513</v>
      </c>
      <c r="G232" s="1" t="s">
        <v>2994</v>
      </c>
      <c r="H232" t="s">
        <v>15</v>
      </c>
      <c r="I232" s="1" t="str">
        <f t="shared" si="13"/>
        <v>Female</v>
      </c>
      <c r="J232" s="3">
        <v>30</v>
      </c>
      <c r="K232" s="3" t="str" cm="1">
        <f t="array" ref="K232">_xlfn.IFS(J232&lt;=13,"Child",J232&lt;=18,"Teenager",J232&lt;=30,"Young Adult",J232&lt;=50,"Middle Aged Adult",J232&gt;50,"Senior")</f>
        <v>Young Adult</v>
      </c>
      <c r="L232">
        <v>0</v>
      </c>
      <c r="M232">
        <v>0</v>
      </c>
      <c r="N232" s="1">
        <f t="shared" si="14"/>
        <v>1</v>
      </c>
      <c r="O232" s="1" t="str">
        <f t="shared" si="15"/>
        <v>Single</v>
      </c>
      <c r="P232">
        <v>93.5</v>
      </c>
      <c r="Q232" s="1" t="str" cm="1">
        <f t="array" ref="Q232">_xlfn.IFS(P232&lt;=50,"Low",P232&lt;=100,"Medium",P232&gt;100,"High")</f>
        <v>Medium</v>
      </c>
      <c r="R232" t="s">
        <v>17</v>
      </c>
      <c r="S232" s="1" t="str" cm="1">
        <f t="array" ref="S232">_xlfn.IFS(R232="S","Southampton",R232="C","Cherbourg",R232="Q","Queenstown")</f>
        <v>Southampton</v>
      </c>
    </row>
    <row r="233" spans="1:19" x14ac:dyDescent="0.3">
      <c r="A233">
        <v>232</v>
      </c>
      <c r="B233">
        <v>1</v>
      </c>
      <c r="C233" s="1" t="str" cm="1">
        <f t="array" ref="C233">_xlfn.IFS(B233=1,"First Class",B233=2,"Second Class",B233=3,"Third Class")</f>
        <v>First Class</v>
      </c>
      <c r="D233">
        <v>1</v>
      </c>
      <c r="E233" s="1" t="str">
        <f t="shared" si="12"/>
        <v>Alive</v>
      </c>
      <c r="F233" t="s">
        <v>515</v>
      </c>
      <c r="G233" s="1" t="s">
        <v>3046</v>
      </c>
      <c r="H233" t="s">
        <v>20</v>
      </c>
      <c r="I233" s="1" t="str">
        <f t="shared" si="13"/>
        <v>Male</v>
      </c>
      <c r="J233" s="3">
        <v>52</v>
      </c>
      <c r="K233" s="3" t="str" cm="1">
        <f t="array" ref="K233">_xlfn.IFS(J233&lt;=13,"Child",J233&lt;=18,"Teenager",J233&lt;=30,"Young Adult",J233&lt;=50,"Middle Aged Adult",J233&gt;50,"Senior")</f>
        <v>Senior</v>
      </c>
      <c r="L233">
        <v>0</v>
      </c>
      <c r="M233">
        <v>0</v>
      </c>
      <c r="N233" s="1">
        <f t="shared" si="14"/>
        <v>1</v>
      </c>
      <c r="O233" s="1" t="str">
        <f t="shared" si="15"/>
        <v>Single</v>
      </c>
      <c r="P233">
        <v>30.5</v>
      </c>
      <c r="Q233" s="1" t="str" cm="1">
        <f t="array" ref="Q233">_xlfn.IFS(P233&lt;=50,"Low",P233&lt;=100,"Medium",P233&gt;100,"High")</f>
        <v>Low</v>
      </c>
      <c r="R233" t="s">
        <v>17</v>
      </c>
      <c r="S233" s="1" t="str" cm="1">
        <f t="array" ref="S233">_xlfn.IFS(R233="S","Southampton",R233="C","Cherbourg",R233="Q","Queenstown")</f>
        <v>Southampton</v>
      </c>
    </row>
    <row r="234" spans="1:19" x14ac:dyDescent="0.3">
      <c r="A234">
        <v>233</v>
      </c>
      <c r="B234">
        <v>1</v>
      </c>
      <c r="C234" s="1" t="str" cm="1">
        <f t="array" ref="C234">_xlfn.IFS(B234=1,"First Class",B234=2,"Second Class",B234=3,"Third Class")</f>
        <v>First Class</v>
      </c>
      <c r="D234">
        <v>0</v>
      </c>
      <c r="E234" s="1" t="str">
        <f t="shared" si="12"/>
        <v>Dead</v>
      </c>
      <c r="F234" t="s">
        <v>518</v>
      </c>
      <c r="G234" s="1" t="s">
        <v>2999</v>
      </c>
      <c r="H234" t="s">
        <v>20</v>
      </c>
      <c r="I234" s="1" t="str">
        <f t="shared" si="13"/>
        <v>Male</v>
      </c>
      <c r="J234" s="3">
        <v>47</v>
      </c>
      <c r="K234" s="3" t="str" cm="1">
        <f t="array" ref="K234">_xlfn.IFS(J234&lt;=13,"Child",J234&lt;=18,"Teenager",J234&lt;=30,"Young Adult",J234&lt;=50,"Middle Aged Adult",J234&gt;50,"Senior")</f>
        <v>Middle Aged Adult</v>
      </c>
      <c r="L234">
        <v>0</v>
      </c>
      <c r="M234">
        <v>0</v>
      </c>
      <c r="N234" s="1">
        <f t="shared" si="14"/>
        <v>1</v>
      </c>
      <c r="O234" s="1" t="str">
        <f t="shared" si="15"/>
        <v>Single</v>
      </c>
      <c r="P234">
        <v>52</v>
      </c>
      <c r="Q234" s="1" t="str" cm="1">
        <f t="array" ref="Q234">_xlfn.IFS(P234&lt;=50,"Low",P234&lt;=100,"Medium",P234&gt;100,"High")</f>
        <v>Medium</v>
      </c>
      <c r="R234" t="s">
        <v>17</v>
      </c>
      <c r="S234" s="1" t="str" cm="1">
        <f t="array" ref="S234">_xlfn.IFS(R234="S","Southampton",R234="C","Cherbourg",R234="Q","Queenstown")</f>
        <v>Southampton</v>
      </c>
    </row>
    <row r="235" spans="1:19" x14ac:dyDescent="0.3">
      <c r="A235">
        <v>234</v>
      </c>
      <c r="B235">
        <v>1</v>
      </c>
      <c r="C235" s="1" t="str" cm="1">
        <f t="array" ref="C235">_xlfn.IFS(B235=1,"First Class",B235=2,"Second Class",B235=3,"Third Class")</f>
        <v>First Class</v>
      </c>
      <c r="D235">
        <v>1</v>
      </c>
      <c r="E235" s="1" t="str">
        <f t="shared" si="12"/>
        <v>Alive</v>
      </c>
      <c r="F235" t="s">
        <v>521</v>
      </c>
      <c r="G235" s="1" t="s">
        <v>3001</v>
      </c>
      <c r="H235" t="s">
        <v>15</v>
      </c>
      <c r="I235" s="1" t="str">
        <f t="shared" si="13"/>
        <v>Female</v>
      </c>
      <c r="J235" s="3">
        <v>56</v>
      </c>
      <c r="K235" s="3" t="str" cm="1">
        <f t="array" ref="K235">_xlfn.IFS(J235&lt;=13,"Child",J235&lt;=18,"Teenager",J235&lt;=30,"Young Adult",J235&lt;=50,"Middle Aged Adult",J235&gt;50,"Senior")</f>
        <v>Senior</v>
      </c>
      <c r="L235">
        <v>0</v>
      </c>
      <c r="M235">
        <v>1</v>
      </c>
      <c r="N235" s="1">
        <f t="shared" si="14"/>
        <v>2</v>
      </c>
      <c r="O235" s="1" t="str">
        <f t="shared" si="15"/>
        <v>With Family</v>
      </c>
      <c r="P235">
        <v>83.158299999999997</v>
      </c>
      <c r="Q235" s="1" t="str" cm="1">
        <f t="array" ref="Q235">_xlfn.IFS(P235&lt;=50,"Low",P235&lt;=100,"Medium",P235&gt;100,"High")</f>
        <v>Medium</v>
      </c>
      <c r="R235" t="s">
        <v>41</v>
      </c>
      <c r="S235" s="1" t="str" cm="1">
        <f t="array" ref="S235">_xlfn.IFS(R235="S","Southampton",R235="C","Cherbourg",R235="Q","Queenstown")</f>
        <v>Cherbourg</v>
      </c>
    </row>
    <row r="236" spans="1:19" x14ac:dyDescent="0.3">
      <c r="A236">
        <v>235</v>
      </c>
      <c r="B236">
        <v>1</v>
      </c>
      <c r="C236" s="1" t="str" cm="1">
        <f t="array" ref="C236">_xlfn.IFS(B236=1,"First Class",B236=2,"Second Class",B236=3,"Third Class")</f>
        <v>First Class</v>
      </c>
      <c r="D236">
        <v>0</v>
      </c>
      <c r="E236" s="1" t="str">
        <f t="shared" si="12"/>
        <v>Dead</v>
      </c>
      <c r="F236" t="s">
        <v>523</v>
      </c>
      <c r="G236" s="1" t="s">
        <v>3237</v>
      </c>
      <c r="H236" t="s">
        <v>20</v>
      </c>
      <c r="I236" s="1" t="str">
        <f t="shared" si="13"/>
        <v>Male</v>
      </c>
      <c r="J236" s="3">
        <v>38</v>
      </c>
      <c r="K236" s="3" t="str" cm="1">
        <f t="array" ref="K236">_xlfn.IFS(J236&lt;=13,"Child",J236&lt;=18,"Teenager",J236&lt;=30,"Young Adult",J236&lt;=50,"Middle Aged Adult",J236&gt;50,"Senior")</f>
        <v>Middle Aged Adult</v>
      </c>
      <c r="L236">
        <v>0</v>
      </c>
      <c r="M236">
        <v>0</v>
      </c>
      <c r="N236" s="1">
        <f t="shared" si="14"/>
        <v>1</v>
      </c>
      <c r="O236" s="1" t="str">
        <f t="shared" si="15"/>
        <v>Single</v>
      </c>
      <c r="P236">
        <v>0</v>
      </c>
      <c r="Q236" s="1" t="str" cm="1">
        <f t="array" ref="Q236">_xlfn.IFS(P236&lt;=50,"Low",P236&lt;=100,"Medium",P236&gt;100,"High")</f>
        <v>Low</v>
      </c>
      <c r="R236" t="s">
        <v>17</v>
      </c>
      <c r="S236" s="1" t="str" cm="1">
        <f t="array" ref="S236">_xlfn.IFS(R236="S","Southampton",R236="C","Cherbourg",R236="Q","Queenstown")</f>
        <v>Southampton</v>
      </c>
    </row>
    <row r="237" spans="1:19" x14ac:dyDescent="0.3">
      <c r="A237">
        <v>236</v>
      </c>
      <c r="B237">
        <v>1</v>
      </c>
      <c r="C237" s="1" t="str" cm="1">
        <f t="array" ref="C237">_xlfn.IFS(B237=1,"First Class",B237=2,"Second Class",B237=3,"Third Class")</f>
        <v>First Class</v>
      </c>
      <c r="D237">
        <v>1</v>
      </c>
      <c r="E237" s="1" t="str">
        <f t="shared" si="12"/>
        <v>Alive</v>
      </c>
      <c r="F237" t="s">
        <v>525</v>
      </c>
      <c r="G237" s="1" t="s">
        <v>2999</v>
      </c>
      <c r="H237" t="s">
        <v>20</v>
      </c>
      <c r="I237" s="1" t="str">
        <f t="shared" si="13"/>
        <v>Male</v>
      </c>
      <c r="J237" s="3">
        <v>29.881137667304014</v>
      </c>
      <c r="K237" s="3" t="str" cm="1">
        <f t="array" ref="K237">_xlfn.IFS(J237&lt;=13,"Child",J237&lt;=18,"Teenager",J237&lt;=30,"Young Adult",J237&lt;=50,"Middle Aged Adult",J237&gt;50,"Senior")</f>
        <v>Young Adult</v>
      </c>
      <c r="L237">
        <v>0</v>
      </c>
      <c r="M237">
        <v>0</v>
      </c>
      <c r="N237" s="1">
        <f t="shared" si="14"/>
        <v>1</v>
      </c>
      <c r="O237" s="1" t="str">
        <f t="shared" si="15"/>
        <v>Single</v>
      </c>
      <c r="P237">
        <v>39.6</v>
      </c>
      <c r="Q237" s="1" t="str" cm="1">
        <f t="array" ref="Q237">_xlfn.IFS(P237&lt;=50,"Low",P237&lt;=100,"Medium",P237&gt;100,"High")</f>
        <v>Low</v>
      </c>
      <c r="R237" t="s">
        <v>17</v>
      </c>
      <c r="S237" s="1" t="str" cm="1">
        <f t="array" ref="S237">_xlfn.IFS(R237="S","Southampton",R237="C","Cherbourg",R237="Q","Queenstown")</f>
        <v>Southampton</v>
      </c>
    </row>
    <row r="238" spans="1:19" x14ac:dyDescent="0.3">
      <c r="A238">
        <v>237</v>
      </c>
      <c r="B238">
        <v>1</v>
      </c>
      <c r="C238" s="1" t="str" cm="1">
        <f t="array" ref="C238">_xlfn.IFS(B238=1,"First Class",B238=2,"Second Class",B238=3,"Third Class")</f>
        <v>First Class</v>
      </c>
      <c r="D238">
        <v>0</v>
      </c>
      <c r="E238" s="1" t="str">
        <f t="shared" si="12"/>
        <v>Dead</v>
      </c>
      <c r="F238" t="s">
        <v>528</v>
      </c>
      <c r="G238" s="1" t="s">
        <v>2999</v>
      </c>
      <c r="H238" t="s">
        <v>20</v>
      </c>
      <c r="I238" s="1" t="str">
        <f t="shared" si="13"/>
        <v>Male</v>
      </c>
      <c r="J238" s="3">
        <v>22</v>
      </c>
      <c r="K238" s="3" t="str" cm="1">
        <f t="array" ref="K238">_xlfn.IFS(J238&lt;=13,"Child",J238&lt;=18,"Teenager",J238&lt;=30,"Young Adult",J238&lt;=50,"Middle Aged Adult",J238&gt;50,"Senior")</f>
        <v>Young Adult</v>
      </c>
      <c r="L238">
        <v>0</v>
      </c>
      <c r="M238">
        <v>0</v>
      </c>
      <c r="N238" s="1">
        <f t="shared" si="14"/>
        <v>1</v>
      </c>
      <c r="O238" s="1" t="str">
        <f t="shared" si="15"/>
        <v>Single</v>
      </c>
      <c r="P238">
        <v>135.63329999999999</v>
      </c>
      <c r="Q238" s="1" t="str" cm="1">
        <f t="array" ref="Q238">_xlfn.IFS(P238&lt;=50,"Low",P238&lt;=100,"Medium",P238&gt;100,"High")</f>
        <v>High</v>
      </c>
      <c r="R238" t="s">
        <v>41</v>
      </c>
      <c r="S238" s="1" t="str" cm="1">
        <f t="array" ref="S238">_xlfn.IFS(R238="S","Southampton",R238="C","Cherbourg",R238="Q","Queenstown")</f>
        <v>Cherbourg</v>
      </c>
    </row>
    <row r="239" spans="1:19" x14ac:dyDescent="0.3">
      <c r="A239">
        <v>238</v>
      </c>
      <c r="B239">
        <v>1</v>
      </c>
      <c r="C239" s="1" t="str" cm="1">
        <f t="array" ref="C239">_xlfn.IFS(B239=1,"First Class",B239=2,"Second Class",B239=3,"Third Class")</f>
        <v>First Class</v>
      </c>
      <c r="D239">
        <v>0</v>
      </c>
      <c r="E239" s="1" t="str">
        <f t="shared" si="12"/>
        <v>Dead</v>
      </c>
      <c r="F239" t="s">
        <v>529</v>
      </c>
      <c r="G239" s="1" t="s">
        <v>2999</v>
      </c>
      <c r="H239" t="s">
        <v>20</v>
      </c>
      <c r="I239" s="1" t="str">
        <f t="shared" si="13"/>
        <v>Male</v>
      </c>
      <c r="J239" s="3">
        <v>29.881137667304014</v>
      </c>
      <c r="K239" s="3" t="str" cm="1">
        <f t="array" ref="K239">_xlfn.IFS(J239&lt;=13,"Child",J239&lt;=18,"Teenager",J239&lt;=30,"Young Adult",J239&lt;=50,"Middle Aged Adult",J239&gt;50,"Senior")</f>
        <v>Young Adult</v>
      </c>
      <c r="L239">
        <v>0</v>
      </c>
      <c r="M239">
        <v>0</v>
      </c>
      <c r="N239" s="1">
        <f t="shared" si="14"/>
        <v>1</v>
      </c>
      <c r="O239" s="1" t="str">
        <f t="shared" si="15"/>
        <v>Single</v>
      </c>
      <c r="P239">
        <v>227.52500000000001</v>
      </c>
      <c r="Q239" s="1" t="str" cm="1">
        <f t="array" ref="Q239">_xlfn.IFS(P239&lt;=50,"Low",P239&lt;=100,"Medium",P239&gt;100,"High")</f>
        <v>High</v>
      </c>
      <c r="R239" t="s">
        <v>41</v>
      </c>
      <c r="S239" s="1" t="str" cm="1">
        <f t="array" ref="S239">_xlfn.IFS(R239="S","Southampton",R239="C","Cherbourg",R239="Q","Queenstown")</f>
        <v>Cherbourg</v>
      </c>
    </row>
    <row r="240" spans="1:19" x14ac:dyDescent="0.3">
      <c r="A240">
        <v>239</v>
      </c>
      <c r="B240">
        <v>1</v>
      </c>
      <c r="C240" s="1" t="str" cm="1">
        <f t="array" ref="C240">_xlfn.IFS(B240=1,"First Class",B240=2,"Second Class",B240=3,"Third Class")</f>
        <v>First Class</v>
      </c>
      <c r="D240">
        <v>1</v>
      </c>
      <c r="E240" s="1" t="str">
        <f t="shared" si="12"/>
        <v>Alive</v>
      </c>
      <c r="F240" t="s">
        <v>530</v>
      </c>
      <c r="G240" s="1" t="s">
        <v>3001</v>
      </c>
      <c r="H240" t="s">
        <v>15</v>
      </c>
      <c r="I240" s="1" t="str">
        <f t="shared" si="13"/>
        <v>Female</v>
      </c>
      <c r="J240" s="3">
        <v>43</v>
      </c>
      <c r="K240" s="3" t="str" cm="1">
        <f t="array" ref="K240">_xlfn.IFS(J240&lt;=13,"Child",J240&lt;=18,"Teenager",J240&lt;=30,"Young Adult",J240&lt;=50,"Middle Aged Adult",J240&gt;50,"Senior")</f>
        <v>Middle Aged Adult</v>
      </c>
      <c r="L240">
        <v>0</v>
      </c>
      <c r="M240">
        <v>1</v>
      </c>
      <c r="N240" s="1">
        <f t="shared" si="14"/>
        <v>2</v>
      </c>
      <c r="O240" s="1" t="str">
        <f t="shared" si="15"/>
        <v>With Family</v>
      </c>
      <c r="P240">
        <v>211.33750000000001</v>
      </c>
      <c r="Q240" s="1" t="str" cm="1">
        <f t="array" ref="Q240">_xlfn.IFS(P240&lt;=50,"Low",P240&lt;=100,"Medium",P240&gt;100,"High")</f>
        <v>High</v>
      </c>
      <c r="R240" t="s">
        <v>17</v>
      </c>
      <c r="S240" s="1" t="str" cm="1">
        <f t="array" ref="S240">_xlfn.IFS(R240="S","Southampton",R240="C","Cherbourg",R240="Q","Queenstown")</f>
        <v>Southampton</v>
      </c>
    </row>
    <row r="241" spans="1:19" x14ac:dyDescent="0.3">
      <c r="A241">
        <v>240</v>
      </c>
      <c r="B241">
        <v>1</v>
      </c>
      <c r="C241" s="1" t="str" cm="1">
        <f t="array" ref="C241">_xlfn.IFS(B241=1,"First Class",B241=2,"Second Class",B241=3,"Third Class")</f>
        <v>First Class</v>
      </c>
      <c r="D241">
        <v>0</v>
      </c>
      <c r="E241" s="1" t="str">
        <f t="shared" si="12"/>
        <v>Dead</v>
      </c>
      <c r="F241" t="s">
        <v>532</v>
      </c>
      <c r="G241" s="1" t="s">
        <v>2999</v>
      </c>
      <c r="H241" t="s">
        <v>20</v>
      </c>
      <c r="I241" s="1" t="str">
        <f t="shared" si="13"/>
        <v>Male</v>
      </c>
      <c r="J241" s="3">
        <v>31</v>
      </c>
      <c r="K241" s="3" t="str" cm="1">
        <f t="array" ref="K241">_xlfn.IFS(J241&lt;=13,"Child",J241&lt;=18,"Teenager",J241&lt;=30,"Young Adult",J241&lt;=50,"Middle Aged Adult",J241&gt;50,"Senior")</f>
        <v>Middle Aged Adult</v>
      </c>
      <c r="L241">
        <v>0</v>
      </c>
      <c r="M241">
        <v>0</v>
      </c>
      <c r="N241" s="1">
        <f t="shared" si="14"/>
        <v>1</v>
      </c>
      <c r="O241" s="1" t="str">
        <f t="shared" si="15"/>
        <v>Single</v>
      </c>
      <c r="P241">
        <v>50.495800000000003</v>
      </c>
      <c r="Q241" s="1" t="str" cm="1">
        <f t="array" ref="Q241">_xlfn.IFS(P241&lt;=50,"Low",P241&lt;=100,"Medium",P241&gt;100,"High")</f>
        <v>Medium</v>
      </c>
      <c r="R241" t="s">
        <v>17</v>
      </c>
      <c r="S241" s="1" t="str" cm="1">
        <f t="array" ref="S241">_xlfn.IFS(R241="S","Southampton",R241="C","Cherbourg",R241="Q","Queenstown")</f>
        <v>Southampton</v>
      </c>
    </row>
    <row r="242" spans="1:19" x14ac:dyDescent="0.3">
      <c r="A242">
        <v>241</v>
      </c>
      <c r="B242">
        <v>1</v>
      </c>
      <c r="C242" s="1" t="str" cm="1">
        <f t="array" ref="C242">_xlfn.IFS(B242=1,"First Class",B242=2,"Second Class",B242=3,"Third Class")</f>
        <v>First Class</v>
      </c>
      <c r="D242">
        <v>1</v>
      </c>
      <c r="E242" s="1" t="str">
        <f t="shared" si="12"/>
        <v>Alive</v>
      </c>
      <c r="F242" t="s">
        <v>535</v>
      </c>
      <c r="G242" s="1" t="s">
        <v>2999</v>
      </c>
      <c r="H242" t="s">
        <v>20</v>
      </c>
      <c r="I242" s="1" t="str">
        <f t="shared" si="13"/>
        <v>Male</v>
      </c>
      <c r="J242" s="3">
        <v>45</v>
      </c>
      <c r="K242" s="3" t="str" cm="1">
        <f t="array" ref="K242">_xlfn.IFS(J242&lt;=13,"Child",J242&lt;=18,"Teenager",J242&lt;=30,"Young Adult",J242&lt;=50,"Middle Aged Adult",J242&gt;50,"Senior")</f>
        <v>Middle Aged Adult</v>
      </c>
      <c r="L242">
        <v>0</v>
      </c>
      <c r="M242">
        <v>0</v>
      </c>
      <c r="N242" s="1">
        <f t="shared" si="14"/>
        <v>1</v>
      </c>
      <c r="O242" s="1" t="str">
        <f t="shared" si="15"/>
        <v>Single</v>
      </c>
      <c r="P242">
        <v>26.55</v>
      </c>
      <c r="Q242" s="1" t="str" cm="1">
        <f t="array" ref="Q242">_xlfn.IFS(P242&lt;=50,"Low",P242&lt;=100,"Medium",P242&gt;100,"High")</f>
        <v>Low</v>
      </c>
      <c r="R242" t="s">
        <v>17</v>
      </c>
      <c r="S242" s="1" t="str" cm="1">
        <f t="array" ref="S242">_xlfn.IFS(R242="S","Southampton",R242="C","Cherbourg",R242="Q","Queenstown")</f>
        <v>Southampton</v>
      </c>
    </row>
    <row r="243" spans="1:19" x14ac:dyDescent="0.3">
      <c r="A243">
        <v>242</v>
      </c>
      <c r="B243">
        <v>1</v>
      </c>
      <c r="C243" s="1" t="str" cm="1">
        <f t="array" ref="C243">_xlfn.IFS(B243=1,"First Class",B243=2,"Second Class",B243=3,"Third Class")</f>
        <v>First Class</v>
      </c>
      <c r="D243">
        <v>0</v>
      </c>
      <c r="E243" s="1" t="str">
        <f t="shared" si="12"/>
        <v>Dead</v>
      </c>
      <c r="F243" t="s">
        <v>536</v>
      </c>
      <c r="G243" s="1" t="s">
        <v>2999</v>
      </c>
      <c r="H243" t="s">
        <v>20</v>
      </c>
      <c r="I243" s="1" t="str">
        <f t="shared" si="13"/>
        <v>Male</v>
      </c>
      <c r="J243" s="3">
        <v>29.881137667304014</v>
      </c>
      <c r="K243" s="3" t="str" cm="1">
        <f t="array" ref="K243">_xlfn.IFS(J243&lt;=13,"Child",J243&lt;=18,"Teenager",J243&lt;=30,"Young Adult",J243&lt;=50,"Middle Aged Adult",J243&gt;50,"Senior")</f>
        <v>Young Adult</v>
      </c>
      <c r="L243">
        <v>0</v>
      </c>
      <c r="M243">
        <v>0</v>
      </c>
      <c r="N243" s="1">
        <f t="shared" si="14"/>
        <v>1</v>
      </c>
      <c r="O243" s="1" t="str">
        <f t="shared" si="15"/>
        <v>Single</v>
      </c>
      <c r="P243">
        <v>50</v>
      </c>
      <c r="Q243" s="1" t="str" cm="1">
        <f t="array" ref="Q243">_xlfn.IFS(P243&lt;=50,"Low",P243&lt;=100,"Medium",P243&gt;100,"High")</f>
        <v>Low</v>
      </c>
      <c r="R243" t="s">
        <v>17</v>
      </c>
      <c r="S243" s="1" t="str" cm="1">
        <f t="array" ref="S243">_xlfn.IFS(R243="S","Southampton",R243="C","Cherbourg",R243="Q","Queenstown")</f>
        <v>Southampton</v>
      </c>
    </row>
    <row r="244" spans="1:19" x14ac:dyDescent="0.3">
      <c r="A244">
        <v>243</v>
      </c>
      <c r="B244">
        <v>1</v>
      </c>
      <c r="C244" s="1" t="str" cm="1">
        <f t="array" ref="C244">_xlfn.IFS(B244=1,"First Class",B244=2,"Second Class",B244=3,"Third Class")</f>
        <v>First Class</v>
      </c>
      <c r="D244">
        <v>1</v>
      </c>
      <c r="E244" s="1" t="str">
        <f t="shared" si="12"/>
        <v>Alive</v>
      </c>
      <c r="F244" t="s">
        <v>539</v>
      </c>
      <c r="G244" s="1" t="s">
        <v>2994</v>
      </c>
      <c r="H244" t="s">
        <v>15</v>
      </c>
      <c r="I244" s="1" t="str">
        <f t="shared" si="13"/>
        <v>Female</v>
      </c>
      <c r="J244" s="3">
        <v>33</v>
      </c>
      <c r="K244" s="3" t="str" cm="1">
        <f t="array" ref="K244">_xlfn.IFS(J244&lt;=13,"Child",J244&lt;=18,"Teenager",J244&lt;=30,"Young Adult",J244&lt;=50,"Middle Aged Adult",J244&gt;50,"Senior")</f>
        <v>Middle Aged Adult</v>
      </c>
      <c r="L244">
        <v>0</v>
      </c>
      <c r="M244">
        <v>0</v>
      </c>
      <c r="N244" s="1">
        <f t="shared" si="14"/>
        <v>1</v>
      </c>
      <c r="O244" s="1" t="str">
        <f t="shared" si="15"/>
        <v>Single</v>
      </c>
      <c r="P244">
        <v>27.720800000000001</v>
      </c>
      <c r="Q244" s="1" t="str" cm="1">
        <f t="array" ref="Q244">_xlfn.IFS(P244&lt;=50,"Low",P244&lt;=100,"Medium",P244&gt;100,"High")</f>
        <v>Low</v>
      </c>
      <c r="R244" t="s">
        <v>41</v>
      </c>
      <c r="S244" s="1" t="str" cm="1">
        <f t="array" ref="S244">_xlfn.IFS(R244="S","Southampton",R244="C","Cherbourg",R244="Q","Queenstown")</f>
        <v>Cherbourg</v>
      </c>
    </row>
    <row r="245" spans="1:19" x14ac:dyDescent="0.3">
      <c r="A245">
        <v>244</v>
      </c>
      <c r="B245">
        <v>1</v>
      </c>
      <c r="C245" s="1" t="str" cm="1">
        <f t="array" ref="C245">_xlfn.IFS(B245=1,"First Class",B245=2,"Second Class",B245=3,"Third Class")</f>
        <v>First Class</v>
      </c>
      <c r="D245">
        <v>0</v>
      </c>
      <c r="E245" s="1" t="str">
        <f t="shared" si="12"/>
        <v>Dead</v>
      </c>
      <c r="F245" t="s">
        <v>542</v>
      </c>
      <c r="G245" s="1" t="s">
        <v>2999</v>
      </c>
      <c r="H245" t="s">
        <v>20</v>
      </c>
      <c r="I245" s="1" t="str">
        <f t="shared" si="13"/>
        <v>Male</v>
      </c>
      <c r="J245" s="3">
        <v>46</v>
      </c>
      <c r="K245" s="3" t="str" cm="1">
        <f t="array" ref="K245">_xlfn.IFS(J245&lt;=13,"Child",J245&lt;=18,"Teenager",J245&lt;=30,"Young Adult",J245&lt;=50,"Middle Aged Adult",J245&gt;50,"Senior")</f>
        <v>Middle Aged Adult</v>
      </c>
      <c r="L245">
        <v>0</v>
      </c>
      <c r="M245">
        <v>0</v>
      </c>
      <c r="N245" s="1">
        <f t="shared" si="14"/>
        <v>1</v>
      </c>
      <c r="O245" s="1" t="str">
        <f t="shared" si="15"/>
        <v>Single</v>
      </c>
      <c r="P245">
        <v>79.2</v>
      </c>
      <c r="Q245" s="1" t="str" cm="1">
        <f t="array" ref="Q245">_xlfn.IFS(P245&lt;=50,"Low",P245&lt;=100,"Medium",P245&gt;100,"High")</f>
        <v>Medium</v>
      </c>
      <c r="R245" t="s">
        <v>41</v>
      </c>
      <c r="S245" s="1" t="str" cm="1">
        <f t="array" ref="S245">_xlfn.IFS(R245="S","Southampton",R245="C","Cherbourg",R245="Q","Queenstown")</f>
        <v>Cherbourg</v>
      </c>
    </row>
    <row r="246" spans="1:19" x14ac:dyDescent="0.3">
      <c r="A246">
        <v>245</v>
      </c>
      <c r="B246">
        <v>1</v>
      </c>
      <c r="C246" s="1" t="str" cm="1">
        <f t="array" ref="C246">_xlfn.IFS(B246=1,"First Class",B246=2,"Second Class",B246=3,"Third Class")</f>
        <v>First Class</v>
      </c>
      <c r="D246">
        <v>0</v>
      </c>
      <c r="E246" s="1" t="str">
        <f t="shared" si="12"/>
        <v>Dead</v>
      </c>
      <c r="F246" t="s">
        <v>544</v>
      </c>
      <c r="G246" s="1" t="s">
        <v>2999</v>
      </c>
      <c r="H246" t="s">
        <v>20</v>
      </c>
      <c r="I246" s="1" t="str">
        <f t="shared" si="13"/>
        <v>Male</v>
      </c>
      <c r="J246" s="3">
        <v>36</v>
      </c>
      <c r="K246" s="3" t="str" cm="1">
        <f t="array" ref="K246">_xlfn.IFS(J246&lt;=13,"Child",J246&lt;=18,"Teenager",J246&lt;=30,"Young Adult",J246&lt;=50,"Middle Aged Adult",J246&gt;50,"Senior")</f>
        <v>Middle Aged Adult</v>
      </c>
      <c r="L246">
        <v>0</v>
      </c>
      <c r="M246">
        <v>0</v>
      </c>
      <c r="N246" s="1">
        <f t="shared" si="14"/>
        <v>1</v>
      </c>
      <c r="O246" s="1" t="str">
        <f t="shared" si="15"/>
        <v>Single</v>
      </c>
      <c r="P246">
        <v>40.125</v>
      </c>
      <c r="Q246" s="1" t="str" cm="1">
        <f t="array" ref="Q246">_xlfn.IFS(P246&lt;=50,"Low",P246&lt;=100,"Medium",P246&gt;100,"High")</f>
        <v>Low</v>
      </c>
      <c r="R246" t="s">
        <v>41</v>
      </c>
      <c r="S246" s="1" t="str" cm="1">
        <f t="array" ref="S246">_xlfn.IFS(R246="S","Southampton",R246="C","Cherbourg",R246="Q","Queenstown")</f>
        <v>Cherbourg</v>
      </c>
    </row>
    <row r="247" spans="1:19" x14ac:dyDescent="0.3">
      <c r="A247">
        <v>246</v>
      </c>
      <c r="B247">
        <v>1</v>
      </c>
      <c r="C247" s="1" t="str" cm="1">
        <f t="array" ref="C247">_xlfn.IFS(B247=1,"First Class",B247=2,"Second Class",B247=3,"Third Class")</f>
        <v>First Class</v>
      </c>
      <c r="D247">
        <v>1</v>
      </c>
      <c r="E247" s="1" t="str">
        <f t="shared" si="12"/>
        <v>Alive</v>
      </c>
      <c r="F247" t="s">
        <v>546</v>
      </c>
      <c r="G247" s="1" t="s">
        <v>3248</v>
      </c>
      <c r="H247" t="s">
        <v>15</v>
      </c>
      <c r="I247" s="1" t="str">
        <f t="shared" si="13"/>
        <v>Female</v>
      </c>
      <c r="J247" s="3">
        <v>33</v>
      </c>
      <c r="K247" s="3" t="str" cm="1">
        <f t="array" ref="K247">_xlfn.IFS(J247&lt;=13,"Child",J247&lt;=18,"Teenager",J247&lt;=30,"Young Adult",J247&lt;=50,"Middle Aged Adult",J247&gt;50,"Senior")</f>
        <v>Middle Aged Adult</v>
      </c>
      <c r="L247">
        <v>0</v>
      </c>
      <c r="M247">
        <v>0</v>
      </c>
      <c r="N247" s="1">
        <f t="shared" si="14"/>
        <v>1</v>
      </c>
      <c r="O247" s="1" t="str">
        <f t="shared" si="15"/>
        <v>Single</v>
      </c>
      <c r="P247">
        <v>86.5</v>
      </c>
      <c r="Q247" s="1" t="str" cm="1">
        <f t="array" ref="Q247">_xlfn.IFS(P247&lt;=50,"Low",P247&lt;=100,"Medium",P247&gt;100,"High")</f>
        <v>Medium</v>
      </c>
      <c r="R247" t="s">
        <v>17</v>
      </c>
      <c r="S247" s="1" t="str" cm="1">
        <f t="array" ref="S247">_xlfn.IFS(R247="S","Southampton",R247="C","Cherbourg",R247="Q","Queenstown")</f>
        <v>Southampton</v>
      </c>
    </row>
    <row r="248" spans="1:19" x14ac:dyDescent="0.3">
      <c r="A248">
        <v>247</v>
      </c>
      <c r="B248">
        <v>1</v>
      </c>
      <c r="C248" s="1" t="str" cm="1">
        <f t="array" ref="C248">_xlfn.IFS(B248=1,"First Class",B248=2,"Second Class",B248=3,"Third Class")</f>
        <v>First Class</v>
      </c>
      <c r="D248">
        <v>0</v>
      </c>
      <c r="E248" s="1" t="str">
        <f t="shared" si="12"/>
        <v>Dead</v>
      </c>
      <c r="F248" t="s">
        <v>548</v>
      </c>
      <c r="G248" s="1" t="s">
        <v>2999</v>
      </c>
      <c r="H248" t="s">
        <v>20</v>
      </c>
      <c r="I248" s="1" t="str">
        <f t="shared" si="13"/>
        <v>Male</v>
      </c>
      <c r="J248" s="3">
        <v>55</v>
      </c>
      <c r="K248" s="3" t="str" cm="1">
        <f t="array" ref="K248">_xlfn.IFS(J248&lt;=13,"Child",J248&lt;=18,"Teenager",J248&lt;=30,"Young Adult",J248&lt;=50,"Middle Aged Adult",J248&gt;50,"Senior")</f>
        <v>Senior</v>
      </c>
      <c r="L248">
        <v>1</v>
      </c>
      <c r="M248">
        <v>0</v>
      </c>
      <c r="N248" s="1">
        <f t="shared" si="14"/>
        <v>2</v>
      </c>
      <c r="O248" s="1" t="str">
        <f t="shared" si="15"/>
        <v>With Family</v>
      </c>
      <c r="P248">
        <v>59.4</v>
      </c>
      <c r="Q248" s="1" t="str" cm="1">
        <f t="array" ref="Q248">_xlfn.IFS(P248&lt;=50,"Low",P248&lt;=100,"Medium",P248&gt;100,"High")</f>
        <v>Medium</v>
      </c>
      <c r="R248" t="s">
        <v>41</v>
      </c>
      <c r="S248" s="1" t="str" cm="1">
        <f t="array" ref="S248">_xlfn.IFS(R248="S","Southampton",R248="C","Cherbourg",R248="Q","Queenstown")</f>
        <v>Cherbourg</v>
      </c>
    </row>
    <row r="249" spans="1:19" x14ac:dyDescent="0.3">
      <c r="A249">
        <v>248</v>
      </c>
      <c r="B249">
        <v>1</v>
      </c>
      <c r="C249" s="1" t="str" cm="1">
        <f t="array" ref="C249">_xlfn.IFS(B249=1,"First Class",B249=2,"Second Class",B249=3,"Third Class")</f>
        <v>First Class</v>
      </c>
      <c r="D249">
        <v>1</v>
      </c>
      <c r="E249" s="1" t="str">
        <f t="shared" si="12"/>
        <v>Alive</v>
      </c>
      <c r="F249" t="s">
        <v>550</v>
      </c>
      <c r="G249" s="1" t="s">
        <v>3001</v>
      </c>
      <c r="H249" t="s">
        <v>15</v>
      </c>
      <c r="I249" s="1" t="str">
        <f t="shared" si="13"/>
        <v>Female</v>
      </c>
      <c r="J249" s="3">
        <v>54</v>
      </c>
      <c r="K249" s="3" t="str" cm="1">
        <f t="array" ref="K249">_xlfn.IFS(J249&lt;=13,"Child",J249&lt;=18,"Teenager",J249&lt;=30,"Young Adult",J249&lt;=50,"Middle Aged Adult",J249&gt;50,"Senior")</f>
        <v>Senior</v>
      </c>
      <c r="L249">
        <v>1</v>
      </c>
      <c r="M249">
        <v>0</v>
      </c>
      <c r="N249" s="1">
        <f t="shared" si="14"/>
        <v>2</v>
      </c>
      <c r="O249" s="1" t="str">
        <f t="shared" si="15"/>
        <v>With Family</v>
      </c>
      <c r="P249">
        <v>59.4</v>
      </c>
      <c r="Q249" s="1" t="str" cm="1">
        <f t="array" ref="Q249">_xlfn.IFS(P249&lt;=50,"Low",P249&lt;=100,"Medium",P249&gt;100,"High")</f>
        <v>Medium</v>
      </c>
      <c r="R249" t="s">
        <v>41</v>
      </c>
      <c r="S249" s="1" t="str" cm="1">
        <f t="array" ref="S249">_xlfn.IFS(R249="S","Southampton",R249="C","Cherbourg",R249="Q","Queenstown")</f>
        <v>Cherbourg</v>
      </c>
    </row>
    <row r="250" spans="1:19" x14ac:dyDescent="0.3">
      <c r="A250">
        <v>249</v>
      </c>
      <c r="B250">
        <v>1</v>
      </c>
      <c r="C250" s="1" t="str" cm="1">
        <f t="array" ref="C250">_xlfn.IFS(B250=1,"First Class",B250=2,"Second Class",B250=3,"Third Class")</f>
        <v>First Class</v>
      </c>
      <c r="D250">
        <v>0</v>
      </c>
      <c r="E250" s="1" t="str">
        <f t="shared" si="12"/>
        <v>Dead</v>
      </c>
      <c r="F250" t="s">
        <v>551</v>
      </c>
      <c r="G250" s="1" t="s">
        <v>2999</v>
      </c>
      <c r="H250" t="s">
        <v>20</v>
      </c>
      <c r="I250" s="1" t="str">
        <f t="shared" si="13"/>
        <v>Male</v>
      </c>
      <c r="J250" s="3">
        <v>33</v>
      </c>
      <c r="K250" s="3" t="str" cm="1">
        <f t="array" ref="K250">_xlfn.IFS(J250&lt;=13,"Child",J250&lt;=18,"Teenager",J250&lt;=30,"Young Adult",J250&lt;=50,"Middle Aged Adult",J250&gt;50,"Senior")</f>
        <v>Middle Aged Adult</v>
      </c>
      <c r="L250">
        <v>0</v>
      </c>
      <c r="M250">
        <v>0</v>
      </c>
      <c r="N250" s="1">
        <f t="shared" si="14"/>
        <v>1</v>
      </c>
      <c r="O250" s="1" t="str">
        <f t="shared" si="15"/>
        <v>Single</v>
      </c>
      <c r="P250">
        <v>26.55</v>
      </c>
      <c r="Q250" s="1" t="str" cm="1">
        <f t="array" ref="Q250">_xlfn.IFS(P250&lt;=50,"Low",P250&lt;=100,"Medium",P250&gt;100,"High")</f>
        <v>Low</v>
      </c>
      <c r="R250" t="s">
        <v>17</v>
      </c>
      <c r="S250" s="1" t="str" cm="1">
        <f t="array" ref="S250">_xlfn.IFS(R250="S","Southampton",R250="C","Cherbourg",R250="Q","Queenstown")</f>
        <v>Southampton</v>
      </c>
    </row>
    <row r="251" spans="1:19" x14ac:dyDescent="0.3">
      <c r="A251">
        <v>250</v>
      </c>
      <c r="B251">
        <v>1</v>
      </c>
      <c r="C251" s="1" t="str" cm="1">
        <f t="array" ref="C251">_xlfn.IFS(B251=1,"First Class",B251=2,"Second Class",B251=3,"Third Class")</f>
        <v>First Class</v>
      </c>
      <c r="D251">
        <v>1</v>
      </c>
      <c r="E251" s="1" t="str">
        <f t="shared" si="12"/>
        <v>Alive</v>
      </c>
      <c r="F251" t="s">
        <v>552</v>
      </c>
      <c r="G251" s="1" t="s">
        <v>2996</v>
      </c>
      <c r="H251" t="s">
        <v>20</v>
      </c>
      <c r="I251" s="1" t="str">
        <f t="shared" si="13"/>
        <v>Male</v>
      </c>
      <c r="J251" s="3">
        <v>13</v>
      </c>
      <c r="K251" s="3" t="str" cm="1">
        <f t="array" ref="K251">_xlfn.IFS(J251&lt;=13,"Child",J251&lt;=18,"Teenager",J251&lt;=30,"Young Adult",J251&lt;=50,"Middle Aged Adult",J251&gt;50,"Senior")</f>
        <v>Child</v>
      </c>
      <c r="L251">
        <v>2</v>
      </c>
      <c r="M251">
        <v>2</v>
      </c>
      <c r="N251" s="1">
        <f t="shared" si="14"/>
        <v>5</v>
      </c>
      <c r="O251" s="1" t="str">
        <f t="shared" si="15"/>
        <v>With Family</v>
      </c>
      <c r="P251">
        <v>262.375</v>
      </c>
      <c r="Q251" s="1" t="str" cm="1">
        <f t="array" ref="Q251">_xlfn.IFS(P251&lt;=50,"Low",P251&lt;=100,"Medium",P251&gt;100,"High")</f>
        <v>High</v>
      </c>
      <c r="R251" t="s">
        <v>41</v>
      </c>
      <c r="S251" s="1" t="str" cm="1">
        <f t="array" ref="S251">_xlfn.IFS(R251="S","Southampton",R251="C","Cherbourg",R251="Q","Queenstown")</f>
        <v>Cherbourg</v>
      </c>
    </row>
    <row r="252" spans="1:19" x14ac:dyDescent="0.3">
      <c r="A252">
        <v>251</v>
      </c>
      <c r="B252">
        <v>1</v>
      </c>
      <c r="C252" s="1" t="str" cm="1">
        <f t="array" ref="C252">_xlfn.IFS(B252=1,"First Class",B252=2,"Second Class",B252=3,"Third Class")</f>
        <v>First Class</v>
      </c>
      <c r="D252">
        <v>1</v>
      </c>
      <c r="E252" s="1" t="str">
        <f t="shared" si="12"/>
        <v>Alive</v>
      </c>
      <c r="F252" t="s">
        <v>555</v>
      </c>
      <c r="G252" s="1" t="s">
        <v>2994</v>
      </c>
      <c r="H252" t="s">
        <v>15</v>
      </c>
      <c r="I252" s="1" t="str">
        <f t="shared" si="13"/>
        <v>Female</v>
      </c>
      <c r="J252" s="3">
        <v>18</v>
      </c>
      <c r="K252" s="3" t="str" cm="1">
        <f t="array" ref="K252">_xlfn.IFS(J252&lt;=13,"Child",J252&lt;=18,"Teenager",J252&lt;=30,"Young Adult",J252&lt;=50,"Middle Aged Adult",J252&gt;50,"Senior")</f>
        <v>Teenager</v>
      </c>
      <c r="L252">
        <v>2</v>
      </c>
      <c r="M252">
        <v>2</v>
      </c>
      <c r="N252" s="1">
        <f t="shared" si="14"/>
        <v>5</v>
      </c>
      <c r="O252" s="1" t="str">
        <f t="shared" si="15"/>
        <v>With Family</v>
      </c>
      <c r="P252">
        <v>262.375</v>
      </c>
      <c r="Q252" s="1" t="str" cm="1">
        <f t="array" ref="Q252">_xlfn.IFS(P252&lt;=50,"Low",P252&lt;=100,"Medium",P252&gt;100,"High")</f>
        <v>High</v>
      </c>
      <c r="R252" t="s">
        <v>41</v>
      </c>
      <c r="S252" s="1" t="str" cm="1">
        <f t="array" ref="S252">_xlfn.IFS(R252="S","Southampton",R252="C","Cherbourg",R252="Q","Queenstown")</f>
        <v>Cherbourg</v>
      </c>
    </row>
    <row r="253" spans="1:19" x14ac:dyDescent="0.3">
      <c r="A253">
        <v>252</v>
      </c>
      <c r="B253">
        <v>1</v>
      </c>
      <c r="C253" s="1" t="str" cm="1">
        <f t="array" ref="C253">_xlfn.IFS(B253=1,"First Class",B253=2,"Second Class",B253=3,"Third Class")</f>
        <v>First Class</v>
      </c>
      <c r="D253">
        <v>1</v>
      </c>
      <c r="E253" s="1" t="str">
        <f t="shared" si="12"/>
        <v>Alive</v>
      </c>
      <c r="F253" t="s">
        <v>556</v>
      </c>
      <c r="G253" s="1" t="s">
        <v>2994</v>
      </c>
      <c r="H253" t="s">
        <v>15</v>
      </c>
      <c r="I253" s="1" t="str">
        <f t="shared" si="13"/>
        <v>Female</v>
      </c>
      <c r="J253" s="3">
        <v>21</v>
      </c>
      <c r="K253" s="3" t="str" cm="1">
        <f t="array" ref="K253">_xlfn.IFS(J253&lt;=13,"Child",J253&lt;=18,"Teenager",J253&lt;=30,"Young Adult",J253&lt;=50,"Middle Aged Adult",J253&gt;50,"Senior")</f>
        <v>Young Adult</v>
      </c>
      <c r="L253">
        <v>2</v>
      </c>
      <c r="M253">
        <v>2</v>
      </c>
      <c r="N253" s="1">
        <f t="shared" si="14"/>
        <v>5</v>
      </c>
      <c r="O253" s="1" t="str">
        <f t="shared" si="15"/>
        <v>With Family</v>
      </c>
      <c r="P253">
        <v>262.375</v>
      </c>
      <c r="Q253" s="1" t="str" cm="1">
        <f t="array" ref="Q253">_xlfn.IFS(P253&lt;=50,"Low",P253&lt;=100,"Medium",P253&gt;100,"High")</f>
        <v>High</v>
      </c>
      <c r="R253" t="s">
        <v>41</v>
      </c>
      <c r="S253" s="1" t="str" cm="1">
        <f t="array" ref="S253">_xlfn.IFS(R253="S","Southampton",R253="C","Cherbourg",R253="Q","Queenstown")</f>
        <v>Cherbourg</v>
      </c>
    </row>
    <row r="254" spans="1:19" x14ac:dyDescent="0.3">
      <c r="A254">
        <v>253</v>
      </c>
      <c r="B254">
        <v>1</v>
      </c>
      <c r="C254" s="1" t="str" cm="1">
        <f t="array" ref="C254">_xlfn.IFS(B254=1,"First Class",B254=2,"Second Class",B254=3,"Third Class")</f>
        <v>First Class</v>
      </c>
      <c r="D254">
        <v>0</v>
      </c>
      <c r="E254" s="1" t="str">
        <f t="shared" si="12"/>
        <v>Dead</v>
      </c>
      <c r="F254" t="s">
        <v>557</v>
      </c>
      <c r="G254" s="1" t="s">
        <v>2999</v>
      </c>
      <c r="H254" t="s">
        <v>20</v>
      </c>
      <c r="I254" s="1" t="str">
        <f t="shared" si="13"/>
        <v>Male</v>
      </c>
      <c r="J254" s="3">
        <v>61</v>
      </c>
      <c r="K254" s="3" t="str" cm="1">
        <f t="array" ref="K254">_xlfn.IFS(J254&lt;=13,"Child",J254&lt;=18,"Teenager",J254&lt;=30,"Young Adult",J254&lt;=50,"Middle Aged Adult",J254&gt;50,"Senior")</f>
        <v>Senior</v>
      </c>
      <c r="L254">
        <v>1</v>
      </c>
      <c r="M254">
        <v>3</v>
      </c>
      <c r="N254" s="1">
        <f t="shared" si="14"/>
        <v>5</v>
      </c>
      <c r="O254" s="1" t="str">
        <f t="shared" si="15"/>
        <v>With Family</v>
      </c>
      <c r="P254">
        <v>262.375</v>
      </c>
      <c r="Q254" s="1" t="str" cm="1">
        <f t="array" ref="Q254">_xlfn.IFS(P254&lt;=50,"Low",P254&lt;=100,"Medium",P254&gt;100,"High")</f>
        <v>High</v>
      </c>
      <c r="R254" t="s">
        <v>41</v>
      </c>
      <c r="S254" s="1" t="str" cm="1">
        <f t="array" ref="S254">_xlfn.IFS(R254="S","Southampton",R254="C","Cherbourg",R254="Q","Queenstown")</f>
        <v>Cherbourg</v>
      </c>
    </row>
    <row r="255" spans="1:19" x14ac:dyDescent="0.3">
      <c r="A255">
        <v>254</v>
      </c>
      <c r="B255">
        <v>1</v>
      </c>
      <c r="C255" s="1" t="str" cm="1">
        <f t="array" ref="C255">_xlfn.IFS(B255=1,"First Class",B255=2,"Second Class",B255=3,"Third Class")</f>
        <v>First Class</v>
      </c>
      <c r="D255">
        <v>1</v>
      </c>
      <c r="E255" s="1" t="str">
        <f t="shared" si="12"/>
        <v>Alive</v>
      </c>
      <c r="F255" t="s">
        <v>558</v>
      </c>
      <c r="G255" s="1" t="s">
        <v>3001</v>
      </c>
      <c r="H255" t="s">
        <v>15</v>
      </c>
      <c r="I255" s="1" t="str">
        <f t="shared" si="13"/>
        <v>Female</v>
      </c>
      <c r="J255" s="3">
        <v>48</v>
      </c>
      <c r="K255" s="3" t="str" cm="1">
        <f t="array" ref="K255">_xlfn.IFS(J255&lt;=13,"Child",J255&lt;=18,"Teenager",J255&lt;=30,"Young Adult",J255&lt;=50,"Middle Aged Adult",J255&gt;50,"Senior")</f>
        <v>Middle Aged Adult</v>
      </c>
      <c r="L255">
        <v>1</v>
      </c>
      <c r="M255">
        <v>3</v>
      </c>
      <c r="N255" s="1">
        <f t="shared" si="14"/>
        <v>5</v>
      </c>
      <c r="O255" s="1" t="str">
        <f t="shared" si="15"/>
        <v>With Family</v>
      </c>
      <c r="P255">
        <v>262.375</v>
      </c>
      <c r="Q255" s="1" t="str" cm="1">
        <f t="array" ref="Q255">_xlfn.IFS(P255&lt;=50,"Low",P255&lt;=100,"Medium",P255&gt;100,"High")</f>
        <v>High</v>
      </c>
      <c r="R255" t="s">
        <v>41</v>
      </c>
      <c r="S255" s="1" t="str" cm="1">
        <f t="array" ref="S255">_xlfn.IFS(R255="S","Southampton",R255="C","Cherbourg",R255="Q","Queenstown")</f>
        <v>Cherbourg</v>
      </c>
    </row>
    <row r="256" spans="1:19" x14ac:dyDescent="0.3">
      <c r="A256">
        <v>255</v>
      </c>
      <c r="B256">
        <v>1</v>
      </c>
      <c r="C256" s="1" t="str" cm="1">
        <f t="array" ref="C256">_xlfn.IFS(B256=1,"First Class",B256=2,"Second Class",B256=3,"Third Class")</f>
        <v>First Class</v>
      </c>
      <c r="D256">
        <v>1</v>
      </c>
      <c r="E256" s="1" t="str">
        <f t="shared" si="12"/>
        <v>Alive</v>
      </c>
      <c r="F256" t="s">
        <v>559</v>
      </c>
      <c r="G256" s="1" t="s">
        <v>2999</v>
      </c>
      <c r="H256" t="s">
        <v>20</v>
      </c>
      <c r="I256" s="1" t="str">
        <f t="shared" si="13"/>
        <v>Male</v>
      </c>
      <c r="J256" s="3">
        <v>29.881137667304014</v>
      </c>
      <c r="K256" s="3" t="str" cm="1">
        <f t="array" ref="K256">_xlfn.IFS(J256&lt;=13,"Child",J256&lt;=18,"Teenager",J256&lt;=30,"Young Adult",J256&lt;=50,"Middle Aged Adult",J256&gt;50,"Senior")</f>
        <v>Young Adult</v>
      </c>
      <c r="L256">
        <v>0</v>
      </c>
      <c r="M256">
        <v>0</v>
      </c>
      <c r="N256" s="1">
        <f t="shared" si="14"/>
        <v>1</v>
      </c>
      <c r="O256" s="1" t="str">
        <f t="shared" si="15"/>
        <v>Single</v>
      </c>
      <c r="P256">
        <v>30.5</v>
      </c>
      <c r="Q256" s="1" t="str" cm="1">
        <f t="array" ref="Q256">_xlfn.IFS(P256&lt;=50,"Low",P256&lt;=100,"Medium",P256&gt;100,"High")</f>
        <v>Low</v>
      </c>
      <c r="R256" t="s">
        <v>17</v>
      </c>
      <c r="S256" s="1" t="str" cm="1">
        <f t="array" ref="S256">_xlfn.IFS(R256="S","Southampton",R256="C","Cherbourg",R256="Q","Queenstown")</f>
        <v>Southampton</v>
      </c>
    </row>
    <row r="257" spans="1:19" x14ac:dyDescent="0.3">
      <c r="A257">
        <v>256</v>
      </c>
      <c r="B257">
        <v>1</v>
      </c>
      <c r="C257" s="1" t="str" cm="1">
        <f t="array" ref="C257">_xlfn.IFS(B257=1,"First Class",B257=2,"Second Class",B257=3,"Third Class")</f>
        <v>First Class</v>
      </c>
      <c r="D257">
        <v>1</v>
      </c>
      <c r="E257" s="1" t="str">
        <f t="shared" si="12"/>
        <v>Alive</v>
      </c>
      <c r="F257" t="s">
        <v>561</v>
      </c>
      <c r="G257" s="1" t="s">
        <v>3202</v>
      </c>
      <c r="H257" t="s">
        <v>15</v>
      </c>
      <c r="I257" s="1" t="str">
        <f t="shared" si="13"/>
        <v>Female</v>
      </c>
      <c r="J257" s="3">
        <v>24</v>
      </c>
      <c r="K257" s="3" t="str" cm="1">
        <f t="array" ref="K257">_xlfn.IFS(J257&lt;=13,"Child",J257&lt;=18,"Teenager",J257&lt;=30,"Young Adult",J257&lt;=50,"Middle Aged Adult",J257&gt;50,"Senior")</f>
        <v>Young Adult</v>
      </c>
      <c r="L257">
        <v>0</v>
      </c>
      <c r="M257">
        <v>0</v>
      </c>
      <c r="N257" s="1">
        <f t="shared" si="14"/>
        <v>1</v>
      </c>
      <c r="O257" s="1" t="str">
        <f t="shared" si="15"/>
        <v>Single</v>
      </c>
      <c r="P257">
        <v>69.3</v>
      </c>
      <c r="Q257" s="1" t="str" cm="1">
        <f t="array" ref="Q257">_xlfn.IFS(P257&lt;=50,"Low",P257&lt;=100,"Medium",P257&gt;100,"High")</f>
        <v>Medium</v>
      </c>
      <c r="R257" t="s">
        <v>41</v>
      </c>
      <c r="S257" s="1" t="str" cm="1">
        <f t="array" ref="S257">_xlfn.IFS(R257="S","Southampton",R257="C","Cherbourg",R257="Q","Queenstown")</f>
        <v>Cherbourg</v>
      </c>
    </row>
    <row r="258" spans="1:19" x14ac:dyDescent="0.3">
      <c r="A258">
        <v>257</v>
      </c>
      <c r="B258">
        <v>1</v>
      </c>
      <c r="C258" s="1" t="str" cm="1">
        <f t="array" ref="C258">_xlfn.IFS(B258=1,"First Class",B258=2,"Second Class",B258=3,"Third Class")</f>
        <v>First Class</v>
      </c>
      <c r="D258">
        <v>1</v>
      </c>
      <c r="E258" s="1" t="str">
        <f t="shared" si="12"/>
        <v>Alive</v>
      </c>
      <c r="F258" t="s">
        <v>562</v>
      </c>
      <c r="G258" s="1" t="s">
        <v>2999</v>
      </c>
      <c r="H258" t="s">
        <v>20</v>
      </c>
      <c r="I258" s="1" t="str">
        <f t="shared" si="13"/>
        <v>Male</v>
      </c>
      <c r="J258" s="3">
        <v>29.881137667304014</v>
      </c>
      <c r="K258" s="3" t="str" cm="1">
        <f t="array" ref="K258">_xlfn.IFS(J258&lt;=13,"Child",J258&lt;=18,"Teenager",J258&lt;=30,"Young Adult",J258&lt;=50,"Middle Aged Adult",J258&gt;50,"Senior")</f>
        <v>Young Adult</v>
      </c>
      <c r="L258">
        <v>0</v>
      </c>
      <c r="M258">
        <v>0</v>
      </c>
      <c r="N258" s="1">
        <f t="shared" si="14"/>
        <v>1</v>
      </c>
      <c r="O258" s="1" t="str">
        <f t="shared" si="15"/>
        <v>Single</v>
      </c>
      <c r="P258">
        <v>26</v>
      </c>
      <c r="Q258" s="1" t="str" cm="1">
        <f t="array" ref="Q258">_xlfn.IFS(P258&lt;=50,"Low",P258&lt;=100,"Medium",P258&gt;100,"High")</f>
        <v>Low</v>
      </c>
      <c r="R258" t="s">
        <v>17</v>
      </c>
      <c r="S258" s="1" t="str" cm="1">
        <f t="array" ref="S258">_xlfn.IFS(R258="S","Southampton",R258="C","Cherbourg",R258="Q","Queenstown")</f>
        <v>Southampton</v>
      </c>
    </row>
    <row r="259" spans="1:19" x14ac:dyDescent="0.3">
      <c r="A259">
        <v>258</v>
      </c>
      <c r="B259">
        <v>1</v>
      </c>
      <c r="C259" s="1" t="str" cm="1">
        <f t="array" ref="C259">_xlfn.IFS(B259=1,"First Class",B259=2,"Second Class",B259=3,"Third Class")</f>
        <v>First Class</v>
      </c>
      <c r="D259">
        <v>1</v>
      </c>
      <c r="E259" s="1" t="str">
        <f t="shared" ref="E259:E322" si="16">IF(D259=0,"Dead","Alive")</f>
        <v>Alive</v>
      </c>
      <c r="F259" t="s">
        <v>563</v>
      </c>
      <c r="G259" s="1" t="s">
        <v>3001</v>
      </c>
      <c r="H259" t="s">
        <v>15</v>
      </c>
      <c r="I259" s="1" t="str">
        <f t="shared" ref="I259:I322" si="17">PROPER(H259)</f>
        <v>Female</v>
      </c>
      <c r="J259" s="3">
        <v>35</v>
      </c>
      <c r="K259" s="3" t="str" cm="1">
        <f t="array" ref="K259">_xlfn.IFS(J259&lt;=13,"Child",J259&lt;=18,"Teenager",J259&lt;=30,"Young Adult",J259&lt;=50,"Middle Aged Adult",J259&gt;50,"Senior")</f>
        <v>Middle Aged Adult</v>
      </c>
      <c r="L259">
        <v>1</v>
      </c>
      <c r="M259">
        <v>0</v>
      </c>
      <c r="N259" s="1">
        <f t="shared" ref="N259:N322" si="18">L259+M259+1</f>
        <v>2</v>
      </c>
      <c r="O259" s="1" t="str">
        <f t="shared" ref="O259:O322" si="19">IF(N259=1,"Single","With Family")</f>
        <v>With Family</v>
      </c>
      <c r="P259">
        <v>57.75</v>
      </c>
      <c r="Q259" s="1" t="str" cm="1">
        <f t="array" ref="Q259">_xlfn.IFS(P259&lt;=50,"Low",P259&lt;=100,"Medium",P259&gt;100,"High")</f>
        <v>Medium</v>
      </c>
      <c r="R259" t="s">
        <v>41</v>
      </c>
      <c r="S259" s="1" t="str" cm="1">
        <f t="array" ref="S259">_xlfn.IFS(R259="S","Southampton",R259="C","Cherbourg",R259="Q","Queenstown")</f>
        <v>Cherbourg</v>
      </c>
    </row>
    <row r="260" spans="1:19" x14ac:dyDescent="0.3">
      <c r="A260">
        <v>259</v>
      </c>
      <c r="B260">
        <v>1</v>
      </c>
      <c r="C260" s="1" t="str" cm="1">
        <f t="array" ref="C260">_xlfn.IFS(B260=1,"First Class",B260=2,"Second Class",B260=3,"Third Class")</f>
        <v>First Class</v>
      </c>
      <c r="D260">
        <v>1</v>
      </c>
      <c r="E260" s="1" t="str">
        <f t="shared" si="16"/>
        <v>Alive</v>
      </c>
      <c r="F260" t="s">
        <v>565</v>
      </c>
      <c r="G260" s="1" t="s">
        <v>2994</v>
      </c>
      <c r="H260" t="s">
        <v>15</v>
      </c>
      <c r="I260" s="1" t="str">
        <f t="shared" si="17"/>
        <v>Female</v>
      </c>
      <c r="J260" s="3">
        <v>30</v>
      </c>
      <c r="K260" s="3" t="str" cm="1">
        <f t="array" ref="K260">_xlfn.IFS(J260&lt;=13,"Child",J260&lt;=18,"Teenager",J260&lt;=30,"Young Adult",J260&lt;=50,"Middle Aged Adult",J260&gt;50,"Senior")</f>
        <v>Young Adult</v>
      </c>
      <c r="L260">
        <v>0</v>
      </c>
      <c r="M260">
        <v>0</v>
      </c>
      <c r="N260" s="1">
        <f t="shared" si="18"/>
        <v>1</v>
      </c>
      <c r="O260" s="1" t="str">
        <f t="shared" si="19"/>
        <v>Single</v>
      </c>
      <c r="P260">
        <v>31</v>
      </c>
      <c r="Q260" s="1" t="str" cm="1">
        <f t="array" ref="Q260">_xlfn.IFS(P260&lt;=50,"Low",P260&lt;=100,"Medium",P260&gt;100,"High")</f>
        <v>Low</v>
      </c>
      <c r="R260" t="s">
        <v>41</v>
      </c>
      <c r="S260" s="1" t="str" cm="1">
        <f t="array" ref="S260">_xlfn.IFS(R260="S","Southampton",R260="C","Cherbourg",R260="Q","Queenstown")</f>
        <v>Cherbourg</v>
      </c>
    </row>
    <row r="261" spans="1:19" x14ac:dyDescent="0.3">
      <c r="A261">
        <v>260</v>
      </c>
      <c r="B261">
        <v>1</v>
      </c>
      <c r="C261" s="1" t="str" cm="1">
        <f t="array" ref="C261">_xlfn.IFS(B261=1,"First Class",B261=2,"Second Class",B261=3,"Third Class")</f>
        <v>First Class</v>
      </c>
      <c r="D261">
        <v>1</v>
      </c>
      <c r="E261" s="1" t="str">
        <f t="shared" si="16"/>
        <v>Alive</v>
      </c>
      <c r="F261" t="s">
        <v>566</v>
      </c>
      <c r="G261" s="1" t="s">
        <v>2999</v>
      </c>
      <c r="H261" t="s">
        <v>20</v>
      </c>
      <c r="I261" s="1" t="str">
        <f t="shared" si="17"/>
        <v>Male</v>
      </c>
      <c r="J261" s="3">
        <v>34</v>
      </c>
      <c r="K261" s="3" t="str" cm="1">
        <f t="array" ref="K261">_xlfn.IFS(J261&lt;=13,"Child",J261&lt;=18,"Teenager",J261&lt;=30,"Young Adult",J261&lt;=50,"Middle Aged Adult",J261&gt;50,"Senior")</f>
        <v>Middle Aged Adult</v>
      </c>
      <c r="L261">
        <v>0</v>
      </c>
      <c r="M261">
        <v>0</v>
      </c>
      <c r="N261" s="1">
        <f t="shared" si="18"/>
        <v>1</v>
      </c>
      <c r="O261" s="1" t="str">
        <f t="shared" si="19"/>
        <v>Single</v>
      </c>
      <c r="P261">
        <v>26.55</v>
      </c>
      <c r="Q261" s="1" t="str" cm="1">
        <f t="array" ref="Q261">_xlfn.IFS(P261&lt;=50,"Low",P261&lt;=100,"Medium",P261&gt;100,"High")</f>
        <v>Low</v>
      </c>
      <c r="R261" t="s">
        <v>17</v>
      </c>
      <c r="S261" s="1" t="str" cm="1">
        <f t="array" ref="S261">_xlfn.IFS(R261="S","Southampton",R261="C","Cherbourg",R261="Q","Queenstown")</f>
        <v>Southampton</v>
      </c>
    </row>
    <row r="262" spans="1:19" x14ac:dyDescent="0.3">
      <c r="A262">
        <v>261</v>
      </c>
      <c r="B262">
        <v>1</v>
      </c>
      <c r="C262" s="1" t="str" cm="1">
        <f t="array" ref="C262">_xlfn.IFS(B262=1,"First Class",B262=2,"Second Class",B262=3,"Third Class")</f>
        <v>First Class</v>
      </c>
      <c r="D262">
        <v>1</v>
      </c>
      <c r="E262" s="1" t="str">
        <f t="shared" si="16"/>
        <v>Alive</v>
      </c>
      <c r="F262" t="s">
        <v>567</v>
      </c>
      <c r="G262" s="1" t="s">
        <v>2994</v>
      </c>
      <c r="H262" t="s">
        <v>15</v>
      </c>
      <c r="I262" s="1" t="str">
        <f t="shared" si="17"/>
        <v>Female</v>
      </c>
      <c r="J262" s="3">
        <v>40</v>
      </c>
      <c r="K262" s="3" t="str" cm="1">
        <f t="array" ref="K262">_xlfn.IFS(J262&lt;=13,"Child",J262&lt;=18,"Teenager",J262&lt;=30,"Young Adult",J262&lt;=50,"Middle Aged Adult",J262&gt;50,"Senior")</f>
        <v>Middle Aged Adult</v>
      </c>
      <c r="L262">
        <v>0</v>
      </c>
      <c r="M262">
        <v>0</v>
      </c>
      <c r="N262" s="1">
        <f t="shared" si="18"/>
        <v>1</v>
      </c>
      <c r="O262" s="1" t="str">
        <f t="shared" si="19"/>
        <v>Single</v>
      </c>
      <c r="P262">
        <v>153.46250000000001</v>
      </c>
      <c r="Q262" s="1" t="str" cm="1">
        <f t="array" ref="Q262">_xlfn.IFS(P262&lt;=50,"Low",P262&lt;=100,"Medium",P262&gt;100,"High")</f>
        <v>High</v>
      </c>
      <c r="R262" t="s">
        <v>17</v>
      </c>
      <c r="S262" s="1" t="str" cm="1">
        <f t="array" ref="S262">_xlfn.IFS(R262="S","Southampton",R262="C","Cherbourg",R262="Q","Queenstown")</f>
        <v>Southampton</v>
      </c>
    </row>
    <row r="263" spans="1:19" x14ac:dyDescent="0.3">
      <c r="A263">
        <v>262</v>
      </c>
      <c r="B263">
        <v>1</v>
      </c>
      <c r="C263" s="1" t="str" cm="1">
        <f t="array" ref="C263">_xlfn.IFS(B263=1,"First Class",B263=2,"Second Class",B263=3,"Third Class")</f>
        <v>First Class</v>
      </c>
      <c r="D263">
        <v>1</v>
      </c>
      <c r="E263" s="1" t="str">
        <f t="shared" si="16"/>
        <v>Alive</v>
      </c>
      <c r="F263" t="s">
        <v>569</v>
      </c>
      <c r="G263" s="1" t="s">
        <v>2999</v>
      </c>
      <c r="H263" t="s">
        <v>20</v>
      </c>
      <c r="I263" s="1" t="str">
        <f t="shared" si="17"/>
        <v>Male</v>
      </c>
      <c r="J263" s="3">
        <v>35</v>
      </c>
      <c r="K263" s="3" t="str" cm="1">
        <f t="array" ref="K263">_xlfn.IFS(J263&lt;=13,"Child",J263&lt;=18,"Teenager",J263&lt;=30,"Young Adult",J263&lt;=50,"Middle Aged Adult",J263&gt;50,"Senior")</f>
        <v>Middle Aged Adult</v>
      </c>
      <c r="L263">
        <v>0</v>
      </c>
      <c r="M263">
        <v>0</v>
      </c>
      <c r="N263" s="1">
        <f t="shared" si="18"/>
        <v>1</v>
      </c>
      <c r="O263" s="1" t="str">
        <f t="shared" si="19"/>
        <v>Single</v>
      </c>
      <c r="P263">
        <v>26.287500000000001</v>
      </c>
      <c r="Q263" s="1" t="str" cm="1">
        <f t="array" ref="Q263">_xlfn.IFS(P263&lt;=50,"Low",P263&lt;=100,"Medium",P263&gt;100,"High")</f>
        <v>Low</v>
      </c>
      <c r="R263" t="s">
        <v>17</v>
      </c>
      <c r="S263" s="1" t="str" cm="1">
        <f t="array" ref="S263">_xlfn.IFS(R263="S","Southampton",R263="C","Cherbourg",R263="Q","Queenstown")</f>
        <v>Southampton</v>
      </c>
    </row>
    <row r="264" spans="1:19" x14ac:dyDescent="0.3">
      <c r="A264">
        <v>263</v>
      </c>
      <c r="B264">
        <v>1</v>
      </c>
      <c r="C264" s="1" t="str" cm="1">
        <f t="array" ref="C264">_xlfn.IFS(B264=1,"First Class",B264=2,"Second Class",B264=3,"Third Class")</f>
        <v>First Class</v>
      </c>
      <c r="D264">
        <v>0</v>
      </c>
      <c r="E264" s="1" t="str">
        <f t="shared" si="16"/>
        <v>Dead</v>
      </c>
      <c r="F264" t="s">
        <v>571</v>
      </c>
      <c r="G264" s="1" t="s">
        <v>2999</v>
      </c>
      <c r="H264" t="s">
        <v>20</v>
      </c>
      <c r="I264" s="1" t="str">
        <f t="shared" si="17"/>
        <v>Male</v>
      </c>
      <c r="J264" s="3">
        <v>50</v>
      </c>
      <c r="K264" s="3" t="str" cm="1">
        <f t="array" ref="K264">_xlfn.IFS(J264&lt;=13,"Child",J264&lt;=18,"Teenager",J264&lt;=30,"Young Adult",J264&lt;=50,"Middle Aged Adult",J264&gt;50,"Senior")</f>
        <v>Middle Aged Adult</v>
      </c>
      <c r="L264">
        <v>1</v>
      </c>
      <c r="M264">
        <v>0</v>
      </c>
      <c r="N264" s="1">
        <f t="shared" si="18"/>
        <v>2</v>
      </c>
      <c r="O264" s="1" t="str">
        <f t="shared" si="19"/>
        <v>With Family</v>
      </c>
      <c r="P264">
        <v>55.9</v>
      </c>
      <c r="Q264" s="1" t="str" cm="1">
        <f t="array" ref="Q264">_xlfn.IFS(P264&lt;=50,"Low",P264&lt;=100,"Medium",P264&gt;100,"High")</f>
        <v>Medium</v>
      </c>
      <c r="R264" t="s">
        <v>17</v>
      </c>
      <c r="S264" s="1" t="str" cm="1">
        <f t="array" ref="S264">_xlfn.IFS(R264="S","Southampton",R264="C","Cherbourg",R264="Q","Queenstown")</f>
        <v>Southampton</v>
      </c>
    </row>
    <row r="265" spans="1:19" x14ac:dyDescent="0.3">
      <c r="A265">
        <v>264</v>
      </c>
      <c r="B265">
        <v>1</v>
      </c>
      <c r="C265" s="1" t="str" cm="1">
        <f t="array" ref="C265">_xlfn.IFS(B265=1,"First Class",B265=2,"Second Class",B265=3,"Third Class")</f>
        <v>First Class</v>
      </c>
      <c r="D265">
        <v>1</v>
      </c>
      <c r="E265" s="1" t="str">
        <f t="shared" si="16"/>
        <v>Alive</v>
      </c>
      <c r="F265" t="s">
        <v>574</v>
      </c>
      <c r="G265" s="1" t="s">
        <v>3001</v>
      </c>
      <c r="H265" t="s">
        <v>15</v>
      </c>
      <c r="I265" s="1" t="str">
        <f t="shared" si="17"/>
        <v>Female</v>
      </c>
      <c r="J265" s="3">
        <v>39</v>
      </c>
      <c r="K265" s="3" t="str" cm="1">
        <f t="array" ref="K265">_xlfn.IFS(J265&lt;=13,"Child",J265&lt;=18,"Teenager",J265&lt;=30,"Young Adult",J265&lt;=50,"Middle Aged Adult",J265&gt;50,"Senior")</f>
        <v>Middle Aged Adult</v>
      </c>
      <c r="L265">
        <v>1</v>
      </c>
      <c r="M265">
        <v>0</v>
      </c>
      <c r="N265" s="1">
        <f t="shared" si="18"/>
        <v>2</v>
      </c>
      <c r="O265" s="1" t="str">
        <f t="shared" si="19"/>
        <v>With Family</v>
      </c>
      <c r="P265">
        <v>55.9</v>
      </c>
      <c r="Q265" s="1" t="str" cm="1">
        <f t="array" ref="Q265">_xlfn.IFS(P265&lt;=50,"Low",P265&lt;=100,"Medium",P265&gt;100,"High")</f>
        <v>Medium</v>
      </c>
      <c r="R265" t="s">
        <v>17</v>
      </c>
      <c r="S265" s="1" t="str" cm="1">
        <f t="array" ref="S265">_xlfn.IFS(R265="S","Southampton",R265="C","Cherbourg",R265="Q","Queenstown")</f>
        <v>Southampton</v>
      </c>
    </row>
    <row r="266" spans="1:19" x14ac:dyDescent="0.3">
      <c r="A266">
        <v>265</v>
      </c>
      <c r="B266">
        <v>1</v>
      </c>
      <c r="C266" s="1" t="str" cm="1">
        <f t="array" ref="C266">_xlfn.IFS(B266=1,"First Class",B266=2,"Second Class",B266=3,"Third Class")</f>
        <v>First Class</v>
      </c>
      <c r="D266">
        <v>1</v>
      </c>
      <c r="E266" s="1" t="str">
        <f t="shared" si="16"/>
        <v>Alive</v>
      </c>
      <c r="F266" t="s">
        <v>575</v>
      </c>
      <c r="G266" s="1" t="s">
        <v>3008</v>
      </c>
      <c r="H266" t="s">
        <v>20</v>
      </c>
      <c r="I266" s="1" t="str">
        <f t="shared" si="17"/>
        <v>Male</v>
      </c>
      <c r="J266" s="3">
        <v>56</v>
      </c>
      <c r="K266" s="3" t="str" cm="1">
        <f t="array" ref="K266">_xlfn.IFS(J266&lt;=13,"Child",J266&lt;=18,"Teenager",J266&lt;=30,"Young Adult",J266&lt;=50,"Middle Aged Adult",J266&gt;50,"Senior")</f>
        <v>Senior</v>
      </c>
      <c r="L266">
        <v>0</v>
      </c>
      <c r="M266">
        <v>0</v>
      </c>
      <c r="N266" s="1">
        <f t="shared" si="18"/>
        <v>1</v>
      </c>
      <c r="O266" s="1" t="str">
        <f t="shared" si="19"/>
        <v>Single</v>
      </c>
      <c r="P266">
        <v>35.5</v>
      </c>
      <c r="Q266" s="1" t="str" cm="1">
        <f t="array" ref="Q266">_xlfn.IFS(P266&lt;=50,"Low",P266&lt;=100,"Medium",P266&gt;100,"High")</f>
        <v>Low</v>
      </c>
      <c r="R266" t="s">
        <v>41</v>
      </c>
      <c r="S266" s="1" t="str" cm="1">
        <f t="array" ref="S266">_xlfn.IFS(R266="S","Southampton",R266="C","Cherbourg",R266="Q","Queenstown")</f>
        <v>Cherbourg</v>
      </c>
    </row>
    <row r="267" spans="1:19" x14ac:dyDescent="0.3">
      <c r="A267">
        <v>266</v>
      </c>
      <c r="B267">
        <v>1</v>
      </c>
      <c r="C267" s="1" t="str" cm="1">
        <f t="array" ref="C267">_xlfn.IFS(B267=1,"First Class",B267=2,"Second Class",B267=3,"Third Class")</f>
        <v>First Class</v>
      </c>
      <c r="D267">
        <v>1</v>
      </c>
      <c r="E267" s="1" t="str">
        <f t="shared" si="16"/>
        <v>Alive</v>
      </c>
      <c r="F267" t="s">
        <v>578</v>
      </c>
      <c r="G267" s="1" t="s">
        <v>2999</v>
      </c>
      <c r="H267" t="s">
        <v>20</v>
      </c>
      <c r="I267" s="1" t="str">
        <f t="shared" si="17"/>
        <v>Male</v>
      </c>
      <c r="J267" s="3">
        <v>28</v>
      </c>
      <c r="K267" s="3" t="str" cm="1">
        <f t="array" ref="K267">_xlfn.IFS(J267&lt;=13,"Child",J267&lt;=18,"Teenager",J267&lt;=30,"Young Adult",J267&lt;=50,"Middle Aged Adult",J267&gt;50,"Senior")</f>
        <v>Young Adult</v>
      </c>
      <c r="L267">
        <v>0</v>
      </c>
      <c r="M267">
        <v>0</v>
      </c>
      <c r="N267" s="1">
        <f t="shared" si="18"/>
        <v>1</v>
      </c>
      <c r="O267" s="1" t="str">
        <f t="shared" si="19"/>
        <v>Single</v>
      </c>
      <c r="P267">
        <v>35.5</v>
      </c>
      <c r="Q267" s="1" t="str" cm="1">
        <f t="array" ref="Q267">_xlfn.IFS(P267&lt;=50,"Low",P267&lt;=100,"Medium",P267&gt;100,"High")</f>
        <v>Low</v>
      </c>
      <c r="R267" t="s">
        <v>17</v>
      </c>
      <c r="S267" s="1" t="str" cm="1">
        <f t="array" ref="S267">_xlfn.IFS(R267="S","Southampton",R267="C","Cherbourg",R267="Q","Queenstown")</f>
        <v>Southampton</v>
      </c>
    </row>
    <row r="268" spans="1:19" x14ac:dyDescent="0.3">
      <c r="A268">
        <v>267</v>
      </c>
      <c r="B268">
        <v>1</v>
      </c>
      <c r="C268" s="1" t="str" cm="1">
        <f t="array" ref="C268">_xlfn.IFS(B268=1,"First Class",B268=2,"Second Class",B268=3,"Third Class")</f>
        <v>First Class</v>
      </c>
      <c r="D268">
        <v>0</v>
      </c>
      <c r="E268" s="1" t="str">
        <f t="shared" si="16"/>
        <v>Dead</v>
      </c>
      <c r="F268" t="s">
        <v>581</v>
      </c>
      <c r="G268" s="1" t="s">
        <v>2999</v>
      </c>
      <c r="H268" t="s">
        <v>20</v>
      </c>
      <c r="I268" s="1" t="str">
        <f t="shared" si="17"/>
        <v>Male</v>
      </c>
      <c r="J268" s="3">
        <v>56</v>
      </c>
      <c r="K268" s="3" t="str" cm="1">
        <f t="array" ref="K268">_xlfn.IFS(J268&lt;=13,"Child",J268&lt;=18,"Teenager",J268&lt;=30,"Young Adult",J268&lt;=50,"Middle Aged Adult",J268&gt;50,"Senior")</f>
        <v>Senior</v>
      </c>
      <c r="L268">
        <v>0</v>
      </c>
      <c r="M268">
        <v>0</v>
      </c>
      <c r="N268" s="1">
        <f t="shared" si="18"/>
        <v>1</v>
      </c>
      <c r="O268" s="1" t="str">
        <f t="shared" si="19"/>
        <v>Single</v>
      </c>
      <c r="P268">
        <v>26.55</v>
      </c>
      <c r="Q268" s="1" t="str" cm="1">
        <f t="array" ref="Q268">_xlfn.IFS(P268&lt;=50,"Low",P268&lt;=100,"Medium",P268&gt;100,"High")</f>
        <v>Low</v>
      </c>
      <c r="R268" t="s">
        <v>17</v>
      </c>
      <c r="S268" s="1" t="str" cm="1">
        <f t="array" ref="S268">_xlfn.IFS(R268="S","Southampton",R268="C","Cherbourg",R268="Q","Queenstown")</f>
        <v>Southampton</v>
      </c>
    </row>
    <row r="269" spans="1:19" x14ac:dyDescent="0.3">
      <c r="A269">
        <v>268</v>
      </c>
      <c r="B269">
        <v>1</v>
      </c>
      <c r="C269" s="1" t="str" cm="1">
        <f t="array" ref="C269">_xlfn.IFS(B269=1,"First Class",B269=2,"Second Class",B269=3,"Third Class")</f>
        <v>First Class</v>
      </c>
      <c r="D269">
        <v>0</v>
      </c>
      <c r="E269" s="1" t="str">
        <f t="shared" si="16"/>
        <v>Dead</v>
      </c>
      <c r="F269" t="s">
        <v>582</v>
      </c>
      <c r="G269" s="1" t="s">
        <v>2999</v>
      </c>
      <c r="H269" t="s">
        <v>20</v>
      </c>
      <c r="I269" s="1" t="str">
        <f t="shared" si="17"/>
        <v>Male</v>
      </c>
      <c r="J269" s="3">
        <v>56</v>
      </c>
      <c r="K269" s="3" t="str" cm="1">
        <f t="array" ref="K269">_xlfn.IFS(J269&lt;=13,"Child",J269&lt;=18,"Teenager",J269&lt;=30,"Young Adult",J269&lt;=50,"Middle Aged Adult",J269&gt;50,"Senior")</f>
        <v>Senior</v>
      </c>
      <c r="L269">
        <v>0</v>
      </c>
      <c r="M269">
        <v>0</v>
      </c>
      <c r="N269" s="1">
        <f t="shared" si="18"/>
        <v>1</v>
      </c>
      <c r="O269" s="1" t="str">
        <f t="shared" si="19"/>
        <v>Single</v>
      </c>
      <c r="P269">
        <v>30.695799999999998</v>
      </c>
      <c r="Q269" s="1" t="str" cm="1">
        <f t="array" ref="Q269">_xlfn.IFS(P269&lt;=50,"Low",P269&lt;=100,"Medium",P269&gt;100,"High")</f>
        <v>Low</v>
      </c>
      <c r="R269" t="s">
        <v>41</v>
      </c>
      <c r="S269" s="1" t="str" cm="1">
        <f t="array" ref="S269">_xlfn.IFS(R269="S","Southampton",R269="C","Cherbourg",R269="Q","Queenstown")</f>
        <v>Cherbourg</v>
      </c>
    </row>
    <row r="270" spans="1:19" x14ac:dyDescent="0.3">
      <c r="A270">
        <v>269</v>
      </c>
      <c r="B270">
        <v>1</v>
      </c>
      <c r="C270" s="1" t="str" cm="1">
        <f t="array" ref="C270">_xlfn.IFS(B270=1,"First Class",B270=2,"Second Class",B270=3,"Third Class")</f>
        <v>First Class</v>
      </c>
      <c r="D270">
        <v>0</v>
      </c>
      <c r="E270" s="1" t="str">
        <f t="shared" si="16"/>
        <v>Dead</v>
      </c>
      <c r="F270" t="s">
        <v>585</v>
      </c>
      <c r="G270" s="1" t="s">
        <v>2999</v>
      </c>
      <c r="H270" t="s">
        <v>20</v>
      </c>
      <c r="I270" s="1" t="str">
        <f t="shared" si="17"/>
        <v>Male</v>
      </c>
      <c r="J270" s="3">
        <v>24</v>
      </c>
      <c r="K270" s="3" t="str" cm="1">
        <f t="array" ref="K270">_xlfn.IFS(J270&lt;=13,"Child",J270&lt;=18,"Teenager",J270&lt;=30,"Young Adult",J270&lt;=50,"Middle Aged Adult",J270&gt;50,"Senior")</f>
        <v>Young Adult</v>
      </c>
      <c r="L270">
        <v>1</v>
      </c>
      <c r="M270">
        <v>0</v>
      </c>
      <c r="N270" s="1">
        <f t="shared" si="18"/>
        <v>2</v>
      </c>
      <c r="O270" s="1" t="str">
        <f t="shared" si="19"/>
        <v>With Family</v>
      </c>
      <c r="P270">
        <v>60</v>
      </c>
      <c r="Q270" s="1" t="str" cm="1">
        <f t="array" ref="Q270">_xlfn.IFS(P270&lt;=50,"Low",P270&lt;=100,"Medium",P270&gt;100,"High")</f>
        <v>Medium</v>
      </c>
      <c r="R270" t="s">
        <v>17</v>
      </c>
      <c r="S270" s="1" t="str" cm="1">
        <f t="array" ref="S270">_xlfn.IFS(R270="S","Southampton",R270="C","Cherbourg",R270="Q","Queenstown")</f>
        <v>Southampton</v>
      </c>
    </row>
    <row r="271" spans="1:19" x14ac:dyDescent="0.3">
      <c r="A271">
        <v>270</v>
      </c>
      <c r="B271">
        <v>1</v>
      </c>
      <c r="C271" s="1" t="str" cm="1">
        <f t="array" ref="C271">_xlfn.IFS(B271=1,"First Class",B271=2,"Second Class",B271=3,"Third Class")</f>
        <v>First Class</v>
      </c>
      <c r="D271">
        <v>0</v>
      </c>
      <c r="E271" s="1" t="str">
        <f t="shared" si="16"/>
        <v>Dead</v>
      </c>
      <c r="F271" t="s">
        <v>588</v>
      </c>
      <c r="G271" s="1" t="s">
        <v>2999</v>
      </c>
      <c r="H271" t="s">
        <v>20</v>
      </c>
      <c r="I271" s="1" t="str">
        <f t="shared" si="17"/>
        <v>Male</v>
      </c>
      <c r="J271" s="3">
        <v>29.881137667304014</v>
      </c>
      <c r="K271" s="3" t="str" cm="1">
        <f t="array" ref="K271">_xlfn.IFS(J271&lt;=13,"Child",J271&lt;=18,"Teenager",J271&lt;=30,"Young Adult",J271&lt;=50,"Middle Aged Adult",J271&gt;50,"Senior")</f>
        <v>Young Adult</v>
      </c>
      <c r="L271">
        <v>0</v>
      </c>
      <c r="M271">
        <v>0</v>
      </c>
      <c r="N271" s="1">
        <f t="shared" si="18"/>
        <v>1</v>
      </c>
      <c r="O271" s="1" t="str">
        <f t="shared" si="19"/>
        <v>Single</v>
      </c>
      <c r="P271">
        <v>26</v>
      </c>
      <c r="Q271" s="1" t="str" cm="1">
        <f t="array" ref="Q271">_xlfn.IFS(P271&lt;=50,"Low",P271&lt;=100,"Medium",P271&gt;100,"High")</f>
        <v>Low</v>
      </c>
      <c r="R271" t="s">
        <v>17</v>
      </c>
      <c r="S271" s="1" t="str" cm="1">
        <f t="array" ref="S271">_xlfn.IFS(R271="S","Southampton",R271="C","Cherbourg",R271="Q","Queenstown")</f>
        <v>Southampton</v>
      </c>
    </row>
    <row r="272" spans="1:19" x14ac:dyDescent="0.3">
      <c r="A272">
        <v>271</v>
      </c>
      <c r="B272">
        <v>1</v>
      </c>
      <c r="C272" s="1" t="str" cm="1">
        <f t="array" ref="C272">_xlfn.IFS(B272=1,"First Class",B272=2,"Second Class",B272=3,"Third Class")</f>
        <v>First Class</v>
      </c>
      <c r="D272">
        <v>1</v>
      </c>
      <c r="E272" s="1" t="str">
        <f t="shared" si="16"/>
        <v>Alive</v>
      </c>
      <c r="F272" t="s">
        <v>591</v>
      </c>
      <c r="G272" s="1" t="s">
        <v>3001</v>
      </c>
      <c r="H272" t="s">
        <v>15</v>
      </c>
      <c r="I272" s="1" t="str">
        <f t="shared" si="17"/>
        <v>Female</v>
      </c>
      <c r="J272" s="3">
        <v>18</v>
      </c>
      <c r="K272" s="3" t="str" cm="1">
        <f t="array" ref="K272">_xlfn.IFS(J272&lt;=13,"Child",J272&lt;=18,"Teenager",J272&lt;=30,"Young Adult",J272&lt;=50,"Middle Aged Adult",J272&gt;50,"Senior")</f>
        <v>Teenager</v>
      </c>
      <c r="L272">
        <v>1</v>
      </c>
      <c r="M272">
        <v>0</v>
      </c>
      <c r="N272" s="1">
        <f t="shared" si="18"/>
        <v>2</v>
      </c>
      <c r="O272" s="1" t="str">
        <f t="shared" si="19"/>
        <v>With Family</v>
      </c>
      <c r="P272">
        <v>60</v>
      </c>
      <c r="Q272" s="1" t="str" cm="1">
        <f t="array" ref="Q272">_xlfn.IFS(P272&lt;=50,"Low",P272&lt;=100,"Medium",P272&gt;100,"High")</f>
        <v>Medium</v>
      </c>
      <c r="R272" t="s">
        <v>17</v>
      </c>
      <c r="S272" s="1" t="str" cm="1">
        <f t="array" ref="S272">_xlfn.IFS(R272="S","Southampton",R272="C","Cherbourg",R272="Q","Queenstown")</f>
        <v>Southampton</v>
      </c>
    </row>
    <row r="273" spans="1:19" x14ac:dyDescent="0.3">
      <c r="A273">
        <v>272</v>
      </c>
      <c r="B273">
        <v>1</v>
      </c>
      <c r="C273" s="1" t="str" cm="1">
        <f t="array" ref="C273">_xlfn.IFS(B273=1,"First Class",B273=2,"Second Class",B273=3,"Third Class")</f>
        <v>First Class</v>
      </c>
      <c r="D273">
        <v>1</v>
      </c>
      <c r="E273" s="1" t="str">
        <f t="shared" si="16"/>
        <v>Alive</v>
      </c>
      <c r="F273" t="s">
        <v>592</v>
      </c>
      <c r="G273" s="1" t="s">
        <v>2999</v>
      </c>
      <c r="H273" t="s">
        <v>20</v>
      </c>
      <c r="I273" s="1" t="str">
        <f t="shared" si="17"/>
        <v>Male</v>
      </c>
      <c r="J273" s="3">
        <v>24</v>
      </c>
      <c r="K273" s="3" t="str" cm="1">
        <f t="array" ref="K273">_xlfn.IFS(J273&lt;=13,"Child",J273&lt;=18,"Teenager",J273&lt;=30,"Young Adult",J273&lt;=50,"Middle Aged Adult",J273&gt;50,"Senior")</f>
        <v>Young Adult</v>
      </c>
      <c r="L273">
        <v>1</v>
      </c>
      <c r="M273">
        <v>0</v>
      </c>
      <c r="N273" s="1">
        <f t="shared" si="18"/>
        <v>2</v>
      </c>
      <c r="O273" s="1" t="str">
        <f t="shared" si="19"/>
        <v>With Family</v>
      </c>
      <c r="P273">
        <v>82.2667</v>
      </c>
      <c r="Q273" s="1" t="str" cm="1">
        <f t="array" ref="Q273">_xlfn.IFS(P273&lt;=50,"Low",P273&lt;=100,"Medium",P273&gt;100,"High")</f>
        <v>Medium</v>
      </c>
      <c r="R273" t="s">
        <v>17</v>
      </c>
      <c r="S273" s="1" t="str" cm="1">
        <f t="array" ref="S273">_xlfn.IFS(R273="S","Southampton",R273="C","Cherbourg",R273="Q","Queenstown")</f>
        <v>Southampton</v>
      </c>
    </row>
    <row r="274" spans="1:19" x14ac:dyDescent="0.3">
      <c r="A274">
        <v>273</v>
      </c>
      <c r="B274">
        <v>1</v>
      </c>
      <c r="C274" s="1" t="str" cm="1">
        <f t="array" ref="C274">_xlfn.IFS(B274=1,"First Class",B274=2,"Second Class",B274=3,"Third Class")</f>
        <v>First Class</v>
      </c>
      <c r="D274">
        <v>1</v>
      </c>
      <c r="E274" s="1" t="str">
        <f t="shared" si="16"/>
        <v>Alive</v>
      </c>
      <c r="F274" t="s">
        <v>595</v>
      </c>
      <c r="G274" s="1" t="s">
        <v>3001</v>
      </c>
      <c r="H274" t="s">
        <v>15</v>
      </c>
      <c r="I274" s="1" t="str">
        <f t="shared" si="17"/>
        <v>Female</v>
      </c>
      <c r="J274" s="3">
        <v>23</v>
      </c>
      <c r="K274" s="3" t="str" cm="1">
        <f t="array" ref="K274">_xlfn.IFS(J274&lt;=13,"Child",J274&lt;=18,"Teenager",J274&lt;=30,"Young Adult",J274&lt;=50,"Middle Aged Adult",J274&gt;50,"Senior")</f>
        <v>Young Adult</v>
      </c>
      <c r="L274">
        <v>1</v>
      </c>
      <c r="M274">
        <v>0</v>
      </c>
      <c r="N274" s="1">
        <f t="shared" si="18"/>
        <v>2</v>
      </c>
      <c r="O274" s="1" t="str">
        <f t="shared" si="19"/>
        <v>With Family</v>
      </c>
      <c r="P274">
        <v>82.2667</v>
      </c>
      <c r="Q274" s="1" t="str" cm="1">
        <f t="array" ref="Q274">_xlfn.IFS(P274&lt;=50,"Low",P274&lt;=100,"Medium",P274&gt;100,"High")</f>
        <v>Medium</v>
      </c>
      <c r="R274" t="s">
        <v>17</v>
      </c>
      <c r="S274" s="1" t="str" cm="1">
        <f t="array" ref="S274">_xlfn.IFS(R274="S","Southampton",R274="C","Cherbourg",R274="Q","Queenstown")</f>
        <v>Southampton</v>
      </c>
    </row>
    <row r="275" spans="1:19" x14ac:dyDescent="0.3">
      <c r="A275">
        <v>274</v>
      </c>
      <c r="B275">
        <v>1</v>
      </c>
      <c r="C275" s="1" t="str" cm="1">
        <f t="array" ref="C275">_xlfn.IFS(B275=1,"First Class",B275=2,"Second Class",B275=3,"Third Class")</f>
        <v>First Class</v>
      </c>
      <c r="D275">
        <v>1</v>
      </c>
      <c r="E275" s="1" t="str">
        <f t="shared" si="16"/>
        <v>Alive</v>
      </c>
      <c r="F275" t="s">
        <v>596</v>
      </c>
      <c r="G275" s="1" t="s">
        <v>2996</v>
      </c>
      <c r="H275" t="s">
        <v>20</v>
      </c>
      <c r="I275" s="1" t="str">
        <f t="shared" si="17"/>
        <v>Male</v>
      </c>
      <c r="J275" s="3">
        <v>6</v>
      </c>
      <c r="K275" s="3" t="str" cm="1">
        <f t="array" ref="K275">_xlfn.IFS(J275&lt;=13,"Child",J275&lt;=18,"Teenager",J275&lt;=30,"Young Adult",J275&lt;=50,"Middle Aged Adult",J275&gt;50,"Senior")</f>
        <v>Child</v>
      </c>
      <c r="L275">
        <v>0</v>
      </c>
      <c r="M275">
        <v>2</v>
      </c>
      <c r="N275" s="1">
        <f t="shared" si="18"/>
        <v>3</v>
      </c>
      <c r="O275" s="1" t="str">
        <f t="shared" si="19"/>
        <v>With Family</v>
      </c>
      <c r="P275">
        <v>134.5</v>
      </c>
      <c r="Q275" s="1" t="str" cm="1">
        <f t="array" ref="Q275">_xlfn.IFS(P275&lt;=50,"Low",P275&lt;=100,"Medium",P275&gt;100,"High")</f>
        <v>High</v>
      </c>
      <c r="R275" t="s">
        <v>41</v>
      </c>
      <c r="S275" s="1" t="str" cm="1">
        <f t="array" ref="S275">_xlfn.IFS(R275="S","Southampton",R275="C","Cherbourg",R275="Q","Queenstown")</f>
        <v>Cherbourg</v>
      </c>
    </row>
    <row r="276" spans="1:19" x14ac:dyDescent="0.3">
      <c r="A276">
        <v>275</v>
      </c>
      <c r="B276">
        <v>1</v>
      </c>
      <c r="C276" s="1" t="str" cm="1">
        <f t="array" ref="C276">_xlfn.IFS(B276=1,"First Class",B276=2,"Second Class",B276=3,"Third Class")</f>
        <v>First Class</v>
      </c>
      <c r="D276">
        <v>1</v>
      </c>
      <c r="E276" s="1" t="str">
        <f t="shared" si="16"/>
        <v>Alive</v>
      </c>
      <c r="F276" t="s">
        <v>599</v>
      </c>
      <c r="G276" s="1" t="s">
        <v>2999</v>
      </c>
      <c r="H276" t="s">
        <v>20</v>
      </c>
      <c r="I276" s="1" t="str">
        <f t="shared" si="17"/>
        <v>Male</v>
      </c>
      <c r="J276" s="3">
        <v>45</v>
      </c>
      <c r="K276" s="3" t="str" cm="1">
        <f t="array" ref="K276">_xlfn.IFS(J276&lt;=13,"Child",J276&lt;=18,"Teenager",J276&lt;=30,"Young Adult",J276&lt;=50,"Middle Aged Adult",J276&gt;50,"Senior")</f>
        <v>Middle Aged Adult</v>
      </c>
      <c r="L276">
        <v>1</v>
      </c>
      <c r="M276">
        <v>1</v>
      </c>
      <c r="N276" s="1">
        <f t="shared" si="18"/>
        <v>3</v>
      </c>
      <c r="O276" s="1" t="str">
        <f t="shared" si="19"/>
        <v>With Family</v>
      </c>
      <c r="P276">
        <v>134.5</v>
      </c>
      <c r="Q276" s="1" t="str" cm="1">
        <f t="array" ref="Q276">_xlfn.IFS(P276&lt;=50,"Low",P276&lt;=100,"Medium",P276&gt;100,"High")</f>
        <v>High</v>
      </c>
      <c r="R276" t="s">
        <v>41</v>
      </c>
      <c r="S276" s="1" t="str" cm="1">
        <f t="array" ref="S276">_xlfn.IFS(R276="S","Southampton",R276="C","Cherbourg",R276="Q","Queenstown")</f>
        <v>Cherbourg</v>
      </c>
    </row>
    <row r="277" spans="1:19" x14ac:dyDescent="0.3">
      <c r="A277">
        <v>276</v>
      </c>
      <c r="B277">
        <v>1</v>
      </c>
      <c r="C277" s="1" t="str" cm="1">
        <f t="array" ref="C277">_xlfn.IFS(B277=1,"First Class",B277=2,"Second Class",B277=3,"Third Class")</f>
        <v>First Class</v>
      </c>
      <c r="D277">
        <v>1</v>
      </c>
      <c r="E277" s="1" t="str">
        <f t="shared" si="16"/>
        <v>Alive</v>
      </c>
      <c r="F277" t="s">
        <v>600</v>
      </c>
      <c r="G277" s="1" t="s">
        <v>3001</v>
      </c>
      <c r="H277" t="s">
        <v>15</v>
      </c>
      <c r="I277" s="1" t="str">
        <f t="shared" si="17"/>
        <v>Female</v>
      </c>
      <c r="J277" s="3">
        <v>40</v>
      </c>
      <c r="K277" s="3" t="str" cm="1">
        <f t="array" ref="K277">_xlfn.IFS(J277&lt;=13,"Child",J277&lt;=18,"Teenager",J277&lt;=30,"Young Adult",J277&lt;=50,"Middle Aged Adult",J277&gt;50,"Senior")</f>
        <v>Middle Aged Adult</v>
      </c>
      <c r="L277">
        <v>1</v>
      </c>
      <c r="M277">
        <v>1</v>
      </c>
      <c r="N277" s="1">
        <f t="shared" si="18"/>
        <v>3</v>
      </c>
      <c r="O277" s="1" t="str">
        <f t="shared" si="19"/>
        <v>With Family</v>
      </c>
      <c r="P277">
        <v>134.5</v>
      </c>
      <c r="Q277" s="1" t="str" cm="1">
        <f t="array" ref="Q277">_xlfn.IFS(P277&lt;=50,"Low",P277&lt;=100,"Medium",P277&gt;100,"High")</f>
        <v>High</v>
      </c>
      <c r="R277" t="s">
        <v>41</v>
      </c>
      <c r="S277" s="1" t="str" cm="1">
        <f t="array" ref="S277">_xlfn.IFS(R277="S","Southampton",R277="C","Cherbourg",R277="Q","Queenstown")</f>
        <v>Cherbourg</v>
      </c>
    </row>
    <row r="278" spans="1:19" x14ac:dyDescent="0.3">
      <c r="A278">
        <v>277</v>
      </c>
      <c r="B278">
        <v>1</v>
      </c>
      <c r="C278" s="1" t="str" cm="1">
        <f t="array" ref="C278">_xlfn.IFS(B278=1,"First Class",B278=2,"Second Class",B278=3,"Third Class")</f>
        <v>First Class</v>
      </c>
      <c r="D278">
        <v>0</v>
      </c>
      <c r="E278" s="1" t="str">
        <f t="shared" si="16"/>
        <v>Dead</v>
      </c>
      <c r="F278" t="s">
        <v>601</v>
      </c>
      <c r="G278" s="1" t="s">
        <v>2999</v>
      </c>
      <c r="H278" t="s">
        <v>20</v>
      </c>
      <c r="I278" s="1" t="str">
        <f t="shared" si="17"/>
        <v>Male</v>
      </c>
      <c r="J278" s="3">
        <v>57</v>
      </c>
      <c r="K278" s="3" t="str" cm="1">
        <f t="array" ref="K278">_xlfn.IFS(J278&lt;=13,"Child",J278&lt;=18,"Teenager",J278&lt;=30,"Young Adult",J278&lt;=50,"Middle Aged Adult",J278&gt;50,"Senior")</f>
        <v>Senior</v>
      </c>
      <c r="L278">
        <v>1</v>
      </c>
      <c r="M278">
        <v>0</v>
      </c>
      <c r="N278" s="1">
        <f t="shared" si="18"/>
        <v>2</v>
      </c>
      <c r="O278" s="1" t="str">
        <f t="shared" si="19"/>
        <v>With Family</v>
      </c>
      <c r="P278">
        <v>146.52080000000001</v>
      </c>
      <c r="Q278" s="1" t="str" cm="1">
        <f t="array" ref="Q278">_xlfn.IFS(P278&lt;=50,"Low",P278&lt;=100,"Medium",P278&gt;100,"High")</f>
        <v>High</v>
      </c>
      <c r="R278" t="s">
        <v>41</v>
      </c>
      <c r="S278" s="1" t="str" cm="1">
        <f t="array" ref="S278">_xlfn.IFS(R278="S","Southampton",R278="C","Cherbourg",R278="Q","Queenstown")</f>
        <v>Cherbourg</v>
      </c>
    </row>
    <row r="279" spans="1:19" x14ac:dyDescent="0.3">
      <c r="A279">
        <v>278</v>
      </c>
      <c r="B279">
        <v>1</v>
      </c>
      <c r="C279" s="1" t="str" cm="1">
        <f t="array" ref="C279">_xlfn.IFS(B279=1,"First Class",B279=2,"Second Class",B279=3,"Third Class")</f>
        <v>First Class</v>
      </c>
      <c r="D279">
        <v>1</v>
      </c>
      <c r="E279" s="1" t="str">
        <f t="shared" si="16"/>
        <v>Alive</v>
      </c>
      <c r="F279" t="s">
        <v>603</v>
      </c>
      <c r="G279" s="1" t="s">
        <v>3001</v>
      </c>
      <c r="H279" t="s">
        <v>15</v>
      </c>
      <c r="I279" s="1" t="str">
        <f t="shared" si="17"/>
        <v>Female</v>
      </c>
      <c r="J279" s="3">
        <v>29.881137667304014</v>
      </c>
      <c r="K279" s="3" t="str" cm="1">
        <f t="array" ref="K279">_xlfn.IFS(J279&lt;=13,"Child",J279&lt;=18,"Teenager",J279&lt;=30,"Young Adult",J279&lt;=50,"Middle Aged Adult",J279&gt;50,"Senior")</f>
        <v>Young Adult</v>
      </c>
      <c r="L279">
        <v>1</v>
      </c>
      <c r="M279">
        <v>0</v>
      </c>
      <c r="N279" s="1">
        <f t="shared" si="18"/>
        <v>2</v>
      </c>
      <c r="O279" s="1" t="str">
        <f t="shared" si="19"/>
        <v>With Family</v>
      </c>
      <c r="P279">
        <v>146.52080000000001</v>
      </c>
      <c r="Q279" s="1" t="str" cm="1">
        <f t="array" ref="Q279">_xlfn.IFS(P279&lt;=50,"Low",P279&lt;=100,"Medium",P279&gt;100,"High")</f>
        <v>High</v>
      </c>
      <c r="R279" t="s">
        <v>41</v>
      </c>
      <c r="S279" s="1" t="str" cm="1">
        <f t="array" ref="S279">_xlfn.IFS(R279="S","Southampton",R279="C","Cherbourg",R279="Q","Queenstown")</f>
        <v>Cherbourg</v>
      </c>
    </row>
    <row r="280" spans="1:19" x14ac:dyDescent="0.3">
      <c r="A280">
        <v>279</v>
      </c>
      <c r="B280">
        <v>1</v>
      </c>
      <c r="C280" s="1" t="str" cm="1">
        <f t="array" ref="C280">_xlfn.IFS(B280=1,"First Class",B280=2,"Second Class",B280=3,"Third Class")</f>
        <v>First Class</v>
      </c>
      <c r="D280">
        <v>1</v>
      </c>
      <c r="E280" s="1" t="str">
        <f t="shared" si="16"/>
        <v>Alive</v>
      </c>
      <c r="F280" t="s">
        <v>604</v>
      </c>
      <c r="G280" s="1" t="s">
        <v>3040</v>
      </c>
      <c r="H280" t="s">
        <v>20</v>
      </c>
      <c r="I280" s="1" t="str">
        <f t="shared" si="17"/>
        <v>Male</v>
      </c>
      <c r="J280" s="3">
        <v>32</v>
      </c>
      <c r="K280" s="3" t="str" cm="1">
        <f t="array" ref="K280">_xlfn.IFS(J280&lt;=13,"Child",J280&lt;=18,"Teenager",J280&lt;=30,"Young Adult",J280&lt;=50,"Middle Aged Adult",J280&gt;50,"Senior")</f>
        <v>Middle Aged Adult</v>
      </c>
      <c r="L280">
        <v>0</v>
      </c>
      <c r="M280">
        <v>0</v>
      </c>
      <c r="N280" s="1">
        <f t="shared" si="18"/>
        <v>1</v>
      </c>
      <c r="O280" s="1" t="str">
        <f t="shared" si="19"/>
        <v>Single</v>
      </c>
      <c r="P280">
        <v>30.5</v>
      </c>
      <c r="Q280" s="1" t="str" cm="1">
        <f t="array" ref="Q280">_xlfn.IFS(P280&lt;=50,"Low",P280&lt;=100,"Medium",P280&gt;100,"High")</f>
        <v>Low</v>
      </c>
      <c r="R280" t="s">
        <v>41</v>
      </c>
      <c r="S280" s="1" t="str" cm="1">
        <f t="array" ref="S280">_xlfn.IFS(R280="S","Southampton",R280="C","Cherbourg",R280="Q","Queenstown")</f>
        <v>Cherbourg</v>
      </c>
    </row>
    <row r="281" spans="1:19" x14ac:dyDescent="0.3">
      <c r="A281">
        <v>280</v>
      </c>
      <c r="B281">
        <v>1</v>
      </c>
      <c r="C281" s="1" t="str" cm="1">
        <f t="array" ref="C281">_xlfn.IFS(B281=1,"First Class",B281=2,"Second Class",B281=3,"Third Class")</f>
        <v>First Class</v>
      </c>
      <c r="D281">
        <v>0</v>
      </c>
      <c r="E281" s="1" t="str">
        <f t="shared" si="16"/>
        <v>Dead</v>
      </c>
      <c r="F281" t="s">
        <v>606</v>
      </c>
      <c r="G281" s="1" t="s">
        <v>2999</v>
      </c>
      <c r="H281" t="s">
        <v>20</v>
      </c>
      <c r="I281" s="1" t="str">
        <f t="shared" si="17"/>
        <v>Male</v>
      </c>
      <c r="J281" s="3">
        <v>62</v>
      </c>
      <c r="K281" s="3" t="str" cm="1">
        <f t="array" ref="K281">_xlfn.IFS(J281&lt;=13,"Child",J281&lt;=18,"Teenager",J281&lt;=30,"Young Adult",J281&lt;=50,"Middle Aged Adult",J281&gt;50,"Senior")</f>
        <v>Senior</v>
      </c>
      <c r="L281">
        <v>0</v>
      </c>
      <c r="M281">
        <v>0</v>
      </c>
      <c r="N281" s="1">
        <f t="shared" si="18"/>
        <v>1</v>
      </c>
      <c r="O281" s="1" t="str">
        <f t="shared" si="19"/>
        <v>Single</v>
      </c>
      <c r="P281">
        <v>26.55</v>
      </c>
      <c r="Q281" s="1" t="str" cm="1">
        <f t="array" ref="Q281">_xlfn.IFS(P281&lt;=50,"Low",P281&lt;=100,"Medium",P281&gt;100,"High")</f>
        <v>Low</v>
      </c>
      <c r="R281" t="s">
        <v>17</v>
      </c>
      <c r="S281" s="1" t="str" cm="1">
        <f t="array" ref="S281">_xlfn.IFS(R281="S","Southampton",R281="C","Cherbourg",R281="Q","Queenstown")</f>
        <v>Southampton</v>
      </c>
    </row>
    <row r="282" spans="1:19" x14ac:dyDescent="0.3">
      <c r="A282">
        <v>281</v>
      </c>
      <c r="B282">
        <v>1</v>
      </c>
      <c r="C282" s="1" t="str" cm="1">
        <f t="array" ref="C282">_xlfn.IFS(B282=1,"First Class",B282=2,"Second Class",B282=3,"Third Class")</f>
        <v>First Class</v>
      </c>
      <c r="D282">
        <v>1</v>
      </c>
      <c r="E282" s="1" t="str">
        <f t="shared" si="16"/>
        <v>Alive</v>
      </c>
      <c r="F282" t="s">
        <v>609</v>
      </c>
      <c r="G282" s="1" t="s">
        <v>2999</v>
      </c>
      <c r="H282" t="s">
        <v>20</v>
      </c>
      <c r="I282" s="1" t="str">
        <f t="shared" si="17"/>
        <v>Male</v>
      </c>
      <c r="J282" s="3">
        <v>54</v>
      </c>
      <c r="K282" s="3" t="str" cm="1">
        <f t="array" ref="K282">_xlfn.IFS(J282&lt;=13,"Child",J282&lt;=18,"Teenager",J282&lt;=30,"Young Adult",J282&lt;=50,"Middle Aged Adult",J282&gt;50,"Senior")</f>
        <v>Senior</v>
      </c>
      <c r="L282">
        <v>1</v>
      </c>
      <c r="M282">
        <v>0</v>
      </c>
      <c r="N282" s="1">
        <f t="shared" si="18"/>
        <v>2</v>
      </c>
      <c r="O282" s="1" t="str">
        <f t="shared" si="19"/>
        <v>With Family</v>
      </c>
      <c r="P282">
        <v>55.441699999999997</v>
      </c>
      <c r="Q282" s="1" t="str" cm="1">
        <f t="array" ref="Q282">_xlfn.IFS(P282&lt;=50,"Low",P282&lt;=100,"Medium",P282&gt;100,"High")</f>
        <v>Medium</v>
      </c>
      <c r="R282" t="s">
        <v>41</v>
      </c>
      <c r="S282" s="1" t="str" cm="1">
        <f t="array" ref="S282">_xlfn.IFS(R282="S","Southampton",R282="C","Cherbourg",R282="Q","Queenstown")</f>
        <v>Cherbourg</v>
      </c>
    </row>
    <row r="283" spans="1:19" x14ac:dyDescent="0.3">
      <c r="A283">
        <v>282</v>
      </c>
      <c r="B283">
        <v>1</v>
      </c>
      <c r="C283" s="1" t="str" cm="1">
        <f t="array" ref="C283">_xlfn.IFS(B283=1,"First Class",B283=2,"Second Class",B283=3,"Third Class")</f>
        <v>First Class</v>
      </c>
      <c r="D283">
        <v>1</v>
      </c>
      <c r="E283" s="1" t="str">
        <f t="shared" si="16"/>
        <v>Alive</v>
      </c>
      <c r="F283" t="s">
        <v>612</v>
      </c>
      <c r="G283" s="1" t="s">
        <v>3001</v>
      </c>
      <c r="H283" t="s">
        <v>15</v>
      </c>
      <c r="I283" s="1" t="str">
        <f t="shared" si="17"/>
        <v>Female</v>
      </c>
      <c r="J283" s="3">
        <v>43</v>
      </c>
      <c r="K283" s="3" t="str" cm="1">
        <f t="array" ref="K283">_xlfn.IFS(J283&lt;=13,"Child",J283&lt;=18,"Teenager",J283&lt;=30,"Young Adult",J283&lt;=50,"Middle Aged Adult",J283&gt;50,"Senior")</f>
        <v>Middle Aged Adult</v>
      </c>
      <c r="L283">
        <v>1</v>
      </c>
      <c r="M283">
        <v>0</v>
      </c>
      <c r="N283" s="1">
        <f t="shared" si="18"/>
        <v>2</v>
      </c>
      <c r="O283" s="1" t="str">
        <f t="shared" si="19"/>
        <v>With Family</v>
      </c>
      <c r="P283">
        <v>55.441699999999997</v>
      </c>
      <c r="Q283" s="1" t="str" cm="1">
        <f t="array" ref="Q283">_xlfn.IFS(P283&lt;=50,"Low",P283&lt;=100,"Medium",P283&gt;100,"High")</f>
        <v>Medium</v>
      </c>
      <c r="R283" t="s">
        <v>41</v>
      </c>
      <c r="S283" s="1" t="str" cm="1">
        <f t="array" ref="S283">_xlfn.IFS(R283="S","Southampton",R283="C","Cherbourg",R283="Q","Queenstown")</f>
        <v>Cherbourg</v>
      </c>
    </row>
    <row r="284" spans="1:19" x14ac:dyDescent="0.3">
      <c r="A284">
        <v>283</v>
      </c>
      <c r="B284">
        <v>1</v>
      </c>
      <c r="C284" s="1" t="str" cm="1">
        <f t="array" ref="C284">_xlfn.IFS(B284=1,"First Class",B284=2,"Second Class",B284=3,"Third Class")</f>
        <v>First Class</v>
      </c>
      <c r="D284">
        <v>1</v>
      </c>
      <c r="E284" s="1" t="str">
        <f t="shared" si="16"/>
        <v>Alive</v>
      </c>
      <c r="F284" t="s">
        <v>613</v>
      </c>
      <c r="G284" s="1" t="s">
        <v>3001</v>
      </c>
      <c r="H284" t="s">
        <v>15</v>
      </c>
      <c r="I284" s="1" t="str">
        <f t="shared" si="17"/>
        <v>Female</v>
      </c>
      <c r="J284" s="3">
        <v>52</v>
      </c>
      <c r="K284" s="3" t="str" cm="1">
        <f t="array" ref="K284">_xlfn.IFS(J284&lt;=13,"Child",J284&lt;=18,"Teenager",J284&lt;=30,"Young Adult",J284&lt;=50,"Middle Aged Adult",J284&gt;50,"Senior")</f>
        <v>Senior</v>
      </c>
      <c r="L284">
        <v>1</v>
      </c>
      <c r="M284">
        <v>0</v>
      </c>
      <c r="N284" s="1">
        <f t="shared" si="18"/>
        <v>2</v>
      </c>
      <c r="O284" s="1" t="str">
        <f t="shared" si="19"/>
        <v>With Family</v>
      </c>
      <c r="P284">
        <v>78.2667</v>
      </c>
      <c r="Q284" s="1" t="str" cm="1">
        <f t="array" ref="Q284">_xlfn.IFS(P284&lt;=50,"Low",P284&lt;=100,"Medium",P284&gt;100,"High")</f>
        <v>Medium</v>
      </c>
      <c r="R284" t="s">
        <v>41</v>
      </c>
      <c r="S284" s="1" t="str" cm="1">
        <f t="array" ref="S284">_xlfn.IFS(R284="S","Southampton",R284="C","Cherbourg",R284="Q","Queenstown")</f>
        <v>Cherbourg</v>
      </c>
    </row>
    <row r="285" spans="1:19" x14ac:dyDescent="0.3">
      <c r="A285">
        <v>284</v>
      </c>
      <c r="B285">
        <v>1</v>
      </c>
      <c r="C285" s="1" t="str" cm="1">
        <f t="array" ref="C285">_xlfn.IFS(B285=1,"First Class",B285=2,"Second Class",B285=3,"Third Class")</f>
        <v>First Class</v>
      </c>
      <c r="D285">
        <v>0</v>
      </c>
      <c r="E285" s="1" t="str">
        <f t="shared" si="16"/>
        <v>Dead</v>
      </c>
      <c r="F285" t="s">
        <v>615</v>
      </c>
      <c r="G285" s="1" t="s">
        <v>2999</v>
      </c>
      <c r="H285" t="s">
        <v>20</v>
      </c>
      <c r="I285" s="1" t="str">
        <f t="shared" si="17"/>
        <v>Male</v>
      </c>
      <c r="J285" s="3">
        <v>29.881137667304014</v>
      </c>
      <c r="K285" s="3" t="str" cm="1">
        <f t="array" ref="K285">_xlfn.IFS(J285&lt;=13,"Child",J285&lt;=18,"Teenager",J285&lt;=30,"Young Adult",J285&lt;=50,"Middle Aged Adult",J285&gt;50,"Senior")</f>
        <v>Young Adult</v>
      </c>
      <c r="L285">
        <v>0</v>
      </c>
      <c r="M285">
        <v>0</v>
      </c>
      <c r="N285" s="1">
        <f t="shared" si="18"/>
        <v>1</v>
      </c>
      <c r="O285" s="1" t="str">
        <f t="shared" si="19"/>
        <v>Single</v>
      </c>
      <c r="P285">
        <v>27.720800000000001</v>
      </c>
      <c r="Q285" s="1" t="str" cm="1">
        <f t="array" ref="Q285">_xlfn.IFS(P285&lt;=50,"Low",P285&lt;=100,"Medium",P285&gt;100,"High")</f>
        <v>Low</v>
      </c>
      <c r="R285" t="s">
        <v>41</v>
      </c>
      <c r="S285" s="1" t="str" cm="1">
        <f t="array" ref="S285">_xlfn.IFS(R285="S","Southampton",R285="C","Cherbourg",R285="Q","Queenstown")</f>
        <v>Cherbourg</v>
      </c>
    </row>
    <row r="286" spans="1:19" x14ac:dyDescent="0.3">
      <c r="A286">
        <v>285</v>
      </c>
      <c r="B286">
        <v>1</v>
      </c>
      <c r="C286" s="1" t="str" cm="1">
        <f t="array" ref="C286">_xlfn.IFS(B286=1,"First Class",B286=2,"Second Class",B286=3,"Third Class")</f>
        <v>First Class</v>
      </c>
      <c r="D286">
        <v>1</v>
      </c>
      <c r="E286" s="1" t="str">
        <f t="shared" si="16"/>
        <v>Alive</v>
      </c>
      <c r="F286" t="s">
        <v>618</v>
      </c>
      <c r="G286" s="1" t="s">
        <v>3001</v>
      </c>
      <c r="H286" t="s">
        <v>15</v>
      </c>
      <c r="I286" s="1" t="str">
        <f t="shared" si="17"/>
        <v>Female</v>
      </c>
      <c r="J286" s="3">
        <v>62</v>
      </c>
      <c r="K286" s="3" t="str" cm="1">
        <f t="array" ref="K286">_xlfn.IFS(J286&lt;=13,"Child",J286&lt;=18,"Teenager",J286&lt;=30,"Young Adult",J286&lt;=50,"Middle Aged Adult",J286&gt;50,"Senior")</f>
        <v>Senior</v>
      </c>
      <c r="L286">
        <v>0</v>
      </c>
      <c r="M286">
        <v>0</v>
      </c>
      <c r="N286" s="1">
        <f t="shared" si="18"/>
        <v>1</v>
      </c>
      <c r="O286" s="1" t="str">
        <f t="shared" si="19"/>
        <v>Single</v>
      </c>
      <c r="P286">
        <v>80</v>
      </c>
      <c r="Q286" s="1" t="str" cm="1">
        <f t="array" ref="Q286">_xlfn.IFS(P286&lt;=50,"Low",P286&lt;=100,"Medium",P286&gt;100,"High")</f>
        <v>Medium</v>
      </c>
      <c r="S286" s="1" t="e" cm="1">
        <f t="array" ref="S286">_xlfn.IFS(R286="S","Southampton",R286="C","Cherbourg",R286="Q","Queenstown")</f>
        <v>#N/A</v>
      </c>
    </row>
    <row r="287" spans="1:19" x14ac:dyDescent="0.3">
      <c r="A287">
        <v>286</v>
      </c>
      <c r="B287">
        <v>1</v>
      </c>
      <c r="C287" s="1" t="str" cm="1">
        <f t="array" ref="C287">_xlfn.IFS(B287=1,"First Class",B287=2,"Second Class",B287=3,"Third Class")</f>
        <v>First Class</v>
      </c>
      <c r="D287">
        <v>0</v>
      </c>
      <c r="E287" s="1" t="str">
        <f t="shared" si="16"/>
        <v>Dead</v>
      </c>
      <c r="F287" t="s">
        <v>620</v>
      </c>
      <c r="G287" s="1" t="s">
        <v>2999</v>
      </c>
      <c r="H287" t="s">
        <v>20</v>
      </c>
      <c r="I287" s="1" t="str">
        <f t="shared" si="17"/>
        <v>Male</v>
      </c>
      <c r="J287" s="3">
        <v>67</v>
      </c>
      <c r="K287" s="3" t="str" cm="1">
        <f t="array" ref="K287">_xlfn.IFS(J287&lt;=13,"Child",J287&lt;=18,"Teenager",J287&lt;=30,"Young Adult",J287&lt;=50,"Middle Aged Adult",J287&gt;50,"Senior")</f>
        <v>Senior</v>
      </c>
      <c r="L287">
        <v>1</v>
      </c>
      <c r="M287">
        <v>0</v>
      </c>
      <c r="N287" s="1">
        <f t="shared" si="18"/>
        <v>2</v>
      </c>
      <c r="O287" s="1" t="str">
        <f t="shared" si="19"/>
        <v>With Family</v>
      </c>
      <c r="P287">
        <v>221.7792</v>
      </c>
      <c r="Q287" s="1" t="str" cm="1">
        <f t="array" ref="Q287">_xlfn.IFS(P287&lt;=50,"Low",P287&lt;=100,"Medium",P287&gt;100,"High")</f>
        <v>High</v>
      </c>
      <c r="R287" t="s">
        <v>17</v>
      </c>
      <c r="S287" s="1" t="str" cm="1">
        <f t="array" ref="S287">_xlfn.IFS(R287="S","Southampton",R287="C","Cherbourg",R287="Q","Queenstown")</f>
        <v>Southampton</v>
      </c>
    </row>
    <row r="288" spans="1:19" x14ac:dyDescent="0.3">
      <c r="A288">
        <v>287</v>
      </c>
      <c r="B288">
        <v>1</v>
      </c>
      <c r="C288" s="1" t="str" cm="1">
        <f t="array" ref="C288">_xlfn.IFS(B288=1,"First Class",B288=2,"Second Class",B288=3,"Third Class")</f>
        <v>First Class</v>
      </c>
      <c r="D288">
        <v>0</v>
      </c>
      <c r="E288" s="1" t="str">
        <f t="shared" si="16"/>
        <v>Dead</v>
      </c>
      <c r="F288" t="s">
        <v>622</v>
      </c>
      <c r="G288" s="1" t="s">
        <v>3001</v>
      </c>
      <c r="H288" t="s">
        <v>15</v>
      </c>
      <c r="I288" s="1" t="str">
        <f t="shared" si="17"/>
        <v>Female</v>
      </c>
      <c r="J288" s="3">
        <v>63</v>
      </c>
      <c r="K288" s="3" t="str" cm="1">
        <f t="array" ref="K288">_xlfn.IFS(J288&lt;=13,"Child",J288&lt;=18,"Teenager",J288&lt;=30,"Young Adult",J288&lt;=50,"Middle Aged Adult",J288&gt;50,"Senior")</f>
        <v>Senior</v>
      </c>
      <c r="L288">
        <v>1</v>
      </c>
      <c r="M288">
        <v>0</v>
      </c>
      <c r="N288" s="1">
        <f t="shared" si="18"/>
        <v>2</v>
      </c>
      <c r="O288" s="1" t="str">
        <f t="shared" si="19"/>
        <v>With Family</v>
      </c>
      <c r="P288">
        <v>221.7792</v>
      </c>
      <c r="Q288" s="1" t="str" cm="1">
        <f t="array" ref="Q288">_xlfn.IFS(P288&lt;=50,"Low",P288&lt;=100,"Medium",P288&gt;100,"High")</f>
        <v>High</v>
      </c>
      <c r="R288" t="s">
        <v>17</v>
      </c>
      <c r="S288" s="1" t="str" cm="1">
        <f t="array" ref="S288">_xlfn.IFS(R288="S","Southampton",R288="C","Cherbourg",R288="Q","Queenstown")</f>
        <v>Southampton</v>
      </c>
    </row>
    <row r="289" spans="1:19" x14ac:dyDescent="0.3">
      <c r="A289">
        <v>288</v>
      </c>
      <c r="B289">
        <v>1</v>
      </c>
      <c r="C289" s="1" t="str" cm="1">
        <f t="array" ref="C289">_xlfn.IFS(B289=1,"First Class",B289=2,"Second Class",B289=3,"Third Class")</f>
        <v>First Class</v>
      </c>
      <c r="D289">
        <v>0</v>
      </c>
      <c r="E289" s="1" t="str">
        <f t="shared" si="16"/>
        <v>Dead</v>
      </c>
      <c r="F289" t="s">
        <v>623</v>
      </c>
      <c r="G289" s="1" t="s">
        <v>2999</v>
      </c>
      <c r="H289" t="s">
        <v>20</v>
      </c>
      <c r="I289" s="1" t="str">
        <f t="shared" si="17"/>
        <v>Male</v>
      </c>
      <c r="J289" s="3">
        <v>61</v>
      </c>
      <c r="K289" s="3" t="str" cm="1">
        <f t="array" ref="K289">_xlfn.IFS(J289&lt;=13,"Child",J289&lt;=18,"Teenager",J289&lt;=30,"Young Adult",J289&lt;=50,"Middle Aged Adult",J289&gt;50,"Senior")</f>
        <v>Senior</v>
      </c>
      <c r="L289">
        <v>0</v>
      </c>
      <c r="M289">
        <v>0</v>
      </c>
      <c r="N289" s="1">
        <f t="shared" si="18"/>
        <v>1</v>
      </c>
      <c r="O289" s="1" t="str">
        <f t="shared" si="19"/>
        <v>Single</v>
      </c>
      <c r="P289">
        <v>32.320799999999998</v>
      </c>
      <c r="Q289" s="1" t="str" cm="1">
        <f t="array" ref="Q289">_xlfn.IFS(P289&lt;=50,"Low",P289&lt;=100,"Medium",P289&gt;100,"High")</f>
        <v>Low</v>
      </c>
      <c r="R289" t="s">
        <v>17</v>
      </c>
      <c r="S289" s="1" t="str" cm="1">
        <f t="array" ref="S289">_xlfn.IFS(R289="S","Southampton",R289="C","Cherbourg",R289="Q","Queenstown")</f>
        <v>Southampton</v>
      </c>
    </row>
    <row r="290" spans="1:19" x14ac:dyDescent="0.3">
      <c r="A290">
        <v>289</v>
      </c>
      <c r="B290">
        <v>1</v>
      </c>
      <c r="C290" s="1" t="str" cm="1">
        <f t="array" ref="C290">_xlfn.IFS(B290=1,"First Class",B290=2,"Second Class",B290=3,"Third Class")</f>
        <v>First Class</v>
      </c>
      <c r="D290">
        <v>1</v>
      </c>
      <c r="E290" s="1" t="str">
        <f t="shared" si="16"/>
        <v>Alive</v>
      </c>
      <c r="F290" t="s">
        <v>626</v>
      </c>
      <c r="G290" s="1" t="s">
        <v>3001</v>
      </c>
      <c r="H290" t="s">
        <v>15</v>
      </c>
      <c r="I290" s="1" t="str">
        <f t="shared" si="17"/>
        <v>Female</v>
      </c>
      <c r="J290" s="3">
        <v>48</v>
      </c>
      <c r="K290" s="3" t="str" cm="1">
        <f t="array" ref="K290">_xlfn.IFS(J290&lt;=13,"Child",J290&lt;=18,"Teenager",J290&lt;=30,"Young Adult",J290&lt;=50,"Middle Aged Adult",J290&gt;50,"Senior")</f>
        <v>Middle Aged Adult</v>
      </c>
      <c r="L290">
        <v>0</v>
      </c>
      <c r="M290">
        <v>0</v>
      </c>
      <c r="N290" s="1">
        <f t="shared" si="18"/>
        <v>1</v>
      </c>
      <c r="O290" s="1" t="str">
        <f t="shared" si="19"/>
        <v>Single</v>
      </c>
      <c r="P290">
        <v>25.929200000000002</v>
      </c>
      <c r="Q290" s="1" t="str" cm="1">
        <f t="array" ref="Q290">_xlfn.IFS(P290&lt;=50,"Low",P290&lt;=100,"Medium",P290&gt;100,"High")</f>
        <v>Low</v>
      </c>
      <c r="R290" t="s">
        <v>17</v>
      </c>
      <c r="S290" s="1" t="str" cm="1">
        <f t="array" ref="S290">_xlfn.IFS(R290="S","Southampton",R290="C","Cherbourg",R290="Q","Queenstown")</f>
        <v>Southampton</v>
      </c>
    </row>
    <row r="291" spans="1:19" x14ac:dyDescent="0.3">
      <c r="A291">
        <v>290</v>
      </c>
      <c r="B291">
        <v>1</v>
      </c>
      <c r="C291" s="1" t="str" cm="1">
        <f t="array" ref="C291">_xlfn.IFS(B291=1,"First Class",B291=2,"Second Class",B291=3,"Third Class")</f>
        <v>First Class</v>
      </c>
      <c r="D291">
        <v>1</v>
      </c>
      <c r="E291" s="1" t="str">
        <f t="shared" si="16"/>
        <v>Alive</v>
      </c>
      <c r="F291" t="s">
        <v>627</v>
      </c>
      <c r="G291" s="1" t="s">
        <v>2994</v>
      </c>
      <c r="H291" t="s">
        <v>15</v>
      </c>
      <c r="I291" s="1" t="str">
        <f t="shared" si="17"/>
        <v>Female</v>
      </c>
      <c r="J291" s="3">
        <v>18</v>
      </c>
      <c r="K291" s="3" t="str" cm="1">
        <f t="array" ref="K291">_xlfn.IFS(J291&lt;=13,"Child",J291&lt;=18,"Teenager",J291&lt;=30,"Young Adult",J291&lt;=50,"Middle Aged Adult",J291&gt;50,"Senior")</f>
        <v>Teenager</v>
      </c>
      <c r="L291">
        <v>0</v>
      </c>
      <c r="M291">
        <v>2</v>
      </c>
      <c r="N291" s="1">
        <f t="shared" si="18"/>
        <v>3</v>
      </c>
      <c r="O291" s="1" t="str">
        <f t="shared" si="19"/>
        <v>With Family</v>
      </c>
      <c r="P291">
        <v>79.650000000000006</v>
      </c>
      <c r="Q291" s="1" t="str" cm="1">
        <f t="array" ref="Q291">_xlfn.IFS(P291&lt;=50,"Low",P291&lt;=100,"Medium",P291&gt;100,"High")</f>
        <v>Medium</v>
      </c>
      <c r="R291" t="s">
        <v>17</v>
      </c>
      <c r="S291" s="1" t="str" cm="1">
        <f t="array" ref="S291">_xlfn.IFS(R291="S","Southampton",R291="C","Cherbourg",R291="Q","Queenstown")</f>
        <v>Southampton</v>
      </c>
    </row>
    <row r="292" spans="1:19" x14ac:dyDescent="0.3">
      <c r="A292">
        <v>291</v>
      </c>
      <c r="B292">
        <v>1</v>
      </c>
      <c r="C292" s="1" t="str" cm="1">
        <f t="array" ref="C292">_xlfn.IFS(B292=1,"First Class",B292=2,"Second Class",B292=3,"Third Class")</f>
        <v>First Class</v>
      </c>
      <c r="D292">
        <v>0</v>
      </c>
      <c r="E292" s="1" t="str">
        <f t="shared" si="16"/>
        <v>Dead</v>
      </c>
      <c r="F292" t="s">
        <v>629</v>
      </c>
      <c r="G292" s="1" t="s">
        <v>2999</v>
      </c>
      <c r="H292" t="s">
        <v>20</v>
      </c>
      <c r="I292" s="1" t="str">
        <f t="shared" si="17"/>
        <v>Male</v>
      </c>
      <c r="J292" s="3">
        <v>52</v>
      </c>
      <c r="K292" s="3" t="str" cm="1">
        <f t="array" ref="K292">_xlfn.IFS(J292&lt;=13,"Child",J292&lt;=18,"Teenager",J292&lt;=30,"Young Adult",J292&lt;=50,"Middle Aged Adult",J292&gt;50,"Senior")</f>
        <v>Senior</v>
      </c>
      <c r="L292">
        <v>1</v>
      </c>
      <c r="M292">
        <v>1</v>
      </c>
      <c r="N292" s="1">
        <f t="shared" si="18"/>
        <v>3</v>
      </c>
      <c r="O292" s="1" t="str">
        <f t="shared" si="19"/>
        <v>With Family</v>
      </c>
      <c r="P292">
        <v>79.650000000000006</v>
      </c>
      <c r="Q292" s="1" t="str" cm="1">
        <f t="array" ref="Q292">_xlfn.IFS(P292&lt;=50,"Low",P292&lt;=100,"Medium",P292&gt;100,"High")</f>
        <v>Medium</v>
      </c>
      <c r="R292" t="s">
        <v>17</v>
      </c>
      <c r="S292" s="1" t="str" cm="1">
        <f t="array" ref="S292">_xlfn.IFS(R292="S","Southampton",R292="C","Cherbourg",R292="Q","Queenstown")</f>
        <v>Southampton</v>
      </c>
    </row>
    <row r="293" spans="1:19" x14ac:dyDescent="0.3">
      <c r="A293">
        <v>292</v>
      </c>
      <c r="B293">
        <v>1</v>
      </c>
      <c r="C293" s="1" t="str" cm="1">
        <f t="array" ref="C293">_xlfn.IFS(B293=1,"First Class",B293=2,"Second Class",B293=3,"Third Class")</f>
        <v>First Class</v>
      </c>
      <c r="D293">
        <v>1</v>
      </c>
      <c r="E293" s="1" t="str">
        <f t="shared" si="16"/>
        <v>Alive</v>
      </c>
      <c r="F293" t="s">
        <v>631</v>
      </c>
      <c r="G293" s="1" t="s">
        <v>3001</v>
      </c>
      <c r="H293" t="s">
        <v>15</v>
      </c>
      <c r="I293" s="1" t="str">
        <f t="shared" si="17"/>
        <v>Female</v>
      </c>
      <c r="J293" s="3">
        <v>39</v>
      </c>
      <c r="K293" s="3" t="str" cm="1">
        <f t="array" ref="K293">_xlfn.IFS(J293&lt;=13,"Child",J293&lt;=18,"Teenager",J293&lt;=30,"Young Adult",J293&lt;=50,"Middle Aged Adult",J293&gt;50,"Senior")</f>
        <v>Middle Aged Adult</v>
      </c>
      <c r="L293">
        <v>1</v>
      </c>
      <c r="M293">
        <v>1</v>
      </c>
      <c r="N293" s="1">
        <f t="shared" si="18"/>
        <v>3</v>
      </c>
      <c r="O293" s="1" t="str">
        <f t="shared" si="19"/>
        <v>With Family</v>
      </c>
      <c r="P293">
        <v>79.650000000000006</v>
      </c>
      <c r="Q293" s="1" t="str" cm="1">
        <f t="array" ref="Q293">_xlfn.IFS(P293&lt;=50,"Low",P293&lt;=100,"Medium",P293&gt;100,"High")</f>
        <v>Medium</v>
      </c>
      <c r="R293" t="s">
        <v>17</v>
      </c>
      <c r="S293" s="1" t="str" cm="1">
        <f t="array" ref="S293">_xlfn.IFS(R293="S","Southampton",R293="C","Cherbourg",R293="Q","Queenstown")</f>
        <v>Southampton</v>
      </c>
    </row>
    <row r="294" spans="1:19" x14ac:dyDescent="0.3">
      <c r="A294">
        <v>293</v>
      </c>
      <c r="B294">
        <v>1</v>
      </c>
      <c r="C294" s="1" t="str" cm="1">
        <f t="array" ref="C294">_xlfn.IFS(B294=1,"First Class",B294=2,"Second Class",B294=3,"Third Class")</f>
        <v>First Class</v>
      </c>
      <c r="D294">
        <v>1</v>
      </c>
      <c r="E294" s="1" t="str">
        <f t="shared" si="16"/>
        <v>Alive</v>
      </c>
      <c r="F294" t="s">
        <v>632</v>
      </c>
      <c r="G294" s="1" t="s">
        <v>2999</v>
      </c>
      <c r="H294" t="s">
        <v>20</v>
      </c>
      <c r="I294" s="1" t="str">
        <f t="shared" si="17"/>
        <v>Male</v>
      </c>
      <c r="J294" s="3">
        <v>48</v>
      </c>
      <c r="K294" s="3" t="str" cm="1">
        <f t="array" ref="K294">_xlfn.IFS(J294&lt;=13,"Child",J294&lt;=18,"Teenager",J294&lt;=30,"Young Adult",J294&lt;=50,"Middle Aged Adult",J294&gt;50,"Senior")</f>
        <v>Middle Aged Adult</v>
      </c>
      <c r="L294">
        <v>1</v>
      </c>
      <c r="M294">
        <v>0</v>
      </c>
      <c r="N294" s="1">
        <f t="shared" si="18"/>
        <v>2</v>
      </c>
      <c r="O294" s="1" t="str">
        <f t="shared" si="19"/>
        <v>With Family</v>
      </c>
      <c r="P294">
        <v>52</v>
      </c>
      <c r="Q294" s="1" t="str" cm="1">
        <f t="array" ref="Q294">_xlfn.IFS(P294&lt;=50,"Low",P294&lt;=100,"Medium",P294&gt;100,"High")</f>
        <v>Medium</v>
      </c>
      <c r="R294" t="s">
        <v>17</v>
      </c>
      <c r="S294" s="1" t="str" cm="1">
        <f t="array" ref="S294">_xlfn.IFS(R294="S","Southampton",R294="C","Cherbourg",R294="Q","Queenstown")</f>
        <v>Southampton</v>
      </c>
    </row>
    <row r="295" spans="1:19" x14ac:dyDescent="0.3">
      <c r="A295">
        <v>294</v>
      </c>
      <c r="B295">
        <v>1</v>
      </c>
      <c r="C295" s="1" t="str" cm="1">
        <f t="array" ref="C295">_xlfn.IFS(B295=1,"First Class",B295=2,"Second Class",B295=3,"Third Class")</f>
        <v>First Class</v>
      </c>
      <c r="D295">
        <v>1</v>
      </c>
      <c r="E295" s="1" t="str">
        <f t="shared" si="16"/>
        <v>Alive</v>
      </c>
      <c r="F295" t="s">
        <v>636</v>
      </c>
      <c r="G295" s="1" t="s">
        <v>3001</v>
      </c>
      <c r="H295" t="s">
        <v>15</v>
      </c>
      <c r="I295" s="1" t="str">
        <f t="shared" si="17"/>
        <v>Female</v>
      </c>
      <c r="J295" s="3">
        <v>29.881137667304014</v>
      </c>
      <c r="K295" s="3" t="str" cm="1">
        <f t="array" ref="K295">_xlfn.IFS(J295&lt;=13,"Child",J295&lt;=18,"Teenager",J295&lt;=30,"Young Adult",J295&lt;=50,"Middle Aged Adult",J295&gt;50,"Senior")</f>
        <v>Young Adult</v>
      </c>
      <c r="L295">
        <v>1</v>
      </c>
      <c r="M295">
        <v>0</v>
      </c>
      <c r="N295" s="1">
        <f t="shared" si="18"/>
        <v>2</v>
      </c>
      <c r="O295" s="1" t="str">
        <f t="shared" si="19"/>
        <v>With Family</v>
      </c>
      <c r="P295">
        <v>52</v>
      </c>
      <c r="Q295" s="1" t="str" cm="1">
        <f t="array" ref="Q295">_xlfn.IFS(P295&lt;=50,"Low",P295&lt;=100,"Medium",P295&gt;100,"High")</f>
        <v>Medium</v>
      </c>
      <c r="R295" t="s">
        <v>17</v>
      </c>
      <c r="S295" s="1" t="str" cm="1">
        <f t="array" ref="S295">_xlfn.IFS(R295="S","Southampton",R295="C","Cherbourg",R295="Q","Queenstown")</f>
        <v>Southampton</v>
      </c>
    </row>
    <row r="296" spans="1:19" x14ac:dyDescent="0.3">
      <c r="A296">
        <v>295</v>
      </c>
      <c r="B296">
        <v>1</v>
      </c>
      <c r="C296" s="1" t="str" cm="1">
        <f t="array" ref="C296">_xlfn.IFS(B296=1,"First Class",B296=2,"Second Class",B296=3,"Third Class")</f>
        <v>First Class</v>
      </c>
      <c r="D296">
        <v>0</v>
      </c>
      <c r="E296" s="1" t="str">
        <f t="shared" si="16"/>
        <v>Dead</v>
      </c>
      <c r="F296" t="s">
        <v>637</v>
      </c>
      <c r="G296" s="1" t="s">
        <v>2999</v>
      </c>
      <c r="H296" t="s">
        <v>20</v>
      </c>
      <c r="I296" s="1" t="str">
        <f t="shared" si="17"/>
        <v>Male</v>
      </c>
      <c r="J296" s="3">
        <v>49</v>
      </c>
      <c r="K296" s="3" t="str" cm="1">
        <f t="array" ref="K296">_xlfn.IFS(J296&lt;=13,"Child",J296&lt;=18,"Teenager",J296&lt;=30,"Young Adult",J296&lt;=50,"Middle Aged Adult",J296&gt;50,"Senior")</f>
        <v>Middle Aged Adult</v>
      </c>
      <c r="L296">
        <v>1</v>
      </c>
      <c r="M296">
        <v>1</v>
      </c>
      <c r="N296" s="1">
        <f t="shared" si="18"/>
        <v>3</v>
      </c>
      <c r="O296" s="1" t="str">
        <f t="shared" si="19"/>
        <v>With Family</v>
      </c>
      <c r="P296">
        <v>110.88330000000001</v>
      </c>
      <c r="Q296" s="1" t="str" cm="1">
        <f t="array" ref="Q296">_xlfn.IFS(P296&lt;=50,"Low",P296&lt;=100,"Medium",P296&gt;100,"High")</f>
        <v>High</v>
      </c>
      <c r="R296" t="s">
        <v>41</v>
      </c>
      <c r="S296" s="1" t="str" cm="1">
        <f t="array" ref="S296">_xlfn.IFS(R296="S","Southampton",R296="C","Cherbourg",R296="Q","Queenstown")</f>
        <v>Cherbourg</v>
      </c>
    </row>
    <row r="297" spans="1:19" x14ac:dyDescent="0.3">
      <c r="A297">
        <v>296</v>
      </c>
      <c r="B297">
        <v>1</v>
      </c>
      <c r="C297" s="1" t="str" cm="1">
        <f t="array" ref="C297">_xlfn.IFS(B297=1,"First Class",B297=2,"Second Class",B297=3,"Third Class")</f>
        <v>First Class</v>
      </c>
      <c r="D297">
        <v>1</v>
      </c>
      <c r="E297" s="1" t="str">
        <f t="shared" si="16"/>
        <v>Alive</v>
      </c>
      <c r="F297" t="s">
        <v>639</v>
      </c>
      <c r="G297" s="1" t="s">
        <v>2999</v>
      </c>
      <c r="H297" t="s">
        <v>20</v>
      </c>
      <c r="I297" s="1" t="str">
        <f t="shared" si="17"/>
        <v>Male</v>
      </c>
      <c r="J297" s="3">
        <v>17</v>
      </c>
      <c r="K297" s="3" t="str" cm="1">
        <f t="array" ref="K297">_xlfn.IFS(J297&lt;=13,"Child",J297&lt;=18,"Teenager",J297&lt;=30,"Young Adult",J297&lt;=50,"Middle Aged Adult",J297&gt;50,"Senior")</f>
        <v>Teenager</v>
      </c>
      <c r="L297">
        <v>0</v>
      </c>
      <c r="M297">
        <v>2</v>
      </c>
      <c r="N297" s="1">
        <f t="shared" si="18"/>
        <v>3</v>
      </c>
      <c r="O297" s="1" t="str">
        <f t="shared" si="19"/>
        <v>With Family</v>
      </c>
      <c r="P297">
        <v>110.88330000000001</v>
      </c>
      <c r="Q297" s="1" t="str" cm="1">
        <f t="array" ref="Q297">_xlfn.IFS(P297&lt;=50,"Low",P297&lt;=100,"Medium",P297&gt;100,"High")</f>
        <v>High</v>
      </c>
      <c r="R297" t="s">
        <v>41</v>
      </c>
      <c r="S297" s="1" t="str" cm="1">
        <f t="array" ref="S297">_xlfn.IFS(R297="S","Southampton",R297="C","Cherbourg",R297="Q","Queenstown")</f>
        <v>Cherbourg</v>
      </c>
    </row>
    <row r="298" spans="1:19" x14ac:dyDescent="0.3">
      <c r="A298">
        <v>297</v>
      </c>
      <c r="B298">
        <v>1</v>
      </c>
      <c r="C298" s="1" t="str" cm="1">
        <f t="array" ref="C298">_xlfn.IFS(B298=1,"First Class",B298=2,"Second Class",B298=3,"Third Class")</f>
        <v>First Class</v>
      </c>
      <c r="D298">
        <v>1</v>
      </c>
      <c r="E298" s="1" t="str">
        <f t="shared" si="16"/>
        <v>Alive</v>
      </c>
      <c r="F298" t="s">
        <v>641</v>
      </c>
      <c r="G298" s="1" t="s">
        <v>3001</v>
      </c>
      <c r="H298" t="s">
        <v>15</v>
      </c>
      <c r="I298" s="1" t="str">
        <f t="shared" si="17"/>
        <v>Female</v>
      </c>
      <c r="J298" s="3">
        <v>39</v>
      </c>
      <c r="K298" s="3" t="str" cm="1">
        <f t="array" ref="K298">_xlfn.IFS(J298&lt;=13,"Child",J298&lt;=18,"Teenager",J298&lt;=30,"Young Adult",J298&lt;=50,"Middle Aged Adult",J298&gt;50,"Senior")</f>
        <v>Middle Aged Adult</v>
      </c>
      <c r="L298">
        <v>1</v>
      </c>
      <c r="M298">
        <v>1</v>
      </c>
      <c r="N298" s="1">
        <f t="shared" si="18"/>
        <v>3</v>
      </c>
      <c r="O298" s="1" t="str">
        <f t="shared" si="19"/>
        <v>With Family</v>
      </c>
      <c r="P298">
        <v>110.88330000000001</v>
      </c>
      <c r="Q298" s="1" t="str" cm="1">
        <f t="array" ref="Q298">_xlfn.IFS(P298&lt;=50,"Low",P298&lt;=100,"Medium",P298&gt;100,"High")</f>
        <v>High</v>
      </c>
      <c r="R298" t="s">
        <v>41</v>
      </c>
      <c r="S298" s="1" t="str" cm="1">
        <f t="array" ref="S298">_xlfn.IFS(R298="S","Southampton",R298="C","Cherbourg",R298="Q","Queenstown")</f>
        <v>Cherbourg</v>
      </c>
    </row>
    <row r="299" spans="1:19" x14ac:dyDescent="0.3">
      <c r="A299">
        <v>298</v>
      </c>
      <c r="B299">
        <v>1</v>
      </c>
      <c r="C299" s="1" t="str" cm="1">
        <f t="array" ref="C299">_xlfn.IFS(B299=1,"First Class",B299=2,"Second Class",B299=3,"Third Class")</f>
        <v>First Class</v>
      </c>
      <c r="D299">
        <v>1</v>
      </c>
      <c r="E299" s="1" t="str">
        <f t="shared" si="16"/>
        <v>Alive</v>
      </c>
      <c r="F299" t="s">
        <v>642</v>
      </c>
      <c r="G299" s="1" t="s">
        <v>3001</v>
      </c>
      <c r="H299" t="s">
        <v>15</v>
      </c>
      <c r="I299" s="1" t="str">
        <f t="shared" si="17"/>
        <v>Female</v>
      </c>
      <c r="J299" s="3">
        <v>29.881137667304014</v>
      </c>
      <c r="K299" s="3" t="str" cm="1">
        <f t="array" ref="K299">_xlfn.IFS(J299&lt;=13,"Child",J299&lt;=18,"Teenager",J299&lt;=30,"Young Adult",J299&lt;=50,"Middle Aged Adult",J299&gt;50,"Senior")</f>
        <v>Young Adult</v>
      </c>
      <c r="L299">
        <v>0</v>
      </c>
      <c r="M299">
        <v>0</v>
      </c>
      <c r="N299" s="1">
        <f t="shared" si="18"/>
        <v>1</v>
      </c>
      <c r="O299" s="1" t="str">
        <f t="shared" si="19"/>
        <v>Single</v>
      </c>
      <c r="P299">
        <v>79.2</v>
      </c>
      <c r="Q299" s="1" t="str" cm="1">
        <f t="array" ref="Q299">_xlfn.IFS(P299&lt;=50,"Low",P299&lt;=100,"Medium",P299&gt;100,"High")</f>
        <v>Medium</v>
      </c>
      <c r="R299" t="s">
        <v>41</v>
      </c>
      <c r="S299" s="1" t="str" cm="1">
        <f t="array" ref="S299">_xlfn.IFS(R299="S","Southampton",R299="C","Cherbourg",R299="Q","Queenstown")</f>
        <v>Cherbourg</v>
      </c>
    </row>
    <row r="300" spans="1:19" x14ac:dyDescent="0.3">
      <c r="A300">
        <v>299</v>
      </c>
      <c r="B300">
        <v>1</v>
      </c>
      <c r="C300" s="1" t="str" cm="1">
        <f t="array" ref="C300">_xlfn.IFS(B300=1,"First Class",B300=2,"Second Class",B300=3,"Third Class")</f>
        <v>First Class</v>
      </c>
      <c r="D300">
        <v>1</v>
      </c>
      <c r="E300" s="1" t="str">
        <f t="shared" si="16"/>
        <v>Alive</v>
      </c>
      <c r="F300" t="s">
        <v>643</v>
      </c>
      <c r="G300" s="1" t="s">
        <v>2999</v>
      </c>
      <c r="H300" t="s">
        <v>20</v>
      </c>
      <c r="I300" s="1" t="str">
        <f t="shared" si="17"/>
        <v>Male</v>
      </c>
      <c r="J300" s="3">
        <v>31</v>
      </c>
      <c r="K300" s="3" t="str" cm="1">
        <f t="array" ref="K300">_xlfn.IFS(J300&lt;=13,"Child",J300&lt;=18,"Teenager",J300&lt;=30,"Young Adult",J300&lt;=50,"Middle Aged Adult",J300&gt;50,"Senior")</f>
        <v>Middle Aged Adult</v>
      </c>
      <c r="L300">
        <v>0</v>
      </c>
      <c r="M300">
        <v>0</v>
      </c>
      <c r="N300" s="1">
        <f t="shared" si="18"/>
        <v>1</v>
      </c>
      <c r="O300" s="1" t="str">
        <f t="shared" si="19"/>
        <v>Single</v>
      </c>
      <c r="P300">
        <v>28.537500000000001</v>
      </c>
      <c r="Q300" s="1" t="str" cm="1">
        <f t="array" ref="Q300">_xlfn.IFS(P300&lt;=50,"Low",P300&lt;=100,"Medium",P300&gt;100,"High")</f>
        <v>Low</v>
      </c>
      <c r="R300" t="s">
        <v>41</v>
      </c>
      <c r="S300" s="1" t="str" cm="1">
        <f t="array" ref="S300">_xlfn.IFS(R300="S","Southampton",R300="C","Cherbourg",R300="Q","Queenstown")</f>
        <v>Cherbourg</v>
      </c>
    </row>
    <row r="301" spans="1:19" x14ac:dyDescent="0.3">
      <c r="A301">
        <v>300</v>
      </c>
      <c r="B301">
        <v>1</v>
      </c>
      <c r="C301" s="1" t="str" cm="1">
        <f t="array" ref="C301">_xlfn.IFS(B301=1,"First Class",B301=2,"Second Class",B301=3,"Third Class")</f>
        <v>First Class</v>
      </c>
      <c r="D301">
        <v>0</v>
      </c>
      <c r="E301" s="1" t="str">
        <f t="shared" si="16"/>
        <v>Dead</v>
      </c>
      <c r="F301" t="s">
        <v>646</v>
      </c>
      <c r="G301" s="1" t="s">
        <v>3303</v>
      </c>
      <c r="H301" t="s">
        <v>20</v>
      </c>
      <c r="I301" s="1" t="str">
        <f t="shared" si="17"/>
        <v>Male</v>
      </c>
      <c r="J301" s="3">
        <v>40</v>
      </c>
      <c r="K301" s="3" t="str" cm="1">
        <f t="array" ref="K301">_xlfn.IFS(J301&lt;=13,"Child",J301&lt;=18,"Teenager",J301&lt;=30,"Young Adult",J301&lt;=50,"Middle Aged Adult",J301&gt;50,"Senior")</f>
        <v>Middle Aged Adult</v>
      </c>
      <c r="L301">
        <v>0</v>
      </c>
      <c r="M301">
        <v>0</v>
      </c>
      <c r="N301" s="1">
        <f t="shared" si="18"/>
        <v>1</v>
      </c>
      <c r="O301" s="1" t="str">
        <f t="shared" si="19"/>
        <v>Single</v>
      </c>
      <c r="P301">
        <v>27.720800000000001</v>
      </c>
      <c r="Q301" s="1" t="str" cm="1">
        <f t="array" ref="Q301">_xlfn.IFS(P301&lt;=50,"Low",P301&lt;=100,"Medium",P301&gt;100,"High")</f>
        <v>Low</v>
      </c>
      <c r="R301" t="s">
        <v>41</v>
      </c>
      <c r="S301" s="1" t="str" cm="1">
        <f t="array" ref="S301">_xlfn.IFS(R301="S","Southampton",R301="C","Cherbourg",R301="Q","Queenstown")</f>
        <v>Cherbourg</v>
      </c>
    </row>
    <row r="302" spans="1:19" x14ac:dyDescent="0.3">
      <c r="A302">
        <v>301</v>
      </c>
      <c r="B302">
        <v>1</v>
      </c>
      <c r="C302" s="1" t="str" cm="1">
        <f t="array" ref="C302">_xlfn.IFS(B302=1,"First Class",B302=2,"Second Class",B302=3,"Third Class")</f>
        <v>First Class</v>
      </c>
      <c r="D302">
        <v>0</v>
      </c>
      <c r="E302" s="1" t="str">
        <f t="shared" si="16"/>
        <v>Dead</v>
      </c>
      <c r="F302" t="s">
        <v>649</v>
      </c>
      <c r="G302" s="1" t="s">
        <v>2999</v>
      </c>
      <c r="H302" t="s">
        <v>20</v>
      </c>
      <c r="I302" s="1" t="str">
        <f t="shared" si="17"/>
        <v>Male</v>
      </c>
      <c r="J302" s="3">
        <v>61</v>
      </c>
      <c r="K302" s="3" t="str" cm="1">
        <f t="array" ref="K302">_xlfn.IFS(J302&lt;=13,"Child",J302&lt;=18,"Teenager",J302&lt;=30,"Young Adult",J302&lt;=50,"Middle Aged Adult",J302&gt;50,"Senior")</f>
        <v>Senior</v>
      </c>
      <c r="L302">
        <v>0</v>
      </c>
      <c r="M302">
        <v>0</v>
      </c>
      <c r="N302" s="1">
        <f t="shared" si="18"/>
        <v>1</v>
      </c>
      <c r="O302" s="1" t="str">
        <f t="shared" si="19"/>
        <v>Single</v>
      </c>
      <c r="P302">
        <v>33.5</v>
      </c>
      <c r="Q302" s="1" t="str" cm="1">
        <f t="array" ref="Q302">_xlfn.IFS(P302&lt;=50,"Low",P302&lt;=100,"Medium",P302&gt;100,"High")</f>
        <v>Low</v>
      </c>
      <c r="R302" t="s">
        <v>17</v>
      </c>
      <c r="S302" s="1" t="str" cm="1">
        <f t="array" ref="S302">_xlfn.IFS(R302="S","Southampton",R302="C","Cherbourg",R302="Q","Queenstown")</f>
        <v>Southampton</v>
      </c>
    </row>
    <row r="303" spans="1:19" x14ac:dyDescent="0.3">
      <c r="A303">
        <v>302</v>
      </c>
      <c r="B303">
        <v>1</v>
      </c>
      <c r="C303" s="1" t="str" cm="1">
        <f t="array" ref="C303">_xlfn.IFS(B303=1,"First Class",B303=2,"Second Class",B303=3,"Third Class")</f>
        <v>First Class</v>
      </c>
      <c r="D303">
        <v>0</v>
      </c>
      <c r="E303" s="1" t="str">
        <f t="shared" si="16"/>
        <v>Dead</v>
      </c>
      <c r="F303" t="s">
        <v>651</v>
      </c>
      <c r="G303" s="1" t="s">
        <v>2999</v>
      </c>
      <c r="H303" t="s">
        <v>20</v>
      </c>
      <c r="I303" s="1" t="str">
        <f t="shared" si="17"/>
        <v>Male</v>
      </c>
      <c r="J303" s="3">
        <v>47</v>
      </c>
      <c r="K303" s="3" t="str" cm="1">
        <f t="array" ref="K303">_xlfn.IFS(J303&lt;=13,"Child",J303&lt;=18,"Teenager",J303&lt;=30,"Young Adult",J303&lt;=50,"Middle Aged Adult",J303&gt;50,"Senior")</f>
        <v>Middle Aged Adult</v>
      </c>
      <c r="L303">
        <v>0</v>
      </c>
      <c r="M303">
        <v>0</v>
      </c>
      <c r="N303" s="1">
        <f t="shared" si="18"/>
        <v>1</v>
      </c>
      <c r="O303" s="1" t="str">
        <f t="shared" si="19"/>
        <v>Single</v>
      </c>
      <c r="P303">
        <v>34.020800000000001</v>
      </c>
      <c r="Q303" s="1" t="str" cm="1">
        <f t="array" ref="Q303">_xlfn.IFS(P303&lt;=50,"Low",P303&lt;=100,"Medium",P303&gt;100,"High")</f>
        <v>Low</v>
      </c>
      <c r="R303" t="s">
        <v>17</v>
      </c>
      <c r="S303" s="1" t="str" cm="1">
        <f t="array" ref="S303">_xlfn.IFS(R303="S","Southampton",R303="C","Cherbourg",R303="Q","Queenstown")</f>
        <v>Southampton</v>
      </c>
    </row>
    <row r="304" spans="1:19" x14ac:dyDescent="0.3">
      <c r="A304">
        <v>303</v>
      </c>
      <c r="B304">
        <v>1</v>
      </c>
      <c r="C304" s="1" t="str" cm="1">
        <f t="array" ref="C304">_xlfn.IFS(B304=1,"First Class",B304=2,"Second Class",B304=3,"Third Class")</f>
        <v>First Class</v>
      </c>
      <c r="D304">
        <v>1</v>
      </c>
      <c r="E304" s="1" t="str">
        <f t="shared" si="16"/>
        <v>Alive</v>
      </c>
      <c r="F304" t="s">
        <v>654</v>
      </c>
      <c r="G304" s="1" t="s">
        <v>2994</v>
      </c>
      <c r="H304" t="s">
        <v>15</v>
      </c>
      <c r="I304" s="1" t="str">
        <f t="shared" si="17"/>
        <v>Female</v>
      </c>
      <c r="J304" s="3">
        <v>35</v>
      </c>
      <c r="K304" s="3" t="str" cm="1">
        <f t="array" ref="K304">_xlfn.IFS(J304&lt;=13,"Child",J304&lt;=18,"Teenager",J304&lt;=30,"Young Adult",J304&lt;=50,"Middle Aged Adult",J304&gt;50,"Senior")</f>
        <v>Middle Aged Adult</v>
      </c>
      <c r="L304">
        <v>0</v>
      </c>
      <c r="M304">
        <v>0</v>
      </c>
      <c r="N304" s="1">
        <f t="shared" si="18"/>
        <v>1</v>
      </c>
      <c r="O304" s="1" t="str">
        <f t="shared" si="19"/>
        <v>Single</v>
      </c>
      <c r="P304">
        <v>512.32920000000001</v>
      </c>
      <c r="Q304" s="1" t="str" cm="1">
        <f t="array" ref="Q304">_xlfn.IFS(P304&lt;=50,"Low",P304&lt;=100,"Medium",P304&gt;100,"High")</f>
        <v>High</v>
      </c>
      <c r="R304" t="s">
        <v>41</v>
      </c>
      <c r="S304" s="1" t="str" cm="1">
        <f t="array" ref="S304">_xlfn.IFS(R304="S","Southampton",R304="C","Cherbourg",R304="Q","Queenstown")</f>
        <v>Cherbourg</v>
      </c>
    </row>
    <row r="305" spans="1:19" x14ac:dyDescent="0.3">
      <c r="A305">
        <v>304</v>
      </c>
      <c r="B305">
        <v>1</v>
      </c>
      <c r="C305" s="1" t="str" cm="1">
        <f t="array" ref="C305">_xlfn.IFS(B305=1,"First Class",B305=2,"Second Class",B305=3,"Third Class")</f>
        <v>First Class</v>
      </c>
      <c r="D305">
        <v>0</v>
      </c>
      <c r="E305" s="1" t="str">
        <f t="shared" si="16"/>
        <v>Dead</v>
      </c>
      <c r="F305" t="s">
        <v>655</v>
      </c>
      <c r="G305" s="1" t="s">
        <v>2999</v>
      </c>
      <c r="H305" t="s">
        <v>20</v>
      </c>
      <c r="I305" s="1" t="str">
        <f t="shared" si="17"/>
        <v>Male</v>
      </c>
      <c r="J305" s="3">
        <v>64</v>
      </c>
      <c r="K305" s="3" t="str" cm="1">
        <f t="array" ref="K305">_xlfn.IFS(J305&lt;=13,"Child",J305&lt;=18,"Teenager",J305&lt;=30,"Young Adult",J305&lt;=50,"Middle Aged Adult",J305&gt;50,"Senior")</f>
        <v>Senior</v>
      </c>
      <c r="L305">
        <v>1</v>
      </c>
      <c r="M305">
        <v>0</v>
      </c>
      <c r="N305" s="1">
        <f t="shared" si="18"/>
        <v>2</v>
      </c>
      <c r="O305" s="1" t="str">
        <f t="shared" si="19"/>
        <v>With Family</v>
      </c>
      <c r="P305">
        <v>75.25</v>
      </c>
      <c r="Q305" s="1" t="str" cm="1">
        <f t="array" ref="Q305">_xlfn.IFS(P305&lt;=50,"Low",P305&lt;=100,"Medium",P305&gt;100,"High")</f>
        <v>Medium</v>
      </c>
      <c r="R305" t="s">
        <v>41</v>
      </c>
      <c r="S305" s="1" t="str" cm="1">
        <f t="array" ref="S305">_xlfn.IFS(R305="S","Southampton",R305="C","Cherbourg",R305="Q","Queenstown")</f>
        <v>Cherbourg</v>
      </c>
    </row>
    <row r="306" spans="1:19" x14ac:dyDescent="0.3">
      <c r="A306">
        <v>305</v>
      </c>
      <c r="B306">
        <v>1</v>
      </c>
      <c r="C306" s="1" t="str" cm="1">
        <f t="array" ref="C306">_xlfn.IFS(B306=1,"First Class",B306=2,"Second Class",B306=3,"Third Class")</f>
        <v>First Class</v>
      </c>
      <c r="D306">
        <v>1</v>
      </c>
      <c r="E306" s="1" t="str">
        <f t="shared" si="16"/>
        <v>Alive</v>
      </c>
      <c r="F306" t="s">
        <v>657</v>
      </c>
      <c r="G306" s="1" t="s">
        <v>3001</v>
      </c>
      <c r="H306" t="s">
        <v>15</v>
      </c>
      <c r="I306" s="1" t="str">
        <f t="shared" si="17"/>
        <v>Female</v>
      </c>
      <c r="J306" s="3">
        <v>60</v>
      </c>
      <c r="K306" s="3" t="str" cm="1">
        <f t="array" ref="K306">_xlfn.IFS(J306&lt;=13,"Child",J306&lt;=18,"Teenager",J306&lt;=30,"Young Adult",J306&lt;=50,"Middle Aged Adult",J306&gt;50,"Senior")</f>
        <v>Senior</v>
      </c>
      <c r="L306">
        <v>1</v>
      </c>
      <c r="M306">
        <v>0</v>
      </c>
      <c r="N306" s="1">
        <f t="shared" si="18"/>
        <v>2</v>
      </c>
      <c r="O306" s="1" t="str">
        <f t="shared" si="19"/>
        <v>With Family</v>
      </c>
      <c r="P306">
        <v>75.25</v>
      </c>
      <c r="Q306" s="1" t="str" cm="1">
        <f t="array" ref="Q306">_xlfn.IFS(P306&lt;=50,"Low",P306&lt;=100,"Medium",P306&gt;100,"High")</f>
        <v>Medium</v>
      </c>
      <c r="R306" t="s">
        <v>41</v>
      </c>
      <c r="S306" s="1" t="str" cm="1">
        <f t="array" ref="S306">_xlfn.IFS(R306="S","Southampton",R306="C","Cherbourg",R306="Q","Queenstown")</f>
        <v>Cherbourg</v>
      </c>
    </row>
    <row r="307" spans="1:19" x14ac:dyDescent="0.3">
      <c r="A307">
        <v>306</v>
      </c>
      <c r="B307">
        <v>1</v>
      </c>
      <c r="C307" s="1" t="str" cm="1">
        <f t="array" ref="C307">_xlfn.IFS(B307=1,"First Class",B307=2,"Second Class",B307=3,"Third Class")</f>
        <v>First Class</v>
      </c>
      <c r="D307">
        <v>0</v>
      </c>
      <c r="E307" s="1" t="str">
        <f t="shared" si="16"/>
        <v>Dead</v>
      </c>
      <c r="F307" t="s">
        <v>658</v>
      </c>
      <c r="G307" s="1" t="s">
        <v>3008</v>
      </c>
      <c r="H307" t="s">
        <v>20</v>
      </c>
      <c r="I307" s="1" t="str">
        <f t="shared" si="17"/>
        <v>Male</v>
      </c>
      <c r="J307" s="3">
        <v>60</v>
      </c>
      <c r="K307" s="3" t="str" cm="1">
        <f t="array" ref="K307">_xlfn.IFS(J307&lt;=13,"Child",J307&lt;=18,"Teenager",J307&lt;=30,"Young Adult",J307&lt;=50,"Middle Aged Adult",J307&gt;50,"Senior")</f>
        <v>Senior</v>
      </c>
      <c r="L307">
        <v>0</v>
      </c>
      <c r="M307">
        <v>0</v>
      </c>
      <c r="N307" s="1">
        <f t="shared" si="18"/>
        <v>1</v>
      </c>
      <c r="O307" s="1" t="str">
        <f t="shared" si="19"/>
        <v>Single</v>
      </c>
      <c r="P307">
        <v>26.55</v>
      </c>
      <c r="Q307" s="1" t="str" cm="1">
        <f t="array" ref="Q307">_xlfn.IFS(P307&lt;=50,"Low",P307&lt;=100,"Medium",P307&gt;100,"High")</f>
        <v>Low</v>
      </c>
      <c r="R307" t="s">
        <v>17</v>
      </c>
      <c r="S307" s="1" t="str" cm="1">
        <f t="array" ref="S307">_xlfn.IFS(R307="S","Southampton",R307="C","Cherbourg",R307="Q","Queenstown")</f>
        <v>Southampton</v>
      </c>
    </row>
    <row r="308" spans="1:19" x14ac:dyDescent="0.3">
      <c r="A308">
        <v>307</v>
      </c>
      <c r="B308">
        <v>1</v>
      </c>
      <c r="C308" s="1" t="str" cm="1">
        <f t="array" ref="C308">_xlfn.IFS(B308=1,"First Class",B308=2,"Second Class",B308=3,"Third Class")</f>
        <v>First Class</v>
      </c>
      <c r="D308">
        <v>0</v>
      </c>
      <c r="E308" s="1" t="str">
        <f t="shared" si="16"/>
        <v>Dead</v>
      </c>
      <c r="F308" t="s">
        <v>660</v>
      </c>
      <c r="G308" s="1" t="s">
        <v>2999</v>
      </c>
      <c r="H308" t="s">
        <v>20</v>
      </c>
      <c r="I308" s="1" t="str">
        <f t="shared" si="17"/>
        <v>Male</v>
      </c>
      <c r="J308" s="3">
        <v>54</v>
      </c>
      <c r="K308" s="3" t="str" cm="1">
        <f t="array" ref="K308">_xlfn.IFS(J308&lt;=13,"Child",J308&lt;=18,"Teenager",J308&lt;=30,"Young Adult",J308&lt;=50,"Middle Aged Adult",J308&gt;50,"Senior")</f>
        <v>Senior</v>
      </c>
      <c r="L308">
        <v>0</v>
      </c>
      <c r="M308">
        <v>1</v>
      </c>
      <c r="N308" s="1">
        <f t="shared" si="18"/>
        <v>2</v>
      </c>
      <c r="O308" s="1" t="str">
        <f t="shared" si="19"/>
        <v>With Family</v>
      </c>
      <c r="P308">
        <v>77.287499999999994</v>
      </c>
      <c r="Q308" s="1" t="str" cm="1">
        <f t="array" ref="Q308">_xlfn.IFS(P308&lt;=50,"Low",P308&lt;=100,"Medium",P308&gt;100,"High")</f>
        <v>Medium</v>
      </c>
      <c r="R308" t="s">
        <v>17</v>
      </c>
      <c r="S308" s="1" t="str" cm="1">
        <f t="array" ref="S308">_xlfn.IFS(R308="S","Southampton",R308="C","Cherbourg",R308="Q","Queenstown")</f>
        <v>Southampton</v>
      </c>
    </row>
    <row r="309" spans="1:19" x14ac:dyDescent="0.3">
      <c r="A309">
        <v>308</v>
      </c>
      <c r="B309">
        <v>1</v>
      </c>
      <c r="C309" s="1" t="str" cm="1">
        <f t="array" ref="C309">_xlfn.IFS(B309=1,"First Class",B309=2,"Second Class",B309=3,"Third Class")</f>
        <v>First Class</v>
      </c>
      <c r="D309">
        <v>0</v>
      </c>
      <c r="E309" s="1" t="str">
        <f t="shared" si="16"/>
        <v>Dead</v>
      </c>
      <c r="F309" t="s">
        <v>663</v>
      </c>
      <c r="G309" s="1" t="s">
        <v>2999</v>
      </c>
      <c r="H309" t="s">
        <v>20</v>
      </c>
      <c r="I309" s="1" t="str">
        <f t="shared" si="17"/>
        <v>Male</v>
      </c>
      <c r="J309" s="3">
        <v>21</v>
      </c>
      <c r="K309" s="3" t="str" cm="1">
        <f t="array" ref="K309">_xlfn.IFS(J309&lt;=13,"Child",J309&lt;=18,"Teenager",J309&lt;=30,"Young Adult",J309&lt;=50,"Middle Aged Adult",J309&gt;50,"Senior")</f>
        <v>Young Adult</v>
      </c>
      <c r="L309">
        <v>0</v>
      </c>
      <c r="M309">
        <v>1</v>
      </c>
      <c r="N309" s="1">
        <f t="shared" si="18"/>
        <v>2</v>
      </c>
      <c r="O309" s="1" t="str">
        <f t="shared" si="19"/>
        <v>With Family</v>
      </c>
      <c r="P309">
        <v>77.287499999999994</v>
      </c>
      <c r="Q309" s="1" t="str" cm="1">
        <f t="array" ref="Q309">_xlfn.IFS(P309&lt;=50,"Low",P309&lt;=100,"Medium",P309&gt;100,"High")</f>
        <v>Medium</v>
      </c>
      <c r="R309" t="s">
        <v>17</v>
      </c>
      <c r="S309" s="1" t="str" cm="1">
        <f t="array" ref="S309">_xlfn.IFS(R309="S","Southampton",R309="C","Cherbourg",R309="Q","Queenstown")</f>
        <v>Southampton</v>
      </c>
    </row>
    <row r="310" spans="1:19" x14ac:dyDescent="0.3">
      <c r="A310">
        <v>309</v>
      </c>
      <c r="B310">
        <v>1</v>
      </c>
      <c r="C310" s="1" t="str" cm="1">
        <f t="array" ref="C310">_xlfn.IFS(B310=1,"First Class",B310=2,"Second Class",B310=3,"Third Class")</f>
        <v>First Class</v>
      </c>
      <c r="D310">
        <v>1</v>
      </c>
      <c r="E310" s="1" t="str">
        <f t="shared" si="16"/>
        <v>Alive</v>
      </c>
      <c r="F310" t="s">
        <v>664</v>
      </c>
      <c r="G310" s="1" t="s">
        <v>3001</v>
      </c>
      <c r="H310" t="s">
        <v>15</v>
      </c>
      <c r="I310" s="1" t="str">
        <f t="shared" si="17"/>
        <v>Female</v>
      </c>
      <c r="J310" s="3">
        <v>55</v>
      </c>
      <c r="K310" s="3" t="str" cm="1">
        <f t="array" ref="K310">_xlfn.IFS(J310&lt;=13,"Child",J310&lt;=18,"Teenager",J310&lt;=30,"Young Adult",J310&lt;=50,"Middle Aged Adult",J310&gt;50,"Senior")</f>
        <v>Senior</v>
      </c>
      <c r="L310">
        <v>0</v>
      </c>
      <c r="M310">
        <v>0</v>
      </c>
      <c r="N310" s="1">
        <f t="shared" si="18"/>
        <v>1</v>
      </c>
      <c r="O310" s="1" t="str">
        <f t="shared" si="19"/>
        <v>Single</v>
      </c>
      <c r="P310">
        <v>135.63329999999999</v>
      </c>
      <c r="Q310" s="1" t="str" cm="1">
        <f t="array" ref="Q310">_xlfn.IFS(P310&lt;=50,"Low",P310&lt;=100,"Medium",P310&gt;100,"High")</f>
        <v>High</v>
      </c>
      <c r="R310" t="s">
        <v>41</v>
      </c>
      <c r="S310" s="1" t="str" cm="1">
        <f t="array" ref="S310">_xlfn.IFS(R310="S","Southampton",R310="C","Cherbourg",R310="Q","Queenstown")</f>
        <v>Cherbourg</v>
      </c>
    </row>
    <row r="311" spans="1:19" x14ac:dyDescent="0.3">
      <c r="A311">
        <v>310</v>
      </c>
      <c r="B311">
        <v>1</v>
      </c>
      <c r="C311" s="1" t="str" cm="1">
        <f t="array" ref="C311">_xlfn.IFS(B311=1,"First Class",B311=2,"Second Class",B311=3,"Third Class")</f>
        <v>First Class</v>
      </c>
      <c r="D311">
        <v>1</v>
      </c>
      <c r="E311" s="1" t="str">
        <f t="shared" si="16"/>
        <v>Alive</v>
      </c>
      <c r="F311" t="s">
        <v>667</v>
      </c>
      <c r="G311" s="1" t="s">
        <v>2994</v>
      </c>
      <c r="H311" t="s">
        <v>15</v>
      </c>
      <c r="I311" s="1" t="str">
        <f t="shared" si="17"/>
        <v>Female</v>
      </c>
      <c r="J311" s="3">
        <v>31</v>
      </c>
      <c r="K311" s="3" t="str" cm="1">
        <f t="array" ref="K311">_xlfn.IFS(J311&lt;=13,"Child",J311&lt;=18,"Teenager",J311&lt;=30,"Young Adult",J311&lt;=50,"Middle Aged Adult",J311&gt;50,"Senior")</f>
        <v>Middle Aged Adult</v>
      </c>
      <c r="L311">
        <v>0</v>
      </c>
      <c r="M311">
        <v>2</v>
      </c>
      <c r="N311" s="1">
        <f t="shared" si="18"/>
        <v>3</v>
      </c>
      <c r="O311" s="1" t="str">
        <f t="shared" si="19"/>
        <v>With Family</v>
      </c>
      <c r="P311">
        <v>164.86670000000001</v>
      </c>
      <c r="Q311" s="1" t="str" cm="1">
        <f t="array" ref="Q311">_xlfn.IFS(P311&lt;=50,"Low",P311&lt;=100,"Medium",P311&gt;100,"High")</f>
        <v>High</v>
      </c>
      <c r="R311" t="s">
        <v>17</v>
      </c>
      <c r="S311" s="1" t="str" cm="1">
        <f t="array" ref="S311">_xlfn.IFS(R311="S","Southampton",R311="C","Cherbourg",R311="Q","Queenstown")</f>
        <v>Southampton</v>
      </c>
    </row>
    <row r="312" spans="1:19" x14ac:dyDescent="0.3">
      <c r="A312">
        <v>311</v>
      </c>
      <c r="B312">
        <v>1</v>
      </c>
      <c r="C312" s="1" t="str" cm="1">
        <f t="array" ref="C312">_xlfn.IFS(B312=1,"First Class",B312=2,"Second Class",B312=3,"Third Class")</f>
        <v>First Class</v>
      </c>
      <c r="D312">
        <v>0</v>
      </c>
      <c r="E312" s="1" t="str">
        <f t="shared" si="16"/>
        <v>Dead</v>
      </c>
      <c r="F312" t="s">
        <v>668</v>
      </c>
      <c r="G312" s="1" t="s">
        <v>2999</v>
      </c>
      <c r="H312" t="s">
        <v>20</v>
      </c>
      <c r="I312" s="1" t="str">
        <f t="shared" si="17"/>
        <v>Male</v>
      </c>
      <c r="J312" s="3">
        <v>57</v>
      </c>
      <c r="K312" s="3" t="str" cm="1">
        <f t="array" ref="K312">_xlfn.IFS(J312&lt;=13,"Child",J312&lt;=18,"Teenager",J312&lt;=30,"Young Adult",J312&lt;=50,"Middle Aged Adult",J312&gt;50,"Senior")</f>
        <v>Senior</v>
      </c>
      <c r="L312">
        <v>1</v>
      </c>
      <c r="M312">
        <v>1</v>
      </c>
      <c r="N312" s="1">
        <f t="shared" si="18"/>
        <v>3</v>
      </c>
      <c r="O312" s="1" t="str">
        <f t="shared" si="19"/>
        <v>With Family</v>
      </c>
      <c r="P312">
        <v>164.86670000000001</v>
      </c>
      <c r="Q312" s="1" t="str" cm="1">
        <f t="array" ref="Q312">_xlfn.IFS(P312&lt;=50,"Low",P312&lt;=100,"Medium",P312&gt;100,"High")</f>
        <v>High</v>
      </c>
      <c r="R312" t="s">
        <v>17</v>
      </c>
      <c r="S312" s="1" t="str" cm="1">
        <f t="array" ref="S312">_xlfn.IFS(R312="S","Southampton",R312="C","Cherbourg",R312="Q","Queenstown")</f>
        <v>Southampton</v>
      </c>
    </row>
    <row r="313" spans="1:19" x14ac:dyDescent="0.3">
      <c r="A313">
        <v>312</v>
      </c>
      <c r="B313">
        <v>1</v>
      </c>
      <c r="C313" s="1" t="str" cm="1">
        <f t="array" ref="C313">_xlfn.IFS(B313=1,"First Class",B313=2,"Second Class",B313=3,"Third Class")</f>
        <v>First Class</v>
      </c>
      <c r="D313">
        <v>1</v>
      </c>
      <c r="E313" s="1" t="str">
        <f t="shared" si="16"/>
        <v>Alive</v>
      </c>
      <c r="F313" t="s">
        <v>669</v>
      </c>
      <c r="G313" s="1" t="s">
        <v>3001</v>
      </c>
      <c r="H313" t="s">
        <v>15</v>
      </c>
      <c r="I313" s="1" t="str">
        <f t="shared" si="17"/>
        <v>Female</v>
      </c>
      <c r="J313" s="3">
        <v>45</v>
      </c>
      <c r="K313" s="3" t="str" cm="1">
        <f t="array" ref="K313">_xlfn.IFS(J313&lt;=13,"Child",J313&lt;=18,"Teenager",J313&lt;=30,"Young Adult",J313&lt;=50,"Middle Aged Adult",J313&gt;50,"Senior")</f>
        <v>Middle Aged Adult</v>
      </c>
      <c r="L313">
        <v>1</v>
      </c>
      <c r="M313">
        <v>1</v>
      </c>
      <c r="N313" s="1">
        <f t="shared" si="18"/>
        <v>3</v>
      </c>
      <c r="O313" s="1" t="str">
        <f t="shared" si="19"/>
        <v>With Family</v>
      </c>
      <c r="P313">
        <v>164.86670000000001</v>
      </c>
      <c r="Q313" s="1" t="str" cm="1">
        <f t="array" ref="Q313">_xlfn.IFS(P313&lt;=50,"Low",P313&lt;=100,"Medium",P313&gt;100,"High")</f>
        <v>High</v>
      </c>
      <c r="R313" t="s">
        <v>17</v>
      </c>
      <c r="S313" s="1" t="str" cm="1">
        <f t="array" ref="S313">_xlfn.IFS(R313="S","Southampton",R313="C","Cherbourg",R313="Q","Queenstown")</f>
        <v>Southampton</v>
      </c>
    </row>
    <row r="314" spans="1:19" x14ac:dyDescent="0.3">
      <c r="A314">
        <v>313</v>
      </c>
      <c r="B314">
        <v>1</v>
      </c>
      <c r="C314" s="1" t="str" cm="1">
        <f t="array" ref="C314">_xlfn.IFS(B314=1,"First Class",B314=2,"Second Class",B314=3,"Third Class")</f>
        <v>First Class</v>
      </c>
      <c r="D314">
        <v>0</v>
      </c>
      <c r="E314" s="1" t="str">
        <f t="shared" si="16"/>
        <v>Dead</v>
      </c>
      <c r="F314" t="s">
        <v>670</v>
      </c>
      <c r="G314" s="1" t="s">
        <v>2999</v>
      </c>
      <c r="H314" t="s">
        <v>20</v>
      </c>
      <c r="I314" s="1" t="str">
        <f t="shared" si="17"/>
        <v>Male</v>
      </c>
      <c r="J314" s="3">
        <v>50</v>
      </c>
      <c r="K314" s="3" t="str" cm="1">
        <f t="array" ref="K314">_xlfn.IFS(J314&lt;=13,"Child",J314&lt;=18,"Teenager",J314&lt;=30,"Young Adult",J314&lt;=50,"Middle Aged Adult",J314&gt;50,"Senior")</f>
        <v>Middle Aged Adult</v>
      </c>
      <c r="L314">
        <v>1</v>
      </c>
      <c r="M314">
        <v>1</v>
      </c>
      <c r="N314" s="1">
        <f t="shared" si="18"/>
        <v>3</v>
      </c>
      <c r="O314" s="1" t="str">
        <f t="shared" si="19"/>
        <v>With Family</v>
      </c>
      <c r="P314">
        <v>211.5</v>
      </c>
      <c r="Q314" s="1" t="str" cm="1">
        <f t="array" ref="Q314">_xlfn.IFS(P314&lt;=50,"Low",P314&lt;=100,"Medium",P314&gt;100,"High")</f>
        <v>High</v>
      </c>
      <c r="R314" t="s">
        <v>41</v>
      </c>
      <c r="S314" s="1" t="str" cm="1">
        <f t="array" ref="S314">_xlfn.IFS(R314="S","Southampton",R314="C","Cherbourg",R314="Q","Queenstown")</f>
        <v>Cherbourg</v>
      </c>
    </row>
    <row r="315" spans="1:19" x14ac:dyDescent="0.3">
      <c r="A315">
        <v>314</v>
      </c>
      <c r="B315">
        <v>1</v>
      </c>
      <c r="C315" s="1" t="str" cm="1">
        <f t="array" ref="C315">_xlfn.IFS(B315=1,"First Class",B315=2,"Second Class",B315=3,"Third Class")</f>
        <v>First Class</v>
      </c>
      <c r="D315">
        <v>0</v>
      </c>
      <c r="E315" s="1" t="str">
        <f t="shared" si="16"/>
        <v>Dead</v>
      </c>
      <c r="F315" t="s">
        <v>673</v>
      </c>
      <c r="G315" s="1" t="s">
        <v>2999</v>
      </c>
      <c r="H315" t="s">
        <v>20</v>
      </c>
      <c r="I315" s="1" t="str">
        <f t="shared" si="17"/>
        <v>Male</v>
      </c>
      <c r="J315" s="3">
        <v>27</v>
      </c>
      <c r="K315" s="3" t="str" cm="1">
        <f t="array" ref="K315">_xlfn.IFS(J315&lt;=13,"Child",J315&lt;=18,"Teenager",J315&lt;=30,"Young Adult",J315&lt;=50,"Middle Aged Adult",J315&gt;50,"Senior")</f>
        <v>Young Adult</v>
      </c>
      <c r="L315">
        <v>0</v>
      </c>
      <c r="M315">
        <v>2</v>
      </c>
      <c r="N315" s="1">
        <f t="shared" si="18"/>
        <v>3</v>
      </c>
      <c r="O315" s="1" t="str">
        <f t="shared" si="19"/>
        <v>With Family</v>
      </c>
      <c r="P315">
        <v>211.5</v>
      </c>
      <c r="Q315" s="1" t="str" cm="1">
        <f t="array" ref="Q315">_xlfn.IFS(P315&lt;=50,"Low",P315&lt;=100,"Medium",P315&gt;100,"High")</f>
        <v>High</v>
      </c>
      <c r="R315" t="s">
        <v>41</v>
      </c>
      <c r="S315" s="1" t="str" cm="1">
        <f t="array" ref="S315">_xlfn.IFS(R315="S","Southampton",R315="C","Cherbourg",R315="Q","Queenstown")</f>
        <v>Cherbourg</v>
      </c>
    </row>
    <row r="316" spans="1:19" x14ac:dyDescent="0.3">
      <c r="A316">
        <v>315</v>
      </c>
      <c r="B316">
        <v>1</v>
      </c>
      <c r="C316" s="1" t="str" cm="1">
        <f t="array" ref="C316">_xlfn.IFS(B316=1,"First Class",B316=2,"Second Class",B316=3,"Third Class")</f>
        <v>First Class</v>
      </c>
      <c r="D316">
        <v>1</v>
      </c>
      <c r="E316" s="1" t="str">
        <f t="shared" si="16"/>
        <v>Alive</v>
      </c>
      <c r="F316" t="s">
        <v>675</v>
      </c>
      <c r="G316" s="1" t="s">
        <v>3001</v>
      </c>
      <c r="H316" t="s">
        <v>15</v>
      </c>
      <c r="I316" s="1" t="str">
        <f t="shared" si="17"/>
        <v>Female</v>
      </c>
      <c r="J316" s="3">
        <v>50</v>
      </c>
      <c r="K316" s="3" t="str" cm="1">
        <f t="array" ref="K316">_xlfn.IFS(J316&lt;=13,"Child",J316&lt;=18,"Teenager",J316&lt;=30,"Young Adult",J316&lt;=50,"Middle Aged Adult",J316&gt;50,"Senior")</f>
        <v>Middle Aged Adult</v>
      </c>
      <c r="L316">
        <v>1</v>
      </c>
      <c r="M316">
        <v>1</v>
      </c>
      <c r="N316" s="1">
        <f t="shared" si="18"/>
        <v>3</v>
      </c>
      <c r="O316" s="1" t="str">
        <f t="shared" si="19"/>
        <v>With Family</v>
      </c>
      <c r="P316">
        <v>211.5</v>
      </c>
      <c r="Q316" s="1" t="str" cm="1">
        <f t="array" ref="Q316">_xlfn.IFS(P316&lt;=50,"Low",P316&lt;=100,"Medium",P316&gt;100,"High")</f>
        <v>High</v>
      </c>
      <c r="R316" t="s">
        <v>41</v>
      </c>
      <c r="S316" s="1" t="str" cm="1">
        <f t="array" ref="S316">_xlfn.IFS(R316="S","Southampton",R316="C","Cherbourg",R316="Q","Queenstown")</f>
        <v>Cherbourg</v>
      </c>
    </row>
    <row r="317" spans="1:19" x14ac:dyDescent="0.3">
      <c r="A317">
        <v>316</v>
      </c>
      <c r="B317">
        <v>1</v>
      </c>
      <c r="C317" s="1" t="str" cm="1">
        <f t="array" ref="C317">_xlfn.IFS(B317=1,"First Class",B317=2,"Second Class",B317=3,"Third Class")</f>
        <v>First Class</v>
      </c>
      <c r="D317">
        <v>1</v>
      </c>
      <c r="E317" s="1" t="str">
        <f t="shared" si="16"/>
        <v>Alive</v>
      </c>
      <c r="F317" t="s">
        <v>676</v>
      </c>
      <c r="G317" s="1" t="s">
        <v>2994</v>
      </c>
      <c r="H317" t="s">
        <v>15</v>
      </c>
      <c r="I317" s="1" t="str">
        <f t="shared" si="17"/>
        <v>Female</v>
      </c>
      <c r="J317" s="3">
        <v>21</v>
      </c>
      <c r="K317" s="3" t="str" cm="1">
        <f t="array" ref="K317">_xlfn.IFS(J317&lt;=13,"Child",J317&lt;=18,"Teenager",J317&lt;=30,"Young Adult",J317&lt;=50,"Middle Aged Adult",J317&gt;50,"Senior")</f>
        <v>Young Adult</v>
      </c>
      <c r="L317">
        <v>0</v>
      </c>
      <c r="M317">
        <v>0</v>
      </c>
      <c r="N317" s="1">
        <f t="shared" si="18"/>
        <v>1</v>
      </c>
      <c r="O317" s="1" t="str">
        <f t="shared" si="19"/>
        <v>Single</v>
      </c>
      <c r="P317">
        <v>26.55</v>
      </c>
      <c r="Q317" s="1" t="str" cm="1">
        <f t="array" ref="Q317">_xlfn.IFS(P317&lt;=50,"Low",P317&lt;=100,"Medium",P317&gt;100,"High")</f>
        <v>Low</v>
      </c>
      <c r="R317" t="s">
        <v>17</v>
      </c>
      <c r="S317" s="1" t="str" cm="1">
        <f t="array" ref="S317">_xlfn.IFS(R317="S","Southampton",R317="C","Cherbourg",R317="Q","Queenstown")</f>
        <v>Southampton</v>
      </c>
    </row>
    <row r="318" spans="1:19" x14ac:dyDescent="0.3">
      <c r="A318">
        <v>317</v>
      </c>
      <c r="B318">
        <v>1</v>
      </c>
      <c r="C318" s="1" t="str" cm="1">
        <f t="array" ref="C318">_xlfn.IFS(B318=1,"First Class",B318=2,"Second Class",B318=3,"Third Class")</f>
        <v>First Class</v>
      </c>
      <c r="D318">
        <v>0</v>
      </c>
      <c r="E318" s="1" t="str">
        <f t="shared" si="16"/>
        <v>Dead</v>
      </c>
      <c r="F318" t="s">
        <v>678</v>
      </c>
      <c r="G318" s="1" t="s">
        <v>2999</v>
      </c>
      <c r="H318" t="s">
        <v>20</v>
      </c>
      <c r="I318" s="1" t="str">
        <f t="shared" si="17"/>
        <v>Male</v>
      </c>
      <c r="J318" s="3">
        <v>51</v>
      </c>
      <c r="K318" s="3" t="str" cm="1">
        <f t="array" ref="K318">_xlfn.IFS(J318&lt;=13,"Child",J318&lt;=18,"Teenager",J318&lt;=30,"Young Adult",J318&lt;=50,"Middle Aged Adult",J318&gt;50,"Senior")</f>
        <v>Senior</v>
      </c>
      <c r="L318">
        <v>0</v>
      </c>
      <c r="M318">
        <v>1</v>
      </c>
      <c r="N318" s="1">
        <f t="shared" si="18"/>
        <v>2</v>
      </c>
      <c r="O318" s="1" t="str">
        <f t="shared" si="19"/>
        <v>With Family</v>
      </c>
      <c r="P318">
        <v>61.379199999999997</v>
      </c>
      <c r="Q318" s="1" t="str" cm="1">
        <f t="array" ref="Q318">_xlfn.IFS(P318&lt;=50,"Low",P318&lt;=100,"Medium",P318&gt;100,"High")</f>
        <v>Medium</v>
      </c>
      <c r="R318" t="s">
        <v>41</v>
      </c>
      <c r="S318" s="1" t="str" cm="1">
        <f t="array" ref="S318">_xlfn.IFS(R318="S","Southampton",R318="C","Cherbourg",R318="Q","Queenstown")</f>
        <v>Cherbourg</v>
      </c>
    </row>
    <row r="319" spans="1:19" x14ac:dyDescent="0.3">
      <c r="A319">
        <v>318</v>
      </c>
      <c r="B319">
        <v>1</v>
      </c>
      <c r="C319" s="1" t="str" cm="1">
        <f t="array" ref="C319">_xlfn.IFS(B319=1,"First Class",B319=2,"Second Class",B319=3,"Third Class")</f>
        <v>First Class</v>
      </c>
      <c r="D319">
        <v>1</v>
      </c>
      <c r="E319" s="1" t="str">
        <f t="shared" si="16"/>
        <v>Alive</v>
      </c>
      <c r="F319" t="s">
        <v>681</v>
      </c>
      <c r="G319" s="1" t="s">
        <v>2999</v>
      </c>
      <c r="H319" t="s">
        <v>20</v>
      </c>
      <c r="I319" s="1" t="str">
        <f t="shared" si="17"/>
        <v>Male</v>
      </c>
      <c r="J319" s="3">
        <v>21</v>
      </c>
      <c r="K319" s="3" t="str" cm="1">
        <f t="array" ref="K319">_xlfn.IFS(J319&lt;=13,"Child",J319&lt;=18,"Teenager",J319&lt;=30,"Young Adult",J319&lt;=50,"Middle Aged Adult",J319&gt;50,"Senior")</f>
        <v>Young Adult</v>
      </c>
      <c r="L319">
        <v>0</v>
      </c>
      <c r="M319">
        <v>1</v>
      </c>
      <c r="N319" s="1">
        <f t="shared" si="18"/>
        <v>2</v>
      </c>
      <c r="O319" s="1" t="str">
        <f t="shared" si="19"/>
        <v>With Family</v>
      </c>
      <c r="P319">
        <v>61.379199999999997</v>
      </c>
      <c r="Q319" s="1" t="str" cm="1">
        <f t="array" ref="Q319">_xlfn.IFS(P319&lt;=50,"Low",P319&lt;=100,"Medium",P319&gt;100,"High")</f>
        <v>Medium</v>
      </c>
      <c r="R319" t="s">
        <v>41</v>
      </c>
      <c r="S319" s="1" t="str" cm="1">
        <f t="array" ref="S319">_xlfn.IFS(R319="S","Southampton",R319="C","Cherbourg",R319="Q","Queenstown")</f>
        <v>Cherbourg</v>
      </c>
    </row>
    <row r="320" spans="1:19" x14ac:dyDescent="0.3">
      <c r="A320">
        <v>319</v>
      </c>
      <c r="B320">
        <v>1</v>
      </c>
      <c r="C320" s="1" t="str" cm="1">
        <f t="array" ref="C320">_xlfn.IFS(B320=1,"First Class",B320=2,"Second Class",B320=3,"Third Class")</f>
        <v>First Class</v>
      </c>
      <c r="D320">
        <v>0</v>
      </c>
      <c r="E320" s="1" t="str">
        <f t="shared" si="16"/>
        <v>Dead</v>
      </c>
      <c r="F320" t="s">
        <v>682</v>
      </c>
      <c r="G320" s="1" t="s">
        <v>2999</v>
      </c>
      <c r="H320" t="s">
        <v>20</v>
      </c>
      <c r="I320" s="1" t="str">
        <f t="shared" si="17"/>
        <v>Male</v>
      </c>
      <c r="J320" s="3">
        <v>29.881137667304014</v>
      </c>
      <c r="K320" s="3" t="str" cm="1">
        <f t="array" ref="K320">_xlfn.IFS(J320&lt;=13,"Child",J320&lt;=18,"Teenager",J320&lt;=30,"Young Adult",J320&lt;=50,"Middle Aged Adult",J320&gt;50,"Senior")</f>
        <v>Young Adult</v>
      </c>
      <c r="L320">
        <v>0</v>
      </c>
      <c r="M320">
        <v>0</v>
      </c>
      <c r="N320" s="1">
        <f t="shared" si="18"/>
        <v>1</v>
      </c>
      <c r="O320" s="1" t="str">
        <f t="shared" si="19"/>
        <v>Single</v>
      </c>
      <c r="P320">
        <v>35</v>
      </c>
      <c r="Q320" s="1" t="str" cm="1">
        <f t="array" ref="Q320">_xlfn.IFS(P320&lt;=50,"Low",P320&lt;=100,"Medium",P320&gt;100,"High")</f>
        <v>Low</v>
      </c>
      <c r="R320" t="s">
        <v>17</v>
      </c>
      <c r="S320" s="1" t="str" cm="1">
        <f t="array" ref="S320">_xlfn.IFS(R320="S","Southampton",R320="C","Cherbourg",R320="Q","Queenstown")</f>
        <v>Southampton</v>
      </c>
    </row>
    <row r="321" spans="1:19" x14ac:dyDescent="0.3">
      <c r="A321">
        <v>320</v>
      </c>
      <c r="B321">
        <v>1</v>
      </c>
      <c r="C321" s="1" t="str" cm="1">
        <f t="array" ref="C321">_xlfn.IFS(B321=1,"First Class",B321=2,"Second Class",B321=3,"Third Class")</f>
        <v>First Class</v>
      </c>
      <c r="D321">
        <v>1</v>
      </c>
      <c r="E321" s="1" t="str">
        <f t="shared" si="16"/>
        <v>Alive</v>
      </c>
      <c r="F321" t="s">
        <v>684</v>
      </c>
      <c r="G321" s="1" t="s">
        <v>2994</v>
      </c>
      <c r="H321" t="s">
        <v>15</v>
      </c>
      <c r="I321" s="1" t="str">
        <f t="shared" si="17"/>
        <v>Female</v>
      </c>
      <c r="J321" s="3">
        <v>31</v>
      </c>
      <c r="K321" s="3" t="str" cm="1">
        <f t="array" ref="K321">_xlfn.IFS(J321&lt;=13,"Child",J321&lt;=18,"Teenager",J321&lt;=30,"Young Adult",J321&lt;=50,"Middle Aged Adult",J321&gt;50,"Senior")</f>
        <v>Middle Aged Adult</v>
      </c>
      <c r="L321">
        <v>0</v>
      </c>
      <c r="M321">
        <v>0</v>
      </c>
      <c r="N321" s="1">
        <f t="shared" si="18"/>
        <v>1</v>
      </c>
      <c r="O321" s="1" t="str">
        <f t="shared" si="19"/>
        <v>Single</v>
      </c>
      <c r="P321">
        <v>134.5</v>
      </c>
      <c r="Q321" s="1" t="str" cm="1">
        <f t="array" ref="Q321">_xlfn.IFS(P321&lt;=50,"Low",P321&lt;=100,"Medium",P321&gt;100,"High")</f>
        <v>High</v>
      </c>
      <c r="R321" t="s">
        <v>41</v>
      </c>
      <c r="S321" s="1" t="str" cm="1">
        <f t="array" ref="S321">_xlfn.IFS(R321="S","Southampton",R321="C","Cherbourg",R321="Q","Queenstown")</f>
        <v>Cherbourg</v>
      </c>
    </row>
    <row r="322" spans="1:19" x14ac:dyDescent="0.3">
      <c r="A322">
        <v>321</v>
      </c>
      <c r="B322">
        <v>1</v>
      </c>
      <c r="C322" s="1" t="str" cm="1">
        <f t="array" ref="C322">_xlfn.IFS(B322=1,"First Class",B322=2,"Second Class",B322=3,"Third Class")</f>
        <v>First Class</v>
      </c>
      <c r="D322">
        <v>1</v>
      </c>
      <c r="E322" s="1" t="str">
        <f t="shared" si="16"/>
        <v>Alive</v>
      </c>
      <c r="F322" t="s">
        <v>686</v>
      </c>
      <c r="G322" s="1" t="s">
        <v>2999</v>
      </c>
      <c r="H322" t="s">
        <v>20</v>
      </c>
      <c r="I322" s="1" t="str">
        <f t="shared" si="17"/>
        <v>Male</v>
      </c>
      <c r="J322" s="3">
        <v>29.881137667304014</v>
      </c>
      <c r="K322" s="3" t="str" cm="1">
        <f t="array" ref="K322">_xlfn.IFS(J322&lt;=13,"Child",J322&lt;=18,"Teenager",J322&lt;=30,"Young Adult",J322&lt;=50,"Middle Aged Adult",J322&gt;50,"Senior")</f>
        <v>Young Adult</v>
      </c>
      <c r="L322">
        <v>0</v>
      </c>
      <c r="M322">
        <v>0</v>
      </c>
      <c r="N322" s="1">
        <f t="shared" si="18"/>
        <v>1</v>
      </c>
      <c r="O322" s="1" t="str">
        <f t="shared" si="19"/>
        <v>Single</v>
      </c>
      <c r="P322">
        <v>35.5</v>
      </c>
      <c r="Q322" s="1" t="str" cm="1">
        <f t="array" ref="Q322">_xlfn.IFS(P322&lt;=50,"Low",P322&lt;=100,"Medium",P322&gt;100,"High")</f>
        <v>Low</v>
      </c>
      <c r="R322" t="s">
        <v>17</v>
      </c>
      <c r="S322" s="1" t="str" cm="1">
        <f t="array" ref="S322">_xlfn.IFS(R322="S","Southampton",R322="C","Cherbourg",R322="Q","Queenstown")</f>
        <v>Southampton</v>
      </c>
    </row>
    <row r="323" spans="1:19" x14ac:dyDescent="0.3">
      <c r="A323">
        <v>322</v>
      </c>
      <c r="B323">
        <v>1</v>
      </c>
      <c r="C323" s="1" t="str" cm="1">
        <f t="array" ref="C323">_xlfn.IFS(B323=1,"First Class",B323=2,"Second Class",B323=3,"Third Class")</f>
        <v>First Class</v>
      </c>
      <c r="D323">
        <v>0</v>
      </c>
      <c r="E323" s="1" t="str">
        <f t="shared" ref="E323:E386" si="20">IF(D323=0,"Dead","Alive")</f>
        <v>Dead</v>
      </c>
      <c r="F323" t="s">
        <v>687</v>
      </c>
      <c r="G323" s="1" t="s">
        <v>2999</v>
      </c>
      <c r="H323" t="s">
        <v>20</v>
      </c>
      <c r="I323" s="1" t="str">
        <f t="shared" ref="I323:I386" si="21">PROPER(H323)</f>
        <v>Male</v>
      </c>
      <c r="J323" s="3">
        <v>62</v>
      </c>
      <c r="K323" s="3" t="str" cm="1">
        <f t="array" ref="K323">_xlfn.IFS(J323&lt;=13,"Child",J323&lt;=18,"Teenager",J323&lt;=30,"Young Adult",J323&lt;=50,"Middle Aged Adult",J323&gt;50,"Senior")</f>
        <v>Senior</v>
      </c>
      <c r="L323">
        <v>0</v>
      </c>
      <c r="M323">
        <v>0</v>
      </c>
      <c r="N323" s="1">
        <f t="shared" ref="N323:N386" si="22">L323+M323+1</f>
        <v>1</v>
      </c>
      <c r="O323" s="1" t="str">
        <f t="shared" ref="O323:O386" si="23">IF(N323=1,"Single","With Family")</f>
        <v>Single</v>
      </c>
      <c r="P323">
        <v>26.55</v>
      </c>
      <c r="Q323" s="1" t="str" cm="1">
        <f t="array" ref="Q323">_xlfn.IFS(P323&lt;=50,"Low",P323&lt;=100,"Medium",P323&gt;100,"High")</f>
        <v>Low</v>
      </c>
      <c r="R323" t="s">
        <v>17</v>
      </c>
      <c r="S323" s="1" t="str" cm="1">
        <f t="array" ref="S323">_xlfn.IFS(R323="S","Southampton",R323="C","Cherbourg",R323="Q","Queenstown")</f>
        <v>Southampton</v>
      </c>
    </row>
    <row r="324" spans="1:19" x14ac:dyDescent="0.3">
      <c r="A324">
        <v>323</v>
      </c>
      <c r="B324">
        <v>1</v>
      </c>
      <c r="C324" s="1" t="str" cm="1">
        <f t="array" ref="C324">_xlfn.IFS(B324=1,"First Class",B324=2,"Second Class",B324=3,"Third Class")</f>
        <v>First Class</v>
      </c>
      <c r="D324">
        <v>1</v>
      </c>
      <c r="E324" s="1" t="str">
        <f t="shared" si="20"/>
        <v>Alive</v>
      </c>
      <c r="F324" t="s">
        <v>689</v>
      </c>
      <c r="G324" s="1" t="s">
        <v>2994</v>
      </c>
      <c r="H324" t="s">
        <v>15</v>
      </c>
      <c r="I324" s="1" t="str">
        <f t="shared" si="21"/>
        <v>Female</v>
      </c>
      <c r="J324" s="3">
        <v>36</v>
      </c>
      <c r="K324" s="3" t="str" cm="1">
        <f t="array" ref="K324">_xlfn.IFS(J324&lt;=13,"Child",J324&lt;=18,"Teenager",J324&lt;=30,"Young Adult",J324&lt;=50,"Middle Aged Adult",J324&gt;50,"Senior")</f>
        <v>Middle Aged Adult</v>
      </c>
      <c r="L324">
        <v>0</v>
      </c>
      <c r="M324">
        <v>0</v>
      </c>
      <c r="N324" s="1">
        <f t="shared" si="22"/>
        <v>1</v>
      </c>
      <c r="O324" s="1" t="str">
        <f t="shared" si="23"/>
        <v>Single</v>
      </c>
      <c r="P324">
        <v>135.63329999999999</v>
      </c>
      <c r="Q324" s="1" t="str" cm="1">
        <f t="array" ref="Q324">_xlfn.IFS(P324&lt;=50,"Low",P324&lt;=100,"Medium",P324&gt;100,"High")</f>
        <v>High</v>
      </c>
      <c r="R324" t="s">
        <v>41</v>
      </c>
      <c r="S324" s="1" t="str" cm="1">
        <f t="array" ref="S324">_xlfn.IFS(R324="S","Southampton",R324="C","Cherbourg",R324="Q","Queenstown")</f>
        <v>Cherbourg</v>
      </c>
    </row>
    <row r="325" spans="1:19" x14ac:dyDescent="0.3">
      <c r="A325">
        <v>324</v>
      </c>
      <c r="B325">
        <v>2</v>
      </c>
      <c r="C325" s="1" t="str" cm="1">
        <f t="array" ref="C325">_xlfn.IFS(B325=1,"First Class",B325=2,"Second Class",B325=3,"Third Class")</f>
        <v>Second Class</v>
      </c>
      <c r="D325">
        <v>0</v>
      </c>
      <c r="E325" s="1" t="str">
        <f t="shared" si="20"/>
        <v>Dead</v>
      </c>
      <c r="F325" t="s">
        <v>691</v>
      </c>
      <c r="G325" s="1" t="s">
        <v>2999</v>
      </c>
      <c r="H325" t="s">
        <v>20</v>
      </c>
      <c r="I325" s="1" t="str">
        <f t="shared" si="21"/>
        <v>Male</v>
      </c>
      <c r="J325" s="3">
        <v>30</v>
      </c>
      <c r="K325" s="3" t="str" cm="1">
        <f t="array" ref="K325">_xlfn.IFS(J325&lt;=13,"Child",J325&lt;=18,"Teenager",J325&lt;=30,"Young Adult",J325&lt;=50,"Middle Aged Adult",J325&gt;50,"Senior")</f>
        <v>Young Adult</v>
      </c>
      <c r="L325">
        <v>1</v>
      </c>
      <c r="M325">
        <v>0</v>
      </c>
      <c r="N325" s="1">
        <f t="shared" si="22"/>
        <v>2</v>
      </c>
      <c r="O325" s="1" t="str">
        <f t="shared" si="23"/>
        <v>With Family</v>
      </c>
      <c r="P325">
        <v>24</v>
      </c>
      <c r="Q325" s="1" t="str" cm="1">
        <f t="array" ref="Q325">_xlfn.IFS(P325&lt;=50,"Low",P325&lt;=100,"Medium",P325&gt;100,"High")</f>
        <v>Low</v>
      </c>
      <c r="R325" t="s">
        <v>41</v>
      </c>
      <c r="S325" s="1" t="str" cm="1">
        <f t="array" ref="S325">_xlfn.IFS(R325="S","Southampton",R325="C","Cherbourg",R325="Q","Queenstown")</f>
        <v>Cherbourg</v>
      </c>
    </row>
    <row r="326" spans="1:19" x14ac:dyDescent="0.3">
      <c r="A326">
        <v>325</v>
      </c>
      <c r="B326">
        <v>2</v>
      </c>
      <c r="C326" s="1" t="str" cm="1">
        <f t="array" ref="C326">_xlfn.IFS(B326=1,"First Class",B326=2,"Second Class",B326=3,"Third Class")</f>
        <v>Second Class</v>
      </c>
      <c r="D326">
        <v>1</v>
      </c>
      <c r="E326" s="1" t="str">
        <f t="shared" si="20"/>
        <v>Alive</v>
      </c>
      <c r="F326" t="s">
        <v>694</v>
      </c>
      <c r="G326" s="1" t="s">
        <v>3001</v>
      </c>
      <c r="H326" t="s">
        <v>15</v>
      </c>
      <c r="I326" s="1" t="str">
        <f t="shared" si="21"/>
        <v>Female</v>
      </c>
      <c r="J326" s="3">
        <v>28</v>
      </c>
      <c r="K326" s="3" t="str" cm="1">
        <f t="array" ref="K326">_xlfn.IFS(J326&lt;=13,"Child",J326&lt;=18,"Teenager",J326&lt;=30,"Young Adult",J326&lt;=50,"Middle Aged Adult",J326&gt;50,"Senior")</f>
        <v>Young Adult</v>
      </c>
      <c r="L326">
        <v>1</v>
      </c>
      <c r="M326">
        <v>0</v>
      </c>
      <c r="N326" s="1">
        <f t="shared" si="22"/>
        <v>2</v>
      </c>
      <c r="O326" s="1" t="str">
        <f t="shared" si="23"/>
        <v>With Family</v>
      </c>
      <c r="P326">
        <v>24</v>
      </c>
      <c r="Q326" s="1" t="str" cm="1">
        <f t="array" ref="Q326">_xlfn.IFS(P326&lt;=50,"Low",P326&lt;=100,"Medium",P326&gt;100,"High")</f>
        <v>Low</v>
      </c>
      <c r="R326" t="s">
        <v>41</v>
      </c>
      <c r="S326" s="1" t="str" cm="1">
        <f t="array" ref="S326">_xlfn.IFS(R326="S","Southampton",R326="C","Cherbourg",R326="Q","Queenstown")</f>
        <v>Cherbourg</v>
      </c>
    </row>
    <row r="327" spans="1:19" x14ac:dyDescent="0.3">
      <c r="A327">
        <v>326</v>
      </c>
      <c r="B327">
        <v>2</v>
      </c>
      <c r="C327" s="1" t="str" cm="1">
        <f t="array" ref="C327">_xlfn.IFS(B327=1,"First Class",B327=2,"Second Class",B327=3,"Third Class")</f>
        <v>Second Class</v>
      </c>
      <c r="D327">
        <v>0</v>
      </c>
      <c r="E327" s="1" t="str">
        <f t="shared" si="20"/>
        <v>Dead</v>
      </c>
      <c r="F327" t="s">
        <v>695</v>
      </c>
      <c r="G327" s="1" t="s">
        <v>2999</v>
      </c>
      <c r="H327" t="s">
        <v>20</v>
      </c>
      <c r="I327" s="1" t="str">
        <f t="shared" si="21"/>
        <v>Male</v>
      </c>
      <c r="J327" s="3">
        <v>30</v>
      </c>
      <c r="K327" s="3" t="str" cm="1">
        <f t="array" ref="K327">_xlfn.IFS(J327&lt;=13,"Child",J327&lt;=18,"Teenager",J327&lt;=30,"Young Adult",J327&lt;=50,"Middle Aged Adult",J327&gt;50,"Senior")</f>
        <v>Young Adult</v>
      </c>
      <c r="L327">
        <v>0</v>
      </c>
      <c r="M327">
        <v>0</v>
      </c>
      <c r="N327" s="1">
        <f t="shared" si="22"/>
        <v>1</v>
      </c>
      <c r="O327" s="1" t="str">
        <f t="shared" si="23"/>
        <v>Single</v>
      </c>
      <c r="P327">
        <v>13</v>
      </c>
      <c r="Q327" s="1" t="str" cm="1">
        <f t="array" ref="Q327">_xlfn.IFS(P327&lt;=50,"Low",P327&lt;=100,"Medium",P327&gt;100,"High")</f>
        <v>Low</v>
      </c>
      <c r="R327" t="s">
        <v>17</v>
      </c>
      <c r="S327" s="1" t="str" cm="1">
        <f t="array" ref="S327">_xlfn.IFS(R327="S","Southampton",R327="C","Cherbourg",R327="Q","Queenstown")</f>
        <v>Southampton</v>
      </c>
    </row>
    <row r="328" spans="1:19" x14ac:dyDescent="0.3">
      <c r="A328">
        <v>327</v>
      </c>
      <c r="B328">
        <v>2</v>
      </c>
      <c r="C328" s="1" t="str" cm="1">
        <f t="array" ref="C328">_xlfn.IFS(B328=1,"First Class",B328=2,"Second Class",B328=3,"Third Class")</f>
        <v>Second Class</v>
      </c>
      <c r="D328">
        <v>0</v>
      </c>
      <c r="E328" s="1" t="str">
        <f t="shared" si="20"/>
        <v>Dead</v>
      </c>
      <c r="F328" t="s">
        <v>697</v>
      </c>
      <c r="G328" s="1" t="s">
        <v>2999</v>
      </c>
      <c r="H328" t="s">
        <v>20</v>
      </c>
      <c r="I328" s="1" t="str">
        <f t="shared" si="21"/>
        <v>Male</v>
      </c>
      <c r="J328" s="3">
        <v>18</v>
      </c>
      <c r="K328" s="3" t="str" cm="1">
        <f t="array" ref="K328">_xlfn.IFS(J328&lt;=13,"Child",J328&lt;=18,"Teenager",J328&lt;=30,"Young Adult",J328&lt;=50,"Middle Aged Adult",J328&gt;50,"Senior")</f>
        <v>Teenager</v>
      </c>
      <c r="L328">
        <v>0</v>
      </c>
      <c r="M328">
        <v>0</v>
      </c>
      <c r="N328" s="1">
        <f t="shared" si="22"/>
        <v>1</v>
      </c>
      <c r="O328" s="1" t="str">
        <f t="shared" si="23"/>
        <v>Single</v>
      </c>
      <c r="P328">
        <v>11.5</v>
      </c>
      <c r="Q328" s="1" t="str" cm="1">
        <f t="array" ref="Q328">_xlfn.IFS(P328&lt;=50,"Low",P328&lt;=100,"Medium",P328&gt;100,"High")</f>
        <v>Low</v>
      </c>
      <c r="R328" t="s">
        <v>17</v>
      </c>
      <c r="S328" s="1" t="str" cm="1">
        <f t="array" ref="S328">_xlfn.IFS(R328="S","Southampton",R328="C","Cherbourg",R328="Q","Queenstown")</f>
        <v>Southampton</v>
      </c>
    </row>
    <row r="329" spans="1:19" x14ac:dyDescent="0.3">
      <c r="A329">
        <v>328</v>
      </c>
      <c r="B329">
        <v>2</v>
      </c>
      <c r="C329" s="1" t="str" cm="1">
        <f t="array" ref="C329">_xlfn.IFS(B329=1,"First Class",B329=2,"Second Class",B329=3,"Third Class")</f>
        <v>Second Class</v>
      </c>
      <c r="D329">
        <v>0</v>
      </c>
      <c r="E329" s="1" t="str">
        <f t="shared" si="20"/>
        <v>Dead</v>
      </c>
      <c r="F329" t="s">
        <v>699</v>
      </c>
      <c r="G329" s="1" t="s">
        <v>2999</v>
      </c>
      <c r="H329" t="s">
        <v>20</v>
      </c>
      <c r="I329" s="1" t="str">
        <f t="shared" si="21"/>
        <v>Male</v>
      </c>
      <c r="J329" s="3">
        <v>25</v>
      </c>
      <c r="K329" s="3" t="str" cm="1">
        <f t="array" ref="K329">_xlfn.IFS(J329&lt;=13,"Child",J329&lt;=18,"Teenager",J329&lt;=30,"Young Adult",J329&lt;=50,"Middle Aged Adult",J329&gt;50,"Senior")</f>
        <v>Young Adult</v>
      </c>
      <c r="L329">
        <v>0</v>
      </c>
      <c r="M329">
        <v>0</v>
      </c>
      <c r="N329" s="1">
        <f t="shared" si="22"/>
        <v>1</v>
      </c>
      <c r="O329" s="1" t="str">
        <f t="shared" si="23"/>
        <v>Single</v>
      </c>
      <c r="P329">
        <v>10.5</v>
      </c>
      <c r="Q329" s="1" t="str" cm="1">
        <f t="array" ref="Q329">_xlfn.IFS(P329&lt;=50,"Low",P329&lt;=100,"Medium",P329&gt;100,"High")</f>
        <v>Low</v>
      </c>
      <c r="R329" t="s">
        <v>17</v>
      </c>
      <c r="S329" s="1" t="str" cm="1">
        <f t="array" ref="S329">_xlfn.IFS(R329="S","Southampton",R329="C","Cherbourg",R329="Q","Queenstown")</f>
        <v>Southampton</v>
      </c>
    </row>
    <row r="330" spans="1:19" x14ac:dyDescent="0.3">
      <c r="A330">
        <v>329</v>
      </c>
      <c r="B330">
        <v>2</v>
      </c>
      <c r="C330" s="1" t="str" cm="1">
        <f t="array" ref="C330">_xlfn.IFS(B330=1,"First Class",B330=2,"Second Class",B330=3,"Third Class")</f>
        <v>Second Class</v>
      </c>
      <c r="D330">
        <v>0</v>
      </c>
      <c r="E330" s="1" t="str">
        <f t="shared" si="20"/>
        <v>Dead</v>
      </c>
      <c r="F330" t="s">
        <v>702</v>
      </c>
      <c r="G330" s="1" t="s">
        <v>2999</v>
      </c>
      <c r="H330" t="s">
        <v>20</v>
      </c>
      <c r="I330" s="1" t="str">
        <f t="shared" si="21"/>
        <v>Male</v>
      </c>
      <c r="J330" s="3">
        <v>34</v>
      </c>
      <c r="K330" s="3" t="str" cm="1">
        <f t="array" ref="K330">_xlfn.IFS(J330&lt;=13,"Child",J330&lt;=18,"Teenager",J330&lt;=30,"Young Adult",J330&lt;=50,"Middle Aged Adult",J330&gt;50,"Senior")</f>
        <v>Middle Aged Adult</v>
      </c>
      <c r="L330">
        <v>1</v>
      </c>
      <c r="M330">
        <v>0</v>
      </c>
      <c r="N330" s="1">
        <f t="shared" si="22"/>
        <v>2</v>
      </c>
      <c r="O330" s="1" t="str">
        <f t="shared" si="23"/>
        <v>With Family</v>
      </c>
      <c r="P330">
        <v>26</v>
      </c>
      <c r="Q330" s="1" t="str" cm="1">
        <f t="array" ref="Q330">_xlfn.IFS(P330&lt;=50,"Low",P330&lt;=100,"Medium",P330&gt;100,"High")</f>
        <v>Low</v>
      </c>
      <c r="R330" t="s">
        <v>17</v>
      </c>
      <c r="S330" s="1" t="str" cm="1">
        <f t="array" ref="S330">_xlfn.IFS(R330="S","Southampton",R330="C","Cherbourg",R330="Q","Queenstown")</f>
        <v>Southampton</v>
      </c>
    </row>
    <row r="331" spans="1:19" x14ac:dyDescent="0.3">
      <c r="A331">
        <v>330</v>
      </c>
      <c r="B331">
        <v>2</v>
      </c>
      <c r="C331" s="1" t="str" cm="1">
        <f t="array" ref="C331">_xlfn.IFS(B331=1,"First Class",B331=2,"Second Class",B331=3,"Third Class")</f>
        <v>Second Class</v>
      </c>
      <c r="D331">
        <v>1</v>
      </c>
      <c r="E331" s="1" t="str">
        <f t="shared" si="20"/>
        <v>Alive</v>
      </c>
      <c r="F331" t="s">
        <v>704</v>
      </c>
      <c r="G331" s="1" t="s">
        <v>3001</v>
      </c>
      <c r="H331" t="s">
        <v>15</v>
      </c>
      <c r="I331" s="1" t="str">
        <f t="shared" si="21"/>
        <v>Female</v>
      </c>
      <c r="J331" s="3">
        <v>36</v>
      </c>
      <c r="K331" s="3" t="str" cm="1">
        <f t="array" ref="K331">_xlfn.IFS(J331&lt;=13,"Child",J331&lt;=18,"Teenager",J331&lt;=30,"Young Adult",J331&lt;=50,"Middle Aged Adult",J331&gt;50,"Senior")</f>
        <v>Middle Aged Adult</v>
      </c>
      <c r="L331">
        <v>1</v>
      </c>
      <c r="M331">
        <v>0</v>
      </c>
      <c r="N331" s="1">
        <f t="shared" si="22"/>
        <v>2</v>
      </c>
      <c r="O331" s="1" t="str">
        <f t="shared" si="23"/>
        <v>With Family</v>
      </c>
      <c r="P331">
        <v>26</v>
      </c>
      <c r="Q331" s="1" t="str" cm="1">
        <f t="array" ref="Q331">_xlfn.IFS(P331&lt;=50,"Low",P331&lt;=100,"Medium",P331&gt;100,"High")</f>
        <v>Low</v>
      </c>
      <c r="R331" t="s">
        <v>17</v>
      </c>
      <c r="S331" s="1" t="str" cm="1">
        <f t="array" ref="S331">_xlfn.IFS(R331="S","Southampton",R331="C","Cherbourg",R331="Q","Queenstown")</f>
        <v>Southampton</v>
      </c>
    </row>
    <row r="332" spans="1:19" x14ac:dyDescent="0.3">
      <c r="A332">
        <v>331</v>
      </c>
      <c r="B332">
        <v>2</v>
      </c>
      <c r="C332" s="1" t="str" cm="1">
        <f t="array" ref="C332">_xlfn.IFS(B332=1,"First Class",B332=2,"Second Class",B332=3,"Third Class")</f>
        <v>Second Class</v>
      </c>
      <c r="D332">
        <v>0</v>
      </c>
      <c r="E332" s="1" t="str">
        <f t="shared" si="20"/>
        <v>Dead</v>
      </c>
      <c r="F332" t="s">
        <v>705</v>
      </c>
      <c r="G332" s="1" t="s">
        <v>2999</v>
      </c>
      <c r="H332" t="s">
        <v>20</v>
      </c>
      <c r="I332" s="1" t="str">
        <f t="shared" si="21"/>
        <v>Male</v>
      </c>
      <c r="J332" s="3">
        <v>57</v>
      </c>
      <c r="K332" s="3" t="str" cm="1">
        <f t="array" ref="K332">_xlfn.IFS(J332&lt;=13,"Child",J332&lt;=18,"Teenager",J332&lt;=30,"Young Adult",J332&lt;=50,"Middle Aged Adult",J332&gt;50,"Senior")</f>
        <v>Senior</v>
      </c>
      <c r="L332">
        <v>0</v>
      </c>
      <c r="M332">
        <v>0</v>
      </c>
      <c r="N332" s="1">
        <f t="shared" si="22"/>
        <v>1</v>
      </c>
      <c r="O332" s="1" t="str">
        <f t="shared" si="23"/>
        <v>Single</v>
      </c>
      <c r="P332">
        <v>13</v>
      </c>
      <c r="Q332" s="1" t="str" cm="1">
        <f t="array" ref="Q332">_xlfn.IFS(P332&lt;=50,"Low",P332&lt;=100,"Medium",P332&gt;100,"High")</f>
        <v>Low</v>
      </c>
      <c r="R332" t="s">
        <v>17</v>
      </c>
      <c r="S332" s="1" t="str" cm="1">
        <f t="array" ref="S332">_xlfn.IFS(R332="S","Southampton",R332="C","Cherbourg",R332="Q","Queenstown")</f>
        <v>Southampton</v>
      </c>
    </row>
    <row r="333" spans="1:19" x14ac:dyDescent="0.3">
      <c r="A333">
        <v>332</v>
      </c>
      <c r="B333">
        <v>2</v>
      </c>
      <c r="C333" s="1" t="str" cm="1">
        <f t="array" ref="C333">_xlfn.IFS(B333=1,"First Class",B333=2,"Second Class",B333=3,"Third Class")</f>
        <v>Second Class</v>
      </c>
      <c r="D333">
        <v>0</v>
      </c>
      <c r="E333" s="1" t="str">
        <f t="shared" si="20"/>
        <v>Dead</v>
      </c>
      <c r="F333" t="s">
        <v>707</v>
      </c>
      <c r="G333" s="1" t="s">
        <v>2999</v>
      </c>
      <c r="H333" t="s">
        <v>20</v>
      </c>
      <c r="I333" s="1" t="str">
        <f t="shared" si="21"/>
        <v>Male</v>
      </c>
      <c r="J333" s="3">
        <v>18</v>
      </c>
      <c r="K333" s="3" t="str" cm="1">
        <f t="array" ref="K333">_xlfn.IFS(J333&lt;=13,"Child",J333&lt;=18,"Teenager",J333&lt;=30,"Young Adult",J333&lt;=50,"Middle Aged Adult",J333&gt;50,"Senior")</f>
        <v>Teenager</v>
      </c>
      <c r="L333">
        <v>0</v>
      </c>
      <c r="M333">
        <v>0</v>
      </c>
      <c r="N333" s="1">
        <f t="shared" si="22"/>
        <v>1</v>
      </c>
      <c r="O333" s="1" t="str">
        <f t="shared" si="23"/>
        <v>Single</v>
      </c>
      <c r="P333">
        <v>11.5</v>
      </c>
      <c r="Q333" s="1" t="str" cm="1">
        <f t="array" ref="Q333">_xlfn.IFS(P333&lt;=50,"Low",P333&lt;=100,"Medium",P333&gt;100,"High")</f>
        <v>Low</v>
      </c>
      <c r="R333" t="s">
        <v>17</v>
      </c>
      <c r="S333" s="1" t="str" cm="1">
        <f t="array" ref="S333">_xlfn.IFS(R333="S","Southampton",R333="C","Cherbourg",R333="Q","Queenstown")</f>
        <v>Southampton</v>
      </c>
    </row>
    <row r="334" spans="1:19" x14ac:dyDescent="0.3">
      <c r="A334">
        <v>333</v>
      </c>
      <c r="B334">
        <v>2</v>
      </c>
      <c r="C334" s="1" t="str" cm="1">
        <f t="array" ref="C334">_xlfn.IFS(B334=1,"First Class",B334=2,"Second Class",B334=3,"Third Class")</f>
        <v>Second Class</v>
      </c>
      <c r="D334">
        <v>0</v>
      </c>
      <c r="E334" s="1" t="str">
        <f t="shared" si="20"/>
        <v>Dead</v>
      </c>
      <c r="F334" t="s">
        <v>709</v>
      </c>
      <c r="G334" s="1" t="s">
        <v>2999</v>
      </c>
      <c r="H334" t="s">
        <v>20</v>
      </c>
      <c r="I334" s="1" t="str">
        <f t="shared" si="21"/>
        <v>Male</v>
      </c>
      <c r="J334" s="3">
        <v>23</v>
      </c>
      <c r="K334" s="3" t="str" cm="1">
        <f t="array" ref="K334">_xlfn.IFS(J334&lt;=13,"Child",J334&lt;=18,"Teenager",J334&lt;=30,"Young Adult",J334&lt;=50,"Middle Aged Adult",J334&gt;50,"Senior")</f>
        <v>Young Adult</v>
      </c>
      <c r="L334">
        <v>0</v>
      </c>
      <c r="M334">
        <v>0</v>
      </c>
      <c r="N334" s="1">
        <f t="shared" si="22"/>
        <v>1</v>
      </c>
      <c r="O334" s="1" t="str">
        <f t="shared" si="23"/>
        <v>Single</v>
      </c>
      <c r="P334">
        <v>10.5</v>
      </c>
      <c r="Q334" s="1" t="str" cm="1">
        <f t="array" ref="Q334">_xlfn.IFS(P334&lt;=50,"Low",P334&lt;=100,"Medium",P334&gt;100,"High")</f>
        <v>Low</v>
      </c>
      <c r="R334" t="s">
        <v>17</v>
      </c>
      <c r="S334" s="1" t="str" cm="1">
        <f t="array" ref="S334">_xlfn.IFS(R334="S","Southampton",R334="C","Cherbourg",R334="Q","Queenstown")</f>
        <v>Southampton</v>
      </c>
    </row>
    <row r="335" spans="1:19" x14ac:dyDescent="0.3">
      <c r="A335">
        <v>334</v>
      </c>
      <c r="B335">
        <v>2</v>
      </c>
      <c r="C335" s="1" t="str" cm="1">
        <f t="array" ref="C335">_xlfn.IFS(B335=1,"First Class",B335=2,"Second Class",B335=3,"Third Class")</f>
        <v>Second Class</v>
      </c>
      <c r="D335">
        <v>1</v>
      </c>
      <c r="E335" s="1" t="str">
        <f t="shared" si="20"/>
        <v>Alive</v>
      </c>
      <c r="F335" t="s">
        <v>712</v>
      </c>
      <c r="G335" s="1" t="s">
        <v>3001</v>
      </c>
      <c r="H335" t="s">
        <v>15</v>
      </c>
      <c r="I335" s="1" t="str">
        <f t="shared" si="21"/>
        <v>Female</v>
      </c>
      <c r="J335" s="3">
        <v>36</v>
      </c>
      <c r="K335" s="3" t="str" cm="1">
        <f t="array" ref="K335">_xlfn.IFS(J335&lt;=13,"Child",J335&lt;=18,"Teenager",J335&lt;=30,"Young Adult",J335&lt;=50,"Middle Aged Adult",J335&gt;50,"Senior")</f>
        <v>Middle Aged Adult</v>
      </c>
      <c r="L335">
        <v>0</v>
      </c>
      <c r="M335">
        <v>0</v>
      </c>
      <c r="N335" s="1">
        <f t="shared" si="22"/>
        <v>1</v>
      </c>
      <c r="O335" s="1" t="str">
        <f t="shared" si="23"/>
        <v>Single</v>
      </c>
      <c r="P335">
        <v>13</v>
      </c>
      <c r="Q335" s="1" t="str" cm="1">
        <f t="array" ref="Q335">_xlfn.IFS(P335&lt;=50,"Low",P335&lt;=100,"Medium",P335&gt;100,"High")</f>
        <v>Low</v>
      </c>
      <c r="R335" t="s">
        <v>17</v>
      </c>
      <c r="S335" s="1" t="str" cm="1">
        <f t="array" ref="S335">_xlfn.IFS(R335="S","Southampton",R335="C","Cherbourg",R335="Q","Queenstown")</f>
        <v>Southampton</v>
      </c>
    </row>
    <row r="336" spans="1:19" x14ac:dyDescent="0.3">
      <c r="A336">
        <v>335</v>
      </c>
      <c r="B336">
        <v>2</v>
      </c>
      <c r="C336" s="1" t="str" cm="1">
        <f t="array" ref="C336">_xlfn.IFS(B336=1,"First Class",B336=2,"Second Class",B336=3,"Third Class")</f>
        <v>Second Class</v>
      </c>
      <c r="D336">
        <v>0</v>
      </c>
      <c r="E336" s="1" t="str">
        <f t="shared" si="20"/>
        <v>Dead</v>
      </c>
      <c r="F336" t="s">
        <v>714</v>
      </c>
      <c r="G336" s="1" t="s">
        <v>2999</v>
      </c>
      <c r="H336" t="s">
        <v>20</v>
      </c>
      <c r="I336" s="1" t="str">
        <f t="shared" si="21"/>
        <v>Male</v>
      </c>
      <c r="J336" s="3">
        <v>28</v>
      </c>
      <c r="K336" s="3" t="str" cm="1">
        <f t="array" ref="K336">_xlfn.IFS(J336&lt;=13,"Child",J336&lt;=18,"Teenager",J336&lt;=30,"Young Adult",J336&lt;=50,"Middle Aged Adult",J336&gt;50,"Senior")</f>
        <v>Young Adult</v>
      </c>
      <c r="L336">
        <v>0</v>
      </c>
      <c r="M336">
        <v>0</v>
      </c>
      <c r="N336" s="1">
        <f t="shared" si="22"/>
        <v>1</v>
      </c>
      <c r="O336" s="1" t="str">
        <f t="shared" si="23"/>
        <v>Single</v>
      </c>
      <c r="P336">
        <v>10.5</v>
      </c>
      <c r="Q336" s="1" t="str" cm="1">
        <f t="array" ref="Q336">_xlfn.IFS(P336&lt;=50,"Low",P336&lt;=100,"Medium",P336&gt;100,"High")</f>
        <v>Low</v>
      </c>
      <c r="R336" t="s">
        <v>17</v>
      </c>
      <c r="S336" s="1" t="str" cm="1">
        <f t="array" ref="S336">_xlfn.IFS(R336="S","Southampton",R336="C","Cherbourg",R336="Q","Queenstown")</f>
        <v>Southampton</v>
      </c>
    </row>
    <row r="337" spans="1:19" x14ac:dyDescent="0.3">
      <c r="A337">
        <v>336</v>
      </c>
      <c r="B337">
        <v>2</v>
      </c>
      <c r="C337" s="1" t="str" cm="1">
        <f t="array" ref="C337">_xlfn.IFS(B337=1,"First Class",B337=2,"Second Class",B337=3,"Third Class")</f>
        <v>Second Class</v>
      </c>
      <c r="D337">
        <v>0</v>
      </c>
      <c r="E337" s="1" t="str">
        <f t="shared" si="20"/>
        <v>Dead</v>
      </c>
      <c r="F337" t="s">
        <v>717</v>
      </c>
      <c r="G337" s="1" t="s">
        <v>3338</v>
      </c>
      <c r="H337" t="s">
        <v>20</v>
      </c>
      <c r="I337" s="1" t="str">
        <f t="shared" si="21"/>
        <v>Male</v>
      </c>
      <c r="J337" s="3">
        <v>51</v>
      </c>
      <c r="K337" s="3" t="str" cm="1">
        <f t="array" ref="K337">_xlfn.IFS(J337&lt;=13,"Child",J337&lt;=18,"Teenager",J337&lt;=30,"Young Adult",J337&lt;=50,"Middle Aged Adult",J337&gt;50,"Senior")</f>
        <v>Senior</v>
      </c>
      <c r="L337">
        <v>0</v>
      </c>
      <c r="M337">
        <v>0</v>
      </c>
      <c r="N337" s="1">
        <f t="shared" si="22"/>
        <v>1</v>
      </c>
      <c r="O337" s="1" t="str">
        <f t="shared" si="23"/>
        <v>Single</v>
      </c>
      <c r="P337">
        <v>12.525</v>
      </c>
      <c r="Q337" s="1" t="str" cm="1">
        <f t="array" ref="Q337">_xlfn.IFS(P337&lt;=50,"Low",P337&lt;=100,"Medium",P337&gt;100,"High")</f>
        <v>Low</v>
      </c>
      <c r="R337" t="s">
        <v>17</v>
      </c>
      <c r="S337" s="1" t="str" cm="1">
        <f t="array" ref="S337">_xlfn.IFS(R337="S","Southampton",R337="C","Cherbourg",R337="Q","Queenstown")</f>
        <v>Southampton</v>
      </c>
    </row>
    <row r="338" spans="1:19" x14ac:dyDescent="0.3">
      <c r="A338">
        <v>337</v>
      </c>
      <c r="B338">
        <v>2</v>
      </c>
      <c r="C338" s="1" t="str" cm="1">
        <f t="array" ref="C338">_xlfn.IFS(B338=1,"First Class",B338=2,"Second Class",B338=3,"Third Class")</f>
        <v>Second Class</v>
      </c>
      <c r="D338">
        <v>1</v>
      </c>
      <c r="E338" s="1" t="str">
        <f t="shared" si="20"/>
        <v>Alive</v>
      </c>
      <c r="F338" t="s">
        <v>720</v>
      </c>
      <c r="G338" s="1" t="s">
        <v>2999</v>
      </c>
      <c r="H338" t="s">
        <v>20</v>
      </c>
      <c r="I338" s="1" t="str">
        <f t="shared" si="21"/>
        <v>Male</v>
      </c>
      <c r="J338" s="3">
        <v>32</v>
      </c>
      <c r="K338" s="3" t="str" cm="1">
        <f t="array" ref="K338">_xlfn.IFS(J338&lt;=13,"Child",J338&lt;=18,"Teenager",J338&lt;=30,"Young Adult",J338&lt;=50,"Middle Aged Adult",J338&gt;50,"Senior")</f>
        <v>Middle Aged Adult</v>
      </c>
      <c r="L338">
        <v>1</v>
      </c>
      <c r="M338">
        <v>0</v>
      </c>
      <c r="N338" s="1">
        <f t="shared" si="22"/>
        <v>2</v>
      </c>
      <c r="O338" s="1" t="str">
        <f t="shared" si="23"/>
        <v>With Family</v>
      </c>
      <c r="P338">
        <v>26</v>
      </c>
      <c r="Q338" s="1" t="str" cm="1">
        <f t="array" ref="Q338">_xlfn.IFS(P338&lt;=50,"Low",P338&lt;=100,"Medium",P338&gt;100,"High")</f>
        <v>Low</v>
      </c>
      <c r="R338" t="s">
        <v>17</v>
      </c>
      <c r="S338" s="1" t="str" cm="1">
        <f t="array" ref="S338">_xlfn.IFS(R338="S","Southampton",R338="C","Cherbourg",R338="Q","Queenstown")</f>
        <v>Southampton</v>
      </c>
    </row>
    <row r="339" spans="1:19" x14ac:dyDescent="0.3">
      <c r="A339">
        <v>338</v>
      </c>
      <c r="B339">
        <v>2</v>
      </c>
      <c r="C339" s="1" t="str" cm="1">
        <f t="array" ref="C339">_xlfn.IFS(B339=1,"First Class",B339=2,"Second Class",B339=3,"Third Class")</f>
        <v>Second Class</v>
      </c>
      <c r="D339">
        <v>1</v>
      </c>
      <c r="E339" s="1" t="str">
        <f t="shared" si="20"/>
        <v>Alive</v>
      </c>
      <c r="F339" t="s">
        <v>722</v>
      </c>
      <c r="G339" s="1" t="s">
        <v>3001</v>
      </c>
      <c r="H339" t="s">
        <v>15</v>
      </c>
      <c r="I339" s="1" t="str">
        <f t="shared" si="21"/>
        <v>Female</v>
      </c>
      <c r="J339" s="3">
        <v>19</v>
      </c>
      <c r="K339" s="3" t="str" cm="1">
        <f t="array" ref="K339">_xlfn.IFS(J339&lt;=13,"Child",J339&lt;=18,"Teenager",J339&lt;=30,"Young Adult",J339&lt;=50,"Middle Aged Adult",J339&gt;50,"Senior")</f>
        <v>Young Adult</v>
      </c>
      <c r="L339">
        <v>1</v>
      </c>
      <c r="M339">
        <v>0</v>
      </c>
      <c r="N339" s="1">
        <f t="shared" si="22"/>
        <v>2</v>
      </c>
      <c r="O339" s="1" t="str">
        <f t="shared" si="23"/>
        <v>With Family</v>
      </c>
      <c r="P339">
        <v>26</v>
      </c>
      <c r="Q339" s="1" t="str" cm="1">
        <f t="array" ref="Q339">_xlfn.IFS(P339&lt;=50,"Low",P339&lt;=100,"Medium",P339&gt;100,"High")</f>
        <v>Low</v>
      </c>
      <c r="R339" t="s">
        <v>17</v>
      </c>
      <c r="S339" s="1" t="str" cm="1">
        <f t="array" ref="S339">_xlfn.IFS(R339="S","Southampton",R339="C","Cherbourg",R339="Q","Queenstown")</f>
        <v>Southampton</v>
      </c>
    </row>
    <row r="340" spans="1:19" x14ac:dyDescent="0.3">
      <c r="A340">
        <v>339</v>
      </c>
      <c r="B340">
        <v>2</v>
      </c>
      <c r="C340" s="1" t="str" cm="1">
        <f t="array" ref="C340">_xlfn.IFS(B340=1,"First Class",B340=2,"Second Class",B340=3,"Third Class")</f>
        <v>Second Class</v>
      </c>
      <c r="D340">
        <v>0</v>
      </c>
      <c r="E340" s="1" t="str">
        <f t="shared" si="20"/>
        <v>Dead</v>
      </c>
      <c r="F340" t="s">
        <v>723</v>
      </c>
      <c r="G340" s="1" t="s">
        <v>2999</v>
      </c>
      <c r="H340" t="s">
        <v>20</v>
      </c>
      <c r="I340" s="1" t="str">
        <f t="shared" si="21"/>
        <v>Male</v>
      </c>
      <c r="J340" s="3">
        <v>28</v>
      </c>
      <c r="K340" s="3" t="str" cm="1">
        <f t="array" ref="K340">_xlfn.IFS(J340&lt;=13,"Child",J340&lt;=18,"Teenager",J340&lt;=30,"Young Adult",J340&lt;=50,"Middle Aged Adult",J340&gt;50,"Senior")</f>
        <v>Young Adult</v>
      </c>
      <c r="L340">
        <v>0</v>
      </c>
      <c r="M340">
        <v>0</v>
      </c>
      <c r="N340" s="1">
        <f t="shared" si="22"/>
        <v>1</v>
      </c>
      <c r="O340" s="1" t="str">
        <f t="shared" si="23"/>
        <v>Single</v>
      </c>
      <c r="P340">
        <v>26</v>
      </c>
      <c r="Q340" s="1" t="str" cm="1">
        <f t="array" ref="Q340">_xlfn.IFS(P340&lt;=50,"Low",P340&lt;=100,"Medium",P340&gt;100,"High")</f>
        <v>Low</v>
      </c>
      <c r="R340" t="s">
        <v>17</v>
      </c>
      <c r="S340" s="1" t="str" cm="1">
        <f t="array" ref="S340">_xlfn.IFS(R340="S","Southampton",R340="C","Cherbourg",R340="Q","Queenstown")</f>
        <v>Southampton</v>
      </c>
    </row>
    <row r="341" spans="1:19" x14ac:dyDescent="0.3">
      <c r="A341">
        <v>340</v>
      </c>
      <c r="B341">
        <v>2</v>
      </c>
      <c r="C341" s="1" t="str" cm="1">
        <f t="array" ref="C341">_xlfn.IFS(B341=1,"First Class",B341=2,"Second Class",B341=3,"Third Class")</f>
        <v>Second Class</v>
      </c>
      <c r="D341">
        <v>1</v>
      </c>
      <c r="E341" s="1" t="str">
        <f t="shared" si="20"/>
        <v>Alive</v>
      </c>
      <c r="F341" t="s">
        <v>725</v>
      </c>
      <c r="G341" s="1" t="s">
        <v>2996</v>
      </c>
      <c r="H341" t="s">
        <v>20</v>
      </c>
      <c r="I341" s="1" t="str">
        <f t="shared" si="21"/>
        <v>Male</v>
      </c>
      <c r="J341" s="3">
        <v>1</v>
      </c>
      <c r="K341" s="3" t="str" cm="1">
        <f t="array" ref="K341">_xlfn.IFS(J341&lt;=13,"Child",J341&lt;=18,"Teenager",J341&lt;=30,"Young Adult",J341&lt;=50,"Middle Aged Adult",J341&gt;50,"Senior")</f>
        <v>Child</v>
      </c>
      <c r="L341">
        <v>2</v>
      </c>
      <c r="M341">
        <v>1</v>
      </c>
      <c r="N341" s="1">
        <f t="shared" si="22"/>
        <v>4</v>
      </c>
      <c r="O341" s="1" t="str">
        <f t="shared" si="23"/>
        <v>With Family</v>
      </c>
      <c r="P341">
        <v>39</v>
      </c>
      <c r="Q341" s="1" t="str" cm="1">
        <f t="array" ref="Q341">_xlfn.IFS(P341&lt;=50,"Low",P341&lt;=100,"Medium",P341&gt;100,"High")</f>
        <v>Low</v>
      </c>
      <c r="R341" t="s">
        <v>17</v>
      </c>
      <c r="S341" s="1" t="str" cm="1">
        <f t="array" ref="S341">_xlfn.IFS(R341="S","Southampton",R341="C","Cherbourg",R341="Q","Queenstown")</f>
        <v>Southampton</v>
      </c>
    </row>
    <row r="342" spans="1:19" x14ac:dyDescent="0.3">
      <c r="A342">
        <v>341</v>
      </c>
      <c r="B342">
        <v>2</v>
      </c>
      <c r="C342" s="1" t="str" cm="1">
        <f t="array" ref="C342">_xlfn.IFS(B342=1,"First Class",B342=2,"Second Class",B342=3,"Third Class")</f>
        <v>Second Class</v>
      </c>
      <c r="D342">
        <v>1</v>
      </c>
      <c r="E342" s="1" t="str">
        <f t="shared" si="20"/>
        <v>Alive</v>
      </c>
      <c r="F342" t="s">
        <v>728</v>
      </c>
      <c r="G342" s="1" t="s">
        <v>2994</v>
      </c>
      <c r="H342" t="s">
        <v>15</v>
      </c>
      <c r="I342" s="1" t="str">
        <f t="shared" si="21"/>
        <v>Female</v>
      </c>
      <c r="J342" s="3">
        <v>4</v>
      </c>
      <c r="K342" s="3" t="str" cm="1">
        <f t="array" ref="K342">_xlfn.IFS(J342&lt;=13,"Child",J342&lt;=18,"Teenager",J342&lt;=30,"Young Adult",J342&lt;=50,"Middle Aged Adult",J342&gt;50,"Senior")</f>
        <v>Child</v>
      </c>
      <c r="L342">
        <v>2</v>
      </c>
      <c r="M342">
        <v>1</v>
      </c>
      <c r="N342" s="1">
        <f t="shared" si="22"/>
        <v>4</v>
      </c>
      <c r="O342" s="1" t="str">
        <f t="shared" si="23"/>
        <v>With Family</v>
      </c>
      <c r="P342">
        <v>39</v>
      </c>
      <c r="Q342" s="1" t="str" cm="1">
        <f t="array" ref="Q342">_xlfn.IFS(P342&lt;=50,"Low",P342&lt;=100,"Medium",P342&gt;100,"High")</f>
        <v>Low</v>
      </c>
      <c r="R342" t="s">
        <v>17</v>
      </c>
      <c r="S342" s="1" t="str" cm="1">
        <f t="array" ref="S342">_xlfn.IFS(R342="S","Southampton",R342="C","Cherbourg",R342="Q","Queenstown")</f>
        <v>Southampton</v>
      </c>
    </row>
    <row r="343" spans="1:19" x14ac:dyDescent="0.3">
      <c r="A343">
        <v>342</v>
      </c>
      <c r="B343">
        <v>2</v>
      </c>
      <c r="C343" s="1" t="str" cm="1">
        <f t="array" ref="C343">_xlfn.IFS(B343=1,"First Class",B343=2,"Second Class",B343=3,"Third Class")</f>
        <v>Second Class</v>
      </c>
      <c r="D343">
        <v>1</v>
      </c>
      <c r="E343" s="1" t="str">
        <f t="shared" si="20"/>
        <v>Alive</v>
      </c>
      <c r="F343" t="s">
        <v>729</v>
      </c>
      <c r="G343" s="1" t="s">
        <v>2994</v>
      </c>
      <c r="H343" t="s">
        <v>15</v>
      </c>
      <c r="I343" s="1" t="str">
        <f t="shared" si="21"/>
        <v>Female</v>
      </c>
      <c r="J343" s="3">
        <v>12</v>
      </c>
      <c r="K343" s="3" t="str" cm="1">
        <f t="array" ref="K343">_xlfn.IFS(J343&lt;=13,"Child",J343&lt;=18,"Teenager",J343&lt;=30,"Young Adult",J343&lt;=50,"Middle Aged Adult",J343&gt;50,"Senior")</f>
        <v>Child</v>
      </c>
      <c r="L343">
        <v>2</v>
      </c>
      <c r="M343">
        <v>1</v>
      </c>
      <c r="N343" s="1">
        <f t="shared" si="22"/>
        <v>4</v>
      </c>
      <c r="O343" s="1" t="str">
        <f t="shared" si="23"/>
        <v>With Family</v>
      </c>
      <c r="P343">
        <v>39</v>
      </c>
      <c r="Q343" s="1" t="str" cm="1">
        <f t="array" ref="Q343">_xlfn.IFS(P343&lt;=50,"Low",P343&lt;=100,"Medium",P343&gt;100,"High")</f>
        <v>Low</v>
      </c>
      <c r="R343" t="s">
        <v>17</v>
      </c>
      <c r="S343" s="1" t="str" cm="1">
        <f t="array" ref="S343">_xlfn.IFS(R343="S","Southampton",R343="C","Cherbourg",R343="Q","Queenstown")</f>
        <v>Southampton</v>
      </c>
    </row>
    <row r="344" spans="1:19" x14ac:dyDescent="0.3">
      <c r="A344">
        <v>343</v>
      </c>
      <c r="B344">
        <v>2</v>
      </c>
      <c r="C344" s="1" t="str" cm="1">
        <f t="array" ref="C344">_xlfn.IFS(B344=1,"First Class",B344=2,"Second Class",B344=3,"Third Class")</f>
        <v>Second Class</v>
      </c>
      <c r="D344">
        <v>1</v>
      </c>
      <c r="E344" s="1" t="str">
        <f t="shared" si="20"/>
        <v>Alive</v>
      </c>
      <c r="F344" t="s">
        <v>730</v>
      </c>
      <c r="G344" s="1" t="s">
        <v>3001</v>
      </c>
      <c r="H344" t="s">
        <v>15</v>
      </c>
      <c r="I344" s="1" t="str">
        <f t="shared" si="21"/>
        <v>Female</v>
      </c>
      <c r="J344" s="3">
        <v>36</v>
      </c>
      <c r="K344" s="3" t="str" cm="1">
        <f t="array" ref="K344">_xlfn.IFS(J344&lt;=13,"Child",J344&lt;=18,"Teenager",J344&lt;=30,"Young Adult",J344&lt;=50,"Middle Aged Adult",J344&gt;50,"Senior")</f>
        <v>Middle Aged Adult</v>
      </c>
      <c r="L344">
        <v>0</v>
      </c>
      <c r="M344">
        <v>3</v>
      </c>
      <c r="N344" s="1">
        <f t="shared" si="22"/>
        <v>4</v>
      </c>
      <c r="O344" s="1" t="str">
        <f t="shared" si="23"/>
        <v>With Family</v>
      </c>
      <c r="P344">
        <v>39</v>
      </c>
      <c r="Q344" s="1" t="str" cm="1">
        <f t="array" ref="Q344">_xlfn.IFS(P344&lt;=50,"Low",P344&lt;=100,"Medium",P344&gt;100,"High")</f>
        <v>Low</v>
      </c>
      <c r="R344" t="s">
        <v>17</v>
      </c>
      <c r="S344" s="1" t="str" cm="1">
        <f t="array" ref="S344">_xlfn.IFS(R344="S","Southampton",R344="C","Cherbourg",R344="Q","Queenstown")</f>
        <v>Southampton</v>
      </c>
    </row>
    <row r="345" spans="1:19" x14ac:dyDescent="0.3">
      <c r="A345">
        <v>344</v>
      </c>
      <c r="B345">
        <v>2</v>
      </c>
      <c r="C345" s="1" t="str" cm="1">
        <f t="array" ref="C345">_xlfn.IFS(B345=1,"First Class",B345=2,"Second Class",B345=3,"Third Class")</f>
        <v>Second Class</v>
      </c>
      <c r="D345">
        <v>1</v>
      </c>
      <c r="E345" s="1" t="str">
        <f t="shared" si="20"/>
        <v>Alive</v>
      </c>
      <c r="F345" t="s">
        <v>731</v>
      </c>
      <c r="G345" s="1" t="s">
        <v>2999</v>
      </c>
      <c r="H345" t="s">
        <v>20</v>
      </c>
      <c r="I345" s="1" t="str">
        <f t="shared" si="21"/>
        <v>Male</v>
      </c>
      <c r="J345" s="3">
        <v>34</v>
      </c>
      <c r="K345" s="3" t="str" cm="1">
        <f t="array" ref="K345">_xlfn.IFS(J345&lt;=13,"Child",J345&lt;=18,"Teenager",J345&lt;=30,"Young Adult",J345&lt;=50,"Middle Aged Adult",J345&gt;50,"Senior")</f>
        <v>Middle Aged Adult</v>
      </c>
      <c r="L345">
        <v>0</v>
      </c>
      <c r="M345">
        <v>0</v>
      </c>
      <c r="N345" s="1">
        <f t="shared" si="22"/>
        <v>1</v>
      </c>
      <c r="O345" s="1" t="str">
        <f t="shared" si="23"/>
        <v>Single</v>
      </c>
      <c r="P345">
        <v>13</v>
      </c>
      <c r="Q345" s="1" t="str" cm="1">
        <f t="array" ref="Q345">_xlfn.IFS(P345&lt;=50,"Low",P345&lt;=100,"Medium",P345&gt;100,"High")</f>
        <v>Low</v>
      </c>
      <c r="R345" t="s">
        <v>17</v>
      </c>
      <c r="S345" s="1" t="str" cm="1">
        <f t="array" ref="S345">_xlfn.IFS(R345="S","Southampton",R345="C","Cherbourg",R345="Q","Queenstown")</f>
        <v>Southampton</v>
      </c>
    </row>
    <row r="346" spans="1:19" x14ac:dyDescent="0.3">
      <c r="A346">
        <v>345</v>
      </c>
      <c r="B346">
        <v>2</v>
      </c>
      <c r="C346" s="1" t="str" cm="1">
        <f t="array" ref="C346">_xlfn.IFS(B346=1,"First Class",B346=2,"Second Class",B346=3,"Third Class")</f>
        <v>Second Class</v>
      </c>
      <c r="D346">
        <v>1</v>
      </c>
      <c r="E346" s="1" t="str">
        <f t="shared" si="20"/>
        <v>Alive</v>
      </c>
      <c r="F346" t="s">
        <v>733</v>
      </c>
      <c r="G346" s="1" t="s">
        <v>2994</v>
      </c>
      <c r="H346" t="s">
        <v>15</v>
      </c>
      <c r="I346" s="1" t="str">
        <f t="shared" si="21"/>
        <v>Female</v>
      </c>
      <c r="J346" s="3">
        <v>19</v>
      </c>
      <c r="K346" s="3" t="str" cm="1">
        <f t="array" ref="K346">_xlfn.IFS(J346&lt;=13,"Child",J346&lt;=18,"Teenager",J346&lt;=30,"Young Adult",J346&lt;=50,"Middle Aged Adult",J346&gt;50,"Senior")</f>
        <v>Young Adult</v>
      </c>
      <c r="L346">
        <v>0</v>
      </c>
      <c r="M346">
        <v>0</v>
      </c>
      <c r="N346" s="1">
        <f t="shared" si="22"/>
        <v>1</v>
      </c>
      <c r="O346" s="1" t="str">
        <f t="shared" si="23"/>
        <v>Single</v>
      </c>
      <c r="P346">
        <v>13</v>
      </c>
      <c r="Q346" s="1" t="str" cm="1">
        <f t="array" ref="Q346">_xlfn.IFS(P346&lt;=50,"Low",P346&lt;=100,"Medium",P346&gt;100,"High")</f>
        <v>Low</v>
      </c>
      <c r="R346" t="s">
        <v>17</v>
      </c>
      <c r="S346" s="1" t="str" cm="1">
        <f t="array" ref="S346">_xlfn.IFS(R346="S","Southampton",R346="C","Cherbourg",R346="Q","Queenstown")</f>
        <v>Southampton</v>
      </c>
    </row>
    <row r="347" spans="1:19" x14ac:dyDescent="0.3">
      <c r="A347">
        <v>346</v>
      </c>
      <c r="B347">
        <v>2</v>
      </c>
      <c r="C347" s="1" t="str" cm="1">
        <f t="array" ref="C347">_xlfn.IFS(B347=1,"First Class",B347=2,"Second Class",B347=3,"Third Class")</f>
        <v>Second Class</v>
      </c>
      <c r="D347">
        <v>0</v>
      </c>
      <c r="E347" s="1" t="str">
        <f t="shared" si="20"/>
        <v>Dead</v>
      </c>
      <c r="F347" t="s">
        <v>735</v>
      </c>
      <c r="G347" s="1" t="s">
        <v>2999</v>
      </c>
      <c r="H347" t="s">
        <v>20</v>
      </c>
      <c r="I347" s="1" t="str">
        <f t="shared" si="21"/>
        <v>Male</v>
      </c>
      <c r="J347" s="3">
        <v>23</v>
      </c>
      <c r="K347" s="3" t="str" cm="1">
        <f t="array" ref="K347">_xlfn.IFS(J347&lt;=13,"Child",J347&lt;=18,"Teenager",J347&lt;=30,"Young Adult",J347&lt;=50,"Middle Aged Adult",J347&gt;50,"Senior")</f>
        <v>Young Adult</v>
      </c>
      <c r="L347">
        <v>0</v>
      </c>
      <c r="M347">
        <v>0</v>
      </c>
      <c r="N347" s="1">
        <f t="shared" si="22"/>
        <v>1</v>
      </c>
      <c r="O347" s="1" t="str">
        <f t="shared" si="23"/>
        <v>Single</v>
      </c>
      <c r="P347">
        <v>13</v>
      </c>
      <c r="Q347" s="1" t="str" cm="1">
        <f t="array" ref="Q347">_xlfn.IFS(P347&lt;=50,"Low",P347&lt;=100,"Medium",P347&gt;100,"High")</f>
        <v>Low</v>
      </c>
      <c r="R347" t="s">
        <v>17</v>
      </c>
      <c r="S347" s="1" t="str" cm="1">
        <f t="array" ref="S347">_xlfn.IFS(R347="S","Southampton",R347="C","Cherbourg",R347="Q","Queenstown")</f>
        <v>Southampton</v>
      </c>
    </row>
    <row r="348" spans="1:19" x14ac:dyDescent="0.3">
      <c r="A348">
        <v>347</v>
      </c>
      <c r="B348">
        <v>2</v>
      </c>
      <c r="C348" s="1" t="str" cm="1">
        <f t="array" ref="C348">_xlfn.IFS(B348=1,"First Class",B348=2,"Second Class",B348=3,"Third Class")</f>
        <v>Second Class</v>
      </c>
      <c r="D348">
        <v>0</v>
      </c>
      <c r="E348" s="1" t="str">
        <f t="shared" si="20"/>
        <v>Dead</v>
      </c>
      <c r="F348" t="s">
        <v>737</v>
      </c>
      <c r="G348" s="1" t="s">
        <v>2999</v>
      </c>
      <c r="H348" t="s">
        <v>20</v>
      </c>
      <c r="I348" s="1" t="str">
        <f t="shared" si="21"/>
        <v>Male</v>
      </c>
      <c r="J348" s="3">
        <v>26</v>
      </c>
      <c r="K348" s="3" t="str" cm="1">
        <f t="array" ref="K348">_xlfn.IFS(J348&lt;=13,"Child",J348&lt;=18,"Teenager",J348&lt;=30,"Young Adult",J348&lt;=50,"Middle Aged Adult",J348&gt;50,"Senior")</f>
        <v>Young Adult</v>
      </c>
      <c r="L348">
        <v>0</v>
      </c>
      <c r="M348">
        <v>0</v>
      </c>
      <c r="N348" s="1">
        <f t="shared" si="22"/>
        <v>1</v>
      </c>
      <c r="O348" s="1" t="str">
        <f t="shared" si="23"/>
        <v>Single</v>
      </c>
      <c r="P348">
        <v>13</v>
      </c>
      <c r="Q348" s="1" t="str" cm="1">
        <f t="array" ref="Q348">_xlfn.IFS(P348&lt;=50,"Low",P348&lt;=100,"Medium",P348&gt;100,"High")</f>
        <v>Low</v>
      </c>
      <c r="R348" t="s">
        <v>17</v>
      </c>
      <c r="S348" s="1" t="str" cm="1">
        <f t="array" ref="S348">_xlfn.IFS(R348="S","Southampton",R348="C","Cherbourg",R348="Q","Queenstown")</f>
        <v>Southampton</v>
      </c>
    </row>
    <row r="349" spans="1:19" x14ac:dyDescent="0.3">
      <c r="A349">
        <v>348</v>
      </c>
      <c r="B349">
        <v>2</v>
      </c>
      <c r="C349" s="1" t="str" cm="1">
        <f t="array" ref="C349">_xlfn.IFS(B349=1,"First Class",B349=2,"Second Class",B349=3,"Third Class")</f>
        <v>Second Class</v>
      </c>
      <c r="D349">
        <v>0</v>
      </c>
      <c r="E349" s="1" t="str">
        <f t="shared" si="20"/>
        <v>Dead</v>
      </c>
      <c r="F349" t="s">
        <v>739</v>
      </c>
      <c r="G349" s="1" t="s">
        <v>2999</v>
      </c>
      <c r="H349" t="s">
        <v>20</v>
      </c>
      <c r="I349" s="1" t="str">
        <f t="shared" si="21"/>
        <v>Male</v>
      </c>
      <c r="J349" s="3">
        <v>42</v>
      </c>
      <c r="K349" s="3" t="str" cm="1">
        <f t="array" ref="K349">_xlfn.IFS(J349&lt;=13,"Child",J349&lt;=18,"Teenager",J349&lt;=30,"Young Adult",J349&lt;=50,"Middle Aged Adult",J349&gt;50,"Senior")</f>
        <v>Middle Aged Adult</v>
      </c>
      <c r="L349">
        <v>0</v>
      </c>
      <c r="M349">
        <v>0</v>
      </c>
      <c r="N349" s="1">
        <f t="shared" si="22"/>
        <v>1</v>
      </c>
      <c r="O349" s="1" t="str">
        <f t="shared" si="23"/>
        <v>Single</v>
      </c>
      <c r="P349">
        <v>13</v>
      </c>
      <c r="Q349" s="1" t="str" cm="1">
        <f t="array" ref="Q349">_xlfn.IFS(P349&lt;=50,"Low",P349&lt;=100,"Medium",P349&gt;100,"High")</f>
        <v>Low</v>
      </c>
      <c r="R349" t="s">
        <v>17</v>
      </c>
      <c r="S349" s="1" t="str" cm="1">
        <f t="array" ref="S349">_xlfn.IFS(R349="S","Southampton",R349="C","Cherbourg",R349="Q","Queenstown")</f>
        <v>Southampton</v>
      </c>
    </row>
    <row r="350" spans="1:19" x14ac:dyDescent="0.3">
      <c r="A350">
        <v>349</v>
      </c>
      <c r="B350">
        <v>2</v>
      </c>
      <c r="C350" s="1" t="str" cm="1">
        <f t="array" ref="C350">_xlfn.IFS(B350=1,"First Class",B350=2,"Second Class",B350=3,"Third Class")</f>
        <v>Second Class</v>
      </c>
      <c r="D350">
        <v>0</v>
      </c>
      <c r="E350" s="1" t="str">
        <f t="shared" si="20"/>
        <v>Dead</v>
      </c>
      <c r="F350" t="s">
        <v>740</v>
      </c>
      <c r="G350" s="1" t="s">
        <v>2999</v>
      </c>
      <c r="H350" t="s">
        <v>20</v>
      </c>
      <c r="I350" s="1" t="str">
        <f t="shared" si="21"/>
        <v>Male</v>
      </c>
      <c r="J350" s="3">
        <v>27</v>
      </c>
      <c r="K350" s="3" t="str" cm="1">
        <f t="array" ref="K350">_xlfn.IFS(J350&lt;=13,"Child",J350&lt;=18,"Teenager",J350&lt;=30,"Young Adult",J350&lt;=50,"Middle Aged Adult",J350&gt;50,"Senior")</f>
        <v>Young Adult</v>
      </c>
      <c r="L350">
        <v>0</v>
      </c>
      <c r="M350">
        <v>0</v>
      </c>
      <c r="N350" s="1">
        <f t="shared" si="22"/>
        <v>1</v>
      </c>
      <c r="O350" s="1" t="str">
        <f t="shared" si="23"/>
        <v>Single</v>
      </c>
      <c r="P350">
        <v>13</v>
      </c>
      <c r="Q350" s="1" t="str" cm="1">
        <f t="array" ref="Q350">_xlfn.IFS(P350&lt;=50,"Low",P350&lt;=100,"Medium",P350&gt;100,"High")</f>
        <v>Low</v>
      </c>
      <c r="R350" t="s">
        <v>17</v>
      </c>
      <c r="S350" s="1" t="str" cm="1">
        <f t="array" ref="S350">_xlfn.IFS(R350="S","Southampton",R350="C","Cherbourg",R350="Q","Queenstown")</f>
        <v>Southampton</v>
      </c>
    </row>
    <row r="351" spans="1:19" x14ac:dyDescent="0.3">
      <c r="A351">
        <v>350</v>
      </c>
      <c r="B351">
        <v>2</v>
      </c>
      <c r="C351" s="1" t="str" cm="1">
        <f t="array" ref="C351">_xlfn.IFS(B351=1,"First Class",B351=2,"Second Class",B351=3,"Third Class")</f>
        <v>Second Class</v>
      </c>
      <c r="D351">
        <v>1</v>
      </c>
      <c r="E351" s="1" t="str">
        <f t="shared" si="20"/>
        <v>Alive</v>
      </c>
      <c r="F351" t="s">
        <v>742</v>
      </c>
      <c r="G351" s="1" t="s">
        <v>2994</v>
      </c>
      <c r="H351" t="s">
        <v>15</v>
      </c>
      <c r="I351" s="1" t="str">
        <f t="shared" si="21"/>
        <v>Female</v>
      </c>
      <c r="J351" s="3">
        <v>24</v>
      </c>
      <c r="K351" s="3" t="str" cm="1">
        <f t="array" ref="K351">_xlfn.IFS(J351&lt;=13,"Child",J351&lt;=18,"Teenager",J351&lt;=30,"Young Adult",J351&lt;=50,"Middle Aged Adult",J351&gt;50,"Senior")</f>
        <v>Young Adult</v>
      </c>
      <c r="L351">
        <v>0</v>
      </c>
      <c r="M351">
        <v>0</v>
      </c>
      <c r="N351" s="1">
        <f t="shared" si="22"/>
        <v>1</v>
      </c>
      <c r="O351" s="1" t="str">
        <f t="shared" si="23"/>
        <v>Single</v>
      </c>
      <c r="P351">
        <v>13</v>
      </c>
      <c r="Q351" s="1" t="str" cm="1">
        <f t="array" ref="Q351">_xlfn.IFS(P351&lt;=50,"Low",P351&lt;=100,"Medium",P351&gt;100,"High")</f>
        <v>Low</v>
      </c>
      <c r="R351" t="s">
        <v>17</v>
      </c>
      <c r="S351" s="1" t="str" cm="1">
        <f t="array" ref="S351">_xlfn.IFS(R351="S","Southampton",R351="C","Cherbourg",R351="Q","Queenstown")</f>
        <v>Southampton</v>
      </c>
    </row>
    <row r="352" spans="1:19" x14ac:dyDescent="0.3">
      <c r="A352">
        <v>351</v>
      </c>
      <c r="B352">
        <v>2</v>
      </c>
      <c r="C352" s="1" t="str" cm="1">
        <f t="array" ref="C352">_xlfn.IFS(B352=1,"First Class",B352=2,"Second Class",B352=3,"Third Class")</f>
        <v>Second Class</v>
      </c>
      <c r="D352">
        <v>1</v>
      </c>
      <c r="E352" s="1" t="str">
        <f t="shared" si="20"/>
        <v>Alive</v>
      </c>
      <c r="F352" t="s">
        <v>745</v>
      </c>
      <c r="G352" s="1" t="s">
        <v>2994</v>
      </c>
      <c r="H352" t="s">
        <v>15</v>
      </c>
      <c r="I352" s="1" t="str">
        <f t="shared" si="21"/>
        <v>Female</v>
      </c>
      <c r="J352" s="3">
        <v>15</v>
      </c>
      <c r="K352" s="3" t="str" cm="1">
        <f t="array" ref="K352">_xlfn.IFS(J352&lt;=13,"Child",J352&lt;=18,"Teenager",J352&lt;=30,"Young Adult",J352&lt;=50,"Middle Aged Adult",J352&gt;50,"Senior")</f>
        <v>Teenager</v>
      </c>
      <c r="L352">
        <v>0</v>
      </c>
      <c r="M352">
        <v>2</v>
      </c>
      <c r="N352" s="1">
        <f t="shared" si="22"/>
        <v>3</v>
      </c>
      <c r="O352" s="1" t="str">
        <f t="shared" si="23"/>
        <v>With Family</v>
      </c>
      <c r="P352">
        <v>39</v>
      </c>
      <c r="Q352" s="1" t="str" cm="1">
        <f t="array" ref="Q352">_xlfn.IFS(P352&lt;=50,"Low",P352&lt;=100,"Medium",P352&gt;100,"High")</f>
        <v>Low</v>
      </c>
      <c r="R352" t="s">
        <v>17</v>
      </c>
      <c r="S352" s="1" t="str" cm="1">
        <f t="array" ref="S352">_xlfn.IFS(R352="S","Southampton",R352="C","Cherbourg",R352="Q","Queenstown")</f>
        <v>Southampton</v>
      </c>
    </row>
    <row r="353" spans="1:19" x14ac:dyDescent="0.3">
      <c r="A353">
        <v>352</v>
      </c>
      <c r="B353">
        <v>2</v>
      </c>
      <c r="C353" s="1" t="str" cm="1">
        <f t="array" ref="C353">_xlfn.IFS(B353=1,"First Class",B353=2,"Second Class",B353=3,"Third Class")</f>
        <v>Second Class</v>
      </c>
      <c r="D353">
        <v>0</v>
      </c>
      <c r="E353" s="1" t="str">
        <f t="shared" si="20"/>
        <v>Dead</v>
      </c>
      <c r="F353" t="s">
        <v>747</v>
      </c>
      <c r="G353" s="1" t="s">
        <v>2999</v>
      </c>
      <c r="H353" t="s">
        <v>20</v>
      </c>
      <c r="I353" s="1" t="str">
        <f t="shared" si="21"/>
        <v>Male</v>
      </c>
      <c r="J353" s="3">
        <v>60</v>
      </c>
      <c r="K353" s="3" t="str" cm="1">
        <f t="array" ref="K353">_xlfn.IFS(J353&lt;=13,"Child",J353&lt;=18,"Teenager",J353&lt;=30,"Young Adult",J353&lt;=50,"Middle Aged Adult",J353&gt;50,"Senior")</f>
        <v>Senior</v>
      </c>
      <c r="L353">
        <v>1</v>
      </c>
      <c r="M353">
        <v>1</v>
      </c>
      <c r="N353" s="1">
        <f t="shared" si="22"/>
        <v>3</v>
      </c>
      <c r="O353" s="1" t="str">
        <f t="shared" si="23"/>
        <v>With Family</v>
      </c>
      <c r="P353">
        <v>39</v>
      </c>
      <c r="Q353" s="1" t="str" cm="1">
        <f t="array" ref="Q353">_xlfn.IFS(P353&lt;=50,"Low",P353&lt;=100,"Medium",P353&gt;100,"High")</f>
        <v>Low</v>
      </c>
      <c r="R353" t="s">
        <v>17</v>
      </c>
      <c r="S353" s="1" t="str" cm="1">
        <f t="array" ref="S353">_xlfn.IFS(R353="S","Southampton",R353="C","Cherbourg",R353="Q","Queenstown")</f>
        <v>Southampton</v>
      </c>
    </row>
    <row r="354" spans="1:19" x14ac:dyDescent="0.3">
      <c r="A354">
        <v>353</v>
      </c>
      <c r="B354">
        <v>2</v>
      </c>
      <c r="C354" s="1" t="str" cm="1">
        <f t="array" ref="C354">_xlfn.IFS(B354=1,"First Class",B354=2,"Second Class",B354=3,"Third Class")</f>
        <v>Second Class</v>
      </c>
      <c r="D354">
        <v>1</v>
      </c>
      <c r="E354" s="1" t="str">
        <f t="shared" si="20"/>
        <v>Alive</v>
      </c>
      <c r="F354" t="s">
        <v>748</v>
      </c>
      <c r="G354" s="1" t="s">
        <v>3001</v>
      </c>
      <c r="H354" t="s">
        <v>15</v>
      </c>
      <c r="I354" s="1" t="str">
        <f t="shared" si="21"/>
        <v>Female</v>
      </c>
      <c r="J354" s="3">
        <v>40</v>
      </c>
      <c r="K354" s="3" t="str" cm="1">
        <f t="array" ref="K354">_xlfn.IFS(J354&lt;=13,"Child",J354&lt;=18,"Teenager",J354&lt;=30,"Young Adult",J354&lt;=50,"Middle Aged Adult",J354&gt;50,"Senior")</f>
        <v>Middle Aged Adult</v>
      </c>
      <c r="L354">
        <v>1</v>
      </c>
      <c r="M354">
        <v>1</v>
      </c>
      <c r="N354" s="1">
        <f t="shared" si="22"/>
        <v>3</v>
      </c>
      <c r="O354" s="1" t="str">
        <f t="shared" si="23"/>
        <v>With Family</v>
      </c>
      <c r="P354">
        <v>39</v>
      </c>
      <c r="Q354" s="1" t="str" cm="1">
        <f t="array" ref="Q354">_xlfn.IFS(P354&lt;=50,"Low",P354&lt;=100,"Medium",P354&gt;100,"High")</f>
        <v>Low</v>
      </c>
      <c r="R354" t="s">
        <v>17</v>
      </c>
      <c r="S354" s="1" t="str" cm="1">
        <f t="array" ref="S354">_xlfn.IFS(R354="S","Southampton",R354="C","Cherbourg",R354="Q","Queenstown")</f>
        <v>Southampton</v>
      </c>
    </row>
    <row r="355" spans="1:19" x14ac:dyDescent="0.3">
      <c r="A355">
        <v>354</v>
      </c>
      <c r="B355">
        <v>2</v>
      </c>
      <c r="C355" s="1" t="str" cm="1">
        <f t="array" ref="C355">_xlfn.IFS(B355=1,"First Class",B355=2,"Second Class",B355=3,"Third Class")</f>
        <v>Second Class</v>
      </c>
      <c r="D355">
        <v>1</v>
      </c>
      <c r="E355" s="1" t="str">
        <f t="shared" si="20"/>
        <v>Alive</v>
      </c>
      <c r="F355" t="s">
        <v>749</v>
      </c>
      <c r="G355" s="1" t="s">
        <v>2994</v>
      </c>
      <c r="H355" t="s">
        <v>15</v>
      </c>
      <c r="I355" s="1" t="str">
        <f t="shared" si="21"/>
        <v>Female</v>
      </c>
      <c r="J355" s="3">
        <v>20</v>
      </c>
      <c r="K355" s="3" t="str" cm="1">
        <f t="array" ref="K355">_xlfn.IFS(J355&lt;=13,"Child",J355&lt;=18,"Teenager",J355&lt;=30,"Young Adult",J355&lt;=50,"Middle Aged Adult",J355&gt;50,"Senior")</f>
        <v>Young Adult</v>
      </c>
      <c r="L355">
        <v>1</v>
      </c>
      <c r="M355">
        <v>0</v>
      </c>
      <c r="N355" s="1">
        <f t="shared" si="22"/>
        <v>2</v>
      </c>
      <c r="O355" s="1" t="str">
        <f t="shared" si="23"/>
        <v>With Family</v>
      </c>
      <c r="P355">
        <v>26</v>
      </c>
      <c r="Q355" s="1" t="str" cm="1">
        <f t="array" ref="Q355">_xlfn.IFS(P355&lt;=50,"Low",P355&lt;=100,"Medium",P355&gt;100,"High")</f>
        <v>Low</v>
      </c>
      <c r="R355" t="s">
        <v>17</v>
      </c>
      <c r="S355" s="1" t="str" cm="1">
        <f t="array" ref="S355">_xlfn.IFS(R355="S","Southampton",R355="C","Cherbourg",R355="Q","Queenstown")</f>
        <v>Southampton</v>
      </c>
    </row>
    <row r="356" spans="1:19" x14ac:dyDescent="0.3">
      <c r="A356">
        <v>355</v>
      </c>
      <c r="B356">
        <v>2</v>
      </c>
      <c r="C356" s="1" t="str" cm="1">
        <f t="array" ref="C356">_xlfn.IFS(B356=1,"First Class",B356=2,"Second Class",B356=3,"Third Class")</f>
        <v>Second Class</v>
      </c>
      <c r="D356">
        <v>0</v>
      </c>
      <c r="E356" s="1" t="str">
        <f t="shared" si="20"/>
        <v>Dead</v>
      </c>
      <c r="F356" t="s">
        <v>751</v>
      </c>
      <c r="G356" s="1" t="s">
        <v>2999</v>
      </c>
      <c r="H356" t="s">
        <v>20</v>
      </c>
      <c r="I356" s="1" t="str">
        <f t="shared" si="21"/>
        <v>Male</v>
      </c>
      <c r="J356" s="3">
        <v>25</v>
      </c>
      <c r="K356" s="3" t="str" cm="1">
        <f t="array" ref="K356">_xlfn.IFS(J356&lt;=13,"Child",J356&lt;=18,"Teenager",J356&lt;=30,"Young Adult",J356&lt;=50,"Middle Aged Adult",J356&gt;50,"Senior")</f>
        <v>Young Adult</v>
      </c>
      <c r="L356">
        <v>1</v>
      </c>
      <c r="M356">
        <v>0</v>
      </c>
      <c r="N356" s="1">
        <f t="shared" si="22"/>
        <v>2</v>
      </c>
      <c r="O356" s="1" t="str">
        <f t="shared" si="23"/>
        <v>With Family</v>
      </c>
      <c r="P356">
        <v>26</v>
      </c>
      <c r="Q356" s="1" t="str" cm="1">
        <f t="array" ref="Q356">_xlfn.IFS(P356&lt;=50,"Low",P356&lt;=100,"Medium",P356&gt;100,"High")</f>
        <v>Low</v>
      </c>
      <c r="R356" t="s">
        <v>17</v>
      </c>
      <c r="S356" s="1" t="str" cm="1">
        <f t="array" ref="S356">_xlfn.IFS(R356="S","Southampton",R356="C","Cherbourg",R356="Q","Queenstown")</f>
        <v>Southampton</v>
      </c>
    </row>
    <row r="357" spans="1:19" x14ac:dyDescent="0.3">
      <c r="A357">
        <v>356</v>
      </c>
      <c r="B357">
        <v>2</v>
      </c>
      <c r="C357" s="1" t="str" cm="1">
        <f t="array" ref="C357">_xlfn.IFS(B357=1,"First Class",B357=2,"Second Class",B357=3,"Third Class")</f>
        <v>Second Class</v>
      </c>
      <c r="D357">
        <v>1</v>
      </c>
      <c r="E357" s="1" t="str">
        <f t="shared" si="20"/>
        <v>Alive</v>
      </c>
      <c r="F357" t="s">
        <v>752</v>
      </c>
      <c r="G357" s="1" t="s">
        <v>2994</v>
      </c>
      <c r="H357" t="s">
        <v>15</v>
      </c>
      <c r="I357" s="1" t="str">
        <f t="shared" si="21"/>
        <v>Female</v>
      </c>
      <c r="J357" s="3">
        <v>36</v>
      </c>
      <c r="K357" s="3" t="str" cm="1">
        <f t="array" ref="K357">_xlfn.IFS(J357&lt;=13,"Child",J357&lt;=18,"Teenager",J357&lt;=30,"Young Adult",J357&lt;=50,"Middle Aged Adult",J357&gt;50,"Senior")</f>
        <v>Middle Aged Adult</v>
      </c>
      <c r="L357">
        <v>0</v>
      </c>
      <c r="M357">
        <v>0</v>
      </c>
      <c r="N357" s="1">
        <f t="shared" si="22"/>
        <v>1</v>
      </c>
      <c r="O357" s="1" t="str">
        <f t="shared" si="23"/>
        <v>Single</v>
      </c>
      <c r="P357">
        <v>13</v>
      </c>
      <c r="Q357" s="1" t="str" cm="1">
        <f t="array" ref="Q357">_xlfn.IFS(P357&lt;=50,"Low",P357&lt;=100,"Medium",P357&gt;100,"High")</f>
        <v>Low</v>
      </c>
      <c r="R357" t="s">
        <v>17</v>
      </c>
      <c r="S357" s="1" t="str" cm="1">
        <f t="array" ref="S357">_xlfn.IFS(R357="S","Southampton",R357="C","Cherbourg",R357="Q","Queenstown")</f>
        <v>Southampton</v>
      </c>
    </row>
    <row r="358" spans="1:19" x14ac:dyDescent="0.3">
      <c r="A358">
        <v>357</v>
      </c>
      <c r="B358">
        <v>2</v>
      </c>
      <c r="C358" s="1" t="str" cm="1">
        <f t="array" ref="C358">_xlfn.IFS(B358=1,"First Class",B358=2,"Second Class",B358=3,"Third Class")</f>
        <v>Second Class</v>
      </c>
      <c r="D358">
        <v>0</v>
      </c>
      <c r="E358" s="1" t="str">
        <f t="shared" si="20"/>
        <v>Dead</v>
      </c>
      <c r="F358" t="s">
        <v>754</v>
      </c>
      <c r="G358" s="1" t="s">
        <v>2999</v>
      </c>
      <c r="H358" t="s">
        <v>20</v>
      </c>
      <c r="I358" s="1" t="str">
        <f t="shared" si="21"/>
        <v>Male</v>
      </c>
      <c r="J358" s="3">
        <v>25</v>
      </c>
      <c r="K358" s="3" t="str" cm="1">
        <f t="array" ref="K358">_xlfn.IFS(J358&lt;=13,"Child",J358&lt;=18,"Teenager",J358&lt;=30,"Young Adult",J358&lt;=50,"Middle Aged Adult",J358&gt;50,"Senior")</f>
        <v>Young Adult</v>
      </c>
      <c r="L358">
        <v>0</v>
      </c>
      <c r="M358">
        <v>0</v>
      </c>
      <c r="N358" s="1">
        <f t="shared" si="22"/>
        <v>1</v>
      </c>
      <c r="O358" s="1" t="str">
        <f t="shared" si="23"/>
        <v>Single</v>
      </c>
      <c r="P358">
        <v>13</v>
      </c>
      <c r="Q358" s="1" t="str" cm="1">
        <f t="array" ref="Q358">_xlfn.IFS(P358&lt;=50,"Low",P358&lt;=100,"Medium",P358&gt;100,"High")</f>
        <v>Low</v>
      </c>
      <c r="R358" t="s">
        <v>17</v>
      </c>
      <c r="S358" s="1" t="str" cm="1">
        <f t="array" ref="S358">_xlfn.IFS(R358="S","Southampton",R358="C","Cherbourg",R358="Q","Queenstown")</f>
        <v>Southampton</v>
      </c>
    </row>
    <row r="359" spans="1:19" x14ac:dyDescent="0.3">
      <c r="A359">
        <v>358</v>
      </c>
      <c r="B359">
        <v>2</v>
      </c>
      <c r="C359" s="1" t="str" cm="1">
        <f t="array" ref="C359">_xlfn.IFS(B359=1,"First Class",B359=2,"Second Class",B359=3,"Third Class")</f>
        <v>Second Class</v>
      </c>
      <c r="D359">
        <v>0</v>
      </c>
      <c r="E359" s="1" t="str">
        <f t="shared" si="20"/>
        <v>Dead</v>
      </c>
      <c r="F359" t="s">
        <v>756</v>
      </c>
      <c r="G359" s="1" t="s">
        <v>3338</v>
      </c>
      <c r="H359" t="s">
        <v>20</v>
      </c>
      <c r="I359" s="1" t="str">
        <f t="shared" si="21"/>
        <v>Male</v>
      </c>
      <c r="J359" s="3">
        <v>42</v>
      </c>
      <c r="K359" s="3" t="str" cm="1">
        <f t="array" ref="K359">_xlfn.IFS(J359&lt;=13,"Child",J359&lt;=18,"Teenager",J359&lt;=30,"Young Adult",J359&lt;=50,"Middle Aged Adult",J359&gt;50,"Senior")</f>
        <v>Middle Aged Adult</v>
      </c>
      <c r="L359">
        <v>0</v>
      </c>
      <c r="M359">
        <v>0</v>
      </c>
      <c r="N359" s="1">
        <f t="shared" si="22"/>
        <v>1</v>
      </c>
      <c r="O359" s="1" t="str">
        <f t="shared" si="23"/>
        <v>Single</v>
      </c>
      <c r="P359">
        <v>13</v>
      </c>
      <c r="Q359" s="1" t="str" cm="1">
        <f t="array" ref="Q359">_xlfn.IFS(P359&lt;=50,"Low",P359&lt;=100,"Medium",P359&gt;100,"High")</f>
        <v>Low</v>
      </c>
      <c r="R359" t="s">
        <v>17</v>
      </c>
      <c r="S359" s="1" t="str" cm="1">
        <f t="array" ref="S359">_xlfn.IFS(R359="S","Southampton",R359="C","Cherbourg",R359="Q","Queenstown")</f>
        <v>Southampton</v>
      </c>
    </row>
    <row r="360" spans="1:19" x14ac:dyDescent="0.3">
      <c r="A360">
        <v>359</v>
      </c>
      <c r="B360">
        <v>2</v>
      </c>
      <c r="C360" s="1" t="str" cm="1">
        <f t="array" ref="C360">_xlfn.IFS(B360=1,"First Class",B360=2,"Second Class",B360=3,"Third Class")</f>
        <v>Second Class</v>
      </c>
      <c r="D360">
        <v>1</v>
      </c>
      <c r="E360" s="1" t="str">
        <f t="shared" si="20"/>
        <v>Alive</v>
      </c>
      <c r="F360" t="s">
        <v>757</v>
      </c>
      <c r="G360" s="1" t="s">
        <v>3001</v>
      </c>
      <c r="H360" t="s">
        <v>15</v>
      </c>
      <c r="I360" s="1" t="str">
        <f t="shared" si="21"/>
        <v>Female</v>
      </c>
      <c r="J360" s="3">
        <v>42</v>
      </c>
      <c r="K360" s="3" t="str" cm="1">
        <f t="array" ref="K360">_xlfn.IFS(J360&lt;=13,"Child",J360&lt;=18,"Teenager",J360&lt;=30,"Young Adult",J360&lt;=50,"Middle Aged Adult",J360&gt;50,"Senior")</f>
        <v>Middle Aged Adult</v>
      </c>
      <c r="L360">
        <v>0</v>
      </c>
      <c r="M360">
        <v>0</v>
      </c>
      <c r="N360" s="1">
        <f t="shared" si="22"/>
        <v>1</v>
      </c>
      <c r="O360" s="1" t="str">
        <f t="shared" si="23"/>
        <v>Single</v>
      </c>
      <c r="P360">
        <v>13</v>
      </c>
      <c r="Q360" s="1" t="str" cm="1">
        <f t="array" ref="Q360">_xlfn.IFS(P360&lt;=50,"Low",P360&lt;=100,"Medium",P360&gt;100,"High")</f>
        <v>Low</v>
      </c>
      <c r="R360" t="s">
        <v>17</v>
      </c>
      <c r="S360" s="1" t="str" cm="1">
        <f t="array" ref="S360">_xlfn.IFS(R360="S","Southampton",R360="C","Cherbourg",R360="Q","Queenstown")</f>
        <v>Southampton</v>
      </c>
    </row>
    <row r="361" spans="1:19" x14ac:dyDescent="0.3">
      <c r="A361">
        <v>360</v>
      </c>
      <c r="B361">
        <v>2</v>
      </c>
      <c r="C361" s="1" t="str" cm="1">
        <f t="array" ref="C361">_xlfn.IFS(B361=1,"First Class",B361=2,"Second Class",B361=3,"Third Class")</f>
        <v>Second Class</v>
      </c>
      <c r="D361">
        <v>1</v>
      </c>
      <c r="E361" s="1" t="str">
        <f t="shared" si="20"/>
        <v>Alive</v>
      </c>
      <c r="F361" t="s">
        <v>758</v>
      </c>
      <c r="G361" s="1" t="s">
        <v>2996</v>
      </c>
      <c r="H361" t="s">
        <v>20</v>
      </c>
      <c r="I361" s="1" t="str">
        <f t="shared" si="21"/>
        <v>Male</v>
      </c>
      <c r="J361" s="3">
        <v>0.83</v>
      </c>
      <c r="K361" s="3" t="str" cm="1">
        <f t="array" ref="K361">_xlfn.IFS(J361&lt;=13,"Child",J361&lt;=18,"Teenager",J361&lt;=30,"Young Adult",J361&lt;=50,"Middle Aged Adult",J361&gt;50,"Senior")</f>
        <v>Child</v>
      </c>
      <c r="L361">
        <v>0</v>
      </c>
      <c r="M361">
        <v>2</v>
      </c>
      <c r="N361" s="1">
        <f t="shared" si="22"/>
        <v>3</v>
      </c>
      <c r="O361" s="1" t="str">
        <f t="shared" si="23"/>
        <v>With Family</v>
      </c>
      <c r="P361">
        <v>29</v>
      </c>
      <c r="Q361" s="1" t="str" cm="1">
        <f t="array" ref="Q361">_xlfn.IFS(P361&lt;=50,"Low",P361&lt;=100,"Medium",P361&gt;100,"High")</f>
        <v>Low</v>
      </c>
      <c r="R361" t="s">
        <v>17</v>
      </c>
      <c r="S361" s="1" t="str" cm="1">
        <f t="array" ref="S361">_xlfn.IFS(R361="S","Southampton",R361="C","Cherbourg",R361="Q","Queenstown")</f>
        <v>Southampton</v>
      </c>
    </row>
    <row r="362" spans="1:19" x14ac:dyDescent="0.3">
      <c r="A362">
        <v>361</v>
      </c>
      <c r="B362">
        <v>2</v>
      </c>
      <c r="C362" s="1" t="str" cm="1">
        <f t="array" ref="C362">_xlfn.IFS(B362=1,"First Class",B362=2,"Second Class",B362=3,"Third Class")</f>
        <v>Second Class</v>
      </c>
      <c r="D362">
        <v>1</v>
      </c>
      <c r="E362" s="1" t="str">
        <f t="shared" si="20"/>
        <v>Alive</v>
      </c>
      <c r="F362" t="s">
        <v>760</v>
      </c>
      <c r="G362" s="1" t="s">
        <v>2999</v>
      </c>
      <c r="H362" t="s">
        <v>20</v>
      </c>
      <c r="I362" s="1" t="str">
        <f t="shared" si="21"/>
        <v>Male</v>
      </c>
      <c r="J362" s="3">
        <v>26</v>
      </c>
      <c r="K362" s="3" t="str" cm="1">
        <f t="array" ref="K362">_xlfn.IFS(J362&lt;=13,"Child",J362&lt;=18,"Teenager",J362&lt;=30,"Young Adult",J362&lt;=50,"Middle Aged Adult",J362&gt;50,"Senior")</f>
        <v>Young Adult</v>
      </c>
      <c r="L362">
        <v>1</v>
      </c>
      <c r="M362">
        <v>1</v>
      </c>
      <c r="N362" s="1">
        <f t="shared" si="22"/>
        <v>3</v>
      </c>
      <c r="O362" s="1" t="str">
        <f t="shared" si="23"/>
        <v>With Family</v>
      </c>
      <c r="P362">
        <v>29</v>
      </c>
      <c r="Q362" s="1" t="str" cm="1">
        <f t="array" ref="Q362">_xlfn.IFS(P362&lt;=50,"Low",P362&lt;=100,"Medium",P362&gt;100,"High")</f>
        <v>Low</v>
      </c>
      <c r="R362" t="s">
        <v>17</v>
      </c>
      <c r="S362" s="1" t="str" cm="1">
        <f t="array" ref="S362">_xlfn.IFS(R362="S","Southampton",R362="C","Cherbourg",R362="Q","Queenstown")</f>
        <v>Southampton</v>
      </c>
    </row>
    <row r="363" spans="1:19" x14ac:dyDescent="0.3">
      <c r="A363">
        <v>362</v>
      </c>
      <c r="B363">
        <v>2</v>
      </c>
      <c r="C363" s="1" t="str" cm="1">
        <f t="array" ref="C363">_xlfn.IFS(B363=1,"First Class",B363=2,"Second Class",B363=3,"Third Class")</f>
        <v>Second Class</v>
      </c>
      <c r="D363">
        <v>1</v>
      </c>
      <c r="E363" s="1" t="str">
        <f t="shared" si="20"/>
        <v>Alive</v>
      </c>
      <c r="F363" t="s">
        <v>761</v>
      </c>
      <c r="G363" s="1" t="s">
        <v>3001</v>
      </c>
      <c r="H363" t="s">
        <v>15</v>
      </c>
      <c r="I363" s="1" t="str">
        <f t="shared" si="21"/>
        <v>Female</v>
      </c>
      <c r="J363" s="3">
        <v>22</v>
      </c>
      <c r="K363" s="3" t="str" cm="1">
        <f t="array" ref="K363">_xlfn.IFS(J363&lt;=13,"Child",J363&lt;=18,"Teenager",J363&lt;=30,"Young Adult",J363&lt;=50,"Middle Aged Adult",J363&gt;50,"Senior")</f>
        <v>Young Adult</v>
      </c>
      <c r="L363">
        <v>1</v>
      </c>
      <c r="M363">
        <v>1</v>
      </c>
      <c r="N363" s="1">
        <f t="shared" si="22"/>
        <v>3</v>
      </c>
      <c r="O363" s="1" t="str">
        <f t="shared" si="23"/>
        <v>With Family</v>
      </c>
      <c r="P363">
        <v>29</v>
      </c>
      <c r="Q363" s="1" t="str" cm="1">
        <f t="array" ref="Q363">_xlfn.IFS(P363&lt;=50,"Low",P363&lt;=100,"Medium",P363&gt;100,"High")</f>
        <v>Low</v>
      </c>
      <c r="R363" t="s">
        <v>17</v>
      </c>
      <c r="S363" s="1" t="str" cm="1">
        <f t="array" ref="S363">_xlfn.IFS(R363="S","Southampton",R363="C","Cherbourg",R363="Q","Queenstown")</f>
        <v>Southampton</v>
      </c>
    </row>
    <row r="364" spans="1:19" x14ac:dyDescent="0.3">
      <c r="A364">
        <v>363</v>
      </c>
      <c r="B364">
        <v>2</v>
      </c>
      <c r="C364" s="1" t="str" cm="1">
        <f t="array" ref="C364">_xlfn.IFS(B364=1,"First Class",B364=2,"Second Class",B364=3,"Third Class")</f>
        <v>Second Class</v>
      </c>
      <c r="D364">
        <v>1</v>
      </c>
      <c r="E364" s="1" t="str">
        <f t="shared" si="20"/>
        <v>Alive</v>
      </c>
      <c r="F364" t="s">
        <v>762</v>
      </c>
      <c r="G364" s="1" t="s">
        <v>2994</v>
      </c>
      <c r="H364" t="s">
        <v>15</v>
      </c>
      <c r="I364" s="1" t="str">
        <f t="shared" si="21"/>
        <v>Female</v>
      </c>
      <c r="J364" s="3">
        <v>35</v>
      </c>
      <c r="K364" s="3" t="str" cm="1">
        <f t="array" ref="K364">_xlfn.IFS(J364&lt;=13,"Child",J364&lt;=18,"Teenager",J364&lt;=30,"Young Adult",J364&lt;=50,"Middle Aged Adult",J364&gt;50,"Senior")</f>
        <v>Middle Aged Adult</v>
      </c>
      <c r="L364">
        <v>0</v>
      </c>
      <c r="M364">
        <v>0</v>
      </c>
      <c r="N364" s="1">
        <f t="shared" si="22"/>
        <v>1</v>
      </c>
      <c r="O364" s="1" t="str">
        <f t="shared" si="23"/>
        <v>Single</v>
      </c>
      <c r="P364">
        <v>21</v>
      </c>
      <c r="Q364" s="1" t="str" cm="1">
        <f t="array" ref="Q364">_xlfn.IFS(P364&lt;=50,"Low",P364&lt;=100,"Medium",P364&gt;100,"High")</f>
        <v>Low</v>
      </c>
      <c r="R364" t="s">
        <v>17</v>
      </c>
      <c r="S364" s="1" t="str" cm="1">
        <f t="array" ref="S364">_xlfn.IFS(R364="S","Southampton",R364="C","Cherbourg",R364="Q","Queenstown")</f>
        <v>Southampton</v>
      </c>
    </row>
    <row r="365" spans="1:19" x14ac:dyDescent="0.3">
      <c r="A365">
        <v>364</v>
      </c>
      <c r="B365">
        <v>2</v>
      </c>
      <c r="C365" s="1" t="str" cm="1">
        <f t="array" ref="C365">_xlfn.IFS(B365=1,"First Class",B365=2,"Second Class",B365=3,"Third Class")</f>
        <v>Second Class</v>
      </c>
      <c r="D365">
        <v>0</v>
      </c>
      <c r="E365" s="1" t="str">
        <f t="shared" si="20"/>
        <v>Dead</v>
      </c>
      <c r="F365" t="s">
        <v>765</v>
      </c>
      <c r="G365" s="1" t="s">
        <v>2999</v>
      </c>
      <c r="H365" t="s">
        <v>20</v>
      </c>
      <c r="I365" s="1" t="str">
        <f t="shared" si="21"/>
        <v>Male</v>
      </c>
      <c r="J365" s="3">
        <v>29.881137667304014</v>
      </c>
      <c r="K365" s="3" t="str" cm="1">
        <f t="array" ref="K365">_xlfn.IFS(J365&lt;=13,"Child",J365&lt;=18,"Teenager",J365&lt;=30,"Young Adult",J365&lt;=50,"Middle Aged Adult",J365&gt;50,"Senior")</f>
        <v>Young Adult</v>
      </c>
      <c r="L365">
        <v>0</v>
      </c>
      <c r="M365">
        <v>0</v>
      </c>
      <c r="N365" s="1">
        <f t="shared" si="22"/>
        <v>1</v>
      </c>
      <c r="O365" s="1" t="str">
        <f t="shared" si="23"/>
        <v>Single</v>
      </c>
      <c r="P365">
        <v>0</v>
      </c>
      <c r="Q365" s="1" t="str" cm="1">
        <f t="array" ref="Q365">_xlfn.IFS(P365&lt;=50,"Low",P365&lt;=100,"Medium",P365&gt;100,"High")</f>
        <v>Low</v>
      </c>
      <c r="R365" t="s">
        <v>17</v>
      </c>
      <c r="S365" s="1" t="str" cm="1">
        <f t="array" ref="S365">_xlfn.IFS(R365="S","Southampton",R365="C","Cherbourg",R365="Q","Queenstown")</f>
        <v>Southampton</v>
      </c>
    </row>
    <row r="366" spans="1:19" x14ac:dyDescent="0.3">
      <c r="A366">
        <v>365</v>
      </c>
      <c r="B366">
        <v>2</v>
      </c>
      <c r="C366" s="1" t="str" cm="1">
        <f t="array" ref="C366">_xlfn.IFS(B366=1,"First Class",B366=2,"Second Class",B366=3,"Third Class")</f>
        <v>Second Class</v>
      </c>
      <c r="D366">
        <v>0</v>
      </c>
      <c r="E366" s="1" t="str">
        <f t="shared" si="20"/>
        <v>Dead</v>
      </c>
      <c r="F366" t="s">
        <v>766</v>
      </c>
      <c r="G366" s="1" t="s">
        <v>2999</v>
      </c>
      <c r="H366" t="s">
        <v>20</v>
      </c>
      <c r="I366" s="1" t="str">
        <f t="shared" si="21"/>
        <v>Male</v>
      </c>
      <c r="J366" s="3">
        <v>19</v>
      </c>
      <c r="K366" s="3" t="str" cm="1">
        <f t="array" ref="K366">_xlfn.IFS(J366&lt;=13,"Child",J366&lt;=18,"Teenager",J366&lt;=30,"Young Adult",J366&lt;=50,"Middle Aged Adult",J366&gt;50,"Senior")</f>
        <v>Young Adult</v>
      </c>
      <c r="L366">
        <v>0</v>
      </c>
      <c r="M366">
        <v>0</v>
      </c>
      <c r="N366" s="1">
        <f t="shared" si="22"/>
        <v>1</v>
      </c>
      <c r="O366" s="1" t="str">
        <f t="shared" si="23"/>
        <v>Single</v>
      </c>
      <c r="P366">
        <v>13</v>
      </c>
      <c r="Q366" s="1" t="str" cm="1">
        <f t="array" ref="Q366">_xlfn.IFS(P366&lt;=50,"Low",P366&lt;=100,"Medium",P366&gt;100,"High")</f>
        <v>Low</v>
      </c>
      <c r="R366" t="s">
        <v>17</v>
      </c>
      <c r="S366" s="1" t="str" cm="1">
        <f t="array" ref="S366">_xlfn.IFS(R366="S","Southampton",R366="C","Cherbourg",R366="Q","Queenstown")</f>
        <v>Southampton</v>
      </c>
    </row>
    <row r="367" spans="1:19" x14ac:dyDescent="0.3">
      <c r="A367">
        <v>366</v>
      </c>
      <c r="B367">
        <v>2</v>
      </c>
      <c r="C367" s="1" t="str" cm="1">
        <f t="array" ref="C367">_xlfn.IFS(B367=1,"First Class",B367=2,"Second Class",B367=3,"Third Class")</f>
        <v>Second Class</v>
      </c>
      <c r="D367">
        <v>0</v>
      </c>
      <c r="E367" s="1" t="str">
        <f t="shared" si="20"/>
        <v>Dead</v>
      </c>
      <c r="F367" t="s">
        <v>767</v>
      </c>
      <c r="G367" s="1" t="s">
        <v>3001</v>
      </c>
      <c r="H367" t="s">
        <v>15</v>
      </c>
      <c r="I367" s="1" t="str">
        <f t="shared" si="21"/>
        <v>Female</v>
      </c>
      <c r="J367" s="3">
        <v>44</v>
      </c>
      <c r="K367" s="3" t="str" cm="1">
        <f t="array" ref="K367">_xlfn.IFS(J367&lt;=13,"Child",J367&lt;=18,"Teenager",J367&lt;=30,"Young Adult",J367&lt;=50,"Middle Aged Adult",J367&gt;50,"Senior")</f>
        <v>Middle Aged Adult</v>
      </c>
      <c r="L367">
        <v>1</v>
      </c>
      <c r="M367">
        <v>0</v>
      </c>
      <c r="N367" s="1">
        <f t="shared" si="22"/>
        <v>2</v>
      </c>
      <c r="O367" s="1" t="str">
        <f t="shared" si="23"/>
        <v>With Family</v>
      </c>
      <c r="P367">
        <v>26</v>
      </c>
      <c r="Q367" s="1" t="str" cm="1">
        <f t="array" ref="Q367">_xlfn.IFS(P367&lt;=50,"Low",P367&lt;=100,"Medium",P367&gt;100,"High")</f>
        <v>Low</v>
      </c>
      <c r="R367" t="s">
        <v>17</v>
      </c>
      <c r="S367" s="1" t="str" cm="1">
        <f t="array" ref="S367">_xlfn.IFS(R367="S","Southampton",R367="C","Cherbourg",R367="Q","Queenstown")</f>
        <v>Southampton</v>
      </c>
    </row>
    <row r="368" spans="1:19" x14ac:dyDescent="0.3">
      <c r="A368">
        <v>367</v>
      </c>
      <c r="B368">
        <v>2</v>
      </c>
      <c r="C368" s="1" t="str" cm="1">
        <f t="array" ref="C368">_xlfn.IFS(B368=1,"First Class",B368=2,"Second Class",B368=3,"Third Class")</f>
        <v>Second Class</v>
      </c>
      <c r="D368">
        <v>0</v>
      </c>
      <c r="E368" s="1" t="str">
        <f t="shared" si="20"/>
        <v>Dead</v>
      </c>
      <c r="F368" t="s">
        <v>768</v>
      </c>
      <c r="G368" s="1" t="s">
        <v>3338</v>
      </c>
      <c r="H368" t="s">
        <v>20</v>
      </c>
      <c r="I368" s="1" t="str">
        <f t="shared" si="21"/>
        <v>Male</v>
      </c>
      <c r="J368" s="3">
        <v>54</v>
      </c>
      <c r="K368" s="3" t="str" cm="1">
        <f t="array" ref="K368">_xlfn.IFS(J368&lt;=13,"Child",J368&lt;=18,"Teenager",J368&lt;=30,"Young Adult",J368&lt;=50,"Middle Aged Adult",J368&gt;50,"Senior")</f>
        <v>Senior</v>
      </c>
      <c r="L368">
        <v>1</v>
      </c>
      <c r="M368">
        <v>0</v>
      </c>
      <c r="N368" s="1">
        <f t="shared" si="22"/>
        <v>2</v>
      </c>
      <c r="O368" s="1" t="str">
        <f t="shared" si="23"/>
        <v>With Family</v>
      </c>
      <c r="P368">
        <v>26</v>
      </c>
      <c r="Q368" s="1" t="str" cm="1">
        <f t="array" ref="Q368">_xlfn.IFS(P368&lt;=50,"Low",P368&lt;=100,"Medium",P368&gt;100,"High")</f>
        <v>Low</v>
      </c>
      <c r="R368" t="s">
        <v>17</v>
      </c>
      <c r="S368" s="1" t="str" cm="1">
        <f t="array" ref="S368">_xlfn.IFS(R368="S","Southampton",R368="C","Cherbourg",R368="Q","Queenstown")</f>
        <v>Southampton</v>
      </c>
    </row>
    <row r="369" spans="1:19" x14ac:dyDescent="0.3">
      <c r="A369">
        <v>368</v>
      </c>
      <c r="B369">
        <v>2</v>
      </c>
      <c r="C369" s="1" t="str" cm="1">
        <f t="array" ref="C369">_xlfn.IFS(B369=1,"First Class",B369=2,"Second Class",B369=3,"Third Class")</f>
        <v>Second Class</v>
      </c>
      <c r="D369">
        <v>0</v>
      </c>
      <c r="E369" s="1" t="str">
        <f t="shared" si="20"/>
        <v>Dead</v>
      </c>
      <c r="F369" t="s">
        <v>769</v>
      </c>
      <c r="G369" s="1" t="s">
        <v>2999</v>
      </c>
      <c r="H369" t="s">
        <v>20</v>
      </c>
      <c r="I369" s="1" t="str">
        <f t="shared" si="21"/>
        <v>Male</v>
      </c>
      <c r="J369" s="3">
        <v>52</v>
      </c>
      <c r="K369" s="3" t="str" cm="1">
        <f t="array" ref="K369">_xlfn.IFS(J369&lt;=13,"Child",J369&lt;=18,"Teenager",J369&lt;=30,"Young Adult",J369&lt;=50,"Middle Aged Adult",J369&gt;50,"Senior")</f>
        <v>Senior</v>
      </c>
      <c r="L369">
        <v>0</v>
      </c>
      <c r="M369">
        <v>0</v>
      </c>
      <c r="N369" s="1">
        <f t="shared" si="22"/>
        <v>1</v>
      </c>
      <c r="O369" s="1" t="str">
        <f t="shared" si="23"/>
        <v>Single</v>
      </c>
      <c r="P369">
        <v>13.5</v>
      </c>
      <c r="Q369" s="1" t="str" cm="1">
        <f t="array" ref="Q369">_xlfn.IFS(P369&lt;=50,"Low",P369&lt;=100,"Medium",P369&gt;100,"High")</f>
        <v>Low</v>
      </c>
      <c r="R369" t="s">
        <v>17</v>
      </c>
      <c r="S369" s="1" t="str" cm="1">
        <f t="array" ref="S369">_xlfn.IFS(R369="S","Southampton",R369="C","Cherbourg",R369="Q","Queenstown")</f>
        <v>Southampton</v>
      </c>
    </row>
    <row r="370" spans="1:19" x14ac:dyDescent="0.3">
      <c r="A370">
        <v>369</v>
      </c>
      <c r="B370">
        <v>2</v>
      </c>
      <c r="C370" s="1" t="str" cm="1">
        <f t="array" ref="C370">_xlfn.IFS(B370=1,"First Class",B370=2,"Second Class",B370=3,"Third Class")</f>
        <v>Second Class</v>
      </c>
      <c r="D370">
        <v>0</v>
      </c>
      <c r="E370" s="1" t="str">
        <f t="shared" si="20"/>
        <v>Dead</v>
      </c>
      <c r="F370" t="s">
        <v>771</v>
      </c>
      <c r="G370" s="1" t="s">
        <v>2999</v>
      </c>
      <c r="H370" t="s">
        <v>20</v>
      </c>
      <c r="I370" s="1" t="str">
        <f t="shared" si="21"/>
        <v>Male</v>
      </c>
      <c r="J370" s="3">
        <v>37</v>
      </c>
      <c r="K370" s="3" t="str" cm="1">
        <f t="array" ref="K370">_xlfn.IFS(J370&lt;=13,"Child",J370&lt;=18,"Teenager",J370&lt;=30,"Young Adult",J370&lt;=50,"Middle Aged Adult",J370&gt;50,"Senior")</f>
        <v>Middle Aged Adult</v>
      </c>
      <c r="L370">
        <v>1</v>
      </c>
      <c r="M370">
        <v>0</v>
      </c>
      <c r="N370" s="1">
        <f t="shared" si="22"/>
        <v>2</v>
      </c>
      <c r="O370" s="1" t="str">
        <f t="shared" si="23"/>
        <v>With Family</v>
      </c>
      <c r="P370">
        <v>26</v>
      </c>
      <c r="Q370" s="1" t="str" cm="1">
        <f t="array" ref="Q370">_xlfn.IFS(P370&lt;=50,"Low",P370&lt;=100,"Medium",P370&gt;100,"High")</f>
        <v>Low</v>
      </c>
      <c r="R370" t="s">
        <v>17</v>
      </c>
      <c r="S370" s="1" t="str" cm="1">
        <f t="array" ref="S370">_xlfn.IFS(R370="S","Southampton",R370="C","Cherbourg",R370="Q","Queenstown")</f>
        <v>Southampton</v>
      </c>
    </row>
    <row r="371" spans="1:19" x14ac:dyDescent="0.3">
      <c r="A371">
        <v>370</v>
      </c>
      <c r="B371">
        <v>2</v>
      </c>
      <c r="C371" s="1" t="str" cm="1">
        <f t="array" ref="C371">_xlfn.IFS(B371=1,"First Class",B371=2,"Second Class",B371=3,"Third Class")</f>
        <v>Second Class</v>
      </c>
      <c r="D371">
        <v>0</v>
      </c>
      <c r="E371" s="1" t="str">
        <f t="shared" si="20"/>
        <v>Dead</v>
      </c>
      <c r="F371" t="s">
        <v>774</v>
      </c>
      <c r="G371" s="1" t="s">
        <v>3001</v>
      </c>
      <c r="H371" t="s">
        <v>15</v>
      </c>
      <c r="I371" s="1" t="str">
        <f t="shared" si="21"/>
        <v>Female</v>
      </c>
      <c r="J371" s="3">
        <v>29</v>
      </c>
      <c r="K371" s="3" t="str" cm="1">
        <f t="array" ref="K371">_xlfn.IFS(J371&lt;=13,"Child",J371&lt;=18,"Teenager",J371&lt;=30,"Young Adult",J371&lt;=50,"Middle Aged Adult",J371&gt;50,"Senior")</f>
        <v>Young Adult</v>
      </c>
      <c r="L371">
        <v>1</v>
      </c>
      <c r="M371">
        <v>0</v>
      </c>
      <c r="N371" s="1">
        <f t="shared" si="22"/>
        <v>2</v>
      </c>
      <c r="O371" s="1" t="str">
        <f t="shared" si="23"/>
        <v>With Family</v>
      </c>
      <c r="P371">
        <v>26</v>
      </c>
      <c r="Q371" s="1" t="str" cm="1">
        <f t="array" ref="Q371">_xlfn.IFS(P371&lt;=50,"Low",P371&lt;=100,"Medium",P371&gt;100,"High")</f>
        <v>Low</v>
      </c>
      <c r="R371" t="s">
        <v>17</v>
      </c>
      <c r="S371" s="1" t="str" cm="1">
        <f t="array" ref="S371">_xlfn.IFS(R371="S","Southampton",R371="C","Cherbourg",R371="Q","Queenstown")</f>
        <v>Southampton</v>
      </c>
    </row>
    <row r="372" spans="1:19" x14ac:dyDescent="0.3">
      <c r="A372">
        <v>371</v>
      </c>
      <c r="B372">
        <v>2</v>
      </c>
      <c r="C372" s="1" t="str" cm="1">
        <f t="array" ref="C372">_xlfn.IFS(B372=1,"First Class",B372=2,"Second Class",B372=3,"Third Class")</f>
        <v>Second Class</v>
      </c>
      <c r="D372">
        <v>1</v>
      </c>
      <c r="E372" s="1" t="str">
        <f t="shared" si="20"/>
        <v>Alive</v>
      </c>
      <c r="F372" t="s">
        <v>775</v>
      </c>
      <c r="G372" s="1" t="s">
        <v>2994</v>
      </c>
      <c r="H372" t="s">
        <v>15</v>
      </c>
      <c r="I372" s="1" t="str">
        <f t="shared" si="21"/>
        <v>Female</v>
      </c>
      <c r="J372" s="3">
        <v>25</v>
      </c>
      <c r="K372" s="3" t="str" cm="1">
        <f t="array" ref="K372">_xlfn.IFS(J372&lt;=13,"Child",J372&lt;=18,"Teenager",J372&lt;=30,"Young Adult",J372&lt;=50,"Middle Aged Adult",J372&gt;50,"Senior")</f>
        <v>Young Adult</v>
      </c>
      <c r="L372">
        <v>1</v>
      </c>
      <c r="M372">
        <v>1</v>
      </c>
      <c r="N372" s="1">
        <f t="shared" si="22"/>
        <v>3</v>
      </c>
      <c r="O372" s="1" t="str">
        <f t="shared" si="23"/>
        <v>With Family</v>
      </c>
      <c r="P372">
        <v>30</v>
      </c>
      <c r="Q372" s="1" t="str" cm="1">
        <f t="array" ref="Q372">_xlfn.IFS(P372&lt;=50,"Low",P372&lt;=100,"Medium",P372&gt;100,"High")</f>
        <v>Low</v>
      </c>
      <c r="R372" t="s">
        <v>17</v>
      </c>
      <c r="S372" s="1" t="str" cm="1">
        <f t="array" ref="S372">_xlfn.IFS(R372="S","Southampton",R372="C","Cherbourg",R372="Q","Queenstown")</f>
        <v>Southampton</v>
      </c>
    </row>
    <row r="373" spans="1:19" x14ac:dyDescent="0.3">
      <c r="A373">
        <v>372</v>
      </c>
      <c r="B373">
        <v>2</v>
      </c>
      <c r="C373" s="1" t="str" cm="1">
        <f t="array" ref="C373">_xlfn.IFS(B373=1,"First Class",B373=2,"Second Class",B373=3,"Third Class")</f>
        <v>Second Class</v>
      </c>
      <c r="D373">
        <v>1</v>
      </c>
      <c r="E373" s="1" t="str">
        <f t="shared" si="20"/>
        <v>Alive</v>
      </c>
      <c r="F373" t="s">
        <v>776</v>
      </c>
      <c r="G373" s="1" t="s">
        <v>3001</v>
      </c>
      <c r="H373" t="s">
        <v>15</v>
      </c>
      <c r="I373" s="1" t="str">
        <f t="shared" si="21"/>
        <v>Female</v>
      </c>
      <c r="J373" s="3">
        <v>45</v>
      </c>
      <c r="K373" s="3" t="str" cm="1">
        <f t="array" ref="K373">_xlfn.IFS(J373&lt;=13,"Child",J373&lt;=18,"Teenager",J373&lt;=30,"Young Adult",J373&lt;=50,"Middle Aged Adult",J373&gt;50,"Senior")</f>
        <v>Middle Aged Adult</v>
      </c>
      <c r="L373">
        <v>0</v>
      </c>
      <c r="M373">
        <v>2</v>
      </c>
      <c r="N373" s="1">
        <f t="shared" si="22"/>
        <v>3</v>
      </c>
      <c r="O373" s="1" t="str">
        <f t="shared" si="23"/>
        <v>With Family</v>
      </c>
      <c r="P373">
        <v>30</v>
      </c>
      <c r="Q373" s="1" t="str" cm="1">
        <f t="array" ref="Q373">_xlfn.IFS(P373&lt;=50,"Low",P373&lt;=100,"Medium",P373&gt;100,"High")</f>
        <v>Low</v>
      </c>
      <c r="R373" t="s">
        <v>17</v>
      </c>
      <c r="S373" s="1" t="str" cm="1">
        <f t="array" ref="S373">_xlfn.IFS(R373="S","Southampton",R373="C","Cherbourg",R373="Q","Queenstown")</f>
        <v>Southampton</v>
      </c>
    </row>
    <row r="374" spans="1:19" x14ac:dyDescent="0.3">
      <c r="A374">
        <v>373</v>
      </c>
      <c r="B374">
        <v>2</v>
      </c>
      <c r="C374" s="1" t="str" cm="1">
        <f t="array" ref="C374">_xlfn.IFS(B374=1,"First Class",B374=2,"Second Class",B374=3,"Third Class")</f>
        <v>Second Class</v>
      </c>
      <c r="D374">
        <v>0</v>
      </c>
      <c r="E374" s="1" t="str">
        <f t="shared" si="20"/>
        <v>Dead</v>
      </c>
      <c r="F374" t="s">
        <v>777</v>
      </c>
      <c r="G374" s="1" t="s">
        <v>2999</v>
      </c>
      <c r="H374" t="s">
        <v>20</v>
      </c>
      <c r="I374" s="1" t="str">
        <f t="shared" si="21"/>
        <v>Male</v>
      </c>
      <c r="J374" s="3">
        <v>29</v>
      </c>
      <c r="K374" s="3" t="str" cm="1">
        <f t="array" ref="K374">_xlfn.IFS(J374&lt;=13,"Child",J374&lt;=18,"Teenager",J374&lt;=30,"Young Adult",J374&lt;=50,"Middle Aged Adult",J374&gt;50,"Senior")</f>
        <v>Young Adult</v>
      </c>
      <c r="L374">
        <v>1</v>
      </c>
      <c r="M374">
        <v>0</v>
      </c>
      <c r="N374" s="1">
        <f t="shared" si="22"/>
        <v>2</v>
      </c>
      <c r="O374" s="1" t="str">
        <f t="shared" si="23"/>
        <v>With Family</v>
      </c>
      <c r="P374">
        <v>26</v>
      </c>
      <c r="Q374" s="1" t="str" cm="1">
        <f t="array" ref="Q374">_xlfn.IFS(P374&lt;=50,"Low",P374&lt;=100,"Medium",P374&gt;100,"High")</f>
        <v>Low</v>
      </c>
      <c r="R374" t="s">
        <v>17</v>
      </c>
      <c r="S374" s="1" t="str" cm="1">
        <f t="array" ref="S374">_xlfn.IFS(R374="S","Southampton",R374="C","Cherbourg",R374="Q","Queenstown")</f>
        <v>Southampton</v>
      </c>
    </row>
    <row r="375" spans="1:19" x14ac:dyDescent="0.3">
      <c r="A375">
        <v>374</v>
      </c>
      <c r="B375">
        <v>2</v>
      </c>
      <c r="C375" s="1" t="str" cm="1">
        <f t="array" ref="C375">_xlfn.IFS(B375=1,"First Class",B375=2,"Second Class",B375=3,"Third Class")</f>
        <v>Second Class</v>
      </c>
      <c r="D375">
        <v>1</v>
      </c>
      <c r="E375" s="1" t="str">
        <f t="shared" si="20"/>
        <v>Alive</v>
      </c>
      <c r="F375" t="s">
        <v>779</v>
      </c>
      <c r="G375" s="1" t="s">
        <v>3001</v>
      </c>
      <c r="H375" t="s">
        <v>15</v>
      </c>
      <c r="I375" s="1" t="str">
        <f t="shared" si="21"/>
        <v>Female</v>
      </c>
      <c r="J375" s="3">
        <v>28</v>
      </c>
      <c r="K375" s="3" t="str" cm="1">
        <f t="array" ref="K375">_xlfn.IFS(J375&lt;=13,"Child",J375&lt;=18,"Teenager",J375&lt;=30,"Young Adult",J375&lt;=50,"Middle Aged Adult",J375&gt;50,"Senior")</f>
        <v>Young Adult</v>
      </c>
      <c r="L375">
        <v>1</v>
      </c>
      <c r="M375">
        <v>0</v>
      </c>
      <c r="N375" s="1">
        <f t="shared" si="22"/>
        <v>2</v>
      </c>
      <c r="O375" s="1" t="str">
        <f t="shared" si="23"/>
        <v>With Family</v>
      </c>
      <c r="P375">
        <v>26</v>
      </c>
      <c r="Q375" s="1" t="str" cm="1">
        <f t="array" ref="Q375">_xlfn.IFS(P375&lt;=50,"Low",P375&lt;=100,"Medium",P375&gt;100,"High")</f>
        <v>Low</v>
      </c>
      <c r="R375" t="s">
        <v>17</v>
      </c>
      <c r="S375" s="1" t="str" cm="1">
        <f t="array" ref="S375">_xlfn.IFS(R375="S","Southampton",R375="C","Cherbourg",R375="Q","Queenstown")</f>
        <v>Southampton</v>
      </c>
    </row>
    <row r="376" spans="1:19" x14ac:dyDescent="0.3">
      <c r="A376">
        <v>375</v>
      </c>
      <c r="B376">
        <v>2</v>
      </c>
      <c r="C376" s="1" t="str" cm="1">
        <f t="array" ref="C376">_xlfn.IFS(B376=1,"First Class",B376=2,"Second Class",B376=3,"Third Class")</f>
        <v>Second Class</v>
      </c>
      <c r="D376">
        <v>0</v>
      </c>
      <c r="E376" s="1" t="str">
        <f t="shared" si="20"/>
        <v>Dead</v>
      </c>
      <c r="F376" t="s">
        <v>780</v>
      </c>
      <c r="G376" s="1" t="s">
        <v>2999</v>
      </c>
      <c r="H376" t="s">
        <v>20</v>
      </c>
      <c r="I376" s="1" t="str">
        <f t="shared" si="21"/>
        <v>Male</v>
      </c>
      <c r="J376" s="3">
        <v>29</v>
      </c>
      <c r="K376" s="3" t="str" cm="1">
        <f t="array" ref="K376">_xlfn.IFS(J376&lt;=13,"Child",J376&lt;=18,"Teenager",J376&lt;=30,"Young Adult",J376&lt;=50,"Middle Aged Adult",J376&gt;50,"Senior")</f>
        <v>Young Adult</v>
      </c>
      <c r="L376">
        <v>0</v>
      </c>
      <c r="M376">
        <v>0</v>
      </c>
      <c r="N376" s="1">
        <f t="shared" si="22"/>
        <v>1</v>
      </c>
      <c r="O376" s="1" t="str">
        <f t="shared" si="23"/>
        <v>Single</v>
      </c>
      <c r="P376">
        <v>10.5</v>
      </c>
      <c r="Q376" s="1" t="str" cm="1">
        <f t="array" ref="Q376">_xlfn.IFS(P376&lt;=50,"Low",P376&lt;=100,"Medium",P376&gt;100,"High")</f>
        <v>Low</v>
      </c>
      <c r="R376" t="s">
        <v>17</v>
      </c>
      <c r="S376" s="1" t="str" cm="1">
        <f t="array" ref="S376">_xlfn.IFS(R376="S","Southampton",R376="C","Cherbourg",R376="Q","Queenstown")</f>
        <v>Southampton</v>
      </c>
    </row>
    <row r="377" spans="1:19" x14ac:dyDescent="0.3">
      <c r="A377">
        <v>376</v>
      </c>
      <c r="B377">
        <v>2</v>
      </c>
      <c r="C377" s="1" t="str" cm="1">
        <f t="array" ref="C377">_xlfn.IFS(B377=1,"First Class",B377=2,"Second Class",B377=3,"Third Class")</f>
        <v>Second Class</v>
      </c>
      <c r="D377">
        <v>0</v>
      </c>
      <c r="E377" s="1" t="str">
        <f t="shared" si="20"/>
        <v>Dead</v>
      </c>
      <c r="F377" t="s">
        <v>783</v>
      </c>
      <c r="G377" s="1" t="s">
        <v>2999</v>
      </c>
      <c r="H377" t="s">
        <v>20</v>
      </c>
      <c r="I377" s="1" t="str">
        <f t="shared" si="21"/>
        <v>Male</v>
      </c>
      <c r="J377" s="3">
        <v>28</v>
      </c>
      <c r="K377" s="3" t="str" cm="1">
        <f t="array" ref="K377">_xlfn.IFS(J377&lt;=13,"Child",J377&lt;=18,"Teenager",J377&lt;=30,"Young Adult",J377&lt;=50,"Middle Aged Adult",J377&gt;50,"Senior")</f>
        <v>Young Adult</v>
      </c>
      <c r="L377">
        <v>0</v>
      </c>
      <c r="M377">
        <v>0</v>
      </c>
      <c r="N377" s="1">
        <f t="shared" si="22"/>
        <v>1</v>
      </c>
      <c r="O377" s="1" t="str">
        <f t="shared" si="23"/>
        <v>Single</v>
      </c>
      <c r="P377">
        <v>13</v>
      </c>
      <c r="Q377" s="1" t="str" cm="1">
        <f t="array" ref="Q377">_xlfn.IFS(P377&lt;=50,"Low",P377&lt;=100,"Medium",P377&gt;100,"High")</f>
        <v>Low</v>
      </c>
      <c r="R377" t="s">
        <v>17</v>
      </c>
      <c r="S377" s="1" t="str" cm="1">
        <f t="array" ref="S377">_xlfn.IFS(R377="S","Southampton",R377="C","Cherbourg",R377="Q","Queenstown")</f>
        <v>Southampton</v>
      </c>
    </row>
    <row r="378" spans="1:19" x14ac:dyDescent="0.3">
      <c r="A378">
        <v>377</v>
      </c>
      <c r="B378">
        <v>2</v>
      </c>
      <c r="C378" s="1" t="str" cm="1">
        <f t="array" ref="C378">_xlfn.IFS(B378=1,"First Class",B378=2,"Second Class",B378=3,"Third Class")</f>
        <v>Second Class</v>
      </c>
      <c r="D378">
        <v>1</v>
      </c>
      <c r="E378" s="1" t="str">
        <f t="shared" si="20"/>
        <v>Alive</v>
      </c>
      <c r="F378" t="s">
        <v>785</v>
      </c>
      <c r="G378" s="1" t="s">
        <v>2999</v>
      </c>
      <c r="H378" t="s">
        <v>20</v>
      </c>
      <c r="I378" s="1" t="str">
        <f t="shared" si="21"/>
        <v>Male</v>
      </c>
      <c r="J378" s="3">
        <v>24</v>
      </c>
      <c r="K378" s="3" t="str" cm="1">
        <f t="array" ref="K378">_xlfn.IFS(J378&lt;=13,"Child",J378&lt;=18,"Teenager",J378&lt;=30,"Young Adult",J378&lt;=50,"Middle Aged Adult",J378&gt;50,"Senior")</f>
        <v>Young Adult</v>
      </c>
      <c r="L378">
        <v>0</v>
      </c>
      <c r="M378">
        <v>0</v>
      </c>
      <c r="N378" s="1">
        <f t="shared" si="22"/>
        <v>1</v>
      </c>
      <c r="O378" s="1" t="str">
        <f t="shared" si="23"/>
        <v>Single</v>
      </c>
      <c r="P378">
        <v>10.5</v>
      </c>
      <c r="Q378" s="1" t="str" cm="1">
        <f t="array" ref="Q378">_xlfn.IFS(P378&lt;=50,"Low",P378&lt;=100,"Medium",P378&gt;100,"High")</f>
        <v>Low</v>
      </c>
      <c r="R378" t="s">
        <v>17</v>
      </c>
      <c r="S378" s="1" t="str" cm="1">
        <f t="array" ref="S378">_xlfn.IFS(R378="S","Southampton",R378="C","Cherbourg",R378="Q","Queenstown")</f>
        <v>Southampton</v>
      </c>
    </row>
    <row r="379" spans="1:19" x14ac:dyDescent="0.3">
      <c r="A379">
        <v>378</v>
      </c>
      <c r="B379">
        <v>2</v>
      </c>
      <c r="C379" s="1" t="str" cm="1">
        <f t="array" ref="C379">_xlfn.IFS(B379=1,"First Class",B379=2,"Second Class",B379=3,"Third Class")</f>
        <v>Second Class</v>
      </c>
      <c r="D379">
        <v>1</v>
      </c>
      <c r="E379" s="1" t="str">
        <f t="shared" si="20"/>
        <v>Alive</v>
      </c>
      <c r="F379" t="s">
        <v>787</v>
      </c>
      <c r="G379" s="1" t="s">
        <v>2994</v>
      </c>
      <c r="H379" t="s">
        <v>15</v>
      </c>
      <c r="I379" s="1" t="str">
        <f t="shared" si="21"/>
        <v>Female</v>
      </c>
      <c r="J379" s="3">
        <v>8</v>
      </c>
      <c r="K379" s="3" t="str" cm="1">
        <f t="array" ref="K379">_xlfn.IFS(J379&lt;=13,"Child",J379&lt;=18,"Teenager",J379&lt;=30,"Young Adult",J379&lt;=50,"Middle Aged Adult",J379&gt;50,"Senior")</f>
        <v>Child</v>
      </c>
      <c r="L379">
        <v>0</v>
      </c>
      <c r="M379">
        <v>2</v>
      </c>
      <c r="N379" s="1">
        <f t="shared" si="22"/>
        <v>3</v>
      </c>
      <c r="O379" s="1" t="str">
        <f t="shared" si="23"/>
        <v>With Family</v>
      </c>
      <c r="P379">
        <v>26.25</v>
      </c>
      <c r="Q379" s="1" t="str" cm="1">
        <f t="array" ref="Q379">_xlfn.IFS(P379&lt;=50,"Low",P379&lt;=100,"Medium",P379&gt;100,"High")</f>
        <v>Low</v>
      </c>
      <c r="R379" t="s">
        <v>17</v>
      </c>
      <c r="S379" s="1" t="str" cm="1">
        <f t="array" ref="S379">_xlfn.IFS(R379="S","Southampton",R379="C","Cherbourg",R379="Q","Queenstown")</f>
        <v>Southampton</v>
      </c>
    </row>
    <row r="380" spans="1:19" x14ac:dyDescent="0.3">
      <c r="A380">
        <v>379</v>
      </c>
      <c r="B380">
        <v>2</v>
      </c>
      <c r="C380" s="1" t="str" cm="1">
        <f t="array" ref="C380">_xlfn.IFS(B380=1,"First Class",B380=2,"Second Class",B380=3,"Third Class")</f>
        <v>Second Class</v>
      </c>
      <c r="D380">
        <v>0</v>
      </c>
      <c r="E380" s="1" t="str">
        <f t="shared" si="20"/>
        <v>Dead</v>
      </c>
      <c r="F380" t="s">
        <v>790</v>
      </c>
      <c r="G380" s="1" t="s">
        <v>2999</v>
      </c>
      <c r="H380" t="s">
        <v>20</v>
      </c>
      <c r="I380" s="1" t="str">
        <f t="shared" si="21"/>
        <v>Male</v>
      </c>
      <c r="J380" s="3">
        <v>31</v>
      </c>
      <c r="K380" s="3" t="str" cm="1">
        <f t="array" ref="K380">_xlfn.IFS(J380&lt;=13,"Child",J380&lt;=18,"Teenager",J380&lt;=30,"Young Adult",J380&lt;=50,"Middle Aged Adult",J380&gt;50,"Senior")</f>
        <v>Middle Aged Adult</v>
      </c>
      <c r="L380">
        <v>1</v>
      </c>
      <c r="M380">
        <v>1</v>
      </c>
      <c r="N380" s="1">
        <f t="shared" si="22"/>
        <v>3</v>
      </c>
      <c r="O380" s="1" t="str">
        <f t="shared" si="23"/>
        <v>With Family</v>
      </c>
      <c r="P380">
        <v>26.25</v>
      </c>
      <c r="Q380" s="1" t="str" cm="1">
        <f t="array" ref="Q380">_xlfn.IFS(P380&lt;=50,"Low",P380&lt;=100,"Medium",P380&gt;100,"High")</f>
        <v>Low</v>
      </c>
      <c r="R380" t="s">
        <v>17</v>
      </c>
      <c r="S380" s="1" t="str" cm="1">
        <f t="array" ref="S380">_xlfn.IFS(R380="S","Southampton",R380="C","Cherbourg",R380="Q","Queenstown")</f>
        <v>Southampton</v>
      </c>
    </row>
    <row r="381" spans="1:19" x14ac:dyDescent="0.3">
      <c r="A381">
        <v>380</v>
      </c>
      <c r="B381">
        <v>2</v>
      </c>
      <c r="C381" s="1" t="str" cm="1">
        <f t="array" ref="C381">_xlfn.IFS(B381=1,"First Class",B381=2,"Second Class",B381=3,"Third Class")</f>
        <v>Second Class</v>
      </c>
      <c r="D381">
        <v>1</v>
      </c>
      <c r="E381" s="1" t="str">
        <f t="shared" si="20"/>
        <v>Alive</v>
      </c>
      <c r="F381" t="s">
        <v>791</v>
      </c>
      <c r="G381" s="1" t="s">
        <v>3001</v>
      </c>
      <c r="H381" t="s">
        <v>15</v>
      </c>
      <c r="I381" s="1" t="str">
        <f t="shared" si="21"/>
        <v>Female</v>
      </c>
      <c r="J381" s="3">
        <v>31</v>
      </c>
      <c r="K381" s="3" t="str" cm="1">
        <f t="array" ref="K381">_xlfn.IFS(J381&lt;=13,"Child",J381&lt;=18,"Teenager",J381&lt;=30,"Young Adult",J381&lt;=50,"Middle Aged Adult",J381&gt;50,"Senior")</f>
        <v>Middle Aged Adult</v>
      </c>
      <c r="L381">
        <v>1</v>
      </c>
      <c r="M381">
        <v>1</v>
      </c>
      <c r="N381" s="1">
        <f t="shared" si="22"/>
        <v>3</v>
      </c>
      <c r="O381" s="1" t="str">
        <f t="shared" si="23"/>
        <v>With Family</v>
      </c>
      <c r="P381">
        <v>26.25</v>
      </c>
      <c r="Q381" s="1" t="str" cm="1">
        <f t="array" ref="Q381">_xlfn.IFS(P381&lt;=50,"Low",P381&lt;=100,"Medium",P381&gt;100,"High")</f>
        <v>Low</v>
      </c>
      <c r="R381" t="s">
        <v>17</v>
      </c>
      <c r="S381" s="1" t="str" cm="1">
        <f t="array" ref="S381">_xlfn.IFS(R381="S","Southampton",R381="C","Cherbourg",R381="Q","Queenstown")</f>
        <v>Southampton</v>
      </c>
    </row>
    <row r="382" spans="1:19" x14ac:dyDescent="0.3">
      <c r="A382">
        <v>381</v>
      </c>
      <c r="B382">
        <v>2</v>
      </c>
      <c r="C382" s="1" t="str" cm="1">
        <f t="array" ref="C382">_xlfn.IFS(B382=1,"First Class",B382=2,"Second Class",B382=3,"Third Class")</f>
        <v>Second Class</v>
      </c>
      <c r="D382">
        <v>1</v>
      </c>
      <c r="E382" s="1" t="str">
        <f t="shared" si="20"/>
        <v>Alive</v>
      </c>
      <c r="F382" t="s">
        <v>792</v>
      </c>
      <c r="G382" s="1" t="s">
        <v>3001</v>
      </c>
      <c r="H382" t="s">
        <v>15</v>
      </c>
      <c r="I382" s="1" t="str">
        <f t="shared" si="21"/>
        <v>Female</v>
      </c>
      <c r="J382" s="3">
        <v>22</v>
      </c>
      <c r="K382" s="3" t="str" cm="1">
        <f t="array" ref="K382">_xlfn.IFS(J382&lt;=13,"Child",J382&lt;=18,"Teenager",J382&lt;=30,"Young Adult",J382&lt;=50,"Middle Aged Adult",J382&gt;50,"Senior")</f>
        <v>Young Adult</v>
      </c>
      <c r="L382">
        <v>0</v>
      </c>
      <c r="M382">
        <v>0</v>
      </c>
      <c r="N382" s="1">
        <f t="shared" si="22"/>
        <v>1</v>
      </c>
      <c r="O382" s="1" t="str">
        <f t="shared" si="23"/>
        <v>Single</v>
      </c>
      <c r="P382">
        <v>10.5</v>
      </c>
      <c r="Q382" s="1" t="str" cm="1">
        <f t="array" ref="Q382">_xlfn.IFS(P382&lt;=50,"Low",P382&lt;=100,"Medium",P382&gt;100,"High")</f>
        <v>Low</v>
      </c>
      <c r="R382" t="s">
        <v>17</v>
      </c>
      <c r="S382" s="1" t="str" cm="1">
        <f t="array" ref="S382">_xlfn.IFS(R382="S","Southampton",R382="C","Cherbourg",R382="Q","Queenstown")</f>
        <v>Southampton</v>
      </c>
    </row>
    <row r="383" spans="1:19" x14ac:dyDescent="0.3">
      <c r="A383">
        <v>382</v>
      </c>
      <c r="B383">
        <v>2</v>
      </c>
      <c r="C383" s="1" t="str" cm="1">
        <f t="array" ref="C383">_xlfn.IFS(B383=1,"First Class",B383=2,"Second Class",B383=3,"Third Class")</f>
        <v>Second Class</v>
      </c>
      <c r="D383">
        <v>0</v>
      </c>
      <c r="E383" s="1" t="str">
        <f t="shared" si="20"/>
        <v>Dead</v>
      </c>
      <c r="F383" t="s">
        <v>795</v>
      </c>
      <c r="G383" s="1" t="s">
        <v>3001</v>
      </c>
      <c r="H383" t="s">
        <v>15</v>
      </c>
      <c r="I383" s="1" t="str">
        <f t="shared" si="21"/>
        <v>Female</v>
      </c>
      <c r="J383" s="3">
        <v>30</v>
      </c>
      <c r="K383" s="3" t="str" cm="1">
        <f t="array" ref="K383">_xlfn.IFS(J383&lt;=13,"Child",J383&lt;=18,"Teenager",J383&lt;=30,"Young Adult",J383&lt;=50,"Middle Aged Adult",J383&gt;50,"Senior")</f>
        <v>Young Adult</v>
      </c>
      <c r="L383">
        <v>0</v>
      </c>
      <c r="M383">
        <v>0</v>
      </c>
      <c r="N383" s="1">
        <f t="shared" si="22"/>
        <v>1</v>
      </c>
      <c r="O383" s="1" t="str">
        <f t="shared" si="23"/>
        <v>Single</v>
      </c>
      <c r="P383">
        <v>13</v>
      </c>
      <c r="Q383" s="1" t="str" cm="1">
        <f t="array" ref="Q383">_xlfn.IFS(P383&lt;=50,"Low",P383&lt;=100,"Medium",P383&gt;100,"High")</f>
        <v>Low</v>
      </c>
      <c r="R383" t="s">
        <v>17</v>
      </c>
      <c r="S383" s="1" t="str" cm="1">
        <f t="array" ref="S383">_xlfn.IFS(R383="S","Southampton",R383="C","Cherbourg",R383="Q","Queenstown")</f>
        <v>Southampton</v>
      </c>
    </row>
    <row r="384" spans="1:19" x14ac:dyDescent="0.3">
      <c r="A384">
        <v>383</v>
      </c>
      <c r="B384">
        <v>2</v>
      </c>
      <c r="C384" s="1" t="str" cm="1">
        <f t="array" ref="C384">_xlfn.IFS(B384=1,"First Class",B384=2,"Second Class",B384=3,"Third Class")</f>
        <v>Second Class</v>
      </c>
      <c r="D384">
        <v>0</v>
      </c>
      <c r="E384" s="1" t="str">
        <f t="shared" si="20"/>
        <v>Dead</v>
      </c>
      <c r="F384" t="s">
        <v>797</v>
      </c>
      <c r="G384" s="1" t="s">
        <v>3001</v>
      </c>
      <c r="H384" t="s">
        <v>15</v>
      </c>
      <c r="I384" s="1" t="str">
        <f t="shared" si="21"/>
        <v>Female</v>
      </c>
      <c r="J384" s="3">
        <v>29.881137667304014</v>
      </c>
      <c r="K384" s="3" t="str" cm="1">
        <f t="array" ref="K384">_xlfn.IFS(J384&lt;=13,"Child",J384&lt;=18,"Teenager",J384&lt;=30,"Young Adult",J384&lt;=50,"Middle Aged Adult",J384&gt;50,"Senior")</f>
        <v>Young Adult</v>
      </c>
      <c r="L384">
        <v>0</v>
      </c>
      <c r="M384">
        <v>0</v>
      </c>
      <c r="N384" s="1">
        <f t="shared" si="22"/>
        <v>1</v>
      </c>
      <c r="O384" s="1" t="str">
        <f t="shared" si="23"/>
        <v>Single</v>
      </c>
      <c r="P384">
        <v>21</v>
      </c>
      <c r="Q384" s="1" t="str" cm="1">
        <f t="array" ref="Q384">_xlfn.IFS(P384&lt;=50,"Low",P384&lt;=100,"Medium",P384&gt;100,"High")</f>
        <v>Low</v>
      </c>
      <c r="R384" t="s">
        <v>17</v>
      </c>
      <c r="S384" s="1" t="str" cm="1">
        <f t="array" ref="S384">_xlfn.IFS(R384="S","Southampton",R384="C","Cherbourg",R384="Q","Queenstown")</f>
        <v>Southampton</v>
      </c>
    </row>
    <row r="385" spans="1:19" x14ac:dyDescent="0.3">
      <c r="A385">
        <v>384</v>
      </c>
      <c r="B385">
        <v>2</v>
      </c>
      <c r="C385" s="1" t="str" cm="1">
        <f t="array" ref="C385">_xlfn.IFS(B385=1,"First Class",B385=2,"Second Class",B385=3,"Third Class")</f>
        <v>Second Class</v>
      </c>
      <c r="D385">
        <v>0</v>
      </c>
      <c r="E385" s="1" t="str">
        <f t="shared" si="20"/>
        <v>Dead</v>
      </c>
      <c r="F385" t="s">
        <v>800</v>
      </c>
      <c r="G385" s="1" t="s">
        <v>2999</v>
      </c>
      <c r="H385" t="s">
        <v>20</v>
      </c>
      <c r="I385" s="1" t="str">
        <f t="shared" si="21"/>
        <v>Male</v>
      </c>
      <c r="J385" s="3">
        <v>21</v>
      </c>
      <c r="K385" s="3" t="str" cm="1">
        <f t="array" ref="K385">_xlfn.IFS(J385&lt;=13,"Child",J385&lt;=18,"Teenager",J385&lt;=30,"Young Adult",J385&lt;=50,"Middle Aged Adult",J385&gt;50,"Senior")</f>
        <v>Young Adult</v>
      </c>
      <c r="L385">
        <v>0</v>
      </c>
      <c r="M385">
        <v>0</v>
      </c>
      <c r="N385" s="1">
        <f t="shared" si="22"/>
        <v>1</v>
      </c>
      <c r="O385" s="1" t="str">
        <f t="shared" si="23"/>
        <v>Single</v>
      </c>
      <c r="P385">
        <v>11.5</v>
      </c>
      <c r="Q385" s="1" t="str" cm="1">
        <f t="array" ref="Q385">_xlfn.IFS(P385&lt;=50,"Low",P385&lt;=100,"Medium",P385&gt;100,"High")</f>
        <v>Low</v>
      </c>
      <c r="R385" t="s">
        <v>17</v>
      </c>
      <c r="S385" s="1" t="str" cm="1">
        <f t="array" ref="S385">_xlfn.IFS(R385="S","Southampton",R385="C","Cherbourg",R385="Q","Queenstown")</f>
        <v>Southampton</v>
      </c>
    </row>
    <row r="386" spans="1:19" x14ac:dyDescent="0.3">
      <c r="A386">
        <v>385</v>
      </c>
      <c r="B386">
        <v>2</v>
      </c>
      <c r="C386" s="1" t="str" cm="1">
        <f t="array" ref="C386">_xlfn.IFS(B386=1,"First Class",B386=2,"Second Class",B386=3,"Third Class")</f>
        <v>Second Class</v>
      </c>
      <c r="D386">
        <v>0</v>
      </c>
      <c r="E386" s="1" t="str">
        <f t="shared" si="20"/>
        <v>Dead</v>
      </c>
      <c r="F386" t="s">
        <v>801</v>
      </c>
      <c r="G386" s="1" t="s">
        <v>2999</v>
      </c>
      <c r="H386" t="s">
        <v>20</v>
      </c>
      <c r="I386" s="1" t="str">
        <f t="shared" si="21"/>
        <v>Male</v>
      </c>
      <c r="J386" s="3">
        <v>29.881137667304014</v>
      </c>
      <c r="K386" s="3" t="str" cm="1">
        <f t="array" ref="K386">_xlfn.IFS(J386&lt;=13,"Child",J386&lt;=18,"Teenager",J386&lt;=30,"Young Adult",J386&lt;=50,"Middle Aged Adult",J386&gt;50,"Senior")</f>
        <v>Young Adult</v>
      </c>
      <c r="L386">
        <v>0</v>
      </c>
      <c r="M386">
        <v>0</v>
      </c>
      <c r="N386" s="1">
        <f t="shared" si="22"/>
        <v>1</v>
      </c>
      <c r="O386" s="1" t="str">
        <f t="shared" si="23"/>
        <v>Single</v>
      </c>
      <c r="P386">
        <v>0</v>
      </c>
      <c r="Q386" s="1" t="str" cm="1">
        <f t="array" ref="Q386">_xlfn.IFS(P386&lt;=50,"Low",P386&lt;=100,"Medium",P386&gt;100,"High")</f>
        <v>Low</v>
      </c>
      <c r="R386" t="s">
        <v>17</v>
      </c>
      <c r="S386" s="1" t="str" cm="1">
        <f t="array" ref="S386">_xlfn.IFS(R386="S","Southampton",R386="C","Cherbourg",R386="Q","Queenstown")</f>
        <v>Southampton</v>
      </c>
    </row>
    <row r="387" spans="1:19" x14ac:dyDescent="0.3">
      <c r="A387">
        <v>386</v>
      </c>
      <c r="B387">
        <v>2</v>
      </c>
      <c r="C387" s="1" t="str" cm="1">
        <f t="array" ref="C387">_xlfn.IFS(B387=1,"First Class",B387=2,"Second Class",B387=3,"Third Class")</f>
        <v>Second Class</v>
      </c>
      <c r="D387">
        <v>1</v>
      </c>
      <c r="E387" s="1" t="str">
        <f t="shared" ref="E387:E450" si="24">IF(D387=0,"Dead","Alive")</f>
        <v>Alive</v>
      </c>
      <c r="F387" t="s">
        <v>802</v>
      </c>
      <c r="G387" s="1" t="s">
        <v>2996</v>
      </c>
      <c r="H387" t="s">
        <v>20</v>
      </c>
      <c r="I387" s="1" t="str">
        <f t="shared" ref="I387:I450" si="25">PROPER(H387)</f>
        <v>Male</v>
      </c>
      <c r="J387" s="3">
        <v>8</v>
      </c>
      <c r="K387" s="3" t="str" cm="1">
        <f t="array" ref="K387">_xlfn.IFS(J387&lt;=13,"Child",J387&lt;=18,"Teenager",J387&lt;=30,"Young Adult",J387&lt;=50,"Middle Aged Adult",J387&gt;50,"Senior")</f>
        <v>Child</v>
      </c>
      <c r="L387">
        <v>1</v>
      </c>
      <c r="M387">
        <v>1</v>
      </c>
      <c r="N387" s="1">
        <f t="shared" ref="N387:N450" si="26">L387+M387+1</f>
        <v>3</v>
      </c>
      <c r="O387" s="1" t="str">
        <f t="shared" ref="O387:O450" si="27">IF(N387=1,"Single","With Family")</f>
        <v>With Family</v>
      </c>
      <c r="P387">
        <v>36.75</v>
      </c>
      <c r="Q387" s="1" t="str" cm="1">
        <f t="array" ref="Q387">_xlfn.IFS(P387&lt;=50,"Low",P387&lt;=100,"Medium",P387&gt;100,"High")</f>
        <v>Low</v>
      </c>
      <c r="R387" t="s">
        <v>17</v>
      </c>
      <c r="S387" s="1" t="str" cm="1">
        <f t="array" ref="S387">_xlfn.IFS(R387="S","Southampton",R387="C","Cherbourg",R387="Q","Queenstown")</f>
        <v>Southampton</v>
      </c>
    </row>
    <row r="388" spans="1:19" x14ac:dyDescent="0.3">
      <c r="A388">
        <v>387</v>
      </c>
      <c r="B388">
        <v>2</v>
      </c>
      <c r="C388" s="1" t="str" cm="1">
        <f t="array" ref="C388">_xlfn.IFS(B388=1,"First Class",B388=2,"Second Class",B388=3,"Third Class")</f>
        <v>Second Class</v>
      </c>
      <c r="D388">
        <v>0</v>
      </c>
      <c r="E388" s="1" t="str">
        <f t="shared" si="24"/>
        <v>Dead</v>
      </c>
      <c r="F388" t="s">
        <v>805</v>
      </c>
      <c r="G388" s="1" t="s">
        <v>2999</v>
      </c>
      <c r="H388" t="s">
        <v>20</v>
      </c>
      <c r="I388" s="1" t="str">
        <f t="shared" si="25"/>
        <v>Male</v>
      </c>
      <c r="J388" s="3">
        <v>18</v>
      </c>
      <c r="K388" s="3" t="str" cm="1">
        <f t="array" ref="K388">_xlfn.IFS(J388&lt;=13,"Child",J388&lt;=18,"Teenager",J388&lt;=30,"Young Adult",J388&lt;=50,"Middle Aged Adult",J388&gt;50,"Senior")</f>
        <v>Teenager</v>
      </c>
      <c r="L388">
        <v>0</v>
      </c>
      <c r="M388">
        <v>0</v>
      </c>
      <c r="N388" s="1">
        <f t="shared" si="26"/>
        <v>1</v>
      </c>
      <c r="O388" s="1" t="str">
        <f t="shared" si="27"/>
        <v>Single</v>
      </c>
      <c r="P388">
        <v>73.5</v>
      </c>
      <c r="Q388" s="1" t="str" cm="1">
        <f t="array" ref="Q388">_xlfn.IFS(P388&lt;=50,"Low",P388&lt;=100,"Medium",P388&gt;100,"High")</f>
        <v>Medium</v>
      </c>
      <c r="R388" t="s">
        <v>17</v>
      </c>
      <c r="S388" s="1" t="str" cm="1">
        <f t="array" ref="S388">_xlfn.IFS(R388="S","Southampton",R388="C","Cherbourg",R388="Q","Queenstown")</f>
        <v>Southampton</v>
      </c>
    </row>
    <row r="389" spans="1:19" x14ac:dyDescent="0.3">
      <c r="A389">
        <v>388</v>
      </c>
      <c r="B389">
        <v>2</v>
      </c>
      <c r="C389" s="1" t="str" cm="1">
        <f t="array" ref="C389">_xlfn.IFS(B389=1,"First Class",B389=2,"Second Class",B389=3,"Third Class")</f>
        <v>Second Class</v>
      </c>
      <c r="D389">
        <v>1</v>
      </c>
      <c r="E389" s="1" t="str">
        <f t="shared" si="24"/>
        <v>Alive</v>
      </c>
      <c r="F389" t="s">
        <v>808</v>
      </c>
      <c r="G389" s="1" t="s">
        <v>3001</v>
      </c>
      <c r="H389" t="s">
        <v>15</v>
      </c>
      <c r="I389" s="1" t="str">
        <f t="shared" si="25"/>
        <v>Female</v>
      </c>
      <c r="J389" s="3">
        <v>48</v>
      </c>
      <c r="K389" s="3" t="str" cm="1">
        <f t="array" ref="K389">_xlfn.IFS(J389&lt;=13,"Child",J389&lt;=18,"Teenager",J389&lt;=30,"Young Adult",J389&lt;=50,"Middle Aged Adult",J389&gt;50,"Senior")</f>
        <v>Middle Aged Adult</v>
      </c>
      <c r="L389">
        <v>0</v>
      </c>
      <c r="M389">
        <v>2</v>
      </c>
      <c r="N389" s="1">
        <f t="shared" si="26"/>
        <v>3</v>
      </c>
      <c r="O389" s="1" t="str">
        <f t="shared" si="27"/>
        <v>With Family</v>
      </c>
      <c r="P389">
        <v>36.75</v>
      </c>
      <c r="Q389" s="1" t="str" cm="1">
        <f t="array" ref="Q389">_xlfn.IFS(P389&lt;=50,"Low",P389&lt;=100,"Medium",P389&gt;100,"High")</f>
        <v>Low</v>
      </c>
      <c r="R389" t="s">
        <v>17</v>
      </c>
      <c r="S389" s="1" t="str" cm="1">
        <f t="array" ref="S389">_xlfn.IFS(R389="S","Southampton",R389="C","Cherbourg",R389="Q","Queenstown")</f>
        <v>Southampton</v>
      </c>
    </row>
    <row r="390" spans="1:19" x14ac:dyDescent="0.3">
      <c r="A390">
        <v>389</v>
      </c>
      <c r="B390">
        <v>2</v>
      </c>
      <c r="C390" s="1" t="str" cm="1">
        <f t="array" ref="C390">_xlfn.IFS(B390=1,"First Class",B390=2,"Second Class",B390=3,"Third Class")</f>
        <v>Second Class</v>
      </c>
      <c r="D390">
        <v>1</v>
      </c>
      <c r="E390" s="1" t="str">
        <f t="shared" si="24"/>
        <v>Alive</v>
      </c>
      <c r="F390" t="s">
        <v>809</v>
      </c>
      <c r="G390" s="1" t="s">
        <v>2994</v>
      </c>
      <c r="H390" t="s">
        <v>15</v>
      </c>
      <c r="I390" s="1" t="str">
        <f t="shared" si="25"/>
        <v>Female</v>
      </c>
      <c r="J390" s="3">
        <v>28</v>
      </c>
      <c r="K390" s="3" t="str" cm="1">
        <f t="array" ref="K390">_xlfn.IFS(J390&lt;=13,"Child",J390&lt;=18,"Teenager",J390&lt;=30,"Young Adult",J390&lt;=50,"Middle Aged Adult",J390&gt;50,"Senior")</f>
        <v>Young Adult</v>
      </c>
      <c r="L390">
        <v>0</v>
      </c>
      <c r="M390">
        <v>0</v>
      </c>
      <c r="N390" s="1">
        <f t="shared" si="26"/>
        <v>1</v>
      </c>
      <c r="O390" s="1" t="str">
        <f t="shared" si="27"/>
        <v>Single</v>
      </c>
      <c r="P390">
        <v>13</v>
      </c>
      <c r="Q390" s="1" t="str" cm="1">
        <f t="array" ref="Q390">_xlfn.IFS(P390&lt;=50,"Low",P390&lt;=100,"Medium",P390&gt;100,"High")</f>
        <v>Low</v>
      </c>
      <c r="R390" t="s">
        <v>17</v>
      </c>
      <c r="S390" s="1" t="str" cm="1">
        <f t="array" ref="S390">_xlfn.IFS(R390="S","Southampton",R390="C","Cherbourg",R390="Q","Queenstown")</f>
        <v>Southampton</v>
      </c>
    </row>
    <row r="391" spans="1:19" x14ac:dyDescent="0.3">
      <c r="A391">
        <v>390</v>
      </c>
      <c r="B391">
        <v>2</v>
      </c>
      <c r="C391" s="1" t="str" cm="1">
        <f t="array" ref="C391">_xlfn.IFS(B391=1,"First Class",B391=2,"Second Class",B391=3,"Third Class")</f>
        <v>Second Class</v>
      </c>
      <c r="D391">
        <v>0</v>
      </c>
      <c r="E391" s="1" t="str">
        <f t="shared" si="24"/>
        <v>Dead</v>
      </c>
      <c r="F391" t="s">
        <v>811</v>
      </c>
      <c r="G391" s="1" t="s">
        <v>2999</v>
      </c>
      <c r="H391" t="s">
        <v>20</v>
      </c>
      <c r="I391" s="1" t="str">
        <f t="shared" si="25"/>
        <v>Male</v>
      </c>
      <c r="J391" s="3">
        <v>32</v>
      </c>
      <c r="K391" s="3" t="str" cm="1">
        <f t="array" ref="K391">_xlfn.IFS(J391&lt;=13,"Child",J391&lt;=18,"Teenager",J391&lt;=30,"Young Adult",J391&lt;=50,"Middle Aged Adult",J391&gt;50,"Senior")</f>
        <v>Middle Aged Adult</v>
      </c>
      <c r="L391">
        <v>0</v>
      </c>
      <c r="M391">
        <v>0</v>
      </c>
      <c r="N391" s="1">
        <f t="shared" si="26"/>
        <v>1</v>
      </c>
      <c r="O391" s="1" t="str">
        <f t="shared" si="27"/>
        <v>Single</v>
      </c>
      <c r="P391">
        <v>13</v>
      </c>
      <c r="Q391" s="1" t="str" cm="1">
        <f t="array" ref="Q391">_xlfn.IFS(P391&lt;=50,"Low",P391&lt;=100,"Medium",P391&gt;100,"High")</f>
        <v>Low</v>
      </c>
      <c r="R391" t="s">
        <v>17</v>
      </c>
      <c r="S391" s="1" t="str" cm="1">
        <f t="array" ref="S391">_xlfn.IFS(R391="S","Southampton",R391="C","Cherbourg",R391="Q","Queenstown")</f>
        <v>Southampton</v>
      </c>
    </row>
    <row r="392" spans="1:19" x14ac:dyDescent="0.3">
      <c r="A392">
        <v>391</v>
      </c>
      <c r="B392">
        <v>2</v>
      </c>
      <c r="C392" s="1" t="str" cm="1">
        <f t="array" ref="C392">_xlfn.IFS(B392=1,"First Class",B392=2,"Second Class",B392=3,"Third Class")</f>
        <v>Second Class</v>
      </c>
      <c r="D392">
        <v>0</v>
      </c>
      <c r="E392" s="1" t="str">
        <f t="shared" si="24"/>
        <v>Dead</v>
      </c>
      <c r="F392" t="s">
        <v>813</v>
      </c>
      <c r="G392" s="1" t="s">
        <v>2999</v>
      </c>
      <c r="H392" t="s">
        <v>20</v>
      </c>
      <c r="I392" s="1" t="str">
        <f t="shared" si="25"/>
        <v>Male</v>
      </c>
      <c r="J392" s="3">
        <v>17</v>
      </c>
      <c r="K392" s="3" t="str" cm="1">
        <f t="array" ref="K392">_xlfn.IFS(J392&lt;=13,"Child",J392&lt;=18,"Teenager",J392&lt;=30,"Young Adult",J392&lt;=50,"Middle Aged Adult",J392&gt;50,"Senior")</f>
        <v>Teenager</v>
      </c>
      <c r="L392">
        <v>0</v>
      </c>
      <c r="M392">
        <v>0</v>
      </c>
      <c r="N392" s="1">
        <f t="shared" si="26"/>
        <v>1</v>
      </c>
      <c r="O392" s="1" t="str">
        <f t="shared" si="27"/>
        <v>Single</v>
      </c>
      <c r="P392">
        <v>73.5</v>
      </c>
      <c r="Q392" s="1" t="str" cm="1">
        <f t="array" ref="Q392">_xlfn.IFS(P392&lt;=50,"Low",P392&lt;=100,"Medium",P392&gt;100,"High")</f>
        <v>Medium</v>
      </c>
      <c r="R392" t="s">
        <v>17</v>
      </c>
      <c r="S392" s="1" t="str" cm="1">
        <f t="array" ref="S392">_xlfn.IFS(R392="S","Southampton",R392="C","Cherbourg",R392="Q","Queenstown")</f>
        <v>Southampton</v>
      </c>
    </row>
    <row r="393" spans="1:19" x14ac:dyDescent="0.3">
      <c r="A393">
        <v>392</v>
      </c>
      <c r="B393">
        <v>2</v>
      </c>
      <c r="C393" s="1" t="str" cm="1">
        <f t="array" ref="C393">_xlfn.IFS(B393=1,"First Class",B393=2,"Second Class",B393=3,"Third Class")</f>
        <v>Second Class</v>
      </c>
      <c r="D393">
        <v>0</v>
      </c>
      <c r="E393" s="1" t="str">
        <f t="shared" si="24"/>
        <v>Dead</v>
      </c>
      <c r="F393" t="s">
        <v>814</v>
      </c>
      <c r="G393" s="1" t="s">
        <v>2999</v>
      </c>
      <c r="H393" t="s">
        <v>20</v>
      </c>
      <c r="I393" s="1" t="str">
        <f t="shared" si="25"/>
        <v>Male</v>
      </c>
      <c r="J393" s="3">
        <v>29</v>
      </c>
      <c r="K393" s="3" t="str" cm="1">
        <f t="array" ref="K393">_xlfn.IFS(J393&lt;=13,"Child",J393&lt;=18,"Teenager",J393&lt;=30,"Young Adult",J393&lt;=50,"Middle Aged Adult",J393&gt;50,"Senior")</f>
        <v>Young Adult</v>
      </c>
      <c r="L393">
        <v>1</v>
      </c>
      <c r="M393">
        <v>0</v>
      </c>
      <c r="N393" s="1">
        <f t="shared" si="26"/>
        <v>2</v>
      </c>
      <c r="O393" s="1" t="str">
        <f t="shared" si="27"/>
        <v>With Family</v>
      </c>
      <c r="P393">
        <v>27.720800000000001</v>
      </c>
      <c r="Q393" s="1" t="str" cm="1">
        <f t="array" ref="Q393">_xlfn.IFS(P393&lt;=50,"Low",P393&lt;=100,"Medium",P393&gt;100,"High")</f>
        <v>Low</v>
      </c>
      <c r="R393" t="s">
        <v>41</v>
      </c>
      <c r="S393" s="1" t="str" cm="1">
        <f t="array" ref="S393">_xlfn.IFS(R393="S","Southampton",R393="C","Cherbourg",R393="Q","Queenstown")</f>
        <v>Cherbourg</v>
      </c>
    </row>
    <row r="394" spans="1:19" x14ac:dyDescent="0.3">
      <c r="A394">
        <v>393</v>
      </c>
      <c r="B394">
        <v>2</v>
      </c>
      <c r="C394" s="1" t="str" cm="1">
        <f t="array" ref="C394">_xlfn.IFS(B394=1,"First Class",B394=2,"Second Class",B394=3,"Third Class")</f>
        <v>Second Class</v>
      </c>
      <c r="D394">
        <v>1</v>
      </c>
      <c r="E394" s="1" t="str">
        <f t="shared" si="24"/>
        <v>Alive</v>
      </c>
      <c r="F394" t="s">
        <v>817</v>
      </c>
      <c r="G394" s="1" t="s">
        <v>3001</v>
      </c>
      <c r="H394" t="s">
        <v>15</v>
      </c>
      <c r="I394" s="1" t="str">
        <f t="shared" si="25"/>
        <v>Female</v>
      </c>
      <c r="J394" s="3">
        <v>24</v>
      </c>
      <c r="K394" s="3" t="str" cm="1">
        <f t="array" ref="K394">_xlfn.IFS(J394&lt;=13,"Child",J394&lt;=18,"Teenager",J394&lt;=30,"Young Adult",J394&lt;=50,"Middle Aged Adult",J394&gt;50,"Senior")</f>
        <v>Young Adult</v>
      </c>
      <c r="L394">
        <v>1</v>
      </c>
      <c r="M394">
        <v>0</v>
      </c>
      <c r="N394" s="1">
        <f t="shared" si="26"/>
        <v>2</v>
      </c>
      <c r="O394" s="1" t="str">
        <f t="shared" si="27"/>
        <v>With Family</v>
      </c>
      <c r="P394">
        <v>27.720800000000001</v>
      </c>
      <c r="Q394" s="1" t="str" cm="1">
        <f t="array" ref="Q394">_xlfn.IFS(P394&lt;=50,"Low",P394&lt;=100,"Medium",P394&gt;100,"High")</f>
        <v>Low</v>
      </c>
      <c r="R394" t="s">
        <v>41</v>
      </c>
      <c r="S394" s="1" t="str" cm="1">
        <f t="array" ref="S394">_xlfn.IFS(R394="S","Southampton",R394="C","Cherbourg",R394="Q","Queenstown")</f>
        <v>Cherbourg</v>
      </c>
    </row>
    <row r="395" spans="1:19" x14ac:dyDescent="0.3">
      <c r="A395">
        <v>394</v>
      </c>
      <c r="B395">
        <v>2</v>
      </c>
      <c r="C395" s="1" t="str" cm="1">
        <f t="array" ref="C395">_xlfn.IFS(B395=1,"First Class",B395=2,"Second Class",B395=3,"Third Class")</f>
        <v>Second Class</v>
      </c>
      <c r="D395">
        <v>0</v>
      </c>
      <c r="E395" s="1" t="str">
        <f t="shared" si="24"/>
        <v>Dead</v>
      </c>
      <c r="F395" t="s">
        <v>818</v>
      </c>
      <c r="G395" s="1" t="s">
        <v>2999</v>
      </c>
      <c r="H395" t="s">
        <v>20</v>
      </c>
      <c r="I395" s="1" t="str">
        <f t="shared" si="25"/>
        <v>Male</v>
      </c>
      <c r="J395" s="3">
        <v>25</v>
      </c>
      <c r="K395" s="3" t="str" cm="1">
        <f t="array" ref="K395">_xlfn.IFS(J395&lt;=13,"Child",J395&lt;=18,"Teenager",J395&lt;=30,"Young Adult",J395&lt;=50,"Middle Aged Adult",J395&gt;50,"Senior")</f>
        <v>Young Adult</v>
      </c>
      <c r="L395">
        <v>0</v>
      </c>
      <c r="M395">
        <v>0</v>
      </c>
      <c r="N395" s="1">
        <f t="shared" si="26"/>
        <v>1</v>
      </c>
      <c r="O395" s="1" t="str">
        <f t="shared" si="27"/>
        <v>Single</v>
      </c>
      <c r="P395">
        <v>31.5</v>
      </c>
      <c r="Q395" s="1" t="str" cm="1">
        <f t="array" ref="Q395">_xlfn.IFS(P395&lt;=50,"Low",P395&lt;=100,"Medium",P395&gt;100,"High")</f>
        <v>Low</v>
      </c>
      <c r="R395" t="s">
        <v>17</v>
      </c>
      <c r="S395" s="1" t="str" cm="1">
        <f t="array" ref="S395">_xlfn.IFS(R395="S","Southampton",R395="C","Cherbourg",R395="Q","Queenstown")</f>
        <v>Southampton</v>
      </c>
    </row>
    <row r="396" spans="1:19" x14ac:dyDescent="0.3">
      <c r="A396">
        <v>395</v>
      </c>
      <c r="B396">
        <v>2</v>
      </c>
      <c r="C396" s="1" t="str" cm="1">
        <f t="array" ref="C396">_xlfn.IFS(B396=1,"First Class",B396=2,"Second Class",B396=3,"Third Class")</f>
        <v>Second Class</v>
      </c>
      <c r="D396">
        <v>0</v>
      </c>
      <c r="E396" s="1" t="str">
        <f t="shared" si="24"/>
        <v>Dead</v>
      </c>
      <c r="F396" t="s">
        <v>821</v>
      </c>
      <c r="G396" s="1" t="s">
        <v>2999</v>
      </c>
      <c r="H396" t="s">
        <v>20</v>
      </c>
      <c r="I396" s="1" t="str">
        <f t="shared" si="25"/>
        <v>Male</v>
      </c>
      <c r="J396" s="3">
        <v>18</v>
      </c>
      <c r="K396" s="3" t="str" cm="1">
        <f t="array" ref="K396">_xlfn.IFS(J396&lt;=13,"Child",J396&lt;=18,"Teenager",J396&lt;=30,"Young Adult",J396&lt;=50,"Middle Aged Adult",J396&gt;50,"Senior")</f>
        <v>Teenager</v>
      </c>
      <c r="L396">
        <v>0</v>
      </c>
      <c r="M396">
        <v>0</v>
      </c>
      <c r="N396" s="1">
        <f t="shared" si="26"/>
        <v>1</v>
      </c>
      <c r="O396" s="1" t="str">
        <f t="shared" si="27"/>
        <v>Single</v>
      </c>
      <c r="P396">
        <v>73.5</v>
      </c>
      <c r="Q396" s="1" t="str" cm="1">
        <f t="array" ref="Q396">_xlfn.IFS(P396&lt;=50,"Low",P396&lt;=100,"Medium",P396&gt;100,"High")</f>
        <v>Medium</v>
      </c>
      <c r="R396" t="s">
        <v>17</v>
      </c>
      <c r="S396" s="1" t="str" cm="1">
        <f t="array" ref="S396">_xlfn.IFS(R396="S","Southampton",R396="C","Cherbourg",R396="Q","Queenstown")</f>
        <v>Southampton</v>
      </c>
    </row>
    <row r="397" spans="1:19" x14ac:dyDescent="0.3">
      <c r="A397">
        <v>396</v>
      </c>
      <c r="B397">
        <v>2</v>
      </c>
      <c r="C397" s="1" t="str" cm="1">
        <f t="array" ref="C397">_xlfn.IFS(B397=1,"First Class",B397=2,"Second Class",B397=3,"Third Class")</f>
        <v>Second Class</v>
      </c>
      <c r="D397">
        <v>1</v>
      </c>
      <c r="E397" s="1" t="str">
        <f t="shared" si="24"/>
        <v>Alive</v>
      </c>
      <c r="F397" t="s">
        <v>823</v>
      </c>
      <c r="G397" s="1" t="s">
        <v>2994</v>
      </c>
      <c r="H397" t="s">
        <v>15</v>
      </c>
      <c r="I397" s="1" t="str">
        <f t="shared" si="25"/>
        <v>Female</v>
      </c>
      <c r="J397" s="3">
        <v>18</v>
      </c>
      <c r="K397" s="3" t="str" cm="1">
        <f t="array" ref="K397">_xlfn.IFS(J397&lt;=13,"Child",J397&lt;=18,"Teenager",J397&lt;=30,"Young Adult",J397&lt;=50,"Middle Aged Adult",J397&gt;50,"Senior")</f>
        <v>Teenager</v>
      </c>
      <c r="L397">
        <v>0</v>
      </c>
      <c r="M397">
        <v>1</v>
      </c>
      <c r="N397" s="1">
        <f t="shared" si="26"/>
        <v>2</v>
      </c>
      <c r="O397" s="1" t="str">
        <f t="shared" si="27"/>
        <v>With Family</v>
      </c>
      <c r="P397">
        <v>23</v>
      </c>
      <c r="Q397" s="1" t="str" cm="1">
        <f t="array" ref="Q397">_xlfn.IFS(P397&lt;=50,"Low",P397&lt;=100,"Medium",P397&gt;100,"High")</f>
        <v>Low</v>
      </c>
      <c r="R397" t="s">
        <v>17</v>
      </c>
      <c r="S397" s="1" t="str" cm="1">
        <f t="array" ref="S397">_xlfn.IFS(R397="S","Southampton",R397="C","Cherbourg",R397="Q","Queenstown")</f>
        <v>Southampton</v>
      </c>
    </row>
    <row r="398" spans="1:19" x14ac:dyDescent="0.3">
      <c r="A398">
        <v>397</v>
      </c>
      <c r="B398">
        <v>2</v>
      </c>
      <c r="C398" s="1" t="str" cm="1">
        <f t="array" ref="C398">_xlfn.IFS(B398=1,"First Class",B398=2,"Second Class",B398=3,"Third Class")</f>
        <v>Second Class</v>
      </c>
      <c r="D398">
        <v>1</v>
      </c>
      <c r="E398" s="1" t="str">
        <f t="shared" si="24"/>
        <v>Alive</v>
      </c>
      <c r="F398" t="s">
        <v>825</v>
      </c>
      <c r="G398" s="1" t="s">
        <v>3001</v>
      </c>
      <c r="H398" t="s">
        <v>15</v>
      </c>
      <c r="I398" s="1" t="str">
        <f t="shared" si="25"/>
        <v>Female</v>
      </c>
      <c r="J398" s="3">
        <v>34</v>
      </c>
      <c r="K398" s="3" t="str" cm="1">
        <f t="array" ref="K398">_xlfn.IFS(J398&lt;=13,"Child",J398&lt;=18,"Teenager",J398&lt;=30,"Young Adult",J398&lt;=50,"Middle Aged Adult",J398&gt;50,"Senior")</f>
        <v>Middle Aged Adult</v>
      </c>
      <c r="L398">
        <v>0</v>
      </c>
      <c r="M398">
        <v>1</v>
      </c>
      <c r="N398" s="1">
        <f t="shared" si="26"/>
        <v>2</v>
      </c>
      <c r="O398" s="1" t="str">
        <f t="shared" si="27"/>
        <v>With Family</v>
      </c>
      <c r="P398">
        <v>23</v>
      </c>
      <c r="Q398" s="1" t="str" cm="1">
        <f t="array" ref="Q398">_xlfn.IFS(P398&lt;=50,"Low",P398&lt;=100,"Medium",P398&gt;100,"High")</f>
        <v>Low</v>
      </c>
      <c r="R398" t="s">
        <v>17</v>
      </c>
      <c r="S398" s="1" t="str" cm="1">
        <f t="array" ref="S398">_xlfn.IFS(R398="S","Southampton",R398="C","Cherbourg",R398="Q","Queenstown")</f>
        <v>Southampton</v>
      </c>
    </row>
    <row r="399" spans="1:19" x14ac:dyDescent="0.3">
      <c r="A399">
        <v>398</v>
      </c>
      <c r="B399">
        <v>2</v>
      </c>
      <c r="C399" s="1" t="str" cm="1">
        <f t="array" ref="C399">_xlfn.IFS(B399=1,"First Class",B399=2,"Second Class",B399=3,"Third Class")</f>
        <v>Second Class</v>
      </c>
      <c r="D399">
        <v>0</v>
      </c>
      <c r="E399" s="1" t="str">
        <f t="shared" si="24"/>
        <v>Dead</v>
      </c>
      <c r="F399" t="s">
        <v>826</v>
      </c>
      <c r="G399" s="1" t="s">
        <v>2999</v>
      </c>
      <c r="H399" t="s">
        <v>20</v>
      </c>
      <c r="I399" s="1" t="str">
        <f t="shared" si="25"/>
        <v>Male</v>
      </c>
      <c r="J399" s="3">
        <v>54</v>
      </c>
      <c r="K399" s="3" t="str" cm="1">
        <f t="array" ref="K399">_xlfn.IFS(J399&lt;=13,"Child",J399&lt;=18,"Teenager",J399&lt;=30,"Young Adult",J399&lt;=50,"Middle Aged Adult",J399&gt;50,"Senior")</f>
        <v>Senior</v>
      </c>
      <c r="L399">
        <v>0</v>
      </c>
      <c r="M399">
        <v>0</v>
      </c>
      <c r="N399" s="1">
        <f t="shared" si="26"/>
        <v>1</v>
      </c>
      <c r="O399" s="1" t="str">
        <f t="shared" si="27"/>
        <v>Single</v>
      </c>
      <c r="P399">
        <v>26</v>
      </c>
      <c r="Q399" s="1" t="str" cm="1">
        <f t="array" ref="Q399">_xlfn.IFS(P399&lt;=50,"Low",P399&lt;=100,"Medium",P399&gt;100,"High")</f>
        <v>Low</v>
      </c>
      <c r="R399" t="s">
        <v>17</v>
      </c>
      <c r="S399" s="1" t="str" cm="1">
        <f t="array" ref="S399">_xlfn.IFS(R399="S","Southampton",R399="C","Cherbourg",R399="Q","Queenstown")</f>
        <v>Southampton</v>
      </c>
    </row>
    <row r="400" spans="1:19" x14ac:dyDescent="0.3">
      <c r="A400">
        <v>399</v>
      </c>
      <c r="B400">
        <v>2</v>
      </c>
      <c r="C400" s="1" t="str" cm="1">
        <f t="array" ref="C400">_xlfn.IFS(B400=1,"First Class",B400=2,"Second Class",B400=3,"Third Class")</f>
        <v>Second Class</v>
      </c>
      <c r="D400">
        <v>1</v>
      </c>
      <c r="E400" s="1" t="str">
        <f t="shared" si="24"/>
        <v>Alive</v>
      </c>
      <c r="F400" t="s">
        <v>828</v>
      </c>
      <c r="G400" s="1" t="s">
        <v>2996</v>
      </c>
      <c r="H400" t="s">
        <v>20</v>
      </c>
      <c r="I400" s="1" t="str">
        <f t="shared" si="25"/>
        <v>Male</v>
      </c>
      <c r="J400" s="3">
        <v>8</v>
      </c>
      <c r="K400" s="3" t="str" cm="1">
        <f t="array" ref="K400">_xlfn.IFS(J400&lt;=13,"Child",J400&lt;=18,"Teenager",J400&lt;=30,"Young Adult",J400&lt;=50,"Middle Aged Adult",J400&gt;50,"Senior")</f>
        <v>Child</v>
      </c>
      <c r="L400">
        <v>0</v>
      </c>
      <c r="M400">
        <v>2</v>
      </c>
      <c r="N400" s="1">
        <f t="shared" si="26"/>
        <v>3</v>
      </c>
      <c r="O400" s="1" t="str">
        <f t="shared" si="27"/>
        <v>With Family</v>
      </c>
      <c r="P400">
        <v>32.5</v>
      </c>
      <c r="Q400" s="1" t="str" cm="1">
        <f t="array" ref="Q400">_xlfn.IFS(P400&lt;=50,"Low",P400&lt;=100,"Medium",P400&gt;100,"High")</f>
        <v>Low</v>
      </c>
      <c r="R400" t="s">
        <v>17</v>
      </c>
      <c r="S400" s="1" t="str" cm="1">
        <f t="array" ref="S400">_xlfn.IFS(R400="S","Southampton",R400="C","Cherbourg",R400="Q","Queenstown")</f>
        <v>Southampton</v>
      </c>
    </row>
    <row r="401" spans="1:19" x14ac:dyDescent="0.3">
      <c r="A401">
        <v>400</v>
      </c>
      <c r="B401">
        <v>2</v>
      </c>
      <c r="C401" s="1" t="str" cm="1">
        <f t="array" ref="C401">_xlfn.IFS(B401=1,"First Class",B401=2,"Second Class",B401=3,"Third Class")</f>
        <v>Second Class</v>
      </c>
      <c r="D401">
        <v>0</v>
      </c>
      <c r="E401" s="1" t="str">
        <f t="shared" si="24"/>
        <v>Dead</v>
      </c>
      <c r="F401" t="s">
        <v>830</v>
      </c>
      <c r="G401" s="1" t="s">
        <v>2999</v>
      </c>
      <c r="H401" t="s">
        <v>20</v>
      </c>
      <c r="I401" s="1" t="str">
        <f t="shared" si="25"/>
        <v>Male</v>
      </c>
      <c r="J401" s="3">
        <v>42</v>
      </c>
      <c r="K401" s="3" t="str" cm="1">
        <f t="array" ref="K401">_xlfn.IFS(J401&lt;=13,"Child",J401&lt;=18,"Teenager",J401&lt;=30,"Young Adult",J401&lt;=50,"Middle Aged Adult",J401&gt;50,"Senior")</f>
        <v>Middle Aged Adult</v>
      </c>
      <c r="L401">
        <v>1</v>
      </c>
      <c r="M401">
        <v>1</v>
      </c>
      <c r="N401" s="1">
        <f t="shared" si="26"/>
        <v>3</v>
      </c>
      <c r="O401" s="1" t="str">
        <f t="shared" si="27"/>
        <v>With Family</v>
      </c>
      <c r="P401">
        <v>32.5</v>
      </c>
      <c r="Q401" s="1" t="str" cm="1">
        <f t="array" ref="Q401">_xlfn.IFS(P401&lt;=50,"Low",P401&lt;=100,"Medium",P401&gt;100,"High")</f>
        <v>Low</v>
      </c>
      <c r="R401" t="s">
        <v>17</v>
      </c>
      <c r="S401" s="1" t="str" cm="1">
        <f t="array" ref="S401">_xlfn.IFS(R401="S","Southampton",R401="C","Cherbourg",R401="Q","Queenstown")</f>
        <v>Southampton</v>
      </c>
    </row>
    <row r="402" spans="1:19" x14ac:dyDescent="0.3">
      <c r="A402">
        <v>401</v>
      </c>
      <c r="B402">
        <v>2</v>
      </c>
      <c r="C402" s="1" t="str" cm="1">
        <f t="array" ref="C402">_xlfn.IFS(B402=1,"First Class",B402=2,"Second Class",B402=3,"Third Class")</f>
        <v>Second Class</v>
      </c>
      <c r="D402">
        <v>1</v>
      </c>
      <c r="E402" s="1" t="str">
        <f t="shared" si="24"/>
        <v>Alive</v>
      </c>
      <c r="F402" t="s">
        <v>831</v>
      </c>
      <c r="G402" s="1" t="s">
        <v>3001</v>
      </c>
      <c r="H402" t="s">
        <v>15</v>
      </c>
      <c r="I402" s="1" t="str">
        <f t="shared" si="25"/>
        <v>Female</v>
      </c>
      <c r="J402" s="3">
        <v>34</v>
      </c>
      <c r="K402" s="3" t="str" cm="1">
        <f t="array" ref="K402">_xlfn.IFS(J402&lt;=13,"Child",J402&lt;=18,"Teenager",J402&lt;=30,"Young Adult",J402&lt;=50,"Middle Aged Adult",J402&gt;50,"Senior")</f>
        <v>Middle Aged Adult</v>
      </c>
      <c r="L402">
        <v>1</v>
      </c>
      <c r="M402">
        <v>1</v>
      </c>
      <c r="N402" s="1">
        <f t="shared" si="26"/>
        <v>3</v>
      </c>
      <c r="O402" s="1" t="str">
        <f t="shared" si="27"/>
        <v>With Family</v>
      </c>
      <c r="P402">
        <v>32.5</v>
      </c>
      <c r="Q402" s="1" t="str" cm="1">
        <f t="array" ref="Q402">_xlfn.IFS(P402&lt;=50,"Low",P402&lt;=100,"Medium",P402&gt;100,"High")</f>
        <v>Low</v>
      </c>
      <c r="R402" t="s">
        <v>17</v>
      </c>
      <c r="S402" s="1" t="str" cm="1">
        <f t="array" ref="S402">_xlfn.IFS(R402="S","Southampton",R402="C","Cherbourg",R402="Q","Queenstown")</f>
        <v>Southampton</v>
      </c>
    </row>
    <row r="403" spans="1:19" x14ac:dyDescent="0.3">
      <c r="A403">
        <v>402</v>
      </c>
      <c r="B403">
        <v>2</v>
      </c>
      <c r="C403" s="1" t="str" cm="1">
        <f t="array" ref="C403">_xlfn.IFS(B403=1,"First Class",B403=2,"Second Class",B403=3,"Third Class")</f>
        <v>Second Class</v>
      </c>
      <c r="D403">
        <v>1</v>
      </c>
      <c r="E403" s="1" t="str">
        <f t="shared" si="24"/>
        <v>Alive</v>
      </c>
      <c r="F403" t="s">
        <v>832</v>
      </c>
      <c r="G403" s="1" t="s">
        <v>2994</v>
      </c>
      <c r="H403" t="s">
        <v>15</v>
      </c>
      <c r="I403" s="1" t="str">
        <f t="shared" si="25"/>
        <v>Female</v>
      </c>
      <c r="J403" s="3">
        <v>27</v>
      </c>
      <c r="K403" s="3" t="str" cm="1">
        <f t="array" ref="K403">_xlfn.IFS(J403&lt;=13,"Child",J403&lt;=18,"Teenager",J403&lt;=30,"Young Adult",J403&lt;=50,"Middle Aged Adult",J403&gt;50,"Senior")</f>
        <v>Young Adult</v>
      </c>
      <c r="L403">
        <v>1</v>
      </c>
      <c r="M403">
        <v>0</v>
      </c>
      <c r="N403" s="1">
        <f t="shared" si="26"/>
        <v>2</v>
      </c>
      <c r="O403" s="1" t="str">
        <f t="shared" si="27"/>
        <v>With Family</v>
      </c>
      <c r="P403">
        <v>13.8583</v>
      </c>
      <c r="Q403" s="1" t="str" cm="1">
        <f t="array" ref="Q403">_xlfn.IFS(P403&lt;=50,"Low",P403&lt;=100,"Medium",P403&gt;100,"High")</f>
        <v>Low</v>
      </c>
      <c r="R403" t="s">
        <v>41</v>
      </c>
      <c r="S403" s="1" t="str" cm="1">
        <f t="array" ref="S403">_xlfn.IFS(R403="S","Southampton",R403="C","Cherbourg",R403="Q","Queenstown")</f>
        <v>Cherbourg</v>
      </c>
    </row>
    <row r="404" spans="1:19" x14ac:dyDescent="0.3">
      <c r="A404">
        <v>403</v>
      </c>
      <c r="B404">
        <v>2</v>
      </c>
      <c r="C404" s="1" t="str" cm="1">
        <f t="array" ref="C404">_xlfn.IFS(B404=1,"First Class",B404=2,"Second Class",B404=3,"Third Class")</f>
        <v>Second Class</v>
      </c>
      <c r="D404">
        <v>1</v>
      </c>
      <c r="E404" s="1" t="str">
        <f t="shared" si="24"/>
        <v>Alive</v>
      </c>
      <c r="F404" t="s">
        <v>835</v>
      </c>
      <c r="G404" s="1" t="s">
        <v>2994</v>
      </c>
      <c r="H404" t="s">
        <v>15</v>
      </c>
      <c r="I404" s="1" t="str">
        <f t="shared" si="25"/>
        <v>Female</v>
      </c>
      <c r="J404" s="3">
        <v>30</v>
      </c>
      <c r="K404" s="3" t="str" cm="1">
        <f t="array" ref="K404">_xlfn.IFS(J404&lt;=13,"Child",J404&lt;=18,"Teenager",J404&lt;=30,"Young Adult",J404&lt;=50,"Middle Aged Adult",J404&gt;50,"Senior")</f>
        <v>Young Adult</v>
      </c>
      <c r="L404">
        <v>1</v>
      </c>
      <c r="M404">
        <v>0</v>
      </c>
      <c r="N404" s="1">
        <f t="shared" si="26"/>
        <v>2</v>
      </c>
      <c r="O404" s="1" t="str">
        <f t="shared" si="27"/>
        <v>With Family</v>
      </c>
      <c r="P404">
        <v>13.8583</v>
      </c>
      <c r="Q404" s="1" t="str" cm="1">
        <f t="array" ref="Q404">_xlfn.IFS(P404&lt;=50,"Low",P404&lt;=100,"Medium",P404&gt;100,"High")</f>
        <v>Low</v>
      </c>
      <c r="R404" t="s">
        <v>41</v>
      </c>
      <c r="S404" s="1" t="str" cm="1">
        <f t="array" ref="S404">_xlfn.IFS(R404="S","Southampton",R404="C","Cherbourg",R404="Q","Queenstown")</f>
        <v>Cherbourg</v>
      </c>
    </row>
    <row r="405" spans="1:19" x14ac:dyDescent="0.3">
      <c r="A405">
        <v>404</v>
      </c>
      <c r="B405">
        <v>2</v>
      </c>
      <c r="C405" s="1" t="str" cm="1">
        <f t="array" ref="C405">_xlfn.IFS(B405=1,"First Class",B405=2,"Second Class",B405=3,"Third Class")</f>
        <v>Second Class</v>
      </c>
      <c r="D405">
        <v>0</v>
      </c>
      <c r="E405" s="1" t="str">
        <f t="shared" si="24"/>
        <v>Dead</v>
      </c>
      <c r="F405" t="s">
        <v>837</v>
      </c>
      <c r="G405" s="1" t="s">
        <v>2999</v>
      </c>
      <c r="H405" t="s">
        <v>20</v>
      </c>
      <c r="I405" s="1" t="str">
        <f t="shared" si="25"/>
        <v>Male</v>
      </c>
      <c r="J405" s="3">
        <v>23</v>
      </c>
      <c r="K405" s="3" t="str" cm="1">
        <f t="array" ref="K405">_xlfn.IFS(J405&lt;=13,"Child",J405&lt;=18,"Teenager",J405&lt;=30,"Young Adult",J405&lt;=50,"Middle Aged Adult",J405&gt;50,"Senior")</f>
        <v>Young Adult</v>
      </c>
      <c r="L405">
        <v>0</v>
      </c>
      <c r="M405">
        <v>0</v>
      </c>
      <c r="N405" s="1">
        <f t="shared" si="26"/>
        <v>1</v>
      </c>
      <c r="O405" s="1" t="str">
        <f t="shared" si="27"/>
        <v>Single</v>
      </c>
      <c r="P405">
        <v>13</v>
      </c>
      <c r="Q405" s="1" t="str" cm="1">
        <f t="array" ref="Q405">_xlfn.IFS(P405&lt;=50,"Low",P405&lt;=100,"Medium",P405&gt;100,"High")</f>
        <v>Low</v>
      </c>
      <c r="R405" t="s">
        <v>17</v>
      </c>
      <c r="S405" s="1" t="str" cm="1">
        <f t="array" ref="S405">_xlfn.IFS(R405="S","Southampton",R405="C","Cherbourg",R405="Q","Queenstown")</f>
        <v>Southampton</v>
      </c>
    </row>
    <row r="406" spans="1:19" x14ac:dyDescent="0.3">
      <c r="A406">
        <v>405</v>
      </c>
      <c r="B406">
        <v>2</v>
      </c>
      <c r="C406" s="1" t="str" cm="1">
        <f t="array" ref="C406">_xlfn.IFS(B406=1,"First Class",B406=2,"Second Class",B406=3,"Third Class")</f>
        <v>Second Class</v>
      </c>
      <c r="D406">
        <v>0</v>
      </c>
      <c r="E406" s="1" t="str">
        <f t="shared" si="24"/>
        <v>Dead</v>
      </c>
      <c r="F406" t="s">
        <v>839</v>
      </c>
      <c r="G406" s="1" t="s">
        <v>2999</v>
      </c>
      <c r="H406" t="s">
        <v>20</v>
      </c>
      <c r="I406" s="1" t="str">
        <f t="shared" si="25"/>
        <v>Male</v>
      </c>
      <c r="J406" s="3">
        <v>21</v>
      </c>
      <c r="K406" s="3" t="str" cm="1">
        <f t="array" ref="K406">_xlfn.IFS(J406&lt;=13,"Child",J406&lt;=18,"Teenager",J406&lt;=30,"Young Adult",J406&lt;=50,"Middle Aged Adult",J406&gt;50,"Senior")</f>
        <v>Young Adult</v>
      </c>
      <c r="L406">
        <v>0</v>
      </c>
      <c r="M406">
        <v>0</v>
      </c>
      <c r="N406" s="1">
        <f t="shared" si="26"/>
        <v>1</v>
      </c>
      <c r="O406" s="1" t="str">
        <f t="shared" si="27"/>
        <v>Single</v>
      </c>
      <c r="P406">
        <v>13</v>
      </c>
      <c r="Q406" s="1" t="str" cm="1">
        <f t="array" ref="Q406">_xlfn.IFS(P406&lt;=50,"Low",P406&lt;=100,"Medium",P406&gt;100,"High")</f>
        <v>Low</v>
      </c>
      <c r="R406" t="s">
        <v>17</v>
      </c>
      <c r="S406" s="1" t="str" cm="1">
        <f t="array" ref="S406">_xlfn.IFS(R406="S","Southampton",R406="C","Cherbourg",R406="Q","Queenstown")</f>
        <v>Southampton</v>
      </c>
    </row>
    <row r="407" spans="1:19" x14ac:dyDescent="0.3">
      <c r="A407">
        <v>406</v>
      </c>
      <c r="B407">
        <v>2</v>
      </c>
      <c r="C407" s="1" t="str" cm="1">
        <f t="array" ref="C407">_xlfn.IFS(B407=1,"First Class",B407=2,"Second Class",B407=3,"Third Class")</f>
        <v>Second Class</v>
      </c>
      <c r="D407">
        <v>0</v>
      </c>
      <c r="E407" s="1" t="str">
        <f t="shared" si="24"/>
        <v>Dead</v>
      </c>
      <c r="F407" t="s">
        <v>841</v>
      </c>
      <c r="G407" s="1" t="s">
        <v>2999</v>
      </c>
      <c r="H407" t="s">
        <v>20</v>
      </c>
      <c r="I407" s="1" t="str">
        <f t="shared" si="25"/>
        <v>Male</v>
      </c>
      <c r="J407" s="3">
        <v>18</v>
      </c>
      <c r="K407" s="3" t="str" cm="1">
        <f t="array" ref="K407">_xlfn.IFS(J407&lt;=13,"Child",J407&lt;=18,"Teenager",J407&lt;=30,"Young Adult",J407&lt;=50,"Middle Aged Adult",J407&gt;50,"Senior")</f>
        <v>Teenager</v>
      </c>
      <c r="L407">
        <v>0</v>
      </c>
      <c r="M407">
        <v>0</v>
      </c>
      <c r="N407" s="1">
        <f t="shared" si="26"/>
        <v>1</v>
      </c>
      <c r="O407" s="1" t="str">
        <f t="shared" si="27"/>
        <v>Single</v>
      </c>
      <c r="P407">
        <v>13</v>
      </c>
      <c r="Q407" s="1" t="str" cm="1">
        <f t="array" ref="Q407">_xlfn.IFS(P407&lt;=50,"Low",P407&lt;=100,"Medium",P407&gt;100,"High")</f>
        <v>Low</v>
      </c>
      <c r="R407" t="s">
        <v>17</v>
      </c>
      <c r="S407" s="1" t="str" cm="1">
        <f t="array" ref="S407">_xlfn.IFS(R407="S","Southampton",R407="C","Cherbourg",R407="Q","Queenstown")</f>
        <v>Southampton</v>
      </c>
    </row>
    <row r="408" spans="1:19" x14ac:dyDescent="0.3">
      <c r="A408">
        <v>407</v>
      </c>
      <c r="B408">
        <v>2</v>
      </c>
      <c r="C408" s="1" t="str" cm="1">
        <f t="array" ref="C408">_xlfn.IFS(B408=1,"First Class",B408=2,"Second Class",B408=3,"Third Class")</f>
        <v>Second Class</v>
      </c>
      <c r="D408">
        <v>0</v>
      </c>
      <c r="E408" s="1" t="str">
        <f t="shared" si="24"/>
        <v>Dead</v>
      </c>
      <c r="F408" t="s">
        <v>843</v>
      </c>
      <c r="G408" s="1" t="s">
        <v>2999</v>
      </c>
      <c r="H408" t="s">
        <v>20</v>
      </c>
      <c r="I408" s="1" t="str">
        <f t="shared" si="25"/>
        <v>Male</v>
      </c>
      <c r="J408" s="3">
        <v>40</v>
      </c>
      <c r="K408" s="3" t="str" cm="1">
        <f t="array" ref="K408">_xlfn.IFS(J408&lt;=13,"Child",J408&lt;=18,"Teenager",J408&lt;=30,"Young Adult",J408&lt;=50,"Middle Aged Adult",J408&gt;50,"Senior")</f>
        <v>Middle Aged Adult</v>
      </c>
      <c r="L408">
        <v>1</v>
      </c>
      <c r="M408">
        <v>0</v>
      </c>
      <c r="N408" s="1">
        <f t="shared" si="26"/>
        <v>2</v>
      </c>
      <c r="O408" s="1" t="str">
        <f t="shared" si="27"/>
        <v>With Family</v>
      </c>
      <c r="P408">
        <v>26</v>
      </c>
      <c r="Q408" s="1" t="str" cm="1">
        <f t="array" ref="Q408">_xlfn.IFS(P408&lt;=50,"Low",P408&lt;=100,"Medium",P408&gt;100,"High")</f>
        <v>Low</v>
      </c>
      <c r="R408" t="s">
        <v>17</v>
      </c>
      <c r="S408" s="1" t="str" cm="1">
        <f t="array" ref="S408">_xlfn.IFS(R408="S","Southampton",R408="C","Cherbourg",R408="Q","Queenstown")</f>
        <v>Southampton</v>
      </c>
    </row>
    <row r="409" spans="1:19" x14ac:dyDescent="0.3">
      <c r="A409">
        <v>408</v>
      </c>
      <c r="B409">
        <v>2</v>
      </c>
      <c r="C409" s="1" t="str" cm="1">
        <f t="array" ref="C409">_xlfn.IFS(B409=1,"First Class",B409=2,"Second Class",B409=3,"Third Class")</f>
        <v>Second Class</v>
      </c>
      <c r="D409">
        <v>1</v>
      </c>
      <c r="E409" s="1" t="str">
        <f t="shared" si="24"/>
        <v>Alive</v>
      </c>
      <c r="F409" t="s">
        <v>845</v>
      </c>
      <c r="G409" s="1" t="s">
        <v>3001</v>
      </c>
      <c r="H409" t="s">
        <v>15</v>
      </c>
      <c r="I409" s="1" t="str">
        <f t="shared" si="25"/>
        <v>Female</v>
      </c>
      <c r="J409" s="3">
        <v>29</v>
      </c>
      <c r="K409" s="3" t="str" cm="1">
        <f t="array" ref="K409">_xlfn.IFS(J409&lt;=13,"Child",J409&lt;=18,"Teenager",J409&lt;=30,"Young Adult",J409&lt;=50,"Middle Aged Adult",J409&gt;50,"Senior")</f>
        <v>Young Adult</v>
      </c>
      <c r="L409">
        <v>1</v>
      </c>
      <c r="M409">
        <v>0</v>
      </c>
      <c r="N409" s="1">
        <f t="shared" si="26"/>
        <v>2</v>
      </c>
      <c r="O409" s="1" t="str">
        <f t="shared" si="27"/>
        <v>With Family</v>
      </c>
      <c r="P409">
        <v>26</v>
      </c>
      <c r="Q409" s="1" t="str" cm="1">
        <f t="array" ref="Q409">_xlfn.IFS(P409&lt;=50,"Low",P409&lt;=100,"Medium",P409&gt;100,"High")</f>
        <v>Low</v>
      </c>
      <c r="R409" t="s">
        <v>17</v>
      </c>
      <c r="S409" s="1" t="str" cm="1">
        <f t="array" ref="S409">_xlfn.IFS(R409="S","Southampton",R409="C","Cherbourg",R409="Q","Queenstown")</f>
        <v>Southampton</v>
      </c>
    </row>
    <row r="410" spans="1:19" x14ac:dyDescent="0.3">
      <c r="A410">
        <v>409</v>
      </c>
      <c r="B410">
        <v>2</v>
      </c>
      <c r="C410" s="1" t="str" cm="1">
        <f t="array" ref="C410">_xlfn.IFS(B410=1,"First Class",B410=2,"Second Class",B410=3,"Third Class")</f>
        <v>Second Class</v>
      </c>
      <c r="D410">
        <v>0</v>
      </c>
      <c r="E410" s="1" t="str">
        <f t="shared" si="24"/>
        <v>Dead</v>
      </c>
      <c r="F410" t="s">
        <v>846</v>
      </c>
      <c r="G410" s="1" t="s">
        <v>2999</v>
      </c>
      <c r="H410" t="s">
        <v>20</v>
      </c>
      <c r="I410" s="1" t="str">
        <f t="shared" si="25"/>
        <v>Male</v>
      </c>
      <c r="J410" s="3">
        <v>18</v>
      </c>
      <c r="K410" s="3" t="str" cm="1">
        <f t="array" ref="K410">_xlfn.IFS(J410&lt;=13,"Child",J410&lt;=18,"Teenager",J410&lt;=30,"Young Adult",J410&lt;=50,"Middle Aged Adult",J410&gt;50,"Senior")</f>
        <v>Teenager</v>
      </c>
      <c r="L410">
        <v>0</v>
      </c>
      <c r="M410">
        <v>0</v>
      </c>
      <c r="N410" s="1">
        <f t="shared" si="26"/>
        <v>1</v>
      </c>
      <c r="O410" s="1" t="str">
        <f t="shared" si="27"/>
        <v>Single</v>
      </c>
      <c r="P410">
        <v>10.5</v>
      </c>
      <c r="Q410" s="1" t="str" cm="1">
        <f t="array" ref="Q410">_xlfn.IFS(P410&lt;=50,"Low",P410&lt;=100,"Medium",P410&gt;100,"High")</f>
        <v>Low</v>
      </c>
      <c r="R410" t="s">
        <v>17</v>
      </c>
      <c r="S410" s="1" t="str" cm="1">
        <f t="array" ref="S410">_xlfn.IFS(R410="S","Southampton",R410="C","Cherbourg",R410="Q","Queenstown")</f>
        <v>Southampton</v>
      </c>
    </row>
    <row r="411" spans="1:19" x14ac:dyDescent="0.3">
      <c r="A411">
        <v>410</v>
      </c>
      <c r="B411">
        <v>2</v>
      </c>
      <c r="C411" s="1" t="str" cm="1">
        <f t="array" ref="C411">_xlfn.IFS(B411=1,"First Class",B411=2,"Second Class",B411=3,"Third Class")</f>
        <v>Second Class</v>
      </c>
      <c r="D411">
        <v>0</v>
      </c>
      <c r="E411" s="1" t="str">
        <f t="shared" si="24"/>
        <v>Dead</v>
      </c>
      <c r="F411" t="s">
        <v>849</v>
      </c>
      <c r="G411" s="1" t="s">
        <v>2999</v>
      </c>
      <c r="H411" t="s">
        <v>20</v>
      </c>
      <c r="I411" s="1" t="str">
        <f t="shared" si="25"/>
        <v>Male</v>
      </c>
      <c r="J411" s="3">
        <v>36</v>
      </c>
      <c r="K411" s="3" t="str" cm="1">
        <f t="array" ref="K411">_xlfn.IFS(J411&lt;=13,"Child",J411&lt;=18,"Teenager",J411&lt;=30,"Young Adult",J411&lt;=50,"Middle Aged Adult",J411&gt;50,"Senior")</f>
        <v>Middle Aged Adult</v>
      </c>
      <c r="L411">
        <v>0</v>
      </c>
      <c r="M411">
        <v>0</v>
      </c>
      <c r="N411" s="1">
        <f t="shared" si="26"/>
        <v>1</v>
      </c>
      <c r="O411" s="1" t="str">
        <f t="shared" si="27"/>
        <v>Single</v>
      </c>
      <c r="P411">
        <v>13</v>
      </c>
      <c r="Q411" s="1" t="str" cm="1">
        <f t="array" ref="Q411">_xlfn.IFS(P411&lt;=50,"Low",P411&lt;=100,"Medium",P411&gt;100,"High")</f>
        <v>Low</v>
      </c>
      <c r="R411" t="s">
        <v>17</v>
      </c>
      <c r="S411" s="1" t="str" cm="1">
        <f t="array" ref="S411">_xlfn.IFS(R411="S","Southampton",R411="C","Cherbourg",R411="Q","Queenstown")</f>
        <v>Southampton</v>
      </c>
    </row>
    <row r="412" spans="1:19" x14ac:dyDescent="0.3">
      <c r="A412">
        <v>411</v>
      </c>
      <c r="B412">
        <v>2</v>
      </c>
      <c r="C412" s="1" t="str" cm="1">
        <f t="array" ref="C412">_xlfn.IFS(B412=1,"First Class",B412=2,"Second Class",B412=3,"Third Class")</f>
        <v>Second Class</v>
      </c>
      <c r="D412">
        <v>0</v>
      </c>
      <c r="E412" s="1" t="str">
        <f t="shared" si="24"/>
        <v>Dead</v>
      </c>
      <c r="F412" t="s">
        <v>850</v>
      </c>
      <c r="G412" s="1" t="s">
        <v>2999</v>
      </c>
      <c r="H412" t="s">
        <v>20</v>
      </c>
      <c r="I412" s="1" t="str">
        <f t="shared" si="25"/>
        <v>Male</v>
      </c>
      <c r="J412" s="3">
        <v>29.881137667304014</v>
      </c>
      <c r="K412" s="3" t="str" cm="1">
        <f t="array" ref="K412">_xlfn.IFS(J412&lt;=13,"Child",J412&lt;=18,"Teenager",J412&lt;=30,"Young Adult",J412&lt;=50,"Middle Aged Adult",J412&gt;50,"Senior")</f>
        <v>Young Adult</v>
      </c>
      <c r="L412">
        <v>0</v>
      </c>
      <c r="M412">
        <v>0</v>
      </c>
      <c r="N412" s="1">
        <f t="shared" si="26"/>
        <v>1</v>
      </c>
      <c r="O412" s="1" t="str">
        <f t="shared" si="27"/>
        <v>Single</v>
      </c>
      <c r="P412">
        <v>0</v>
      </c>
      <c r="Q412" s="1" t="str" cm="1">
        <f t="array" ref="Q412">_xlfn.IFS(P412&lt;=50,"Low",P412&lt;=100,"Medium",P412&gt;100,"High")</f>
        <v>Low</v>
      </c>
      <c r="R412" t="s">
        <v>17</v>
      </c>
      <c r="S412" s="1" t="str" cm="1">
        <f t="array" ref="S412">_xlfn.IFS(R412="S","Southampton",R412="C","Cherbourg",R412="Q","Queenstown")</f>
        <v>Southampton</v>
      </c>
    </row>
    <row r="413" spans="1:19" x14ac:dyDescent="0.3">
      <c r="A413">
        <v>412</v>
      </c>
      <c r="B413">
        <v>2</v>
      </c>
      <c r="C413" s="1" t="str" cm="1">
        <f t="array" ref="C413">_xlfn.IFS(B413=1,"First Class",B413=2,"Second Class",B413=3,"Third Class")</f>
        <v>Second Class</v>
      </c>
      <c r="D413">
        <v>0</v>
      </c>
      <c r="E413" s="1" t="str">
        <f t="shared" si="24"/>
        <v>Dead</v>
      </c>
      <c r="F413" t="s">
        <v>851</v>
      </c>
      <c r="G413" s="1" t="s">
        <v>2994</v>
      </c>
      <c r="H413" t="s">
        <v>15</v>
      </c>
      <c r="I413" s="1" t="str">
        <f t="shared" si="25"/>
        <v>Female</v>
      </c>
      <c r="J413" s="3">
        <v>38</v>
      </c>
      <c r="K413" s="3" t="str" cm="1">
        <f t="array" ref="K413">_xlfn.IFS(J413&lt;=13,"Child",J413&lt;=18,"Teenager",J413&lt;=30,"Young Adult",J413&lt;=50,"Middle Aged Adult",J413&gt;50,"Senior")</f>
        <v>Middle Aged Adult</v>
      </c>
      <c r="L413">
        <v>0</v>
      </c>
      <c r="M413">
        <v>0</v>
      </c>
      <c r="N413" s="1">
        <f t="shared" si="26"/>
        <v>1</v>
      </c>
      <c r="O413" s="1" t="str">
        <f t="shared" si="27"/>
        <v>Single</v>
      </c>
      <c r="P413">
        <v>13</v>
      </c>
      <c r="Q413" s="1" t="str" cm="1">
        <f t="array" ref="Q413">_xlfn.IFS(P413&lt;=50,"Low",P413&lt;=100,"Medium",P413&gt;100,"High")</f>
        <v>Low</v>
      </c>
      <c r="R413" t="s">
        <v>17</v>
      </c>
      <c r="S413" s="1" t="str" cm="1">
        <f t="array" ref="S413">_xlfn.IFS(R413="S","Southampton",R413="C","Cherbourg",R413="Q","Queenstown")</f>
        <v>Southampton</v>
      </c>
    </row>
    <row r="414" spans="1:19" x14ac:dyDescent="0.3">
      <c r="A414">
        <v>413</v>
      </c>
      <c r="B414">
        <v>2</v>
      </c>
      <c r="C414" s="1" t="str" cm="1">
        <f t="array" ref="C414">_xlfn.IFS(B414=1,"First Class",B414=2,"Second Class",B414=3,"Third Class")</f>
        <v>Second Class</v>
      </c>
      <c r="D414">
        <v>0</v>
      </c>
      <c r="E414" s="1" t="str">
        <f t="shared" si="24"/>
        <v>Dead</v>
      </c>
      <c r="F414" t="s">
        <v>853</v>
      </c>
      <c r="G414" s="1" t="s">
        <v>2999</v>
      </c>
      <c r="H414" t="s">
        <v>20</v>
      </c>
      <c r="I414" s="1" t="str">
        <f t="shared" si="25"/>
        <v>Male</v>
      </c>
      <c r="J414" s="3">
        <v>35</v>
      </c>
      <c r="K414" s="3" t="str" cm="1">
        <f t="array" ref="K414">_xlfn.IFS(J414&lt;=13,"Child",J414&lt;=18,"Teenager",J414&lt;=30,"Young Adult",J414&lt;=50,"Middle Aged Adult",J414&gt;50,"Senior")</f>
        <v>Middle Aged Adult</v>
      </c>
      <c r="L414">
        <v>0</v>
      </c>
      <c r="M414">
        <v>0</v>
      </c>
      <c r="N414" s="1">
        <f t="shared" si="26"/>
        <v>1</v>
      </c>
      <c r="O414" s="1" t="str">
        <f t="shared" si="27"/>
        <v>Single</v>
      </c>
      <c r="P414">
        <v>26</v>
      </c>
      <c r="Q414" s="1" t="str" cm="1">
        <f t="array" ref="Q414">_xlfn.IFS(P414&lt;=50,"Low",P414&lt;=100,"Medium",P414&gt;100,"High")</f>
        <v>Low</v>
      </c>
      <c r="R414" t="s">
        <v>17</v>
      </c>
      <c r="S414" s="1" t="str" cm="1">
        <f t="array" ref="S414">_xlfn.IFS(R414="S","Southampton",R414="C","Cherbourg",R414="Q","Queenstown")</f>
        <v>Southampton</v>
      </c>
    </row>
    <row r="415" spans="1:19" x14ac:dyDescent="0.3">
      <c r="A415">
        <v>414</v>
      </c>
      <c r="B415">
        <v>2</v>
      </c>
      <c r="C415" s="1" t="str" cm="1">
        <f t="array" ref="C415">_xlfn.IFS(B415=1,"First Class",B415=2,"Second Class",B415=3,"Third Class")</f>
        <v>Second Class</v>
      </c>
      <c r="D415">
        <v>0</v>
      </c>
      <c r="E415" s="1" t="str">
        <f t="shared" si="24"/>
        <v>Dead</v>
      </c>
      <c r="F415" t="s">
        <v>855</v>
      </c>
      <c r="G415" s="1" t="s">
        <v>2999</v>
      </c>
      <c r="H415" t="s">
        <v>20</v>
      </c>
      <c r="I415" s="1" t="str">
        <f t="shared" si="25"/>
        <v>Male</v>
      </c>
      <c r="J415" s="3">
        <v>38</v>
      </c>
      <c r="K415" s="3" t="str" cm="1">
        <f t="array" ref="K415">_xlfn.IFS(J415&lt;=13,"Child",J415&lt;=18,"Teenager",J415&lt;=30,"Young Adult",J415&lt;=50,"Middle Aged Adult",J415&gt;50,"Senior")</f>
        <v>Middle Aged Adult</v>
      </c>
      <c r="L415">
        <v>1</v>
      </c>
      <c r="M415">
        <v>0</v>
      </c>
      <c r="N415" s="1">
        <f t="shared" si="26"/>
        <v>2</v>
      </c>
      <c r="O415" s="1" t="str">
        <f t="shared" si="27"/>
        <v>With Family</v>
      </c>
      <c r="P415">
        <v>21</v>
      </c>
      <c r="Q415" s="1" t="str" cm="1">
        <f t="array" ref="Q415">_xlfn.IFS(P415&lt;=50,"Low",P415&lt;=100,"Medium",P415&gt;100,"High")</f>
        <v>Low</v>
      </c>
      <c r="R415" t="s">
        <v>17</v>
      </c>
      <c r="S415" s="1" t="str" cm="1">
        <f t="array" ref="S415">_xlfn.IFS(R415="S","Southampton",R415="C","Cherbourg",R415="Q","Queenstown")</f>
        <v>Southampton</v>
      </c>
    </row>
    <row r="416" spans="1:19" x14ac:dyDescent="0.3">
      <c r="A416">
        <v>415</v>
      </c>
      <c r="B416">
        <v>2</v>
      </c>
      <c r="C416" s="1" t="str" cm="1">
        <f t="array" ref="C416">_xlfn.IFS(B416=1,"First Class",B416=2,"Second Class",B416=3,"Third Class")</f>
        <v>Second Class</v>
      </c>
      <c r="D416">
        <v>0</v>
      </c>
      <c r="E416" s="1" t="str">
        <f t="shared" si="24"/>
        <v>Dead</v>
      </c>
      <c r="F416" t="s">
        <v>857</v>
      </c>
      <c r="G416" s="1" t="s">
        <v>2999</v>
      </c>
      <c r="H416" t="s">
        <v>20</v>
      </c>
      <c r="I416" s="1" t="str">
        <f t="shared" si="25"/>
        <v>Male</v>
      </c>
      <c r="J416" s="3">
        <v>34</v>
      </c>
      <c r="K416" s="3" t="str" cm="1">
        <f t="array" ref="K416">_xlfn.IFS(J416&lt;=13,"Child",J416&lt;=18,"Teenager",J416&lt;=30,"Young Adult",J416&lt;=50,"Middle Aged Adult",J416&gt;50,"Senior")</f>
        <v>Middle Aged Adult</v>
      </c>
      <c r="L416">
        <v>1</v>
      </c>
      <c r="M416">
        <v>0</v>
      </c>
      <c r="N416" s="1">
        <f t="shared" si="26"/>
        <v>2</v>
      </c>
      <c r="O416" s="1" t="str">
        <f t="shared" si="27"/>
        <v>With Family</v>
      </c>
      <c r="P416">
        <v>21</v>
      </c>
      <c r="Q416" s="1" t="str" cm="1">
        <f t="array" ref="Q416">_xlfn.IFS(P416&lt;=50,"Low",P416&lt;=100,"Medium",P416&gt;100,"High")</f>
        <v>Low</v>
      </c>
      <c r="R416" t="s">
        <v>17</v>
      </c>
      <c r="S416" s="1" t="str" cm="1">
        <f t="array" ref="S416">_xlfn.IFS(R416="S","Southampton",R416="C","Cherbourg",R416="Q","Queenstown")</f>
        <v>Southampton</v>
      </c>
    </row>
    <row r="417" spans="1:19" x14ac:dyDescent="0.3">
      <c r="A417">
        <v>416</v>
      </c>
      <c r="B417">
        <v>2</v>
      </c>
      <c r="C417" s="1" t="str" cm="1">
        <f t="array" ref="C417">_xlfn.IFS(B417=1,"First Class",B417=2,"Second Class",B417=3,"Third Class")</f>
        <v>Second Class</v>
      </c>
      <c r="D417">
        <v>1</v>
      </c>
      <c r="E417" s="1" t="str">
        <f t="shared" si="24"/>
        <v>Alive</v>
      </c>
      <c r="F417" t="s">
        <v>858</v>
      </c>
      <c r="G417" s="1" t="s">
        <v>2994</v>
      </c>
      <c r="H417" t="s">
        <v>15</v>
      </c>
      <c r="I417" s="1" t="str">
        <f t="shared" si="25"/>
        <v>Female</v>
      </c>
      <c r="J417" s="3">
        <v>34</v>
      </c>
      <c r="K417" s="3" t="str" cm="1">
        <f t="array" ref="K417">_xlfn.IFS(J417&lt;=13,"Child",J417&lt;=18,"Teenager",J417&lt;=30,"Young Adult",J417&lt;=50,"Middle Aged Adult",J417&gt;50,"Senior")</f>
        <v>Middle Aged Adult</v>
      </c>
      <c r="L417">
        <v>0</v>
      </c>
      <c r="M417">
        <v>0</v>
      </c>
      <c r="N417" s="1">
        <f t="shared" si="26"/>
        <v>1</v>
      </c>
      <c r="O417" s="1" t="str">
        <f t="shared" si="27"/>
        <v>Single</v>
      </c>
      <c r="P417">
        <v>13</v>
      </c>
      <c r="Q417" s="1" t="str" cm="1">
        <f t="array" ref="Q417">_xlfn.IFS(P417&lt;=50,"Low",P417&lt;=100,"Medium",P417&gt;100,"High")</f>
        <v>Low</v>
      </c>
      <c r="R417" t="s">
        <v>17</v>
      </c>
      <c r="S417" s="1" t="str" cm="1">
        <f t="array" ref="S417">_xlfn.IFS(R417="S","Southampton",R417="C","Cherbourg",R417="Q","Queenstown")</f>
        <v>Southampton</v>
      </c>
    </row>
    <row r="418" spans="1:19" x14ac:dyDescent="0.3">
      <c r="A418">
        <v>417</v>
      </c>
      <c r="B418">
        <v>2</v>
      </c>
      <c r="C418" s="1" t="str" cm="1">
        <f t="array" ref="C418">_xlfn.IFS(B418=1,"First Class",B418=2,"Second Class",B418=3,"Third Class")</f>
        <v>Second Class</v>
      </c>
      <c r="D418">
        <v>0</v>
      </c>
      <c r="E418" s="1" t="str">
        <f t="shared" si="24"/>
        <v>Dead</v>
      </c>
      <c r="F418" t="s">
        <v>859</v>
      </c>
      <c r="G418" s="1" t="s">
        <v>2999</v>
      </c>
      <c r="H418" t="s">
        <v>20</v>
      </c>
      <c r="I418" s="1" t="str">
        <f t="shared" si="25"/>
        <v>Male</v>
      </c>
      <c r="J418" s="3">
        <v>16</v>
      </c>
      <c r="K418" s="3" t="str" cm="1">
        <f t="array" ref="K418">_xlfn.IFS(J418&lt;=13,"Child",J418&lt;=18,"Teenager",J418&lt;=30,"Young Adult",J418&lt;=50,"Middle Aged Adult",J418&gt;50,"Senior")</f>
        <v>Teenager</v>
      </c>
      <c r="L418">
        <v>0</v>
      </c>
      <c r="M418">
        <v>0</v>
      </c>
      <c r="N418" s="1">
        <f t="shared" si="26"/>
        <v>1</v>
      </c>
      <c r="O418" s="1" t="str">
        <f t="shared" si="27"/>
        <v>Single</v>
      </c>
      <c r="P418">
        <v>26</v>
      </c>
      <c r="Q418" s="1" t="str" cm="1">
        <f t="array" ref="Q418">_xlfn.IFS(P418&lt;=50,"Low",P418&lt;=100,"Medium",P418&gt;100,"High")</f>
        <v>Low</v>
      </c>
      <c r="R418" t="s">
        <v>17</v>
      </c>
      <c r="S418" s="1" t="str" cm="1">
        <f t="array" ref="S418">_xlfn.IFS(R418="S","Southampton",R418="C","Cherbourg",R418="Q","Queenstown")</f>
        <v>Southampton</v>
      </c>
    </row>
    <row r="419" spans="1:19" x14ac:dyDescent="0.3">
      <c r="A419">
        <v>418</v>
      </c>
      <c r="B419">
        <v>2</v>
      </c>
      <c r="C419" s="1" t="str" cm="1">
        <f t="array" ref="C419">_xlfn.IFS(B419=1,"First Class",B419=2,"Second Class",B419=3,"Third Class")</f>
        <v>Second Class</v>
      </c>
      <c r="D419">
        <v>0</v>
      </c>
      <c r="E419" s="1" t="str">
        <f t="shared" si="24"/>
        <v>Dead</v>
      </c>
      <c r="F419" t="s">
        <v>860</v>
      </c>
      <c r="G419" s="1" t="s">
        <v>2999</v>
      </c>
      <c r="H419" t="s">
        <v>20</v>
      </c>
      <c r="I419" s="1" t="str">
        <f t="shared" si="25"/>
        <v>Male</v>
      </c>
      <c r="J419" s="3">
        <v>26</v>
      </c>
      <c r="K419" s="3" t="str" cm="1">
        <f t="array" ref="K419">_xlfn.IFS(J419&lt;=13,"Child",J419&lt;=18,"Teenager",J419&lt;=30,"Young Adult",J419&lt;=50,"Middle Aged Adult",J419&gt;50,"Senior")</f>
        <v>Young Adult</v>
      </c>
      <c r="L419">
        <v>0</v>
      </c>
      <c r="M419">
        <v>0</v>
      </c>
      <c r="N419" s="1">
        <f t="shared" si="26"/>
        <v>1</v>
      </c>
      <c r="O419" s="1" t="str">
        <f t="shared" si="27"/>
        <v>Single</v>
      </c>
      <c r="P419">
        <v>10.5</v>
      </c>
      <c r="Q419" s="1" t="str" cm="1">
        <f t="array" ref="Q419">_xlfn.IFS(P419&lt;=50,"Low",P419&lt;=100,"Medium",P419&gt;100,"High")</f>
        <v>Low</v>
      </c>
      <c r="R419" t="s">
        <v>17</v>
      </c>
      <c r="S419" s="1" t="str" cm="1">
        <f t="array" ref="S419">_xlfn.IFS(R419="S","Southampton",R419="C","Cherbourg",R419="Q","Queenstown")</f>
        <v>Southampton</v>
      </c>
    </row>
    <row r="420" spans="1:19" x14ac:dyDescent="0.3">
      <c r="A420">
        <v>419</v>
      </c>
      <c r="B420">
        <v>2</v>
      </c>
      <c r="C420" s="1" t="str" cm="1">
        <f t="array" ref="C420">_xlfn.IFS(B420=1,"First Class",B420=2,"Second Class",B420=3,"Third Class")</f>
        <v>Second Class</v>
      </c>
      <c r="D420">
        <v>0</v>
      </c>
      <c r="E420" s="1" t="str">
        <f t="shared" si="24"/>
        <v>Dead</v>
      </c>
      <c r="F420" t="s">
        <v>861</v>
      </c>
      <c r="G420" s="1" t="s">
        <v>2999</v>
      </c>
      <c r="H420" t="s">
        <v>20</v>
      </c>
      <c r="I420" s="1" t="str">
        <f t="shared" si="25"/>
        <v>Male</v>
      </c>
      <c r="J420" s="3">
        <v>47</v>
      </c>
      <c r="K420" s="3" t="str" cm="1">
        <f t="array" ref="K420">_xlfn.IFS(J420&lt;=13,"Child",J420&lt;=18,"Teenager",J420&lt;=30,"Young Adult",J420&lt;=50,"Middle Aged Adult",J420&gt;50,"Senior")</f>
        <v>Middle Aged Adult</v>
      </c>
      <c r="L420">
        <v>0</v>
      </c>
      <c r="M420">
        <v>0</v>
      </c>
      <c r="N420" s="1">
        <f t="shared" si="26"/>
        <v>1</v>
      </c>
      <c r="O420" s="1" t="str">
        <f t="shared" si="27"/>
        <v>Single</v>
      </c>
      <c r="P420">
        <v>10.5</v>
      </c>
      <c r="Q420" s="1" t="str" cm="1">
        <f t="array" ref="Q420">_xlfn.IFS(P420&lt;=50,"Low",P420&lt;=100,"Medium",P420&gt;100,"High")</f>
        <v>Low</v>
      </c>
      <c r="R420" t="s">
        <v>17</v>
      </c>
      <c r="S420" s="1" t="str" cm="1">
        <f t="array" ref="S420">_xlfn.IFS(R420="S","Southampton",R420="C","Cherbourg",R420="Q","Queenstown")</f>
        <v>Southampton</v>
      </c>
    </row>
    <row r="421" spans="1:19" x14ac:dyDescent="0.3">
      <c r="A421">
        <v>420</v>
      </c>
      <c r="B421">
        <v>2</v>
      </c>
      <c r="C421" s="1" t="str" cm="1">
        <f t="array" ref="C421">_xlfn.IFS(B421=1,"First Class",B421=2,"Second Class",B421=3,"Third Class")</f>
        <v>Second Class</v>
      </c>
      <c r="D421">
        <v>0</v>
      </c>
      <c r="E421" s="1" t="str">
        <f t="shared" si="24"/>
        <v>Dead</v>
      </c>
      <c r="F421" t="s">
        <v>864</v>
      </c>
      <c r="G421" s="1" t="s">
        <v>2999</v>
      </c>
      <c r="H421" t="s">
        <v>20</v>
      </c>
      <c r="I421" s="1" t="str">
        <f t="shared" si="25"/>
        <v>Male</v>
      </c>
      <c r="J421" s="3">
        <v>21</v>
      </c>
      <c r="K421" s="3" t="str" cm="1">
        <f t="array" ref="K421">_xlfn.IFS(J421&lt;=13,"Child",J421&lt;=18,"Teenager",J421&lt;=30,"Young Adult",J421&lt;=50,"Middle Aged Adult",J421&gt;50,"Senior")</f>
        <v>Young Adult</v>
      </c>
      <c r="L421">
        <v>1</v>
      </c>
      <c r="M421">
        <v>0</v>
      </c>
      <c r="N421" s="1">
        <f t="shared" si="26"/>
        <v>2</v>
      </c>
      <c r="O421" s="1" t="str">
        <f t="shared" si="27"/>
        <v>With Family</v>
      </c>
      <c r="P421">
        <v>11.5</v>
      </c>
      <c r="Q421" s="1" t="str" cm="1">
        <f t="array" ref="Q421">_xlfn.IFS(P421&lt;=50,"Low",P421&lt;=100,"Medium",P421&gt;100,"High")</f>
        <v>Low</v>
      </c>
      <c r="R421" t="s">
        <v>17</v>
      </c>
      <c r="S421" s="1" t="str" cm="1">
        <f t="array" ref="S421">_xlfn.IFS(R421="S","Southampton",R421="C","Cherbourg",R421="Q","Queenstown")</f>
        <v>Southampton</v>
      </c>
    </row>
    <row r="422" spans="1:19" x14ac:dyDescent="0.3">
      <c r="A422">
        <v>421</v>
      </c>
      <c r="B422">
        <v>2</v>
      </c>
      <c r="C422" s="1" t="str" cm="1">
        <f t="array" ref="C422">_xlfn.IFS(B422=1,"First Class",B422=2,"Second Class",B422=3,"Third Class")</f>
        <v>Second Class</v>
      </c>
      <c r="D422">
        <v>0</v>
      </c>
      <c r="E422" s="1" t="str">
        <f t="shared" si="24"/>
        <v>Dead</v>
      </c>
      <c r="F422" t="s">
        <v>866</v>
      </c>
      <c r="G422" s="1" t="s">
        <v>2999</v>
      </c>
      <c r="H422" t="s">
        <v>20</v>
      </c>
      <c r="I422" s="1" t="str">
        <f t="shared" si="25"/>
        <v>Male</v>
      </c>
      <c r="J422" s="3">
        <v>21</v>
      </c>
      <c r="K422" s="3" t="str" cm="1">
        <f t="array" ref="K422">_xlfn.IFS(J422&lt;=13,"Child",J422&lt;=18,"Teenager",J422&lt;=30,"Young Adult",J422&lt;=50,"Middle Aged Adult",J422&gt;50,"Senior")</f>
        <v>Young Adult</v>
      </c>
      <c r="L422">
        <v>1</v>
      </c>
      <c r="M422">
        <v>0</v>
      </c>
      <c r="N422" s="1">
        <f t="shared" si="26"/>
        <v>2</v>
      </c>
      <c r="O422" s="1" t="str">
        <f t="shared" si="27"/>
        <v>With Family</v>
      </c>
      <c r="P422">
        <v>11.5</v>
      </c>
      <c r="Q422" s="1" t="str" cm="1">
        <f t="array" ref="Q422">_xlfn.IFS(P422&lt;=50,"Low",P422&lt;=100,"Medium",P422&gt;100,"High")</f>
        <v>Low</v>
      </c>
      <c r="R422" t="s">
        <v>17</v>
      </c>
      <c r="S422" s="1" t="str" cm="1">
        <f t="array" ref="S422">_xlfn.IFS(R422="S","Southampton",R422="C","Cherbourg",R422="Q","Queenstown")</f>
        <v>Southampton</v>
      </c>
    </row>
    <row r="423" spans="1:19" x14ac:dyDescent="0.3">
      <c r="A423">
        <v>422</v>
      </c>
      <c r="B423">
        <v>2</v>
      </c>
      <c r="C423" s="1" t="str" cm="1">
        <f t="array" ref="C423">_xlfn.IFS(B423=1,"First Class",B423=2,"Second Class",B423=3,"Third Class")</f>
        <v>Second Class</v>
      </c>
      <c r="D423">
        <v>0</v>
      </c>
      <c r="E423" s="1" t="str">
        <f t="shared" si="24"/>
        <v>Dead</v>
      </c>
      <c r="F423" t="s">
        <v>867</v>
      </c>
      <c r="G423" s="1" t="s">
        <v>2999</v>
      </c>
      <c r="H423" t="s">
        <v>20</v>
      </c>
      <c r="I423" s="1" t="str">
        <f t="shared" si="25"/>
        <v>Male</v>
      </c>
      <c r="J423" s="3">
        <v>24</v>
      </c>
      <c r="K423" s="3" t="str" cm="1">
        <f t="array" ref="K423">_xlfn.IFS(J423&lt;=13,"Child",J423&lt;=18,"Teenager",J423&lt;=30,"Young Adult",J423&lt;=50,"Middle Aged Adult",J423&gt;50,"Senior")</f>
        <v>Young Adult</v>
      </c>
      <c r="L423">
        <v>0</v>
      </c>
      <c r="M423">
        <v>0</v>
      </c>
      <c r="N423" s="1">
        <f t="shared" si="26"/>
        <v>1</v>
      </c>
      <c r="O423" s="1" t="str">
        <f t="shared" si="27"/>
        <v>Single</v>
      </c>
      <c r="P423">
        <v>13.5</v>
      </c>
      <c r="Q423" s="1" t="str" cm="1">
        <f t="array" ref="Q423">_xlfn.IFS(P423&lt;=50,"Low",P423&lt;=100,"Medium",P423&gt;100,"High")</f>
        <v>Low</v>
      </c>
      <c r="R423" t="s">
        <v>17</v>
      </c>
      <c r="S423" s="1" t="str" cm="1">
        <f t="array" ref="S423">_xlfn.IFS(R423="S","Southampton",R423="C","Cherbourg",R423="Q","Queenstown")</f>
        <v>Southampton</v>
      </c>
    </row>
    <row r="424" spans="1:19" x14ac:dyDescent="0.3">
      <c r="A424">
        <v>423</v>
      </c>
      <c r="B424">
        <v>2</v>
      </c>
      <c r="C424" s="1" t="str" cm="1">
        <f t="array" ref="C424">_xlfn.IFS(B424=1,"First Class",B424=2,"Second Class",B424=3,"Third Class")</f>
        <v>Second Class</v>
      </c>
      <c r="D424">
        <v>0</v>
      </c>
      <c r="E424" s="1" t="str">
        <f t="shared" si="24"/>
        <v>Dead</v>
      </c>
      <c r="F424" t="s">
        <v>869</v>
      </c>
      <c r="G424" s="1" t="s">
        <v>2999</v>
      </c>
      <c r="H424" t="s">
        <v>20</v>
      </c>
      <c r="I424" s="1" t="str">
        <f t="shared" si="25"/>
        <v>Male</v>
      </c>
      <c r="J424" s="3">
        <v>24</v>
      </c>
      <c r="K424" s="3" t="str" cm="1">
        <f t="array" ref="K424">_xlfn.IFS(J424&lt;=13,"Child",J424&lt;=18,"Teenager",J424&lt;=30,"Young Adult",J424&lt;=50,"Middle Aged Adult",J424&gt;50,"Senior")</f>
        <v>Young Adult</v>
      </c>
      <c r="L424">
        <v>0</v>
      </c>
      <c r="M424">
        <v>0</v>
      </c>
      <c r="N424" s="1">
        <f t="shared" si="26"/>
        <v>1</v>
      </c>
      <c r="O424" s="1" t="str">
        <f t="shared" si="27"/>
        <v>Single</v>
      </c>
      <c r="P424">
        <v>13</v>
      </c>
      <c r="Q424" s="1" t="str" cm="1">
        <f t="array" ref="Q424">_xlfn.IFS(P424&lt;=50,"Low",P424&lt;=100,"Medium",P424&gt;100,"High")</f>
        <v>Low</v>
      </c>
      <c r="R424" t="s">
        <v>17</v>
      </c>
      <c r="S424" s="1" t="str" cm="1">
        <f t="array" ref="S424">_xlfn.IFS(R424="S","Southampton",R424="C","Cherbourg",R424="Q","Queenstown")</f>
        <v>Southampton</v>
      </c>
    </row>
    <row r="425" spans="1:19" x14ac:dyDescent="0.3">
      <c r="A425">
        <v>424</v>
      </c>
      <c r="B425">
        <v>2</v>
      </c>
      <c r="C425" s="1" t="str" cm="1">
        <f t="array" ref="C425">_xlfn.IFS(B425=1,"First Class",B425=2,"Second Class",B425=3,"Third Class")</f>
        <v>Second Class</v>
      </c>
      <c r="D425">
        <v>0</v>
      </c>
      <c r="E425" s="1" t="str">
        <f t="shared" si="24"/>
        <v>Dead</v>
      </c>
      <c r="F425" t="s">
        <v>871</v>
      </c>
      <c r="G425" s="1" t="s">
        <v>2999</v>
      </c>
      <c r="H425" t="s">
        <v>20</v>
      </c>
      <c r="I425" s="1" t="str">
        <f t="shared" si="25"/>
        <v>Male</v>
      </c>
      <c r="J425" s="3">
        <v>34</v>
      </c>
      <c r="K425" s="3" t="str" cm="1">
        <f t="array" ref="K425">_xlfn.IFS(J425&lt;=13,"Child",J425&lt;=18,"Teenager",J425&lt;=30,"Young Adult",J425&lt;=50,"Middle Aged Adult",J425&gt;50,"Senior")</f>
        <v>Middle Aged Adult</v>
      </c>
      <c r="L425">
        <v>0</v>
      </c>
      <c r="M425">
        <v>0</v>
      </c>
      <c r="N425" s="1">
        <f t="shared" si="26"/>
        <v>1</v>
      </c>
      <c r="O425" s="1" t="str">
        <f t="shared" si="27"/>
        <v>Single</v>
      </c>
      <c r="P425">
        <v>13</v>
      </c>
      <c r="Q425" s="1" t="str" cm="1">
        <f t="array" ref="Q425">_xlfn.IFS(P425&lt;=50,"Low",P425&lt;=100,"Medium",P425&gt;100,"High")</f>
        <v>Low</v>
      </c>
      <c r="R425" t="s">
        <v>17</v>
      </c>
      <c r="S425" s="1" t="str" cm="1">
        <f t="array" ref="S425">_xlfn.IFS(R425="S","Southampton",R425="C","Cherbourg",R425="Q","Queenstown")</f>
        <v>Southampton</v>
      </c>
    </row>
    <row r="426" spans="1:19" x14ac:dyDescent="0.3">
      <c r="A426">
        <v>425</v>
      </c>
      <c r="B426">
        <v>2</v>
      </c>
      <c r="C426" s="1" t="str" cm="1">
        <f t="array" ref="C426">_xlfn.IFS(B426=1,"First Class",B426=2,"Second Class",B426=3,"Third Class")</f>
        <v>Second Class</v>
      </c>
      <c r="D426">
        <v>0</v>
      </c>
      <c r="E426" s="1" t="str">
        <f t="shared" si="24"/>
        <v>Dead</v>
      </c>
      <c r="F426" t="s">
        <v>872</v>
      </c>
      <c r="G426" s="1" t="s">
        <v>2999</v>
      </c>
      <c r="H426" t="s">
        <v>20</v>
      </c>
      <c r="I426" s="1" t="str">
        <f t="shared" si="25"/>
        <v>Male</v>
      </c>
      <c r="J426" s="3">
        <v>30</v>
      </c>
      <c r="K426" s="3" t="str" cm="1">
        <f t="array" ref="K426">_xlfn.IFS(J426&lt;=13,"Child",J426&lt;=18,"Teenager",J426&lt;=30,"Young Adult",J426&lt;=50,"Middle Aged Adult",J426&gt;50,"Senior")</f>
        <v>Young Adult</v>
      </c>
      <c r="L426">
        <v>0</v>
      </c>
      <c r="M426">
        <v>0</v>
      </c>
      <c r="N426" s="1">
        <f t="shared" si="26"/>
        <v>1</v>
      </c>
      <c r="O426" s="1" t="str">
        <f t="shared" si="27"/>
        <v>Single</v>
      </c>
      <c r="P426">
        <v>13</v>
      </c>
      <c r="Q426" s="1" t="str" cm="1">
        <f t="array" ref="Q426">_xlfn.IFS(P426&lt;=50,"Low",P426&lt;=100,"Medium",P426&gt;100,"High")</f>
        <v>Low</v>
      </c>
      <c r="R426" t="s">
        <v>17</v>
      </c>
      <c r="S426" s="1" t="str" cm="1">
        <f t="array" ref="S426">_xlfn.IFS(R426="S","Southampton",R426="C","Cherbourg",R426="Q","Queenstown")</f>
        <v>Southampton</v>
      </c>
    </row>
    <row r="427" spans="1:19" x14ac:dyDescent="0.3">
      <c r="A427">
        <v>426</v>
      </c>
      <c r="B427">
        <v>2</v>
      </c>
      <c r="C427" s="1" t="str" cm="1">
        <f t="array" ref="C427">_xlfn.IFS(B427=1,"First Class",B427=2,"Second Class",B427=3,"Third Class")</f>
        <v>Second Class</v>
      </c>
      <c r="D427">
        <v>0</v>
      </c>
      <c r="E427" s="1" t="str">
        <f t="shared" si="24"/>
        <v>Dead</v>
      </c>
      <c r="F427" t="s">
        <v>873</v>
      </c>
      <c r="G427" s="1" t="s">
        <v>2999</v>
      </c>
      <c r="H427" t="s">
        <v>20</v>
      </c>
      <c r="I427" s="1" t="str">
        <f t="shared" si="25"/>
        <v>Male</v>
      </c>
      <c r="J427" s="3">
        <v>52</v>
      </c>
      <c r="K427" s="3" t="str" cm="1">
        <f t="array" ref="K427">_xlfn.IFS(J427&lt;=13,"Child",J427&lt;=18,"Teenager",J427&lt;=30,"Young Adult",J427&lt;=50,"Middle Aged Adult",J427&gt;50,"Senior")</f>
        <v>Senior</v>
      </c>
      <c r="L427">
        <v>0</v>
      </c>
      <c r="M427">
        <v>0</v>
      </c>
      <c r="N427" s="1">
        <f t="shared" si="26"/>
        <v>1</v>
      </c>
      <c r="O427" s="1" t="str">
        <f t="shared" si="27"/>
        <v>Single</v>
      </c>
      <c r="P427">
        <v>13</v>
      </c>
      <c r="Q427" s="1" t="str" cm="1">
        <f t="array" ref="Q427">_xlfn.IFS(P427&lt;=50,"Low",P427&lt;=100,"Medium",P427&gt;100,"High")</f>
        <v>Low</v>
      </c>
      <c r="R427" t="s">
        <v>17</v>
      </c>
      <c r="S427" s="1" t="str" cm="1">
        <f t="array" ref="S427">_xlfn.IFS(R427="S","Southampton",R427="C","Cherbourg",R427="Q","Queenstown")</f>
        <v>Southampton</v>
      </c>
    </row>
    <row r="428" spans="1:19" x14ac:dyDescent="0.3">
      <c r="A428">
        <v>427</v>
      </c>
      <c r="B428">
        <v>2</v>
      </c>
      <c r="C428" s="1" t="str" cm="1">
        <f t="array" ref="C428">_xlfn.IFS(B428=1,"First Class",B428=2,"Second Class",B428=3,"Third Class")</f>
        <v>Second Class</v>
      </c>
      <c r="D428">
        <v>0</v>
      </c>
      <c r="E428" s="1" t="str">
        <f t="shared" si="24"/>
        <v>Dead</v>
      </c>
      <c r="F428" t="s">
        <v>874</v>
      </c>
      <c r="G428" s="1" t="s">
        <v>2999</v>
      </c>
      <c r="H428" t="s">
        <v>20</v>
      </c>
      <c r="I428" s="1" t="str">
        <f t="shared" si="25"/>
        <v>Male</v>
      </c>
      <c r="J428" s="3">
        <v>30</v>
      </c>
      <c r="K428" s="3" t="str" cm="1">
        <f t="array" ref="K428">_xlfn.IFS(J428&lt;=13,"Child",J428&lt;=18,"Teenager",J428&lt;=30,"Young Adult",J428&lt;=50,"Middle Aged Adult",J428&gt;50,"Senior")</f>
        <v>Young Adult</v>
      </c>
      <c r="L428">
        <v>0</v>
      </c>
      <c r="M428">
        <v>0</v>
      </c>
      <c r="N428" s="1">
        <f t="shared" si="26"/>
        <v>1</v>
      </c>
      <c r="O428" s="1" t="str">
        <f t="shared" si="27"/>
        <v>Single</v>
      </c>
      <c r="P428">
        <v>13</v>
      </c>
      <c r="Q428" s="1" t="str" cm="1">
        <f t="array" ref="Q428">_xlfn.IFS(P428&lt;=50,"Low",P428&lt;=100,"Medium",P428&gt;100,"High")</f>
        <v>Low</v>
      </c>
      <c r="R428" t="s">
        <v>17</v>
      </c>
      <c r="S428" s="1" t="str" cm="1">
        <f t="array" ref="S428">_xlfn.IFS(R428="S","Southampton",R428="C","Cherbourg",R428="Q","Queenstown")</f>
        <v>Southampton</v>
      </c>
    </row>
    <row r="429" spans="1:19" x14ac:dyDescent="0.3">
      <c r="A429">
        <v>428</v>
      </c>
      <c r="B429">
        <v>2</v>
      </c>
      <c r="C429" s="1" t="str" cm="1">
        <f t="array" ref="C429">_xlfn.IFS(B429=1,"First Class",B429=2,"Second Class",B429=3,"Third Class")</f>
        <v>Second Class</v>
      </c>
      <c r="D429">
        <v>1</v>
      </c>
      <c r="E429" s="1" t="str">
        <f t="shared" si="24"/>
        <v>Alive</v>
      </c>
      <c r="F429" t="s">
        <v>876</v>
      </c>
      <c r="G429" s="1" t="s">
        <v>2996</v>
      </c>
      <c r="H429" t="s">
        <v>20</v>
      </c>
      <c r="I429" s="1" t="str">
        <f t="shared" si="25"/>
        <v>Male</v>
      </c>
      <c r="J429" s="3">
        <v>0.67</v>
      </c>
      <c r="K429" s="3" t="str" cm="1">
        <f t="array" ref="K429">_xlfn.IFS(J429&lt;=13,"Child",J429&lt;=18,"Teenager",J429&lt;=30,"Young Adult",J429&lt;=50,"Middle Aged Adult",J429&gt;50,"Senior")</f>
        <v>Child</v>
      </c>
      <c r="L429">
        <v>1</v>
      </c>
      <c r="M429">
        <v>1</v>
      </c>
      <c r="N429" s="1">
        <f t="shared" si="26"/>
        <v>3</v>
      </c>
      <c r="O429" s="1" t="str">
        <f t="shared" si="27"/>
        <v>With Family</v>
      </c>
      <c r="P429">
        <v>14.5</v>
      </c>
      <c r="Q429" s="1" t="str" cm="1">
        <f t="array" ref="Q429">_xlfn.IFS(P429&lt;=50,"Low",P429&lt;=100,"Medium",P429&gt;100,"High")</f>
        <v>Low</v>
      </c>
      <c r="R429" t="s">
        <v>17</v>
      </c>
      <c r="S429" s="1" t="str" cm="1">
        <f t="array" ref="S429">_xlfn.IFS(R429="S","Southampton",R429="C","Cherbourg",R429="Q","Queenstown")</f>
        <v>Southampton</v>
      </c>
    </row>
    <row r="430" spans="1:19" x14ac:dyDescent="0.3">
      <c r="A430">
        <v>429</v>
      </c>
      <c r="B430">
        <v>2</v>
      </c>
      <c r="C430" s="1" t="str" cm="1">
        <f t="array" ref="C430">_xlfn.IFS(B430=1,"First Class",B430=2,"Second Class",B430=3,"Third Class")</f>
        <v>Second Class</v>
      </c>
      <c r="D430">
        <v>1</v>
      </c>
      <c r="E430" s="1" t="str">
        <f t="shared" si="24"/>
        <v>Alive</v>
      </c>
      <c r="F430" t="s">
        <v>878</v>
      </c>
      <c r="G430" s="1" t="s">
        <v>3001</v>
      </c>
      <c r="H430" t="s">
        <v>15</v>
      </c>
      <c r="I430" s="1" t="str">
        <f t="shared" si="25"/>
        <v>Female</v>
      </c>
      <c r="J430" s="3">
        <v>24</v>
      </c>
      <c r="K430" s="3" t="str" cm="1">
        <f t="array" ref="K430">_xlfn.IFS(J430&lt;=13,"Child",J430&lt;=18,"Teenager",J430&lt;=30,"Young Adult",J430&lt;=50,"Middle Aged Adult",J430&gt;50,"Senior")</f>
        <v>Young Adult</v>
      </c>
      <c r="L430">
        <v>0</v>
      </c>
      <c r="M430">
        <v>2</v>
      </c>
      <c r="N430" s="1">
        <f t="shared" si="26"/>
        <v>3</v>
      </c>
      <c r="O430" s="1" t="str">
        <f t="shared" si="27"/>
        <v>With Family</v>
      </c>
      <c r="P430">
        <v>14.5</v>
      </c>
      <c r="Q430" s="1" t="str" cm="1">
        <f t="array" ref="Q430">_xlfn.IFS(P430&lt;=50,"Low",P430&lt;=100,"Medium",P430&gt;100,"High")</f>
        <v>Low</v>
      </c>
      <c r="R430" t="s">
        <v>17</v>
      </c>
      <c r="S430" s="1" t="str" cm="1">
        <f t="array" ref="S430">_xlfn.IFS(R430="S","Southampton",R430="C","Cherbourg",R430="Q","Queenstown")</f>
        <v>Southampton</v>
      </c>
    </row>
    <row r="431" spans="1:19" x14ac:dyDescent="0.3">
      <c r="A431">
        <v>430</v>
      </c>
      <c r="B431">
        <v>2</v>
      </c>
      <c r="C431" s="1" t="str" cm="1">
        <f t="array" ref="C431">_xlfn.IFS(B431=1,"First Class",B431=2,"Second Class",B431=3,"Third Class")</f>
        <v>Second Class</v>
      </c>
      <c r="D431">
        <v>0</v>
      </c>
      <c r="E431" s="1" t="str">
        <f t="shared" si="24"/>
        <v>Dead</v>
      </c>
      <c r="F431" t="s">
        <v>879</v>
      </c>
      <c r="G431" s="1" t="s">
        <v>2999</v>
      </c>
      <c r="H431" t="s">
        <v>20</v>
      </c>
      <c r="I431" s="1" t="str">
        <f t="shared" si="25"/>
        <v>Male</v>
      </c>
      <c r="J431" s="3">
        <v>44</v>
      </c>
      <c r="K431" s="3" t="str" cm="1">
        <f t="array" ref="K431">_xlfn.IFS(J431&lt;=13,"Child",J431&lt;=18,"Teenager",J431&lt;=30,"Young Adult",J431&lt;=50,"Middle Aged Adult",J431&gt;50,"Senior")</f>
        <v>Middle Aged Adult</v>
      </c>
      <c r="L431">
        <v>0</v>
      </c>
      <c r="M431">
        <v>0</v>
      </c>
      <c r="N431" s="1">
        <f t="shared" si="26"/>
        <v>1</v>
      </c>
      <c r="O431" s="1" t="str">
        <f t="shared" si="27"/>
        <v>Single</v>
      </c>
      <c r="P431">
        <v>13</v>
      </c>
      <c r="Q431" s="1" t="str" cm="1">
        <f t="array" ref="Q431">_xlfn.IFS(P431&lt;=50,"Low",P431&lt;=100,"Medium",P431&gt;100,"High")</f>
        <v>Low</v>
      </c>
      <c r="R431" t="s">
        <v>17</v>
      </c>
      <c r="S431" s="1" t="str" cm="1">
        <f t="array" ref="S431">_xlfn.IFS(R431="S","Southampton",R431="C","Cherbourg",R431="Q","Queenstown")</f>
        <v>Southampton</v>
      </c>
    </row>
    <row r="432" spans="1:19" x14ac:dyDescent="0.3">
      <c r="A432">
        <v>431</v>
      </c>
      <c r="B432">
        <v>2</v>
      </c>
      <c r="C432" s="1" t="str" cm="1">
        <f t="array" ref="C432">_xlfn.IFS(B432=1,"First Class",B432=2,"Second Class",B432=3,"Third Class")</f>
        <v>Second Class</v>
      </c>
      <c r="D432">
        <v>1</v>
      </c>
      <c r="E432" s="1" t="str">
        <f t="shared" si="24"/>
        <v>Alive</v>
      </c>
      <c r="F432" t="s">
        <v>881</v>
      </c>
      <c r="G432" s="1" t="s">
        <v>2994</v>
      </c>
      <c r="H432" t="s">
        <v>15</v>
      </c>
      <c r="I432" s="1" t="str">
        <f t="shared" si="25"/>
        <v>Female</v>
      </c>
      <c r="J432" s="3">
        <v>6</v>
      </c>
      <c r="K432" s="3" t="str" cm="1">
        <f t="array" ref="K432">_xlfn.IFS(J432&lt;=13,"Child",J432&lt;=18,"Teenager",J432&lt;=30,"Young Adult",J432&lt;=50,"Middle Aged Adult",J432&gt;50,"Senior")</f>
        <v>Child</v>
      </c>
      <c r="L432">
        <v>0</v>
      </c>
      <c r="M432">
        <v>1</v>
      </c>
      <c r="N432" s="1">
        <f t="shared" si="26"/>
        <v>2</v>
      </c>
      <c r="O432" s="1" t="str">
        <f t="shared" si="27"/>
        <v>With Family</v>
      </c>
      <c r="P432">
        <v>33</v>
      </c>
      <c r="Q432" s="1" t="str" cm="1">
        <f t="array" ref="Q432">_xlfn.IFS(P432&lt;=50,"Low",P432&lt;=100,"Medium",P432&gt;100,"High")</f>
        <v>Low</v>
      </c>
      <c r="R432" t="s">
        <v>17</v>
      </c>
      <c r="S432" s="1" t="str" cm="1">
        <f t="array" ref="S432">_xlfn.IFS(R432="S","Southampton",R432="C","Cherbourg",R432="Q","Queenstown")</f>
        <v>Southampton</v>
      </c>
    </row>
    <row r="433" spans="1:19" x14ac:dyDescent="0.3">
      <c r="A433">
        <v>432</v>
      </c>
      <c r="B433">
        <v>2</v>
      </c>
      <c r="C433" s="1" t="str" cm="1">
        <f t="array" ref="C433">_xlfn.IFS(B433=1,"First Class",B433=2,"Second Class",B433=3,"Third Class")</f>
        <v>Second Class</v>
      </c>
      <c r="D433">
        <v>0</v>
      </c>
      <c r="E433" s="1" t="str">
        <f t="shared" si="24"/>
        <v>Dead</v>
      </c>
      <c r="F433" t="s">
        <v>883</v>
      </c>
      <c r="G433" s="1" t="s">
        <v>3338</v>
      </c>
      <c r="H433" t="s">
        <v>20</v>
      </c>
      <c r="I433" s="1" t="str">
        <f t="shared" si="25"/>
        <v>Male</v>
      </c>
      <c r="J433" s="3">
        <v>28</v>
      </c>
      <c r="K433" s="3" t="str" cm="1">
        <f t="array" ref="K433">_xlfn.IFS(J433&lt;=13,"Child",J433&lt;=18,"Teenager",J433&lt;=30,"Young Adult",J433&lt;=50,"Middle Aged Adult",J433&gt;50,"Senior")</f>
        <v>Young Adult</v>
      </c>
      <c r="L433">
        <v>0</v>
      </c>
      <c r="M433">
        <v>1</v>
      </c>
      <c r="N433" s="1">
        <f t="shared" si="26"/>
        <v>2</v>
      </c>
      <c r="O433" s="1" t="str">
        <f t="shared" si="27"/>
        <v>With Family</v>
      </c>
      <c r="P433">
        <v>33</v>
      </c>
      <c r="Q433" s="1" t="str" cm="1">
        <f t="array" ref="Q433">_xlfn.IFS(P433&lt;=50,"Low",P433&lt;=100,"Medium",P433&gt;100,"High")</f>
        <v>Low</v>
      </c>
      <c r="R433" t="s">
        <v>17</v>
      </c>
      <c r="S433" s="1" t="str" cm="1">
        <f t="array" ref="S433">_xlfn.IFS(R433="S","Southampton",R433="C","Cherbourg",R433="Q","Queenstown")</f>
        <v>Southampton</v>
      </c>
    </row>
    <row r="434" spans="1:19" x14ac:dyDescent="0.3">
      <c r="A434">
        <v>433</v>
      </c>
      <c r="B434">
        <v>2</v>
      </c>
      <c r="C434" s="1" t="str" cm="1">
        <f t="array" ref="C434">_xlfn.IFS(B434=1,"First Class",B434=2,"Second Class",B434=3,"Third Class")</f>
        <v>Second Class</v>
      </c>
      <c r="D434">
        <v>1</v>
      </c>
      <c r="E434" s="1" t="str">
        <f t="shared" si="24"/>
        <v>Alive</v>
      </c>
      <c r="F434" t="s">
        <v>884</v>
      </c>
      <c r="G434" s="1" t="s">
        <v>2999</v>
      </c>
      <c r="H434" t="s">
        <v>20</v>
      </c>
      <c r="I434" s="1" t="str">
        <f t="shared" si="25"/>
        <v>Male</v>
      </c>
      <c r="J434" s="3">
        <v>62</v>
      </c>
      <c r="K434" s="3" t="str" cm="1">
        <f t="array" ref="K434">_xlfn.IFS(J434&lt;=13,"Child",J434&lt;=18,"Teenager",J434&lt;=30,"Young Adult",J434&lt;=50,"Middle Aged Adult",J434&gt;50,"Senior")</f>
        <v>Senior</v>
      </c>
      <c r="L434">
        <v>0</v>
      </c>
      <c r="M434">
        <v>0</v>
      </c>
      <c r="N434" s="1">
        <f t="shared" si="26"/>
        <v>1</v>
      </c>
      <c r="O434" s="1" t="str">
        <f t="shared" si="27"/>
        <v>Single</v>
      </c>
      <c r="P434">
        <v>10.5</v>
      </c>
      <c r="Q434" s="1" t="str" cm="1">
        <f t="array" ref="Q434">_xlfn.IFS(P434&lt;=50,"Low",P434&lt;=100,"Medium",P434&gt;100,"High")</f>
        <v>Low</v>
      </c>
      <c r="R434" t="s">
        <v>17</v>
      </c>
      <c r="S434" s="1" t="str" cm="1">
        <f t="array" ref="S434">_xlfn.IFS(R434="S","Southampton",R434="C","Cherbourg",R434="Q","Queenstown")</f>
        <v>Southampton</v>
      </c>
    </row>
    <row r="435" spans="1:19" x14ac:dyDescent="0.3">
      <c r="A435">
        <v>434</v>
      </c>
      <c r="B435">
        <v>2</v>
      </c>
      <c r="C435" s="1" t="str" cm="1">
        <f t="array" ref="C435">_xlfn.IFS(B435=1,"First Class",B435=2,"Second Class",B435=3,"Third Class")</f>
        <v>Second Class</v>
      </c>
      <c r="D435">
        <v>0</v>
      </c>
      <c r="E435" s="1" t="str">
        <f t="shared" si="24"/>
        <v>Dead</v>
      </c>
      <c r="F435" t="s">
        <v>886</v>
      </c>
      <c r="G435" s="1" t="s">
        <v>2999</v>
      </c>
      <c r="H435" t="s">
        <v>20</v>
      </c>
      <c r="I435" s="1" t="str">
        <f t="shared" si="25"/>
        <v>Male</v>
      </c>
      <c r="J435" s="3">
        <v>30</v>
      </c>
      <c r="K435" s="3" t="str" cm="1">
        <f t="array" ref="K435">_xlfn.IFS(J435&lt;=13,"Child",J435&lt;=18,"Teenager",J435&lt;=30,"Young Adult",J435&lt;=50,"Middle Aged Adult",J435&gt;50,"Senior")</f>
        <v>Young Adult</v>
      </c>
      <c r="L435">
        <v>0</v>
      </c>
      <c r="M435">
        <v>0</v>
      </c>
      <c r="N435" s="1">
        <f t="shared" si="26"/>
        <v>1</v>
      </c>
      <c r="O435" s="1" t="str">
        <f t="shared" si="27"/>
        <v>Single</v>
      </c>
      <c r="P435">
        <v>10.5</v>
      </c>
      <c r="Q435" s="1" t="str" cm="1">
        <f t="array" ref="Q435">_xlfn.IFS(P435&lt;=50,"Low",P435&lt;=100,"Medium",P435&gt;100,"High")</f>
        <v>Low</v>
      </c>
      <c r="R435" t="s">
        <v>17</v>
      </c>
      <c r="S435" s="1" t="str" cm="1">
        <f t="array" ref="S435">_xlfn.IFS(R435="S","Southampton",R435="C","Cherbourg",R435="Q","Queenstown")</f>
        <v>Southampton</v>
      </c>
    </row>
    <row r="436" spans="1:19" x14ac:dyDescent="0.3">
      <c r="A436">
        <v>435</v>
      </c>
      <c r="B436">
        <v>2</v>
      </c>
      <c r="C436" s="1" t="str" cm="1">
        <f t="array" ref="C436">_xlfn.IFS(B436=1,"First Class",B436=2,"Second Class",B436=3,"Third Class")</f>
        <v>Second Class</v>
      </c>
      <c r="D436">
        <v>1</v>
      </c>
      <c r="E436" s="1" t="str">
        <f t="shared" si="24"/>
        <v>Alive</v>
      </c>
      <c r="F436" t="s">
        <v>889</v>
      </c>
      <c r="G436" s="1" t="s">
        <v>2994</v>
      </c>
      <c r="H436" t="s">
        <v>15</v>
      </c>
      <c r="I436" s="1" t="str">
        <f t="shared" si="25"/>
        <v>Female</v>
      </c>
      <c r="J436" s="3">
        <v>7</v>
      </c>
      <c r="K436" s="3" t="str" cm="1">
        <f t="array" ref="K436">_xlfn.IFS(J436&lt;=13,"Child",J436&lt;=18,"Teenager",J436&lt;=30,"Young Adult",J436&lt;=50,"Middle Aged Adult",J436&gt;50,"Senior")</f>
        <v>Child</v>
      </c>
      <c r="L436">
        <v>0</v>
      </c>
      <c r="M436">
        <v>2</v>
      </c>
      <c r="N436" s="1">
        <f t="shared" si="26"/>
        <v>3</v>
      </c>
      <c r="O436" s="1" t="str">
        <f t="shared" si="27"/>
        <v>With Family</v>
      </c>
      <c r="P436">
        <v>26.25</v>
      </c>
      <c r="Q436" s="1" t="str" cm="1">
        <f t="array" ref="Q436">_xlfn.IFS(P436&lt;=50,"Low",P436&lt;=100,"Medium",P436&gt;100,"High")</f>
        <v>Low</v>
      </c>
      <c r="R436" t="s">
        <v>17</v>
      </c>
      <c r="S436" s="1" t="str" cm="1">
        <f t="array" ref="S436">_xlfn.IFS(R436="S","Southampton",R436="C","Cherbourg",R436="Q","Queenstown")</f>
        <v>Southampton</v>
      </c>
    </row>
    <row r="437" spans="1:19" x14ac:dyDescent="0.3">
      <c r="A437">
        <v>436</v>
      </c>
      <c r="B437">
        <v>2</v>
      </c>
      <c r="C437" s="1" t="str" cm="1">
        <f t="array" ref="C437">_xlfn.IFS(B437=1,"First Class",B437=2,"Second Class",B437=3,"Third Class")</f>
        <v>Second Class</v>
      </c>
      <c r="D437">
        <v>0</v>
      </c>
      <c r="E437" s="1" t="str">
        <f t="shared" si="24"/>
        <v>Dead</v>
      </c>
      <c r="F437" t="s">
        <v>892</v>
      </c>
      <c r="G437" s="1" t="s">
        <v>2999</v>
      </c>
      <c r="H437" t="s">
        <v>20</v>
      </c>
      <c r="I437" s="1" t="str">
        <f t="shared" si="25"/>
        <v>Male</v>
      </c>
      <c r="J437" s="3">
        <v>43</v>
      </c>
      <c r="K437" s="3" t="str" cm="1">
        <f t="array" ref="K437">_xlfn.IFS(J437&lt;=13,"Child",J437&lt;=18,"Teenager",J437&lt;=30,"Young Adult",J437&lt;=50,"Middle Aged Adult",J437&gt;50,"Senior")</f>
        <v>Middle Aged Adult</v>
      </c>
      <c r="L437">
        <v>1</v>
      </c>
      <c r="M437">
        <v>1</v>
      </c>
      <c r="N437" s="1">
        <f t="shared" si="26"/>
        <v>3</v>
      </c>
      <c r="O437" s="1" t="str">
        <f t="shared" si="27"/>
        <v>With Family</v>
      </c>
      <c r="P437">
        <v>26.25</v>
      </c>
      <c r="Q437" s="1" t="str" cm="1">
        <f t="array" ref="Q437">_xlfn.IFS(P437&lt;=50,"Low",P437&lt;=100,"Medium",P437&gt;100,"High")</f>
        <v>Low</v>
      </c>
      <c r="R437" t="s">
        <v>17</v>
      </c>
      <c r="S437" s="1" t="str" cm="1">
        <f t="array" ref="S437">_xlfn.IFS(R437="S","Southampton",R437="C","Cherbourg",R437="Q","Queenstown")</f>
        <v>Southampton</v>
      </c>
    </row>
    <row r="438" spans="1:19" x14ac:dyDescent="0.3">
      <c r="A438">
        <v>437</v>
      </c>
      <c r="B438">
        <v>2</v>
      </c>
      <c r="C438" s="1" t="str" cm="1">
        <f t="array" ref="C438">_xlfn.IFS(B438=1,"First Class",B438=2,"Second Class",B438=3,"Third Class")</f>
        <v>Second Class</v>
      </c>
      <c r="D438">
        <v>1</v>
      </c>
      <c r="E438" s="1" t="str">
        <f t="shared" si="24"/>
        <v>Alive</v>
      </c>
      <c r="F438" t="s">
        <v>893</v>
      </c>
      <c r="G438" s="1" t="s">
        <v>3001</v>
      </c>
      <c r="H438" t="s">
        <v>15</v>
      </c>
      <c r="I438" s="1" t="str">
        <f t="shared" si="25"/>
        <v>Female</v>
      </c>
      <c r="J438" s="3">
        <v>45</v>
      </c>
      <c r="K438" s="3" t="str" cm="1">
        <f t="array" ref="K438">_xlfn.IFS(J438&lt;=13,"Child",J438&lt;=18,"Teenager",J438&lt;=30,"Young Adult",J438&lt;=50,"Middle Aged Adult",J438&gt;50,"Senior")</f>
        <v>Middle Aged Adult</v>
      </c>
      <c r="L438">
        <v>1</v>
      </c>
      <c r="M438">
        <v>1</v>
      </c>
      <c r="N438" s="1">
        <f t="shared" si="26"/>
        <v>3</v>
      </c>
      <c r="O438" s="1" t="str">
        <f t="shared" si="27"/>
        <v>With Family</v>
      </c>
      <c r="P438">
        <v>26.25</v>
      </c>
      <c r="Q438" s="1" t="str" cm="1">
        <f t="array" ref="Q438">_xlfn.IFS(P438&lt;=50,"Low",P438&lt;=100,"Medium",P438&gt;100,"High")</f>
        <v>Low</v>
      </c>
      <c r="R438" t="s">
        <v>17</v>
      </c>
      <c r="S438" s="1" t="str" cm="1">
        <f t="array" ref="S438">_xlfn.IFS(R438="S","Southampton",R438="C","Cherbourg",R438="Q","Queenstown")</f>
        <v>Southampton</v>
      </c>
    </row>
    <row r="439" spans="1:19" x14ac:dyDescent="0.3">
      <c r="A439">
        <v>438</v>
      </c>
      <c r="B439">
        <v>2</v>
      </c>
      <c r="C439" s="1" t="str" cm="1">
        <f t="array" ref="C439">_xlfn.IFS(B439=1,"First Class",B439=2,"Second Class",B439=3,"Third Class")</f>
        <v>Second Class</v>
      </c>
      <c r="D439">
        <v>1</v>
      </c>
      <c r="E439" s="1" t="str">
        <f t="shared" si="24"/>
        <v>Alive</v>
      </c>
      <c r="F439" t="s">
        <v>894</v>
      </c>
      <c r="G439" s="1" t="s">
        <v>2994</v>
      </c>
      <c r="H439" t="s">
        <v>15</v>
      </c>
      <c r="I439" s="1" t="str">
        <f t="shared" si="25"/>
        <v>Female</v>
      </c>
      <c r="J439" s="3">
        <v>24</v>
      </c>
      <c r="K439" s="3" t="str" cm="1">
        <f t="array" ref="K439">_xlfn.IFS(J439&lt;=13,"Child",J439&lt;=18,"Teenager",J439&lt;=30,"Young Adult",J439&lt;=50,"Middle Aged Adult",J439&gt;50,"Senior")</f>
        <v>Young Adult</v>
      </c>
      <c r="L439">
        <v>1</v>
      </c>
      <c r="M439">
        <v>2</v>
      </c>
      <c r="N439" s="1">
        <f t="shared" si="26"/>
        <v>4</v>
      </c>
      <c r="O439" s="1" t="str">
        <f t="shared" si="27"/>
        <v>With Family</v>
      </c>
      <c r="P439">
        <v>65</v>
      </c>
      <c r="Q439" s="1" t="str" cm="1">
        <f t="array" ref="Q439">_xlfn.IFS(P439&lt;=50,"Low",P439&lt;=100,"Medium",P439&gt;100,"High")</f>
        <v>Medium</v>
      </c>
      <c r="R439" t="s">
        <v>17</v>
      </c>
      <c r="S439" s="1" t="str" cm="1">
        <f t="array" ref="S439">_xlfn.IFS(R439="S","Southampton",R439="C","Cherbourg",R439="Q","Queenstown")</f>
        <v>Southampton</v>
      </c>
    </row>
    <row r="440" spans="1:19" x14ac:dyDescent="0.3">
      <c r="A440">
        <v>439</v>
      </c>
      <c r="B440">
        <v>2</v>
      </c>
      <c r="C440" s="1" t="str" cm="1">
        <f t="array" ref="C440">_xlfn.IFS(B440=1,"First Class",B440=2,"Second Class",B440=3,"Third Class")</f>
        <v>Second Class</v>
      </c>
      <c r="D440">
        <v>1</v>
      </c>
      <c r="E440" s="1" t="str">
        <f t="shared" si="24"/>
        <v>Alive</v>
      </c>
      <c r="F440" t="s">
        <v>896</v>
      </c>
      <c r="G440" s="1" t="s">
        <v>2994</v>
      </c>
      <c r="H440" t="s">
        <v>15</v>
      </c>
      <c r="I440" s="1" t="str">
        <f t="shared" si="25"/>
        <v>Female</v>
      </c>
      <c r="J440" s="3">
        <v>24</v>
      </c>
      <c r="K440" s="3" t="str" cm="1">
        <f t="array" ref="K440">_xlfn.IFS(J440&lt;=13,"Child",J440&lt;=18,"Teenager",J440&lt;=30,"Young Adult",J440&lt;=50,"Middle Aged Adult",J440&gt;50,"Senior")</f>
        <v>Young Adult</v>
      </c>
      <c r="L440">
        <v>1</v>
      </c>
      <c r="M440">
        <v>2</v>
      </c>
      <c r="N440" s="1">
        <f t="shared" si="26"/>
        <v>4</v>
      </c>
      <c r="O440" s="1" t="str">
        <f t="shared" si="27"/>
        <v>With Family</v>
      </c>
      <c r="P440">
        <v>65</v>
      </c>
      <c r="Q440" s="1" t="str" cm="1">
        <f t="array" ref="Q440">_xlfn.IFS(P440&lt;=50,"Low",P440&lt;=100,"Medium",P440&gt;100,"High")</f>
        <v>Medium</v>
      </c>
      <c r="R440" t="s">
        <v>17</v>
      </c>
      <c r="S440" s="1" t="str" cm="1">
        <f t="array" ref="S440">_xlfn.IFS(R440="S","Southampton",R440="C","Cherbourg",R440="Q","Queenstown")</f>
        <v>Southampton</v>
      </c>
    </row>
    <row r="441" spans="1:19" x14ac:dyDescent="0.3">
      <c r="A441">
        <v>440</v>
      </c>
      <c r="B441">
        <v>2</v>
      </c>
      <c r="C441" s="1" t="str" cm="1">
        <f t="array" ref="C441">_xlfn.IFS(B441=1,"First Class",B441=2,"Second Class",B441=3,"Third Class")</f>
        <v>Second Class</v>
      </c>
      <c r="D441">
        <v>0</v>
      </c>
      <c r="E441" s="1" t="str">
        <f t="shared" si="24"/>
        <v>Dead</v>
      </c>
      <c r="F441" t="s">
        <v>897</v>
      </c>
      <c r="G441" s="1" t="s">
        <v>2999</v>
      </c>
      <c r="H441" t="s">
        <v>20</v>
      </c>
      <c r="I441" s="1" t="str">
        <f t="shared" si="25"/>
        <v>Male</v>
      </c>
      <c r="J441" s="3">
        <v>49</v>
      </c>
      <c r="K441" s="3" t="str" cm="1">
        <f t="array" ref="K441">_xlfn.IFS(J441&lt;=13,"Child",J441&lt;=18,"Teenager",J441&lt;=30,"Young Adult",J441&lt;=50,"Middle Aged Adult",J441&gt;50,"Senior")</f>
        <v>Middle Aged Adult</v>
      </c>
      <c r="L441">
        <v>1</v>
      </c>
      <c r="M441">
        <v>2</v>
      </c>
      <c r="N441" s="1">
        <f t="shared" si="26"/>
        <v>4</v>
      </c>
      <c r="O441" s="1" t="str">
        <f t="shared" si="27"/>
        <v>With Family</v>
      </c>
      <c r="P441">
        <v>65</v>
      </c>
      <c r="Q441" s="1" t="str" cm="1">
        <f t="array" ref="Q441">_xlfn.IFS(P441&lt;=50,"Low",P441&lt;=100,"Medium",P441&gt;100,"High")</f>
        <v>Medium</v>
      </c>
      <c r="R441" t="s">
        <v>17</v>
      </c>
      <c r="S441" s="1" t="str" cm="1">
        <f t="array" ref="S441">_xlfn.IFS(R441="S","Southampton",R441="C","Cherbourg",R441="Q","Queenstown")</f>
        <v>Southampton</v>
      </c>
    </row>
    <row r="442" spans="1:19" x14ac:dyDescent="0.3">
      <c r="A442">
        <v>441</v>
      </c>
      <c r="B442">
        <v>2</v>
      </c>
      <c r="C442" s="1" t="str" cm="1">
        <f t="array" ref="C442">_xlfn.IFS(B442=1,"First Class",B442=2,"Second Class",B442=3,"Third Class")</f>
        <v>Second Class</v>
      </c>
      <c r="D442">
        <v>1</v>
      </c>
      <c r="E442" s="1" t="str">
        <f t="shared" si="24"/>
        <v>Alive</v>
      </c>
      <c r="F442" t="s">
        <v>898</v>
      </c>
      <c r="G442" s="1" t="s">
        <v>3001</v>
      </c>
      <c r="H442" t="s">
        <v>15</v>
      </c>
      <c r="I442" s="1" t="str">
        <f t="shared" si="25"/>
        <v>Female</v>
      </c>
      <c r="J442" s="3">
        <v>48</v>
      </c>
      <c r="K442" s="3" t="str" cm="1">
        <f t="array" ref="K442">_xlfn.IFS(J442&lt;=13,"Child",J442&lt;=18,"Teenager",J442&lt;=30,"Young Adult",J442&lt;=50,"Middle Aged Adult",J442&gt;50,"Senior")</f>
        <v>Middle Aged Adult</v>
      </c>
      <c r="L442">
        <v>1</v>
      </c>
      <c r="M442">
        <v>2</v>
      </c>
      <c r="N442" s="1">
        <f t="shared" si="26"/>
        <v>4</v>
      </c>
      <c r="O442" s="1" t="str">
        <f t="shared" si="27"/>
        <v>With Family</v>
      </c>
      <c r="P442">
        <v>65</v>
      </c>
      <c r="Q442" s="1" t="str" cm="1">
        <f t="array" ref="Q442">_xlfn.IFS(P442&lt;=50,"Low",P442&lt;=100,"Medium",P442&gt;100,"High")</f>
        <v>Medium</v>
      </c>
      <c r="R442" t="s">
        <v>17</v>
      </c>
      <c r="S442" s="1" t="str" cm="1">
        <f t="array" ref="S442">_xlfn.IFS(R442="S","Southampton",R442="C","Cherbourg",R442="Q","Queenstown")</f>
        <v>Southampton</v>
      </c>
    </row>
    <row r="443" spans="1:19" x14ac:dyDescent="0.3">
      <c r="A443">
        <v>442</v>
      </c>
      <c r="B443">
        <v>2</v>
      </c>
      <c r="C443" s="1" t="str" cm="1">
        <f t="array" ref="C443">_xlfn.IFS(B443=1,"First Class",B443=2,"Second Class",B443=3,"Third Class")</f>
        <v>Second Class</v>
      </c>
      <c r="D443">
        <v>1</v>
      </c>
      <c r="E443" s="1" t="str">
        <f t="shared" si="24"/>
        <v>Alive</v>
      </c>
      <c r="F443" t="s">
        <v>899</v>
      </c>
      <c r="G443" s="1" t="s">
        <v>3001</v>
      </c>
      <c r="H443" t="s">
        <v>15</v>
      </c>
      <c r="I443" s="1" t="str">
        <f t="shared" si="25"/>
        <v>Female</v>
      </c>
      <c r="J443" s="3">
        <v>55</v>
      </c>
      <c r="K443" s="3" t="str" cm="1">
        <f t="array" ref="K443">_xlfn.IFS(J443&lt;=13,"Child",J443&lt;=18,"Teenager",J443&lt;=30,"Young Adult",J443&lt;=50,"Middle Aged Adult",J443&gt;50,"Senior")</f>
        <v>Senior</v>
      </c>
      <c r="L443">
        <v>0</v>
      </c>
      <c r="M443">
        <v>0</v>
      </c>
      <c r="N443" s="1">
        <f t="shared" si="26"/>
        <v>1</v>
      </c>
      <c r="O443" s="1" t="str">
        <f t="shared" si="27"/>
        <v>Single</v>
      </c>
      <c r="P443">
        <v>16</v>
      </c>
      <c r="Q443" s="1" t="str" cm="1">
        <f t="array" ref="Q443">_xlfn.IFS(P443&lt;=50,"Low",P443&lt;=100,"Medium",P443&gt;100,"High")</f>
        <v>Low</v>
      </c>
      <c r="R443" t="s">
        <v>17</v>
      </c>
      <c r="S443" s="1" t="str" cm="1">
        <f t="array" ref="S443">_xlfn.IFS(R443="S","Southampton",R443="C","Cherbourg",R443="Q","Queenstown")</f>
        <v>Southampton</v>
      </c>
    </row>
    <row r="444" spans="1:19" x14ac:dyDescent="0.3">
      <c r="A444">
        <v>443</v>
      </c>
      <c r="B444">
        <v>2</v>
      </c>
      <c r="C444" s="1" t="str" cm="1">
        <f t="array" ref="C444">_xlfn.IFS(B444=1,"First Class",B444=2,"Second Class",B444=3,"Third Class")</f>
        <v>Second Class</v>
      </c>
      <c r="D444">
        <v>0</v>
      </c>
      <c r="E444" s="1" t="str">
        <f t="shared" si="24"/>
        <v>Dead</v>
      </c>
      <c r="F444" t="s">
        <v>901</v>
      </c>
      <c r="G444" s="1" t="s">
        <v>2999</v>
      </c>
      <c r="H444" t="s">
        <v>20</v>
      </c>
      <c r="I444" s="1" t="str">
        <f t="shared" si="25"/>
        <v>Male</v>
      </c>
      <c r="J444" s="3">
        <v>24</v>
      </c>
      <c r="K444" s="3" t="str" cm="1">
        <f t="array" ref="K444">_xlfn.IFS(J444&lt;=13,"Child",J444&lt;=18,"Teenager",J444&lt;=30,"Young Adult",J444&lt;=50,"Middle Aged Adult",J444&gt;50,"Senior")</f>
        <v>Young Adult</v>
      </c>
      <c r="L444">
        <v>2</v>
      </c>
      <c r="M444">
        <v>0</v>
      </c>
      <c r="N444" s="1">
        <f t="shared" si="26"/>
        <v>3</v>
      </c>
      <c r="O444" s="1" t="str">
        <f t="shared" si="27"/>
        <v>With Family</v>
      </c>
      <c r="P444">
        <v>73.5</v>
      </c>
      <c r="Q444" s="1" t="str" cm="1">
        <f t="array" ref="Q444">_xlfn.IFS(P444&lt;=50,"Low",P444&lt;=100,"Medium",P444&gt;100,"High")</f>
        <v>Medium</v>
      </c>
      <c r="R444" t="s">
        <v>17</v>
      </c>
      <c r="S444" s="1" t="str" cm="1">
        <f t="array" ref="S444">_xlfn.IFS(R444="S","Southampton",R444="C","Cherbourg",R444="Q","Queenstown")</f>
        <v>Southampton</v>
      </c>
    </row>
    <row r="445" spans="1:19" x14ac:dyDescent="0.3">
      <c r="A445">
        <v>444</v>
      </c>
      <c r="B445">
        <v>2</v>
      </c>
      <c r="C445" s="1" t="str" cm="1">
        <f t="array" ref="C445">_xlfn.IFS(B445=1,"First Class",B445=2,"Second Class",B445=3,"Third Class")</f>
        <v>Second Class</v>
      </c>
      <c r="D445">
        <v>0</v>
      </c>
      <c r="E445" s="1" t="str">
        <f t="shared" si="24"/>
        <v>Dead</v>
      </c>
      <c r="F445" t="s">
        <v>903</v>
      </c>
      <c r="G445" s="1" t="s">
        <v>2999</v>
      </c>
      <c r="H445" t="s">
        <v>20</v>
      </c>
      <c r="I445" s="1" t="str">
        <f t="shared" si="25"/>
        <v>Male</v>
      </c>
      <c r="J445" s="3">
        <v>32</v>
      </c>
      <c r="K445" s="3" t="str" cm="1">
        <f t="array" ref="K445">_xlfn.IFS(J445&lt;=13,"Child",J445&lt;=18,"Teenager",J445&lt;=30,"Young Adult",J445&lt;=50,"Middle Aged Adult",J445&gt;50,"Senior")</f>
        <v>Middle Aged Adult</v>
      </c>
      <c r="L445">
        <v>2</v>
      </c>
      <c r="M445">
        <v>0</v>
      </c>
      <c r="N445" s="1">
        <f t="shared" si="26"/>
        <v>3</v>
      </c>
      <c r="O445" s="1" t="str">
        <f t="shared" si="27"/>
        <v>With Family</v>
      </c>
      <c r="P445">
        <v>73.5</v>
      </c>
      <c r="Q445" s="1" t="str" cm="1">
        <f t="array" ref="Q445">_xlfn.IFS(P445&lt;=50,"Low",P445&lt;=100,"Medium",P445&gt;100,"High")</f>
        <v>Medium</v>
      </c>
      <c r="R445" t="s">
        <v>17</v>
      </c>
      <c r="S445" s="1" t="str" cm="1">
        <f t="array" ref="S445">_xlfn.IFS(R445="S","Southampton",R445="C","Cherbourg",R445="Q","Queenstown")</f>
        <v>Southampton</v>
      </c>
    </row>
    <row r="446" spans="1:19" x14ac:dyDescent="0.3">
      <c r="A446">
        <v>445</v>
      </c>
      <c r="B446">
        <v>2</v>
      </c>
      <c r="C446" s="1" t="str" cm="1">
        <f t="array" ref="C446">_xlfn.IFS(B446=1,"First Class",B446=2,"Second Class",B446=3,"Third Class")</f>
        <v>Second Class</v>
      </c>
      <c r="D446">
        <v>0</v>
      </c>
      <c r="E446" s="1" t="str">
        <f t="shared" si="24"/>
        <v>Dead</v>
      </c>
      <c r="F446" t="s">
        <v>904</v>
      </c>
      <c r="G446" s="1" t="s">
        <v>2999</v>
      </c>
      <c r="H446" t="s">
        <v>20</v>
      </c>
      <c r="I446" s="1" t="str">
        <f t="shared" si="25"/>
        <v>Male</v>
      </c>
      <c r="J446" s="3">
        <v>21</v>
      </c>
      <c r="K446" s="3" t="str" cm="1">
        <f t="array" ref="K446">_xlfn.IFS(J446&lt;=13,"Child",J446&lt;=18,"Teenager",J446&lt;=30,"Young Adult",J446&lt;=50,"Middle Aged Adult",J446&gt;50,"Senior")</f>
        <v>Young Adult</v>
      </c>
      <c r="L446">
        <v>2</v>
      </c>
      <c r="M446">
        <v>0</v>
      </c>
      <c r="N446" s="1">
        <f t="shared" si="26"/>
        <v>3</v>
      </c>
      <c r="O446" s="1" t="str">
        <f t="shared" si="27"/>
        <v>With Family</v>
      </c>
      <c r="P446">
        <v>73.5</v>
      </c>
      <c r="Q446" s="1" t="str" cm="1">
        <f t="array" ref="Q446">_xlfn.IFS(P446&lt;=50,"Low",P446&lt;=100,"Medium",P446&gt;100,"High")</f>
        <v>Medium</v>
      </c>
      <c r="R446" t="s">
        <v>17</v>
      </c>
      <c r="S446" s="1" t="str" cm="1">
        <f t="array" ref="S446">_xlfn.IFS(R446="S","Southampton",R446="C","Cherbourg",R446="Q","Queenstown")</f>
        <v>Southampton</v>
      </c>
    </row>
    <row r="447" spans="1:19" x14ac:dyDescent="0.3">
      <c r="A447">
        <v>446</v>
      </c>
      <c r="B447">
        <v>2</v>
      </c>
      <c r="C447" s="1" t="str" cm="1">
        <f t="array" ref="C447">_xlfn.IFS(B447=1,"First Class",B447=2,"Second Class",B447=3,"Third Class")</f>
        <v>Second Class</v>
      </c>
      <c r="D447">
        <v>0</v>
      </c>
      <c r="E447" s="1" t="str">
        <f t="shared" si="24"/>
        <v>Dead</v>
      </c>
      <c r="F447" t="s">
        <v>905</v>
      </c>
      <c r="G447" s="1" t="s">
        <v>2994</v>
      </c>
      <c r="H447" t="s">
        <v>15</v>
      </c>
      <c r="I447" s="1" t="str">
        <f t="shared" si="25"/>
        <v>Female</v>
      </c>
      <c r="J447" s="3">
        <v>18</v>
      </c>
      <c r="K447" s="3" t="str" cm="1">
        <f t="array" ref="K447">_xlfn.IFS(J447&lt;=13,"Child",J447&lt;=18,"Teenager",J447&lt;=30,"Young Adult",J447&lt;=50,"Middle Aged Adult",J447&gt;50,"Senior")</f>
        <v>Teenager</v>
      </c>
      <c r="L447">
        <v>1</v>
      </c>
      <c r="M447">
        <v>1</v>
      </c>
      <c r="N447" s="1">
        <f t="shared" si="26"/>
        <v>3</v>
      </c>
      <c r="O447" s="1" t="str">
        <f t="shared" si="27"/>
        <v>With Family</v>
      </c>
      <c r="P447">
        <v>13</v>
      </c>
      <c r="Q447" s="1" t="str" cm="1">
        <f t="array" ref="Q447">_xlfn.IFS(P447&lt;=50,"Low",P447&lt;=100,"Medium",P447&gt;100,"High")</f>
        <v>Low</v>
      </c>
      <c r="R447" t="s">
        <v>17</v>
      </c>
      <c r="S447" s="1" t="str" cm="1">
        <f t="array" ref="S447">_xlfn.IFS(R447="S","Southampton",R447="C","Cherbourg",R447="Q","Queenstown")</f>
        <v>Southampton</v>
      </c>
    </row>
    <row r="448" spans="1:19" x14ac:dyDescent="0.3">
      <c r="A448">
        <v>447</v>
      </c>
      <c r="B448">
        <v>2</v>
      </c>
      <c r="C448" s="1" t="str" cm="1">
        <f t="array" ref="C448">_xlfn.IFS(B448=1,"First Class",B448=2,"Second Class",B448=3,"Third Class")</f>
        <v>Second Class</v>
      </c>
      <c r="D448">
        <v>1</v>
      </c>
      <c r="E448" s="1" t="str">
        <f t="shared" si="24"/>
        <v>Alive</v>
      </c>
      <c r="F448" t="s">
        <v>907</v>
      </c>
      <c r="G448" s="1" t="s">
        <v>2994</v>
      </c>
      <c r="H448" t="s">
        <v>15</v>
      </c>
      <c r="I448" s="1" t="str">
        <f t="shared" si="25"/>
        <v>Female</v>
      </c>
      <c r="J448" s="3">
        <v>20</v>
      </c>
      <c r="K448" s="3" t="str" cm="1">
        <f t="array" ref="K448">_xlfn.IFS(J448&lt;=13,"Child",J448&lt;=18,"Teenager",J448&lt;=30,"Young Adult",J448&lt;=50,"Middle Aged Adult",J448&gt;50,"Senior")</f>
        <v>Young Adult</v>
      </c>
      <c r="L448">
        <v>2</v>
      </c>
      <c r="M448">
        <v>1</v>
      </c>
      <c r="N448" s="1">
        <f t="shared" si="26"/>
        <v>4</v>
      </c>
      <c r="O448" s="1" t="str">
        <f t="shared" si="27"/>
        <v>With Family</v>
      </c>
      <c r="P448">
        <v>23</v>
      </c>
      <c r="Q448" s="1" t="str" cm="1">
        <f t="array" ref="Q448">_xlfn.IFS(P448&lt;=50,"Low",P448&lt;=100,"Medium",P448&gt;100,"High")</f>
        <v>Low</v>
      </c>
      <c r="R448" t="s">
        <v>17</v>
      </c>
      <c r="S448" s="1" t="str" cm="1">
        <f t="array" ref="S448">_xlfn.IFS(R448="S","Southampton",R448="C","Cherbourg",R448="Q","Queenstown")</f>
        <v>Southampton</v>
      </c>
    </row>
    <row r="449" spans="1:19" x14ac:dyDescent="0.3">
      <c r="A449">
        <v>448</v>
      </c>
      <c r="B449">
        <v>2</v>
      </c>
      <c r="C449" s="1" t="str" cm="1">
        <f t="array" ref="C449">_xlfn.IFS(B449=1,"First Class",B449=2,"Second Class",B449=3,"Third Class")</f>
        <v>Second Class</v>
      </c>
      <c r="D449">
        <v>0</v>
      </c>
      <c r="E449" s="1" t="str">
        <f t="shared" si="24"/>
        <v>Dead</v>
      </c>
      <c r="F449" t="s">
        <v>909</v>
      </c>
      <c r="G449" s="1" t="s">
        <v>2999</v>
      </c>
      <c r="H449" t="s">
        <v>20</v>
      </c>
      <c r="I449" s="1" t="str">
        <f t="shared" si="25"/>
        <v>Male</v>
      </c>
      <c r="J449" s="3">
        <v>23</v>
      </c>
      <c r="K449" s="3" t="str" cm="1">
        <f t="array" ref="K449">_xlfn.IFS(J449&lt;=13,"Child",J449&lt;=18,"Teenager",J449&lt;=30,"Young Adult",J449&lt;=50,"Middle Aged Adult",J449&gt;50,"Senior")</f>
        <v>Young Adult</v>
      </c>
      <c r="L449">
        <v>2</v>
      </c>
      <c r="M449">
        <v>1</v>
      </c>
      <c r="N449" s="1">
        <f t="shared" si="26"/>
        <v>4</v>
      </c>
      <c r="O449" s="1" t="str">
        <f t="shared" si="27"/>
        <v>With Family</v>
      </c>
      <c r="P449">
        <v>11.5</v>
      </c>
      <c r="Q449" s="1" t="str" cm="1">
        <f t="array" ref="Q449">_xlfn.IFS(P449&lt;=50,"Low",P449&lt;=100,"Medium",P449&gt;100,"High")</f>
        <v>Low</v>
      </c>
      <c r="R449" t="s">
        <v>17</v>
      </c>
      <c r="S449" s="1" t="str" cm="1">
        <f t="array" ref="S449">_xlfn.IFS(R449="S","Southampton",R449="C","Cherbourg",R449="Q","Queenstown")</f>
        <v>Southampton</v>
      </c>
    </row>
    <row r="450" spans="1:19" x14ac:dyDescent="0.3">
      <c r="A450">
        <v>449</v>
      </c>
      <c r="B450">
        <v>2</v>
      </c>
      <c r="C450" s="1" t="str" cm="1">
        <f t="array" ref="C450">_xlfn.IFS(B450=1,"First Class",B450=2,"Second Class",B450=3,"Third Class")</f>
        <v>Second Class</v>
      </c>
      <c r="D450">
        <v>0</v>
      </c>
      <c r="E450" s="1" t="str">
        <f t="shared" si="24"/>
        <v>Dead</v>
      </c>
      <c r="F450" t="s">
        <v>910</v>
      </c>
      <c r="G450" s="1" t="s">
        <v>2999</v>
      </c>
      <c r="H450" t="s">
        <v>20</v>
      </c>
      <c r="I450" s="1" t="str">
        <f t="shared" si="25"/>
        <v>Male</v>
      </c>
      <c r="J450" s="3">
        <v>36</v>
      </c>
      <c r="K450" s="3" t="str" cm="1">
        <f t="array" ref="K450">_xlfn.IFS(J450&lt;=13,"Child",J450&lt;=18,"Teenager",J450&lt;=30,"Young Adult",J450&lt;=50,"Middle Aged Adult",J450&gt;50,"Senior")</f>
        <v>Middle Aged Adult</v>
      </c>
      <c r="L450">
        <v>0</v>
      </c>
      <c r="M450">
        <v>0</v>
      </c>
      <c r="N450" s="1">
        <f t="shared" si="26"/>
        <v>1</v>
      </c>
      <c r="O450" s="1" t="str">
        <f t="shared" si="27"/>
        <v>Single</v>
      </c>
      <c r="P450">
        <v>13</v>
      </c>
      <c r="Q450" s="1" t="str" cm="1">
        <f t="array" ref="Q450">_xlfn.IFS(P450&lt;=50,"Low",P450&lt;=100,"Medium",P450&gt;100,"High")</f>
        <v>Low</v>
      </c>
      <c r="R450" t="s">
        <v>17</v>
      </c>
      <c r="S450" s="1" t="str" cm="1">
        <f t="array" ref="S450">_xlfn.IFS(R450="S","Southampton",R450="C","Cherbourg",R450="Q","Queenstown")</f>
        <v>Southampton</v>
      </c>
    </row>
    <row r="451" spans="1:19" x14ac:dyDescent="0.3">
      <c r="A451">
        <v>450</v>
      </c>
      <c r="B451">
        <v>2</v>
      </c>
      <c r="C451" s="1" t="str" cm="1">
        <f t="array" ref="C451">_xlfn.IFS(B451=1,"First Class",B451=2,"Second Class",B451=3,"Third Class")</f>
        <v>Second Class</v>
      </c>
      <c r="D451">
        <v>1</v>
      </c>
      <c r="E451" s="1" t="str">
        <f t="shared" ref="E451:E514" si="28">IF(D451=0,"Dead","Alive")</f>
        <v>Alive</v>
      </c>
      <c r="F451" t="s">
        <v>912</v>
      </c>
      <c r="G451" s="1" t="s">
        <v>3001</v>
      </c>
      <c r="H451" t="s">
        <v>15</v>
      </c>
      <c r="I451" s="1" t="str">
        <f t="shared" ref="I451:I514" si="29">PROPER(H451)</f>
        <v>Female</v>
      </c>
      <c r="J451" s="3">
        <v>54</v>
      </c>
      <c r="K451" s="3" t="str" cm="1">
        <f t="array" ref="K451">_xlfn.IFS(J451&lt;=13,"Child",J451&lt;=18,"Teenager",J451&lt;=30,"Young Adult",J451&lt;=50,"Middle Aged Adult",J451&gt;50,"Senior")</f>
        <v>Senior</v>
      </c>
      <c r="L451">
        <v>1</v>
      </c>
      <c r="M451">
        <v>3</v>
      </c>
      <c r="N451" s="1">
        <f t="shared" ref="N451:N514" si="30">L451+M451+1</f>
        <v>5</v>
      </c>
      <c r="O451" s="1" t="str">
        <f t="shared" ref="O451:O514" si="31">IF(N451=1,"Single","With Family")</f>
        <v>With Family</v>
      </c>
      <c r="P451">
        <v>23</v>
      </c>
      <c r="Q451" s="1" t="str" cm="1">
        <f t="array" ref="Q451">_xlfn.IFS(P451&lt;=50,"Low",P451&lt;=100,"Medium",P451&gt;100,"High")</f>
        <v>Low</v>
      </c>
      <c r="R451" t="s">
        <v>17</v>
      </c>
      <c r="S451" s="1" t="str" cm="1">
        <f t="array" ref="S451">_xlfn.IFS(R451="S","Southampton",R451="C","Cherbourg",R451="Q","Queenstown")</f>
        <v>Southampton</v>
      </c>
    </row>
    <row r="452" spans="1:19" x14ac:dyDescent="0.3">
      <c r="A452">
        <v>451</v>
      </c>
      <c r="B452">
        <v>2</v>
      </c>
      <c r="C452" s="1" t="str" cm="1">
        <f t="array" ref="C452">_xlfn.IFS(B452=1,"First Class",B452=2,"Second Class",B452=3,"Third Class")</f>
        <v>Second Class</v>
      </c>
      <c r="D452">
        <v>0</v>
      </c>
      <c r="E452" s="1" t="str">
        <f t="shared" si="28"/>
        <v>Dead</v>
      </c>
      <c r="F452" t="s">
        <v>913</v>
      </c>
      <c r="G452" s="1" t="s">
        <v>2999</v>
      </c>
      <c r="H452" t="s">
        <v>20</v>
      </c>
      <c r="I452" s="1" t="str">
        <f t="shared" si="29"/>
        <v>Male</v>
      </c>
      <c r="J452" s="3">
        <v>50</v>
      </c>
      <c r="K452" s="3" t="str" cm="1">
        <f t="array" ref="K452">_xlfn.IFS(J452&lt;=13,"Child",J452&lt;=18,"Teenager",J452&lt;=30,"Young Adult",J452&lt;=50,"Middle Aged Adult",J452&gt;50,"Senior")</f>
        <v>Middle Aged Adult</v>
      </c>
      <c r="L452">
        <v>0</v>
      </c>
      <c r="M452">
        <v>0</v>
      </c>
      <c r="N452" s="1">
        <f t="shared" si="30"/>
        <v>1</v>
      </c>
      <c r="O452" s="1" t="str">
        <f t="shared" si="31"/>
        <v>Single</v>
      </c>
      <c r="P452">
        <v>13</v>
      </c>
      <c r="Q452" s="1" t="str" cm="1">
        <f t="array" ref="Q452">_xlfn.IFS(P452&lt;=50,"Low",P452&lt;=100,"Medium",P452&gt;100,"High")</f>
        <v>Low</v>
      </c>
      <c r="R452" t="s">
        <v>17</v>
      </c>
      <c r="S452" s="1" t="str" cm="1">
        <f t="array" ref="S452">_xlfn.IFS(R452="S","Southampton",R452="C","Cherbourg",R452="Q","Queenstown")</f>
        <v>Southampton</v>
      </c>
    </row>
    <row r="453" spans="1:19" x14ac:dyDescent="0.3">
      <c r="A453">
        <v>452</v>
      </c>
      <c r="B453">
        <v>2</v>
      </c>
      <c r="C453" s="1" t="str" cm="1">
        <f t="array" ref="C453">_xlfn.IFS(B453=1,"First Class",B453=2,"Second Class",B453=3,"Third Class")</f>
        <v>Second Class</v>
      </c>
      <c r="D453">
        <v>0</v>
      </c>
      <c r="E453" s="1" t="str">
        <f t="shared" si="28"/>
        <v>Dead</v>
      </c>
      <c r="F453" t="s">
        <v>914</v>
      </c>
      <c r="G453" s="1" t="s">
        <v>2999</v>
      </c>
      <c r="H453" t="s">
        <v>20</v>
      </c>
      <c r="I453" s="1" t="str">
        <f t="shared" si="29"/>
        <v>Male</v>
      </c>
      <c r="J453" s="3">
        <v>44</v>
      </c>
      <c r="K453" s="3" t="str" cm="1">
        <f t="array" ref="K453">_xlfn.IFS(J453&lt;=13,"Child",J453&lt;=18,"Teenager",J453&lt;=30,"Young Adult",J453&lt;=50,"Middle Aged Adult",J453&gt;50,"Senior")</f>
        <v>Middle Aged Adult</v>
      </c>
      <c r="L453">
        <v>1</v>
      </c>
      <c r="M453">
        <v>0</v>
      </c>
      <c r="N453" s="1">
        <f t="shared" si="30"/>
        <v>2</v>
      </c>
      <c r="O453" s="1" t="str">
        <f t="shared" si="31"/>
        <v>With Family</v>
      </c>
      <c r="P453">
        <v>26</v>
      </c>
      <c r="Q453" s="1" t="str" cm="1">
        <f t="array" ref="Q453">_xlfn.IFS(P453&lt;=50,"Low",P453&lt;=100,"Medium",P453&gt;100,"High")</f>
        <v>Low</v>
      </c>
      <c r="R453" t="s">
        <v>17</v>
      </c>
      <c r="S453" s="1" t="str" cm="1">
        <f t="array" ref="S453">_xlfn.IFS(R453="S","Southampton",R453="C","Cherbourg",R453="Q","Queenstown")</f>
        <v>Southampton</v>
      </c>
    </row>
    <row r="454" spans="1:19" x14ac:dyDescent="0.3">
      <c r="A454">
        <v>453</v>
      </c>
      <c r="B454">
        <v>2</v>
      </c>
      <c r="C454" s="1" t="str" cm="1">
        <f t="array" ref="C454">_xlfn.IFS(B454=1,"First Class",B454=2,"Second Class",B454=3,"Third Class")</f>
        <v>Second Class</v>
      </c>
      <c r="D454">
        <v>1</v>
      </c>
      <c r="E454" s="1" t="str">
        <f t="shared" si="28"/>
        <v>Alive</v>
      </c>
      <c r="F454" t="s">
        <v>916</v>
      </c>
      <c r="G454" s="1" t="s">
        <v>3001</v>
      </c>
      <c r="H454" t="s">
        <v>15</v>
      </c>
      <c r="I454" s="1" t="str">
        <f t="shared" si="29"/>
        <v>Female</v>
      </c>
      <c r="J454" s="3">
        <v>29</v>
      </c>
      <c r="K454" s="3" t="str" cm="1">
        <f t="array" ref="K454">_xlfn.IFS(J454&lt;=13,"Child",J454&lt;=18,"Teenager",J454&lt;=30,"Young Adult",J454&lt;=50,"Middle Aged Adult",J454&gt;50,"Senior")</f>
        <v>Young Adult</v>
      </c>
      <c r="L454">
        <v>1</v>
      </c>
      <c r="M454">
        <v>0</v>
      </c>
      <c r="N454" s="1">
        <f t="shared" si="30"/>
        <v>2</v>
      </c>
      <c r="O454" s="1" t="str">
        <f t="shared" si="31"/>
        <v>With Family</v>
      </c>
      <c r="P454">
        <v>26</v>
      </c>
      <c r="Q454" s="1" t="str" cm="1">
        <f t="array" ref="Q454">_xlfn.IFS(P454&lt;=50,"Low",P454&lt;=100,"Medium",P454&gt;100,"High")</f>
        <v>Low</v>
      </c>
      <c r="R454" t="s">
        <v>17</v>
      </c>
      <c r="S454" s="1" t="str" cm="1">
        <f t="array" ref="S454">_xlfn.IFS(R454="S","Southampton",R454="C","Cherbourg",R454="Q","Queenstown")</f>
        <v>Southampton</v>
      </c>
    </row>
    <row r="455" spans="1:19" x14ac:dyDescent="0.3">
      <c r="A455">
        <v>454</v>
      </c>
      <c r="B455">
        <v>2</v>
      </c>
      <c r="C455" s="1" t="str" cm="1">
        <f t="array" ref="C455">_xlfn.IFS(B455=1,"First Class",B455=2,"Second Class",B455=3,"Third Class")</f>
        <v>Second Class</v>
      </c>
      <c r="D455">
        <v>0</v>
      </c>
      <c r="E455" s="1" t="str">
        <f t="shared" si="28"/>
        <v>Dead</v>
      </c>
      <c r="F455" t="s">
        <v>917</v>
      </c>
      <c r="G455" s="1" t="s">
        <v>2999</v>
      </c>
      <c r="H455" t="s">
        <v>20</v>
      </c>
      <c r="I455" s="1" t="str">
        <f t="shared" si="29"/>
        <v>Male</v>
      </c>
      <c r="J455" s="3">
        <v>21</v>
      </c>
      <c r="K455" s="3" t="str" cm="1">
        <f t="array" ref="K455">_xlfn.IFS(J455&lt;=13,"Child",J455&lt;=18,"Teenager",J455&lt;=30,"Young Adult",J455&lt;=50,"Middle Aged Adult",J455&gt;50,"Senior")</f>
        <v>Young Adult</v>
      </c>
      <c r="L455">
        <v>0</v>
      </c>
      <c r="M455">
        <v>0</v>
      </c>
      <c r="N455" s="1">
        <f t="shared" si="30"/>
        <v>1</v>
      </c>
      <c r="O455" s="1" t="str">
        <f t="shared" si="31"/>
        <v>Single</v>
      </c>
      <c r="P455">
        <v>73.5</v>
      </c>
      <c r="Q455" s="1" t="str" cm="1">
        <f t="array" ref="Q455">_xlfn.IFS(P455&lt;=50,"Low",P455&lt;=100,"Medium",P455&gt;100,"High")</f>
        <v>Medium</v>
      </c>
      <c r="R455" t="s">
        <v>17</v>
      </c>
      <c r="S455" s="1" t="str" cm="1">
        <f t="array" ref="S455">_xlfn.IFS(R455="S","Southampton",R455="C","Cherbourg",R455="Q","Queenstown")</f>
        <v>Southampton</v>
      </c>
    </row>
    <row r="456" spans="1:19" x14ac:dyDescent="0.3">
      <c r="A456">
        <v>455</v>
      </c>
      <c r="B456">
        <v>2</v>
      </c>
      <c r="C456" s="1" t="str" cm="1">
        <f t="array" ref="C456">_xlfn.IFS(B456=1,"First Class",B456=2,"Second Class",B456=3,"Third Class")</f>
        <v>Second Class</v>
      </c>
      <c r="D456">
        <v>1</v>
      </c>
      <c r="E456" s="1" t="str">
        <f t="shared" si="28"/>
        <v>Alive</v>
      </c>
      <c r="F456" t="s">
        <v>918</v>
      </c>
      <c r="G456" s="1" t="s">
        <v>2999</v>
      </c>
      <c r="H456" t="s">
        <v>20</v>
      </c>
      <c r="I456" s="1" t="str">
        <f t="shared" si="29"/>
        <v>Male</v>
      </c>
      <c r="J456" s="3">
        <v>42</v>
      </c>
      <c r="K456" s="3" t="str" cm="1">
        <f t="array" ref="K456">_xlfn.IFS(J456&lt;=13,"Child",J456&lt;=18,"Teenager",J456&lt;=30,"Young Adult",J456&lt;=50,"Middle Aged Adult",J456&gt;50,"Senior")</f>
        <v>Middle Aged Adult</v>
      </c>
      <c r="L456">
        <v>0</v>
      </c>
      <c r="M456">
        <v>0</v>
      </c>
      <c r="N456" s="1">
        <f t="shared" si="30"/>
        <v>1</v>
      </c>
      <c r="O456" s="1" t="str">
        <f t="shared" si="31"/>
        <v>Single</v>
      </c>
      <c r="P456">
        <v>13</v>
      </c>
      <c r="Q456" s="1" t="str" cm="1">
        <f t="array" ref="Q456">_xlfn.IFS(P456&lt;=50,"Low",P456&lt;=100,"Medium",P456&gt;100,"High")</f>
        <v>Low</v>
      </c>
      <c r="R456" t="s">
        <v>17</v>
      </c>
      <c r="S456" s="1" t="str" cm="1">
        <f t="array" ref="S456">_xlfn.IFS(R456="S","Southampton",R456="C","Cherbourg",R456="Q","Queenstown")</f>
        <v>Southampton</v>
      </c>
    </row>
    <row r="457" spans="1:19" x14ac:dyDescent="0.3">
      <c r="A457">
        <v>456</v>
      </c>
      <c r="B457">
        <v>2</v>
      </c>
      <c r="C457" s="1" t="str" cm="1">
        <f t="array" ref="C457">_xlfn.IFS(B457=1,"First Class",B457=2,"Second Class",B457=3,"Third Class")</f>
        <v>Second Class</v>
      </c>
      <c r="D457">
        <v>0</v>
      </c>
      <c r="E457" s="1" t="str">
        <f t="shared" si="28"/>
        <v>Dead</v>
      </c>
      <c r="F457" t="s">
        <v>920</v>
      </c>
      <c r="G457" s="1" t="s">
        <v>2999</v>
      </c>
      <c r="H457" t="s">
        <v>20</v>
      </c>
      <c r="I457" s="1" t="str">
        <f t="shared" si="29"/>
        <v>Male</v>
      </c>
      <c r="J457" s="3">
        <v>63</v>
      </c>
      <c r="K457" s="3" t="str" cm="1">
        <f t="array" ref="K457">_xlfn.IFS(J457&lt;=13,"Child",J457&lt;=18,"Teenager",J457&lt;=30,"Young Adult",J457&lt;=50,"Middle Aged Adult",J457&gt;50,"Senior")</f>
        <v>Senior</v>
      </c>
      <c r="L457">
        <v>1</v>
      </c>
      <c r="M457">
        <v>0</v>
      </c>
      <c r="N457" s="1">
        <f t="shared" si="30"/>
        <v>2</v>
      </c>
      <c r="O457" s="1" t="str">
        <f t="shared" si="31"/>
        <v>With Family</v>
      </c>
      <c r="P457">
        <v>26</v>
      </c>
      <c r="Q457" s="1" t="str" cm="1">
        <f t="array" ref="Q457">_xlfn.IFS(P457&lt;=50,"Low",P457&lt;=100,"Medium",P457&gt;100,"High")</f>
        <v>Low</v>
      </c>
      <c r="R457" t="s">
        <v>17</v>
      </c>
      <c r="S457" s="1" t="str" cm="1">
        <f t="array" ref="S457">_xlfn.IFS(R457="S","Southampton",R457="C","Cherbourg",R457="Q","Queenstown")</f>
        <v>Southampton</v>
      </c>
    </row>
    <row r="458" spans="1:19" x14ac:dyDescent="0.3">
      <c r="A458">
        <v>457</v>
      </c>
      <c r="B458">
        <v>2</v>
      </c>
      <c r="C458" s="1" t="str" cm="1">
        <f t="array" ref="C458">_xlfn.IFS(B458=1,"First Class",B458=2,"Second Class",B458=3,"Third Class")</f>
        <v>Second Class</v>
      </c>
      <c r="D458">
        <v>0</v>
      </c>
      <c r="E458" s="1" t="str">
        <f t="shared" si="28"/>
        <v>Dead</v>
      </c>
      <c r="F458" t="s">
        <v>922</v>
      </c>
      <c r="G458" s="1" t="s">
        <v>3001</v>
      </c>
      <c r="H458" t="s">
        <v>15</v>
      </c>
      <c r="I458" s="1" t="str">
        <f t="shared" si="29"/>
        <v>Female</v>
      </c>
      <c r="J458" s="3">
        <v>60</v>
      </c>
      <c r="K458" s="3" t="str" cm="1">
        <f t="array" ref="K458">_xlfn.IFS(J458&lt;=13,"Child",J458&lt;=18,"Teenager",J458&lt;=30,"Young Adult",J458&lt;=50,"Middle Aged Adult",J458&gt;50,"Senior")</f>
        <v>Senior</v>
      </c>
      <c r="L458">
        <v>1</v>
      </c>
      <c r="M458">
        <v>0</v>
      </c>
      <c r="N458" s="1">
        <f t="shared" si="30"/>
        <v>2</v>
      </c>
      <c r="O458" s="1" t="str">
        <f t="shared" si="31"/>
        <v>With Family</v>
      </c>
      <c r="P458">
        <v>26</v>
      </c>
      <c r="Q458" s="1" t="str" cm="1">
        <f t="array" ref="Q458">_xlfn.IFS(P458&lt;=50,"Low",P458&lt;=100,"Medium",P458&gt;100,"High")</f>
        <v>Low</v>
      </c>
      <c r="R458" t="s">
        <v>17</v>
      </c>
      <c r="S458" s="1" t="str" cm="1">
        <f t="array" ref="S458">_xlfn.IFS(R458="S","Southampton",R458="C","Cherbourg",R458="Q","Queenstown")</f>
        <v>Southampton</v>
      </c>
    </row>
    <row r="459" spans="1:19" x14ac:dyDescent="0.3">
      <c r="A459">
        <v>458</v>
      </c>
      <c r="B459">
        <v>2</v>
      </c>
      <c r="C459" s="1" t="str" cm="1">
        <f t="array" ref="C459">_xlfn.IFS(B459=1,"First Class",B459=2,"Second Class",B459=3,"Third Class")</f>
        <v>Second Class</v>
      </c>
      <c r="D459">
        <v>0</v>
      </c>
      <c r="E459" s="1" t="str">
        <f t="shared" si="28"/>
        <v>Dead</v>
      </c>
      <c r="F459" t="s">
        <v>923</v>
      </c>
      <c r="G459" s="1" t="s">
        <v>2999</v>
      </c>
      <c r="H459" t="s">
        <v>20</v>
      </c>
      <c r="I459" s="1" t="str">
        <f t="shared" si="29"/>
        <v>Male</v>
      </c>
      <c r="J459" s="3">
        <v>33</v>
      </c>
      <c r="K459" s="3" t="str" cm="1">
        <f t="array" ref="K459">_xlfn.IFS(J459&lt;=13,"Child",J459&lt;=18,"Teenager",J459&lt;=30,"Young Adult",J459&lt;=50,"Middle Aged Adult",J459&gt;50,"Senior")</f>
        <v>Middle Aged Adult</v>
      </c>
      <c r="L459">
        <v>0</v>
      </c>
      <c r="M459">
        <v>0</v>
      </c>
      <c r="N459" s="1">
        <f t="shared" si="30"/>
        <v>1</v>
      </c>
      <c r="O459" s="1" t="str">
        <f t="shared" si="31"/>
        <v>Single</v>
      </c>
      <c r="P459">
        <v>12.275</v>
      </c>
      <c r="Q459" s="1" t="str" cm="1">
        <f t="array" ref="Q459">_xlfn.IFS(P459&lt;=50,"Low",P459&lt;=100,"Medium",P459&gt;100,"High")</f>
        <v>Low</v>
      </c>
      <c r="R459" t="s">
        <v>17</v>
      </c>
      <c r="S459" s="1" t="str" cm="1">
        <f t="array" ref="S459">_xlfn.IFS(R459="S","Southampton",R459="C","Cherbourg",R459="Q","Queenstown")</f>
        <v>Southampton</v>
      </c>
    </row>
    <row r="460" spans="1:19" x14ac:dyDescent="0.3">
      <c r="A460">
        <v>459</v>
      </c>
      <c r="B460">
        <v>2</v>
      </c>
      <c r="C460" s="1" t="str" cm="1">
        <f t="array" ref="C460">_xlfn.IFS(B460=1,"First Class",B460=2,"Second Class",B460=3,"Third Class")</f>
        <v>Second Class</v>
      </c>
      <c r="D460">
        <v>1</v>
      </c>
      <c r="E460" s="1" t="str">
        <f t="shared" si="28"/>
        <v>Alive</v>
      </c>
      <c r="F460" t="s">
        <v>925</v>
      </c>
      <c r="G460" s="1" t="s">
        <v>2994</v>
      </c>
      <c r="H460" t="s">
        <v>15</v>
      </c>
      <c r="I460" s="1" t="str">
        <f t="shared" si="29"/>
        <v>Female</v>
      </c>
      <c r="J460" s="3">
        <v>17</v>
      </c>
      <c r="K460" s="3" t="str" cm="1">
        <f t="array" ref="K460">_xlfn.IFS(J460&lt;=13,"Child",J460&lt;=18,"Teenager",J460&lt;=30,"Young Adult",J460&lt;=50,"Middle Aged Adult",J460&gt;50,"Senior")</f>
        <v>Teenager</v>
      </c>
      <c r="L460">
        <v>0</v>
      </c>
      <c r="M460">
        <v>0</v>
      </c>
      <c r="N460" s="1">
        <f t="shared" si="30"/>
        <v>1</v>
      </c>
      <c r="O460" s="1" t="str">
        <f t="shared" si="31"/>
        <v>Single</v>
      </c>
      <c r="P460">
        <v>10.5</v>
      </c>
      <c r="Q460" s="1" t="str" cm="1">
        <f t="array" ref="Q460">_xlfn.IFS(P460&lt;=50,"Low",P460&lt;=100,"Medium",P460&gt;100,"High")</f>
        <v>Low</v>
      </c>
      <c r="R460" t="s">
        <v>17</v>
      </c>
      <c r="S460" s="1" t="str" cm="1">
        <f t="array" ref="S460">_xlfn.IFS(R460="S","Southampton",R460="C","Cherbourg",R460="Q","Queenstown")</f>
        <v>Southampton</v>
      </c>
    </row>
    <row r="461" spans="1:19" x14ac:dyDescent="0.3">
      <c r="A461">
        <v>460</v>
      </c>
      <c r="B461">
        <v>2</v>
      </c>
      <c r="C461" s="1" t="str" cm="1">
        <f t="array" ref="C461">_xlfn.IFS(B461=1,"First Class",B461=2,"Second Class",B461=3,"Third Class")</f>
        <v>Second Class</v>
      </c>
      <c r="D461">
        <v>0</v>
      </c>
      <c r="E461" s="1" t="str">
        <f t="shared" si="28"/>
        <v>Dead</v>
      </c>
      <c r="F461" t="s">
        <v>927</v>
      </c>
      <c r="G461" s="1" t="s">
        <v>2999</v>
      </c>
      <c r="H461" t="s">
        <v>20</v>
      </c>
      <c r="I461" s="1" t="str">
        <f t="shared" si="29"/>
        <v>Male</v>
      </c>
      <c r="J461" s="3">
        <v>42</v>
      </c>
      <c r="K461" s="3" t="str" cm="1">
        <f t="array" ref="K461">_xlfn.IFS(J461&lt;=13,"Child",J461&lt;=18,"Teenager",J461&lt;=30,"Young Adult",J461&lt;=50,"Middle Aged Adult",J461&gt;50,"Senior")</f>
        <v>Middle Aged Adult</v>
      </c>
      <c r="L461">
        <v>1</v>
      </c>
      <c r="M461">
        <v>0</v>
      </c>
      <c r="N461" s="1">
        <f t="shared" si="30"/>
        <v>2</v>
      </c>
      <c r="O461" s="1" t="str">
        <f t="shared" si="31"/>
        <v>With Family</v>
      </c>
      <c r="P461">
        <v>27</v>
      </c>
      <c r="Q461" s="1" t="str" cm="1">
        <f t="array" ref="Q461">_xlfn.IFS(P461&lt;=50,"Low",P461&lt;=100,"Medium",P461&gt;100,"High")</f>
        <v>Low</v>
      </c>
      <c r="R461" t="s">
        <v>17</v>
      </c>
      <c r="S461" s="1" t="str" cm="1">
        <f t="array" ref="S461">_xlfn.IFS(R461="S","Southampton",R461="C","Cherbourg",R461="Q","Queenstown")</f>
        <v>Southampton</v>
      </c>
    </row>
    <row r="462" spans="1:19" x14ac:dyDescent="0.3">
      <c r="A462">
        <v>461</v>
      </c>
      <c r="B462">
        <v>2</v>
      </c>
      <c r="C462" s="1" t="str" cm="1">
        <f t="array" ref="C462">_xlfn.IFS(B462=1,"First Class",B462=2,"Second Class",B462=3,"Third Class")</f>
        <v>Second Class</v>
      </c>
      <c r="D462">
        <v>1</v>
      </c>
      <c r="E462" s="1" t="str">
        <f t="shared" si="28"/>
        <v>Alive</v>
      </c>
      <c r="F462" t="s">
        <v>928</v>
      </c>
      <c r="G462" s="1" t="s">
        <v>3001</v>
      </c>
      <c r="H462" t="s">
        <v>15</v>
      </c>
      <c r="I462" s="1" t="str">
        <f t="shared" si="29"/>
        <v>Female</v>
      </c>
      <c r="J462" s="3">
        <v>24</v>
      </c>
      <c r="K462" s="3" t="str" cm="1">
        <f t="array" ref="K462">_xlfn.IFS(J462&lt;=13,"Child",J462&lt;=18,"Teenager",J462&lt;=30,"Young Adult",J462&lt;=50,"Middle Aged Adult",J462&gt;50,"Senior")</f>
        <v>Young Adult</v>
      </c>
      <c r="L462">
        <v>2</v>
      </c>
      <c r="M462">
        <v>1</v>
      </c>
      <c r="N462" s="1">
        <f t="shared" si="30"/>
        <v>4</v>
      </c>
      <c r="O462" s="1" t="str">
        <f t="shared" si="31"/>
        <v>With Family</v>
      </c>
      <c r="P462">
        <v>27</v>
      </c>
      <c r="Q462" s="1" t="str" cm="1">
        <f t="array" ref="Q462">_xlfn.IFS(P462&lt;=50,"Low",P462&lt;=100,"Medium",P462&gt;100,"High")</f>
        <v>Low</v>
      </c>
      <c r="R462" t="s">
        <v>17</v>
      </c>
      <c r="S462" s="1" t="str" cm="1">
        <f t="array" ref="S462">_xlfn.IFS(R462="S","Southampton",R462="C","Cherbourg",R462="Q","Queenstown")</f>
        <v>Southampton</v>
      </c>
    </row>
    <row r="463" spans="1:19" x14ac:dyDescent="0.3">
      <c r="A463">
        <v>462</v>
      </c>
      <c r="B463">
        <v>2</v>
      </c>
      <c r="C463" s="1" t="str" cm="1">
        <f t="array" ref="C463">_xlfn.IFS(B463=1,"First Class",B463=2,"Second Class",B463=3,"Third Class")</f>
        <v>Second Class</v>
      </c>
      <c r="D463">
        <v>0</v>
      </c>
      <c r="E463" s="1" t="str">
        <f t="shared" si="28"/>
        <v>Dead</v>
      </c>
      <c r="F463" t="s">
        <v>929</v>
      </c>
      <c r="G463" s="1" t="s">
        <v>2999</v>
      </c>
      <c r="H463" t="s">
        <v>20</v>
      </c>
      <c r="I463" s="1" t="str">
        <f t="shared" si="29"/>
        <v>Male</v>
      </c>
      <c r="J463" s="3">
        <v>47</v>
      </c>
      <c r="K463" s="3" t="str" cm="1">
        <f t="array" ref="K463">_xlfn.IFS(J463&lt;=13,"Child",J463&lt;=18,"Teenager",J463&lt;=30,"Young Adult",J463&lt;=50,"Middle Aged Adult",J463&gt;50,"Senior")</f>
        <v>Middle Aged Adult</v>
      </c>
      <c r="L463">
        <v>0</v>
      </c>
      <c r="M463">
        <v>0</v>
      </c>
      <c r="N463" s="1">
        <f t="shared" si="30"/>
        <v>1</v>
      </c>
      <c r="O463" s="1" t="str">
        <f t="shared" si="31"/>
        <v>Single</v>
      </c>
      <c r="P463">
        <v>15</v>
      </c>
      <c r="Q463" s="1" t="str" cm="1">
        <f t="array" ref="Q463">_xlfn.IFS(P463&lt;=50,"Low",P463&lt;=100,"Medium",P463&gt;100,"High")</f>
        <v>Low</v>
      </c>
      <c r="R463" t="s">
        <v>17</v>
      </c>
      <c r="S463" s="1" t="str" cm="1">
        <f t="array" ref="S463">_xlfn.IFS(R463="S","Southampton",R463="C","Cherbourg",R463="Q","Queenstown")</f>
        <v>Southampton</v>
      </c>
    </row>
    <row r="464" spans="1:19" x14ac:dyDescent="0.3">
      <c r="A464">
        <v>463</v>
      </c>
      <c r="B464">
        <v>2</v>
      </c>
      <c r="C464" s="1" t="str" cm="1">
        <f t="array" ref="C464">_xlfn.IFS(B464=1,"First Class",B464=2,"Second Class",B464=3,"Third Class")</f>
        <v>Second Class</v>
      </c>
      <c r="D464">
        <v>0</v>
      </c>
      <c r="E464" s="1" t="str">
        <f t="shared" si="28"/>
        <v>Dead</v>
      </c>
      <c r="F464" t="s">
        <v>931</v>
      </c>
      <c r="G464" s="1" t="s">
        <v>2999</v>
      </c>
      <c r="H464" t="s">
        <v>20</v>
      </c>
      <c r="I464" s="1" t="str">
        <f t="shared" si="29"/>
        <v>Male</v>
      </c>
      <c r="J464" s="3">
        <v>24</v>
      </c>
      <c r="K464" s="3" t="str" cm="1">
        <f t="array" ref="K464">_xlfn.IFS(J464&lt;=13,"Child",J464&lt;=18,"Teenager",J464&lt;=30,"Young Adult",J464&lt;=50,"Middle Aged Adult",J464&gt;50,"Senior")</f>
        <v>Young Adult</v>
      </c>
      <c r="L464">
        <v>2</v>
      </c>
      <c r="M464">
        <v>0</v>
      </c>
      <c r="N464" s="1">
        <f t="shared" si="30"/>
        <v>3</v>
      </c>
      <c r="O464" s="1" t="str">
        <f t="shared" si="31"/>
        <v>With Family</v>
      </c>
      <c r="P464">
        <v>31.5</v>
      </c>
      <c r="Q464" s="1" t="str" cm="1">
        <f t="array" ref="Q464">_xlfn.IFS(P464&lt;=50,"Low",P464&lt;=100,"Medium",P464&gt;100,"High")</f>
        <v>Low</v>
      </c>
      <c r="R464" t="s">
        <v>17</v>
      </c>
      <c r="S464" s="1" t="str" cm="1">
        <f t="array" ref="S464">_xlfn.IFS(R464="S","Southampton",R464="C","Cherbourg",R464="Q","Queenstown")</f>
        <v>Southampton</v>
      </c>
    </row>
    <row r="465" spans="1:19" x14ac:dyDescent="0.3">
      <c r="A465">
        <v>464</v>
      </c>
      <c r="B465">
        <v>2</v>
      </c>
      <c r="C465" s="1" t="str" cm="1">
        <f t="array" ref="C465">_xlfn.IFS(B465=1,"First Class",B465=2,"Second Class",B465=3,"Third Class")</f>
        <v>Second Class</v>
      </c>
      <c r="D465">
        <v>0</v>
      </c>
      <c r="E465" s="1" t="str">
        <f t="shared" si="28"/>
        <v>Dead</v>
      </c>
      <c r="F465" t="s">
        <v>932</v>
      </c>
      <c r="G465" s="1" t="s">
        <v>2999</v>
      </c>
      <c r="H465" t="s">
        <v>20</v>
      </c>
      <c r="I465" s="1" t="str">
        <f t="shared" si="29"/>
        <v>Male</v>
      </c>
      <c r="J465" s="3">
        <v>22</v>
      </c>
      <c r="K465" s="3" t="str" cm="1">
        <f t="array" ref="K465">_xlfn.IFS(J465&lt;=13,"Child",J465&lt;=18,"Teenager",J465&lt;=30,"Young Adult",J465&lt;=50,"Middle Aged Adult",J465&gt;50,"Senior")</f>
        <v>Young Adult</v>
      </c>
      <c r="L465">
        <v>2</v>
      </c>
      <c r="M465">
        <v>0</v>
      </c>
      <c r="N465" s="1">
        <f t="shared" si="30"/>
        <v>3</v>
      </c>
      <c r="O465" s="1" t="str">
        <f t="shared" si="31"/>
        <v>With Family</v>
      </c>
      <c r="P465">
        <v>31.5</v>
      </c>
      <c r="Q465" s="1" t="str" cm="1">
        <f t="array" ref="Q465">_xlfn.IFS(P465&lt;=50,"Low",P465&lt;=100,"Medium",P465&gt;100,"High")</f>
        <v>Low</v>
      </c>
      <c r="R465" t="s">
        <v>17</v>
      </c>
      <c r="S465" s="1" t="str" cm="1">
        <f t="array" ref="S465">_xlfn.IFS(R465="S","Southampton",R465="C","Cherbourg",R465="Q","Queenstown")</f>
        <v>Southampton</v>
      </c>
    </row>
    <row r="466" spans="1:19" x14ac:dyDescent="0.3">
      <c r="A466">
        <v>465</v>
      </c>
      <c r="B466">
        <v>2</v>
      </c>
      <c r="C466" s="1" t="str" cm="1">
        <f t="array" ref="C466">_xlfn.IFS(B466=1,"First Class",B466=2,"Second Class",B466=3,"Third Class")</f>
        <v>Second Class</v>
      </c>
      <c r="D466">
        <v>0</v>
      </c>
      <c r="E466" s="1" t="str">
        <f t="shared" si="28"/>
        <v>Dead</v>
      </c>
      <c r="F466" t="s">
        <v>933</v>
      </c>
      <c r="G466" s="1" t="s">
        <v>2999</v>
      </c>
      <c r="H466" t="s">
        <v>20</v>
      </c>
      <c r="I466" s="1" t="str">
        <f t="shared" si="29"/>
        <v>Male</v>
      </c>
      <c r="J466" s="3">
        <v>32</v>
      </c>
      <c r="K466" s="3" t="str" cm="1">
        <f t="array" ref="K466">_xlfn.IFS(J466&lt;=13,"Child",J466&lt;=18,"Teenager",J466&lt;=30,"Young Adult",J466&lt;=50,"Middle Aged Adult",J466&gt;50,"Senior")</f>
        <v>Middle Aged Adult</v>
      </c>
      <c r="L466">
        <v>0</v>
      </c>
      <c r="M466">
        <v>0</v>
      </c>
      <c r="N466" s="1">
        <f t="shared" si="30"/>
        <v>1</v>
      </c>
      <c r="O466" s="1" t="str">
        <f t="shared" si="31"/>
        <v>Single</v>
      </c>
      <c r="P466">
        <v>10.5</v>
      </c>
      <c r="Q466" s="1" t="str" cm="1">
        <f t="array" ref="Q466">_xlfn.IFS(P466&lt;=50,"Low",P466&lt;=100,"Medium",P466&gt;100,"High")</f>
        <v>Low</v>
      </c>
      <c r="R466" t="s">
        <v>17</v>
      </c>
      <c r="S466" s="1" t="str" cm="1">
        <f t="array" ref="S466">_xlfn.IFS(R466="S","Southampton",R466="C","Cherbourg",R466="Q","Queenstown")</f>
        <v>Southampton</v>
      </c>
    </row>
    <row r="467" spans="1:19" x14ac:dyDescent="0.3">
      <c r="A467">
        <v>466</v>
      </c>
      <c r="B467">
        <v>2</v>
      </c>
      <c r="C467" s="1" t="str" cm="1">
        <f t="array" ref="C467">_xlfn.IFS(B467=1,"First Class",B467=2,"Second Class",B467=3,"Third Class")</f>
        <v>Second Class</v>
      </c>
      <c r="D467">
        <v>1</v>
      </c>
      <c r="E467" s="1" t="str">
        <f t="shared" si="28"/>
        <v>Alive</v>
      </c>
      <c r="F467" t="s">
        <v>936</v>
      </c>
      <c r="G467" s="1" t="s">
        <v>3001</v>
      </c>
      <c r="H467" t="s">
        <v>15</v>
      </c>
      <c r="I467" s="1" t="str">
        <f t="shared" si="29"/>
        <v>Female</v>
      </c>
      <c r="J467" s="3">
        <v>23</v>
      </c>
      <c r="K467" s="3" t="str" cm="1">
        <f t="array" ref="K467">_xlfn.IFS(J467&lt;=13,"Child",J467&lt;=18,"Teenager",J467&lt;=30,"Young Adult",J467&lt;=50,"Middle Aged Adult",J467&gt;50,"Senior")</f>
        <v>Young Adult</v>
      </c>
      <c r="L467">
        <v>0</v>
      </c>
      <c r="M467">
        <v>0</v>
      </c>
      <c r="N467" s="1">
        <f t="shared" si="30"/>
        <v>1</v>
      </c>
      <c r="O467" s="1" t="str">
        <f t="shared" si="31"/>
        <v>Single</v>
      </c>
      <c r="P467">
        <v>13.791700000000001</v>
      </c>
      <c r="Q467" s="1" t="str" cm="1">
        <f t="array" ref="Q467">_xlfn.IFS(P467&lt;=50,"Low",P467&lt;=100,"Medium",P467&gt;100,"High")</f>
        <v>Low</v>
      </c>
      <c r="R467" t="s">
        <v>41</v>
      </c>
      <c r="S467" s="1" t="str" cm="1">
        <f t="array" ref="S467">_xlfn.IFS(R467="S","Southampton",R467="C","Cherbourg",R467="Q","Queenstown")</f>
        <v>Cherbourg</v>
      </c>
    </row>
    <row r="468" spans="1:19" x14ac:dyDescent="0.3">
      <c r="A468">
        <v>467</v>
      </c>
      <c r="B468">
        <v>2</v>
      </c>
      <c r="C468" s="1" t="str" cm="1">
        <f t="array" ref="C468">_xlfn.IFS(B468=1,"First Class",B468=2,"Second Class",B468=3,"Third Class")</f>
        <v>Second Class</v>
      </c>
      <c r="D468">
        <v>0</v>
      </c>
      <c r="E468" s="1" t="str">
        <f t="shared" si="28"/>
        <v>Dead</v>
      </c>
      <c r="F468" t="s">
        <v>938</v>
      </c>
      <c r="G468" s="1" t="s">
        <v>2999</v>
      </c>
      <c r="H468" t="s">
        <v>20</v>
      </c>
      <c r="I468" s="1" t="str">
        <f t="shared" si="29"/>
        <v>Male</v>
      </c>
      <c r="J468" s="3">
        <v>34</v>
      </c>
      <c r="K468" s="3" t="str" cm="1">
        <f t="array" ref="K468">_xlfn.IFS(J468&lt;=13,"Child",J468&lt;=18,"Teenager",J468&lt;=30,"Young Adult",J468&lt;=50,"Middle Aged Adult",J468&gt;50,"Senior")</f>
        <v>Middle Aged Adult</v>
      </c>
      <c r="L468">
        <v>1</v>
      </c>
      <c r="M468">
        <v>0</v>
      </c>
      <c r="N468" s="1">
        <f t="shared" si="30"/>
        <v>2</v>
      </c>
      <c r="O468" s="1" t="str">
        <f t="shared" si="31"/>
        <v>With Family</v>
      </c>
      <c r="P468">
        <v>26</v>
      </c>
      <c r="Q468" s="1" t="str" cm="1">
        <f t="array" ref="Q468">_xlfn.IFS(P468&lt;=50,"Low",P468&lt;=100,"Medium",P468&gt;100,"High")</f>
        <v>Low</v>
      </c>
      <c r="R468" t="s">
        <v>17</v>
      </c>
      <c r="S468" s="1" t="str" cm="1">
        <f t="array" ref="S468">_xlfn.IFS(R468="S","Southampton",R468="C","Cherbourg",R468="Q","Queenstown")</f>
        <v>Southampton</v>
      </c>
    </row>
    <row r="469" spans="1:19" x14ac:dyDescent="0.3">
      <c r="A469">
        <v>468</v>
      </c>
      <c r="B469">
        <v>2</v>
      </c>
      <c r="C469" s="1" t="str" cm="1">
        <f t="array" ref="C469">_xlfn.IFS(B469=1,"First Class",B469=2,"Second Class",B469=3,"Third Class")</f>
        <v>Second Class</v>
      </c>
      <c r="D469">
        <v>1</v>
      </c>
      <c r="E469" s="1" t="str">
        <f t="shared" si="28"/>
        <v>Alive</v>
      </c>
      <c r="F469" t="s">
        <v>940</v>
      </c>
      <c r="G469" s="1" t="s">
        <v>3001</v>
      </c>
      <c r="H469" t="s">
        <v>15</v>
      </c>
      <c r="I469" s="1" t="str">
        <f t="shared" si="29"/>
        <v>Female</v>
      </c>
      <c r="J469" s="3">
        <v>24</v>
      </c>
      <c r="K469" s="3" t="str" cm="1">
        <f t="array" ref="K469">_xlfn.IFS(J469&lt;=13,"Child",J469&lt;=18,"Teenager",J469&lt;=30,"Young Adult",J469&lt;=50,"Middle Aged Adult",J469&gt;50,"Senior")</f>
        <v>Young Adult</v>
      </c>
      <c r="L469">
        <v>1</v>
      </c>
      <c r="M469">
        <v>0</v>
      </c>
      <c r="N469" s="1">
        <f t="shared" si="30"/>
        <v>2</v>
      </c>
      <c r="O469" s="1" t="str">
        <f t="shared" si="31"/>
        <v>With Family</v>
      </c>
      <c r="P469">
        <v>26</v>
      </c>
      <c r="Q469" s="1" t="str" cm="1">
        <f t="array" ref="Q469">_xlfn.IFS(P469&lt;=50,"Low",P469&lt;=100,"Medium",P469&gt;100,"High")</f>
        <v>Low</v>
      </c>
      <c r="R469" t="s">
        <v>17</v>
      </c>
      <c r="S469" s="1" t="str" cm="1">
        <f t="array" ref="S469">_xlfn.IFS(R469="S","Southampton",R469="C","Cherbourg",R469="Q","Queenstown")</f>
        <v>Southampton</v>
      </c>
    </row>
    <row r="470" spans="1:19" x14ac:dyDescent="0.3">
      <c r="A470">
        <v>469</v>
      </c>
      <c r="B470">
        <v>2</v>
      </c>
      <c r="C470" s="1" t="str" cm="1">
        <f t="array" ref="C470">_xlfn.IFS(B470=1,"First Class",B470=2,"Second Class",B470=3,"Third Class")</f>
        <v>Second Class</v>
      </c>
      <c r="D470">
        <v>0</v>
      </c>
      <c r="E470" s="1" t="str">
        <f t="shared" si="28"/>
        <v>Dead</v>
      </c>
      <c r="F470" t="s">
        <v>941</v>
      </c>
      <c r="G470" s="1" t="s">
        <v>3001</v>
      </c>
      <c r="H470" t="s">
        <v>15</v>
      </c>
      <c r="I470" s="1" t="str">
        <f t="shared" si="29"/>
        <v>Female</v>
      </c>
      <c r="J470" s="3">
        <v>22</v>
      </c>
      <c r="K470" s="3" t="str" cm="1">
        <f t="array" ref="K470">_xlfn.IFS(J470&lt;=13,"Child",J470&lt;=18,"Teenager",J470&lt;=30,"Young Adult",J470&lt;=50,"Middle Aged Adult",J470&gt;50,"Senior")</f>
        <v>Young Adult</v>
      </c>
      <c r="L470">
        <v>0</v>
      </c>
      <c r="M470">
        <v>0</v>
      </c>
      <c r="N470" s="1">
        <f t="shared" si="30"/>
        <v>1</v>
      </c>
      <c r="O470" s="1" t="str">
        <f t="shared" si="31"/>
        <v>Single</v>
      </c>
      <c r="P470">
        <v>21</v>
      </c>
      <c r="Q470" s="1" t="str" cm="1">
        <f t="array" ref="Q470">_xlfn.IFS(P470&lt;=50,"Low",P470&lt;=100,"Medium",P470&gt;100,"High")</f>
        <v>Low</v>
      </c>
      <c r="R470" t="s">
        <v>17</v>
      </c>
      <c r="S470" s="1" t="str" cm="1">
        <f t="array" ref="S470">_xlfn.IFS(R470="S","Southampton",R470="C","Cherbourg",R470="Q","Queenstown")</f>
        <v>Southampton</v>
      </c>
    </row>
    <row r="471" spans="1:19" x14ac:dyDescent="0.3">
      <c r="A471">
        <v>470</v>
      </c>
      <c r="B471">
        <v>2</v>
      </c>
      <c r="C471" s="1" t="str" cm="1">
        <f t="array" ref="C471">_xlfn.IFS(B471=1,"First Class",B471=2,"Second Class",B471=3,"Third Class")</f>
        <v>Second Class</v>
      </c>
      <c r="D471">
        <v>1</v>
      </c>
      <c r="E471" s="1" t="str">
        <f t="shared" si="28"/>
        <v>Alive</v>
      </c>
      <c r="F471" t="s">
        <v>943</v>
      </c>
      <c r="G471" s="1" t="s">
        <v>2994</v>
      </c>
      <c r="H471" t="s">
        <v>15</v>
      </c>
      <c r="I471" s="1" t="str">
        <f t="shared" si="29"/>
        <v>Female</v>
      </c>
      <c r="J471" s="3">
        <v>29.881137667304014</v>
      </c>
      <c r="K471" s="3" t="str" cm="1">
        <f t="array" ref="K471">_xlfn.IFS(J471&lt;=13,"Child",J471&lt;=18,"Teenager",J471&lt;=30,"Young Adult",J471&lt;=50,"Middle Aged Adult",J471&gt;50,"Senior")</f>
        <v>Young Adult</v>
      </c>
      <c r="L471">
        <v>0</v>
      </c>
      <c r="M471">
        <v>0</v>
      </c>
      <c r="N471" s="1">
        <f t="shared" si="30"/>
        <v>1</v>
      </c>
      <c r="O471" s="1" t="str">
        <f t="shared" si="31"/>
        <v>Single</v>
      </c>
      <c r="P471">
        <v>12.35</v>
      </c>
      <c r="Q471" s="1" t="str" cm="1">
        <f t="array" ref="Q471">_xlfn.IFS(P471&lt;=50,"Low",P471&lt;=100,"Medium",P471&gt;100,"High")</f>
        <v>Low</v>
      </c>
      <c r="R471" t="s">
        <v>463</v>
      </c>
      <c r="S471" s="1" t="str" cm="1">
        <f t="array" ref="S471">_xlfn.IFS(R471="S","Southampton",R471="C","Cherbourg",R471="Q","Queenstown")</f>
        <v>Queenstown</v>
      </c>
    </row>
    <row r="472" spans="1:19" x14ac:dyDescent="0.3">
      <c r="A472">
        <v>471</v>
      </c>
      <c r="B472">
        <v>2</v>
      </c>
      <c r="C472" s="1" t="str" cm="1">
        <f t="array" ref="C472">_xlfn.IFS(B472=1,"First Class",B472=2,"Second Class",B472=3,"Third Class")</f>
        <v>Second Class</v>
      </c>
      <c r="D472">
        <v>0</v>
      </c>
      <c r="E472" s="1" t="str">
        <f t="shared" si="28"/>
        <v>Dead</v>
      </c>
      <c r="F472" t="s">
        <v>946</v>
      </c>
      <c r="G472" s="1" t="s">
        <v>2999</v>
      </c>
      <c r="H472" t="s">
        <v>20</v>
      </c>
      <c r="I472" s="1" t="str">
        <f t="shared" si="29"/>
        <v>Male</v>
      </c>
      <c r="J472" s="3">
        <v>35</v>
      </c>
      <c r="K472" s="3" t="str" cm="1">
        <f t="array" ref="K472">_xlfn.IFS(J472&lt;=13,"Child",J472&lt;=18,"Teenager",J472&lt;=30,"Young Adult",J472&lt;=50,"Middle Aged Adult",J472&gt;50,"Senior")</f>
        <v>Middle Aged Adult</v>
      </c>
      <c r="L472">
        <v>0</v>
      </c>
      <c r="M472">
        <v>0</v>
      </c>
      <c r="N472" s="1">
        <f t="shared" si="30"/>
        <v>1</v>
      </c>
      <c r="O472" s="1" t="str">
        <f t="shared" si="31"/>
        <v>Single</v>
      </c>
      <c r="P472">
        <v>12.35</v>
      </c>
      <c r="Q472" s="1" t="str" cm="1">
        <f t="array" ref="Q472">_xlfn.IFS(P472&lt;=50,"Low",P472&lt;=100,"Medium",P472&gt;100,"High")</f>
        <v>Low</v>
      </c>
      <c r="R472" t="s">
        <v>463</v>
      </c>
      <c r="S472" s="1" t="str" cm="1">
        <f t="array" ref="S472">_xlfn.IFS(R472="S","Southampton",R472="C","Cherbourg",R472="Q","Queenstown")</f>
        <v>Queenstown</v>
      </c>
    </row>
    <row r="473" spans="1:19" x14ac:dyDescent="0.3">
      <c r="A473">
        <v>472</v>
      </c>
      <c r="B473">
        <v>2</v>
      </c>
      <c r="C473" s="1" t="str" cm="1">
        <f t="array" ref="C473">_xlfn.IFS(B473=1,"First Class",B473=2,"Second Class",B473=3,"Third Class")</f>
        <v>Second Class</v>
      </c>
      <c r="D473">
        <v>1</v>
      </c>
      <c r="E473" s="1" t="str">
        <f t="shared" si="28"/>
        <v>Alive</v>
      </c>
      <c r="F473" t="s">
        <v>947</v>
      </c>
      <c r="G473" s="1" t="s">
        <v>3001</v>
      </c>
      <c r="H473" t="s">
        <v>15</v>
      </c>
      <c r="I473" s="1" t="str">
        <f t="shared" si="29"/>
        <v>Female</v>
      </c>
      <c r="J473" s="3">
        <v>45</v>
      </c>
      <c r="K473" s="3" t="str" cm="1">
        <f t="array" ref="K473">_xlfn.IFS(J473&lt;=13,"Child",J473&lt;=18,"Teenager",J473&lt;=30,"Young Adult",J473&lt;=50,"Middle Aged Adult",J473&gt;50,"Senior")</f>
        <v>Middle Aged Adult</v>
      </c>
      <c r="L473">
        <v>0</v>
      </c>
      <c r="M473">
        <v>0</v>
      </c>
      <c r="N473" s="1">
        <f t="shared" si="30"/>
        <v>1</v>
      </c>
      <c r="O473" s="1" t="str">
        <f t="shared" si="31"/>
        <v>Single</v>
      </c>
      <c r="P473">
        <v>13.5</v>
      </c>
      <c r="Q473" s="1" t="str" cm="1">
        <f t="array" ref="Q473">_xlfn.IFS(P473&lt;=50,"Low",P473&lt;=100,"Medium",P473&gt;100,"High")</f>
        <v>Low</v>
      </c>
      <c r="R473" t="s">
        <v>17</v>
      </c>
      <c r="S473" s="1" t="str" cm="1">
        <f t="array" ref="S473">_xlfn.IFS(R473="S","Southampton",R473="C","Cherbourg",R473="Q","Queenstown")</f>
        <v>Southampton</v>
      </c>
    </row>
    <row r="474" spans="1:19" x14ac:dyDescent="0.3">
      <c r="A474">
        <v>473</v>
      </c>
      <c r="B474">
        <v>2</v>
      </c>
      <c r="C474" s="1" t="str" cm="1">
        <f t="array" ref="C474">_xlfn.IFS(B474=1,"First Class",B474=2,"Second Class",B474=3,"Third Class")</f>
        <v>Second Class</v>
      </c>
      <c r="D474">
        <v>0</v>
      </c>
      <c r="E474" s="1" t="str">
        <f t="shared" si="28"/>
        <v>Dead</v>
      </c>
      <c r="F474" t="s">
        <v>948</v>
      </c>
      <c r="G474" s="1" t="s">
        <v>3338</v>
      </c>
      <c r="H474" t="s">
        <v>20</v>
      </c>
      <c r="I474" s="1" t="str">
        <f t="shared" si="29"/>
        <v>Male</v>
      </c>
      <c r="J474" s="3">
        <v>57</v>
      </c>
      <c r="K474" s="3" t="str" cm="1">
        <f t="array" ref="K474">_xlfn.IFS(J474&lt;=13,"Child",J474&lt;=18,"Teenager",J474&lt;=30,"Young Adult",J474&lt;=50,"Middle Aged Adult",J474&gt;50,"Senior")</f>
        <v>Senior</v>
      </c>
      <c r="L474">
        <v>0</v>
      </c>
      <c r="M474">
        <v>0</v>
      </c>
      <c r="N474" s="1">
        <f t="shared" si="30"/>
        <v>1</v>
      </c>
      <c r="O474" s="1" t="str">
        <f t="shared" si="31"/>
        <v>Single</v>
      </c>
      <c r="P474">
        <v>12.35</v>
      </c>
      <c r="Q474" s="1" t="str" cm="1">
        <f t="array" ref="Q474">_xlfn.IFS(P474&lt;=50,"Low",P474&lt;=100,"Medium",P474&gt;100,"High")</f>
        <v>Low</v>
      </c>
      <c r="R474" t="s">
        <v>463</v>
      </c>
      <c r="S474" s="1" t="str" cm="1">
        <f t="array" ref="S474">_xlfn.IFS(R474="S","Southampton",R474="C","Cherbourg",R474="Q","Queenstown")</f>
        <v>Queenstown</v>
      </c>
    </row>
    <row r="475" spans="1:19" x14ac:dyDescent="0.3">
      <c r="A475">
        <v>474</v>
      </c>
      <c r="B475">
        <v>2</v>
      </c>
      <c r="C475" s="1" t="str" cm="1">
        <f t="array" ref="C475">_xlfn.IFS(B475=1,"First Class",B475=2,"Second Class",B475=3,"Third Class")</f>
        <v>Second Class</v>
      </c>
      <c r="D475">
        <v>0</v>
      </c>
      <c r="E475" s="1" t="str">
        <f t="shared" si="28"/>
        <v>Dead</v>
      </c>
      <c r="F475" t="s">
        <v>950</v>
      </c>
      <c r="G475" s="1" t="s">
        <v>2999</v>
      </c>
      <c r="H475" t="s">
        <v>20</v>
      </c>
      <c r="I475" s="1" t="str">
        <f t="shared" si="29"/>
        <v>Male</v>
      </c>
      <c r="J475" s="3">
        <v>29.881137667304014</v>
      </c>
      <c r="K475" s="3" t="str" cm="1">
        <f t="array" ref="K475">_xlfn.IFS(J475&lt;=13,"Child",J475&lt;=18,"Teenager",J475&lt;=30,"Young Adult",J475&lt;=50,"Middle Aged Adult",J475&gt;50,"Senior")</f>
        <v>Young Adult</v>
      </c>
      <c r="L475">
        <v>0</v>
      </c>
      <c r="M475">
        <v>0</v>
      </c>
      <c r="N475" s="1">
        <f t="shared" si="30"/>
        <v>1</v>
      </c>
      <c r="O475" s="1" t="str">
        <f t="shared" si="31"/>
        <v>Single</v>
      </c>
      <c r="P475">
        <v>0</v>
      </c>
      <c r="Q475" s="1" t="str" cm="1">
        <f t="array" ref="Q475">_xlfn.IFS(P475&lt;=50,"Low",P475&lt;=100,"Medium",P475&gt;100,"High")</f>
        <v>Low</v>
      </c>
      <c r="R475" t="s">
        <v>17</v>
      </c>
      <c r="S475" s="1" t="str" cm="1">
        <f t="array" ref="S475">_xlfn.IFS(R475="S","Southampton",R475="C","Cherbourg",R475="Q","Queenstown")</f>
        <v>Southampton</v>
      </c>
    </row>
    <row r="476" spans="1:19" x14ac:dyDescent="0.3">
      <c r="A476">
        <v>475</v>
      </c>
      <c r="B476">
        <v>2</v>
      </c>
      <c r="C476" s="1" t="str" cm="1">
        <f t="array" ref="C476">_xlfn.IFS(B476=1,"First Class",B476=2,"Second Class",B476=3,"Third Class")</f>
        <v>Second Class</v>
      </c>
      <c r="D476">
        <v>0</v>
      </c>
      <c r="E476" s="1" t="str">
        <f t="shared" si="28"/>
        <v>Dead</v>
      </c>
      <c r="F476" t="s">
        <v>951</v>
      </c>
      <c r="G476" s="1" t="s">
        <v>2999</v>
      </c>
      <c r="H476" t="s">
        <v>20</v>
      </c>
      <c r="I476" s="1" t="str">
        <f t="shared" si="29"/>
        <v>Male</v>
      </c>
      <c r="J476" s="3">
        <v>31</v>
      </c>
      <c r="K476" s="3" t="str" cm="1">
        <f t="array" ref="K476">_xlfn.IFS(J476&lt;=13,"Child",J476&lt;=18,"Teenager",J476&lt;=30,"Young Adult",J476&lt;=50,"Middle Aged Adult",J476&gt;50,"Senior")</f>
        <v>Middle Aged Adult</v>
      </c>
      <c r="L476">
        <v>0</v>
      </c>
      <c r="M476">
        <v>0</v>
      </c>
      <c r="N476" s="1">
        <f t="shared" si="30"/>
        <v>1</v>
      </c>
      <c r="O476" s="1" t="str">
        <f t="shared" si="31"/>
        <v>Single</v>
      </c>
      <c r="P476">
        <v>10.5</v>
      </c>
      <c r="Q476" s="1" t="str" cm="1">
        <f t="array" ref="Q476">_xlfn.IFS(P476&lt;=50,"Low",P476&lt;=100,"Medium",P476&gt;100,"High")</f>
        <v>Low</v>
      </c>
      <c r="R476" t="s">
        <v>17</v>
      </c>
      <c r="S476" s="1" t="str" cm="1">
        <f t="array" ref="S476">_xlfn.IFS(R476="S","Southampton",R476="C","Cherbourg",R476="Q","Queenstown")</f>
        <v>Southampton</v>
      </c>
    </row>
    <row r="477" spans="1:19" x14ac:dyDescent="0.3">
      <c r="A477">
        <v>476</v>
      </c>
      <c r="B477">
        <v>2</v>
      </c>
      <c r="C477" s="1" t="str" cm="1">
        <f t="array" ref="C477">_xlfn.IFS(B477=1,"First Class",B477=2,"Second Class",B477=3,"Third Class")</f>
        <v>Second Class</v>
      </c>
      <c r="D477">
        <v>0</v>
      </c>
      <c r="E477" s="1" t="str">
        <f t="shared" si="28"/>
        <v>Dead</v>
      </c>
      <c r="F477" t="s">
        <v>954</v>
      </c>
      <c r="G477" s="1" t="s">
        <v>3001</v>
      </c>
      <c r="H477" t="s">
        <v>15</v>
      </c>
      <c r="I477" s="1" t="str">
        <f t="shared" si="29"/>
        <v>Female</v>
      </c>
      <c r="J477" s="3">
        <v>26</v>
      </c>
      <c r="K477" s="3" t="str" cm="1">
        <f t="array" ref="K477">_xlfn.IFS(J477&lt;=13,"Child",J477&lt;=18,"Teenager",J477&lt;=30,"Young Adult",J477&lt;=50,"Middle Aged Adult",J477&gt;50,"Senior")</f>
        <v>Young Adult</v>
      </c>
      <c r="L477">
        <v>1</v>
      </c>
      <c r="M477">
        <v>1</v>
      </c>
      <c r="N477" s="1">
        <f t="shared" si="30"/>
        <v>3</v>
      </c>
      <c r="O477" s="1" t="str">
        <f t="shared" si="31"/>
        <v>With Family</v>
      </c>
      <c r="P477">
        <v>26</v>
      </c>
      <c r="Q477" s="1" t="str" cm="1">
        <f t="array" ref="Q477">_xlfn.IFS(P477&lt;=50,"Low",P477&lt;=100,"Medium",P477&gt;100,"High")</f>
        <v>Low</v>
      </c>
      <c r="R477" t="s">
        <v>17</v>
      </c>
      <c r="S477" s="1" t="str" cm="1">
        <f t="array" ref="S477">_xlfn.IFS(R477="S","Southampton",R477="C","Cherbourg",R477="Q","Queenstown")</f>
        <v>Southampton</v>
      </c>
    </row>
    <row r="478" spans="1:19" x14ac:dyDescent="0.3">
      <c r="A478">
        <v>477</v>
      </c>
      <c r="B478">
        <v>2</v>
      </c>
      <c r="C478" s="1" t="str" cm="1">
        <f t="array" ref="C478">_xlfn.IFS(B478=1,"First Class",B478=2,"Second Class",B478=3,"Third Class")</f>
        <v>Second Class</v>
      </c>
      <c r="D478">
        <v>0</v>
      </c>
      <c r="E478" s="1" t="str">
        <f t="shared" si="28"/>
        <v>Dead</v>
      </c>
      <c r="F478" t="s">
        <v>955</v>
      </c>
      <c r="G478" s="1" t="s">
        <v>3338</v>
      </c>
      <c r="H478" t="s">
        <v>20</v>
      </c>
      <c r="I478" s="1" t="str">
        <f t="shared" si="29"/>
        <v>Male</v>
      </c>
      <c r="J478" s="3">
        <v>30</v>
      </c>
      <c r="K478" s="3" t="str" cm="1">
        <f t="array" ref="K478">_xlfn.IFS(J478&lt;=13,"Child",J478&lt;=18,"Teenager",J478&lt;=30,"Young Adult",J478&lt;=50,"Middle Aged Adult",J478&gt;50,"Senior")</f>
        <v>Young Adult</v>
      </c>
      <c r="L478">
        <v>1</v>
      </c>
      <c r="M478">
        <v>1</v>
      </c>
      <c r="N478" s="1">
        <f t="shared" si="30"/>
        <v>3</v>
      </c>
      <c r="O478" s="1" t="str">
        <f t="shared" si="31"/>
        <v>With Family</v>
      </c>
      <c r="P478">
        <v>26</v>
      </c>
      <c r="Q478" s="1" t="str" cm="1">
        <f t="array" ref="Q478">_xlfn.IFS(P478&lt;=50,"Low",P478&lt;=100,"Medium",P478&gt;100,"High")</f>
        <v>Low</v>
      </c>
      <c r="R478" t="s">
        <v>17</v>
      </c>
      <c r="S478" s="1" t="str" cm="1">
        <f t="array" ref="S478">_xlfn.IFS(R478="S","Southampton",R478="C","Cherbourg",R478="Q","Queenstown")</f>
        <v>Southampton</v>
      </c>
    </row>
    <row r="479" spans="1:19" x14ac:dyDescent="0.3">
      <c r="A479">
        <v>478</v>
      </c>
      <c r="B479">
        <v>2</v>
      </c>
      <c r="C479" s="1" t="str" cm="1">
        <f t="array" ref="C479">_xlfn.IFS(B479=1,"First Class",B479=2,"Second Class",B479=3,"Third Class")</f>
        <v>Second Class</v>
      </c>
      <c r="D479">
        <v>0</v>
      </c>
      <c r="E479" s="1" t="str">
        <f t="shared" si="28"/>
        <v>Dead</v>
      </c>
      <c r="F479" t="s">
        <v>956</v>
      </c>
      <c r="G479" s="1" t="s">
        <v>2999</v>
      </c>
      <c r="H479" t="s">
        <v>20</v>
      </c>
      <c r="I479" s="1" t="str">
        <f t="shared" si="29"/>
        <v>Male</v>
      </c>
      <c r="J479" s="3">
        <v>29.881137667304014</v>
      </c>
      <c r="K479" s="3" t="str" cm="1">
        <f t="array" ref="K479">_xlfn.IFS(J479&lt;=13,"Child",J479&lt;=18,"Teenager",J479&lt;=30,"Young Adult",J479&lt;=50,"Middle Aged Adult",J479&gt;50,"Senior")</f>
        <v>Young Adult</v>
      </c>
      <c r="L479">
        <v>0</v>
      </c>
      <c r="M479">
        <v>0</v>
      </c>
      <c r="N479" s="1">
        <f t="shared" si="30"/>
        <v>1</v>
      </c>
      <c r="O479" s="1" t="str">
        <f t="shared" si="31"/>
        <v>Single</v>
      </c>
      <c r="P479">
        <v>10.708299999999999</v>
      </c>
      <c r="Q479" s="1" t="str" cm="1">
        <f t="array" ref="Q479">_xlfn.IFS(P479&lt;=50,"Low",P479&lt;=100,"Medium",P479&gt;100,"High")</f>
        <v>Low</v>
      </c>
      <c r="R479" t="s">
        <v>463</v>
      </c>
      <c r="S479" s="1" t="str" cm="1">
        <f t="array" ref="S479">_xlfn.IFS(R479="S","Southampton",R479="C","Cherbourg",R479="Q","Queenstown")</f>
        <v>Queenstown</v>
      </c>
    </row>
    <row r="480" spans="1:19" x14ac:dyDescent="0.3">
      <c r="A480">
        <v>479</v>
      </c>
      <c r="B480">
        <v>2</v>
      </c>
      <c r="C480" s="1" t="str" cm="1">
        <f t="array" ref="C480">_xlfn.IFS(B480=1,"First Class",B480=2,"Second Class",B480=3,"Third Class")</f>
        <v>Second Class</v>
      </c>
      <c r="D480">
        <v>1</v>
      </c>
      <c r="E480" s="1" t="str">
        <f t="shared" si="28"/>
        <v>Alive</v>
      </c>
      <c r="F480" t="s">
        <v>957</v>
      </c>
      <c r="G480" s="1" t="s">
        <v>2994</v>
      </c>
      <c r="H480" t="s">
        <v>15</v>
      </c>
      <c r="I480" s="1" t="str">
        <f t="shared" si="29"/>
        <v>Female</v>
      </c>
      <c r="J480" s="3">
        <v>1</v>
      </c>
      <c r="K480" s="3" t="str" cm="1">
        <f t="array" ref="K480">_xlfn.IFS(J480&lt;=13,"Child",J480&lt;=18,"Teenager",J480&lt;=30,"Young Adult",J480&lt;=50,"Middle Aged Adult",J480&gt;50,"Senior")</f>
        <v>Child</v>
      </c>
      <c r="L480">
        <v>1</v>
      </c>
      <c r="M480">
        <v>2</v>
      </c>
      <c r="N480" s="1">
        <f t="shared" si="30"/>
        <v>4</v>
      </c>
      <c r="O480" s="1" t="str">
        <f t="shared" si="31"/>
        <v>With Family</v>
      </c>
      <c r="P480">
        <v>41.5792</v>
      </c>
      <c r="Q480" s="1" t="str" cm="1">
        <f t="array" ref="Q480">_xlfn.IFS(P480&lt;=50,"Low",P480&lt;=100,"Medium",P480&gt;100,"High")</f>
        <v>Low</v>
      </c>
      <c r="R480" t="s">
        <v>41</v>
      </c>
      <c r="S480" s="1" t="str" cm="1">
        <f t="array" ref="S480">_xlfn.IFS(R480="S","Southampton",R480="C","Cherbourg",R480="Q","Queenstown")</f>
        <v>Cherbourg</v>
      </c>
    </row>
    <row r="481" spans="1:19" x14ac:dyDescent="0.3">
      <c r="A481">
        <v>480</v>
      </c>
      <c r="B481">
        <v>2</v>
      </c>
      <c r="C481" s="1" t="str" cm="1">
        <f t="array" ref="C481">_xlfn.IFS(B481=1,"First Class",B481=2,"Second Class",B481=3,"Third Class")</f>
        <v>Second Class</v>
      </c>
      <c r="D481">
        <v>1</v>
      </c>
      <c r="E481" s="1" t="str">
        <f t="shared" si="28"/>
        <v>Alive</v>
      </c>
      <c r="F481" t="s">
        <v>960</v>
      </c>
      <c r="G481" s="1" t="s">
        <v>2994</v>
      </c>
      <c r="H481" t="s">
        <v>15</v>
      </c>
      <c r="I481" s="1" t="str">
        <f t="shared" si="29"/>
        <v>Female</v>
      </c>
      <c r="J481" s="3">
        <v>3</v>
      </c>
      <c r="K481" s="3" t="str" cm="1">
        <f t="array" ref="K481">_xlfn.IFS(J481&lt;=13,"Child",J481&lt;=18,"Teenager",J481&lt;=30,"Young Adult",J481&lt;=50,"Middle Aged Adult",J481&gt;50,"Senior")</f>
        <v>Child</v>
      </c>
      <c r="L481">
        <v>1</v>
      </c>
      <c r="M481">
        <v>2</v>
      </c>
      <c r="N481" s="1">
        <f t="shared" si="30"/>
        <v>4</v>
      </c>
      <c r="O481" s="1" t="str">
        <f t="shared" si="31"/>
        <v>With Family</v>
      </c>
      <c r="P481">
        <v>41.5792</v>
      </c>
      <c r="Q481" s="1" t="str" cm="1">
        <f t="array" ref="Q481">_xlfn.IFS(P481&lt;=50,"Low",P481&lt;=100,"Medium",P481&gt;100,"High")</f>
        <v>Low</v>
      </c>
      <c r="R481" t="s">
        <v>41</v>
      </c>
      <c r="S481" s="1" t="str" cm="1">
        <f t="array" ref="S481">_xlfn.IFS(R481="S","Southampton",R481="C","Cherbourg",R481="Q","Queenstown")</f>
        <v>Cherbourg</v>
      </c>
    </row>
    <row r="482" spans="1:19" x14ac:dyDescent="0.3">
      <c r="A482">
        <v>481</v>
      </c>
      <c r="B482">
        <v>2</v>
      </c>
      <c r="C482" s="1" t="str" cm="1">
        <f t="array" ref="C482">_xlfn.IFS(B482=1,"First Class",B482=2,"Second Class",B482=3,"Third Class")</f>
        <v>Second Class</v>
      </c>
      <c r="D482">
        <v>0</v>
      </c>
      <c r="E482" s="1" t="str">
        <f t="shared" si="28"/>
        <v>Dead</v>
      </c>
      <c r="F482" t="s">
        <v>961</v>
      </c>
      <c r="G482" s="1" t="s">
        <v>2999</v>
      </c>
      <c r="H482" t="s">
        <v>20</v>
      </c>
      <c r="I482" s="1" t="str">
        <f t="shared" si="29"/>
        <v>Male</v>
      </c>
      <c r="J482" s="3">
        <v>25</v>
      </c>
      <c r="K482" s="3" t="str" cm="1">
        <f t="array" ref="K482">_xlfn.IFS(J482&lt;=13,"Child",J482&lt;=18,"Teenager",J482&lt;=30,"Young Adult",J482&lt;=50,"Middle Aged Adult",J482&gt;50,"Senior")</f>
        <v>Young Adult</v>
      </c>
      <c r="L482">
        <v>1</v>
      </c>
      <c r="M482">
        <v>2</v>
      </c>
      <c r="N482" s="1">
        <f t="shared" si="30"/>
        <v>4</v>
      </c>
      <c r="O482" s="1" t="str">
        <f t="shared" si="31"/>
        <v>With Family</v>
      </c>
      <c r="P482">
        <v>41.5792</v>
      </c>
      <c r="Q482" s="1" t="str" cm="1">
        <f t="array" ref="Q482">_xlfn.IFS(P482&lt;=50,"Low",P482&lt;=100,"Medium",P482&gt;100,"High")</f>
        <v>Low</v>
      </c>
      <c r="R482" t="s">
        <v>41</v>
      </c>
      <c r="S482" s="1" t="str" cm="1">
        <f t="array" ref="S482">_xlfn.IFS(R482="S","Southampton",R482="C","Cherbourg",R482="Q","Queenstown")</f>
        <v>Cherbourg</v>
      </c>
    </row>
    <row r="483" spans="1:19" x14ac:dyDescent="0.3">
      <c r="A483">
        <v>482</v>
      </c>
      <c r="B483">
        <v>2</v>
      </c>
      <c r="C483" s="1" t="str" cm="1">
        <f t="array" ref="C483">_xlfn.IFS(B483=1,"First Class",B483=2,"Second Class",B483=3,"Third Class")</f>
        <v>Second Class</v>
      </c>
      <c r="D483">
        <v>1</v>
      </c>
      <c r="E483" s="1" t="str">
        <f t="shared" si="28"/>
        <v>Alive</v>
      </c>
      <c r="F483" t="s">
        <v>962</v>
      </c>
      <c r="G483" s="1" t="s">
        <v>3001</v>
      </c>
      <c r="H483" t="s">
        <v>15</v>
      </c>
      <c r="I483" s="1" t="str">
        <f t="shared" si="29"/>
        <v>Female</v>
      </c>
      <c r="J483" s="3">
        <v>22</v>
      </c>
      <c r="K483" s="3" t="str" cm="1">
        <f t="array" ref="K483">_xlfn.IFS(J483&lt;=13,"Child",J483&lt;=18,"Teenager",J483&lt;=30,"Young Adult",J483&lt;=50,"Middle Aged Adult",J483&gt;50,"Senior")</f>
        <v>Young Adult</v>
      </c>
      <c r="L483">
        <v>1</v>
      </c>
      <c r="M483">
        <v>2</v>
      </c>
      <c r="N483" s="1">
        <f t="shared" si="30"/>
        <v>4</v>
      </c>
      <c r="O483" s="1" t="str">
        <f t="shared" si="31"/>
        <v>With Family</v>
      </c>
      <c r="P483">
        <v>41.5792</v>
      </c>
      <c r="Q483" s="1" t="str" cm="1">
        <f t="array" ref="Q483">_xlfn.IFS(P483&lt;=50,"Low",P483&lt;=100,"Medium",P483&gt;100,"High")</f>
        <v>Low</v>
      </c>
      <c r="R483" t="s">
        <v>41</v>
      </c>
      <c r="S483" s="1" t="str" cm="1">
        <f t="array" ref="S483">_xlfn.IFS(R483="S","Southampton",R483="C","Cherbourg",R483="Q","Queenstown")</f>
        <v>Cherbourg</v>
      </c>
    </row>
    <row r="484" spans="1:19" x14ac:dyDescent="0.3">
      <c r="A484">
        <v>483</v>
      </c>
      <c r="B484">
        <v>2</v>
      </c>
      <c r="C484" s="1" t="str" cm="1">
        <f t="array" ref="C484">_xlfn.IFS(B484=1,"First Class",B484=2,"Second Class",B484=3,"Third Class")</f>
        <v>Second Class</v>
      </c>
      <c r="D484">
        <v>1</v>
      </c>
      <c r="E484" s="1" t="str">
        <f t="shared" si="28"/>
        <v>Alive</v>
      </c>
      <c r="F484" t="s">
        <v>963</v>
      </c>
      <c r="G484" s="1" t="s">
        <v>2994</v>
      </c>
      <c r="H484" t="s">
        <v>15</v>
      </c>
      <c r="I484" s="1" t="str">
        <f t="shared" si="29"/>
        <v>Female</v>
      </c>
      <c r="J484" s="3">
        <v>17</v>
      </c>
      <c r="K484" s="3" t="str" cm="1">
        <f t="array" ref="K484">_xlfn.IFS(J484&lt;=13,"Child",J484&lt;=18,"Teenager",J484&lt;=30,"Young Adult",J484&lt;=50,"Middle Aged Adult",J484&gt;50,"Senior")</f>
        <v>Teenager</v>
      </c>
      <c r="L484">
        <v>0</v>
      </c>
      <c r="M484">
        <v>0</v>
      </c>
      <c r="N484" s="1">
        <f t="shared" si="30"/>
        <v>1</v>
      </c>
      <c r="O484" s="1" t="str">
        <f t="shared" si="31"/>
        <v>Single</v>
      </c>
      <c r="P484">
        <v>12</v>
      </c>
      <c r="Q484" s="1" t="str" cm="1">
        <f t="array" ref="Q484">_xlfn.IFS(P484&lt;=50,"Low",P484&lt;=100,"Medium",P484&gt;100,"High")</f>
        <v>Low</v>
      </c>
      <c r="R484" t="s">
        <v>41</v>
      </c>
      <c r="S484" s="1" t="str" cm="1">
        <f t="array" ref="S484">_xlfn.IFS(R484="S","Southampton",R484="C","Cherbourg",R484="Q","Queenstown")</f>
        <v>Cherbourg</v>
      </c>
    </row>
    <row r="485" spans="1:19" x14ac:dyDescent="0.3">
      <c r="A485">
        <v>484</v>
      </c>
      <c r="B485">
        <v>2</v>
      </c>
      <c r="C485" s="1" t="str" cm="1">
        <f t="array" ref="C485">_xlfn.IFS(B485=1,"First Class",B485=2,"Second Class",B485=3,"Third Class")</f>
        <v>Second Class</v>
      </c>
      <c r="D485">
        <v>1</v>
      </c>
      <c r="E485" s="1" t="str">
        <f t="shared" si="28"/>
        <v>Alive</v>
      </c>
      <c r="F485" t="s">
        <v>966</v>
      </c>
      <c r="G485" s="1" t="s">
        <v>2994</v>
      </c>
      <c r="H485" t="s">
        <v>15</v>
      </c>
      <c r="I485" s="1" t="str">
        <f t="shared" si="29"/>
        <v>Female</v>
      </c>
      <c r="J485" s="3">
        <v>29.881137667304014</v>
      </c>
      <c r="K485" s="3" t="str" cm="1">
        <f t="array" ref="K485">_xlfn.IFS(J485&lt;=13,"Child",J485&lt;=18,"Teenager",J485&lt;=30,"Young Adult",J485&lt;=50,"Middle Aged Adult",J485&gt;50,"Senior")</f>
        <v>Young Adult</v>
      </c>
      <c r="L485">
        <v>0</v>
      </c>
      <c r="M485">
        <v>0</v>
      </c>
      <c r="N485" s="1">
        <f t="shared" si="30"/>
        <v>1</v>
      </c>
      <c r="O485" s="1" t="str">
        <f t="shared" si="31"/>
        <v>Single</v>
      </c>
      <c r="P485">
        <v>33</v>
      </c>
      <c r="Q485" s="1" t="str" cm="1">
        <f t="array" ref="Q485">_xlfn.IFS(P485&lt;=50,"Low",P485&lt;=100,"Medium",P485&gt;100,"High")</f>
        <v>Low</v>
      </c>
      <c r="R485" t="s">
        <v>17</v>
      </c>
      <c r="S485" s="1" t="str" cm="1">
        <f t="array" ref="S485">_xlfn.IFS(R485="S","Southampton",R485="C","Cherbourg",R485="Q","Queenstown")</f>
        <v>Southampton</v>
      </c>
    </row>
    <row r="486" spans="1:19" x14ac:dyDescent="0.3">
      <c r="A486">
        <v>485</v>
      </c>
      <c r="B486">
        <v>2</v>
      </c>
      <c r="C486" s="1" t="str" cm="1">
        <f t="array" ref="C486">_xlfn.IFS(B486=1,"First Class",B486=2,"Second Class",B486=3,"Third Class")</f>
        <v>Second Class</v>
      </c>
      <c r="D486">
        <v>1</v>
      </c>
      <c r="E486" s="1" t="str">
        <f t="shared" si="28"/>
        <v>Alive</v>
      </c>
      <c r="F486" t="s">
        <v>968</v>
      </c>
      <c r="G486" s="1" t="s">
        <v>3001</v>
      </c>
      <c r="H486" t="s">
        <v>15</v>
      </c>
      <c r="I486" s="1" t="str">
        <f t="shared" si="29"/>
        <v>Female</v>
      </c>
      <c r="J486" s="3">
        <v>34</v>
      </c>
      <c r="K486" s="3" t="str" cm="1">
        <f t="array" ref="K486">_xlfn.IFS(J486&lt;=13,"Child",J486&lt;=18,"Teenager",J486&lt;=30,"Young Adult",J486&lt;=50,"Middle Aged Adult",J486&gt;50,"Senior")</f>
        <v>Middle Aged Adult</v>
      </c>
      <c r="L486">
        <v>0</v>
      </c>
      <c r="M486">
        <v>0</v>
      </c>
      <c r="N486" s="1">
        <f t="shared" si="30"/>
        <v>1</v>
      </c>
      <c r="O486" s="1" t="str">
        <f t="shared" si="31"/>
        <v>Single</v>
      </c>
      <c r="P486">
        <v>10.5</v>
      </c>
      <c r="Q486" s="1" t="str" cm="1">
        <f t="array" ref="Q486">_xlfn.IFS(P486&lt;=50,"Low",P486&lt;=100,"Medium",P486&gt;100,"High")</f>
        <v>Low</v>
      </c>
      <c r="R486" t="s">
        <v>17</v>
      </c>
      <c r="S486" s="1" t="str" cm="1">
        <f t="array" ref="S486">_xlfn.IFS(R486="S","Southampton",R486="C","Cherbourg",R486="Q","Queenstown")</f>
        <v>Southampton</v>
      </c>
    </row>
    <row r="487" spans="1:19" x14ac:dyDescent="0.3">
      <c r="A487">
        <v>486</v>
      </c>
      <c r="B487">
        <v>2</v>
      </c>
      <c r="C487" s="1" t="str" cm="1">
        <f t="array" ref="C487">_xlfn.IFS(B487=1,"First Class",B487=2,"Second Class",B487=3,"Third Class")</f>
        <v>Second Class</v>
      </c>
      <c r="D487">
        <v>0</v>
      </c>
      <c r="E487" s="1" t="str">
        <f t="shared" si="28"/>
        <v>Dead</v>
      </c>
      <c r="F487" t="s">
        <v>970</v>
      </c>
      <c r="G487" s="1" t="s">
        <v>2999</v>
      </c>
      <c r="H487" t="s">
        <v>20</v>
      </c>
      <c r="I487" s="1" t="str">
        <f t="shared" si="29"/>
        <v>Male</v>
      </c>
      <c r="J487" s="3">
        <v>36</v>
      </c>
      <c r="K487" s="3" t="str" cm="1">
        <f t="array" ref="K487">_xlfn.IFS(J487&lt;=13,"Child",J487&lt;=18,"Teenager",J487&lt;=30,"Young Adult",J487&lt;=50,"Middle Aged Adult",J487&gt;50,"Senior")</f>
        <v>Middle Aged Adult</v>
      </c>
      <c r="L487">
        <v>0</v>
      </c>
      <c r="M487">
        <v>0</v>
      </c>
      <c r="N487" s="1">
        <f t="shared" si="30"/>
        <v>1</v>
      </c>
      <c r="O487" s="1" t="str">
        <f t="shared" si="31"/>
        <v>Single</v>
      </c>
      <c r="P487">
        <v>12.875</v>
      </c>
      <c r="Q487" s="1" t="str" cm="1">
        <f t="array" ref="Q487">_xlfn.IFS(P487&lt;=50,"Low",P487&lt;=100,"Medium",P487&gt;100,"High")</f>
        <v>Low</v>
      </c>
      <c r="R487" t="s">
        <v>41</v>
      </c>
      <c r="S487" s="1" t="str" cm="1">
        <f t="array" ref="S487">_xlfn.IFS(R487="S","Southampton",R487="C","Cherbourg",R487="Q","Queenstown")</f>
        <v>Cherbourg</v>
      </c>
    </row>
    <row r="488" spans="1:19" x14ac:dyDescent="0.3">
      <c r="A488">
        <v>487</v>
      </c>
      <c r="B488">
        <v>2</v>
      </c>
      <c r="C488" s="1" t="str" cm="1">
        <f t="array" ref="C488">_xlfn.IFS(B488=1,"First Class",B488=2,"Second Class",B488=3,"Third Class")</f>
        <v>Second Class</v>
      </c>
      <c r="D488">
        <v>0</v>
      </c>
      <c r="E488" s="1" t="str">
        <f t="shared" si="28"/>
        <v>Dead</v>
      </c>
      <c r="F488" t="s">
        <v>972</v>
      </c>
      <c r="G488" s="1" t="s">
        <v>2999</v>
      </c>
      <c r="H488" t="s">
        <v>20</v>
      </c>
      <c r="I488" s="1" t="str">
        <f t="shared" si="29"/>
        <v>Male</v>
      </c>
      <c r="J488" s="3">
        <v>24</v>
      </c>
      <c r="K488" s="3" t="str" cm="1">
        <f t="array" ref="K488">_xlfn.IFS(J488&lt;=13,"Child",J488&lt;=18,"Teenager",J488&lt;=30,"Young Adult",J488&lt;=50,"Middle Aged Adult",J488&gt;50,"Senior")</f>
        <v>Young Adult</v>
      </c>
      <c r="L488">
        <v>0</v>
      </c>
      <c r="M488">
        <v>0</v>
      </c>
      <c r="N488" s="1">
        <f t="shared" si="30"/>
        <v>1</v>
      </c>
      <c r="O488" s="1" t="str">
        <f t="shared" si="31"/>
        <v>Single</v>
      </c>
      <c r="P488">
        <v>10.5</v>
      </c>
      <c r="Q488" s="1" t="str" cm="1">
        <f t="array" ref="Q488">_xlfn.IFS(P488&lt;=50,"Low",P488&lt;=100,"Medium",P488&gt;100,"High")</f>
        <v>Low</v>
      </c>
      <c r="R488" t="s">
        <v>17</v>
      </c>
      <c r="S488" s="1" t="str" cm="1">
        <f t="array" ref="S488">_xlfn.IFS(R488="S","Southampton",R488="C","Cherbourg",R488="Q","Queenstown")</f>
        <v>Southampton</v>
      </c>
    </row>
    <row r="489" spans="1:19" x14ac:dyDescent="0.3">
      <c r="A489">
        <v>488</v>
      </c>
      <c r="B489">
        <v>2</v>
      </c>
      <c r="C489" s="1" t="str" cm="1">
        <f t="array" ref="C489">_xlfn.IFS(B489=1,"First Class",B489=2,"Second Class",B489=3,"Third Class")</f>
        <v>Second Class</v>
      </c>
      <c r="D489">
        <v>0</v>
      </c>
      <c r="E489" s="1" t="str">
        <f t="shared" si="28"/>
        <v>Dead</v>
      </c>
      <c r="F489" t="s">
        <v>974</v>
      </c>
      <c r="G489" s="1" t="s">
        <v>2999</v>
      </c>
      <c r="H489" t="s">
        <v>20</v>
      </c>
      <c r="I489" s="1" t="str">
        <f t="shared" si="29"/>
        <v>Male</v>
      </c>
      <c r="J489" s="3">
        <v>61</v>
      </c>
      <c r="K489" s="3" t="str" cm="1">
        <f t="array" ref="K489">_xlfn.IFS(J489&lt;=13,"Child",J489&lt;=18,"Teenager",J489&lt;=30,"Young Adult",J489&lt;=50,"Middle Aged Adult",J489&gt;50,"Senior")</f>
        <v>Senior</v>
      </c>
      <c r="L489">
        <v>0</v>
      </c>
      <c r="M489">
        <v>0</v>
      </c>
      <c r="N489" s="1">
        <f t="shared" si="30"/>
        <v>1</v>
      </c>
      <c r="O489" s="1" t="str">
        <f t="shared" si="31"/>
        <v>Single</v>
      </c>
      <c r="P489">
        <v>12.35</v>
      </c>
      <c r="Q489" s="1" t="str" cm="1">
        <f t="array" ref="Q489">_xlfn.IFS(P489&lt;=50,"Low",P489&lt;=100,"Medium",P489&gt;100,"High")</f>
        <v>Low</v>
      </c>
      <c r="R489" t="s">
        <v>463</v>
      </c>
      <c r="S489" s="1" t="str" cm="1">
        <f t="array" ref="S489">_xlfn.IFS(R489="S","Southampton",R489="C","Cherbourg",R489="Q","Queenstown")</f>
        <v>Queenstown</v>
      </c>
    </row>
    <row r="490" spans="1:19" x14ac:dyDescent="0.3">
      <c r="A490">
        <v>489</v>
      </c>
      <c r="B490">
        <v>2</v>
      </c>
      <c r="C490" s="1" t="str" cm="1">
        <f t="array" ref="C490">_xlfn.IFS(B490=1,"First Class",B490=2,"Second Class",B490=3,"Third Class")</f>
        <v>Second Class</v>
      </c>
      <c r="D490">
        <v>0</v>
      </c>
      <c r="E490" s="1" t="str">
        <f t="shared" si="28"/>
        <v>Dead</v>
      </c>
      <c r="F490" t="s">
        <v>975</v>
      </c>
      <c r="G490" s="1" t="s">
        <v>2999</v>
      </c>
      <c r="H490" t="s">
        <v>20</v>
      </c>
      <c r="I490" s="1" t="str">
        <f t="shared" si="29"/>
        <v>Male</v>
      </c>
      <c r="J490" s="3">
        <v>50</v>
      </c>
      <c r="K490" s="3" t="str" cm="1">
        <f t="array" ref="K490">_xlfn.IFS(J490&lt;=13,"Child",J490&lt;=18,"Teenager",J490&lt;=30,"Young Adult",J490&lt;=50,"Middle Aged Adult",J490&gt;50,"Senior")</f>
        <v>Middle Aged Adult</v>
      </c>
      <c r="L490">
        <v>1</v>
      </c>
      <c r="M490">
        <v>0</v>
      </c>
      <c r="N490" s="1">
        <f t="shared" si="30"/>
        <v>2</v>
      </c>
      <c r="O490" s="1" t="str">
        <f t="shared" si="31"/>
        <v>With Family</v>
      </c>
      <c r="P490">
        <v>26</v>
      </c>
      <c r="Q490" s="1" t="str" cm="1">
        <f t="array" ref="Q490">_xlfn.IFS(P490&lt;=50,"Low",P490&lt;=100,"Medium",P490&gt;100,"High")</f>
        <v>Low</v>
      </c>
      <c r="R490" t="s">
        <v>17</v>
      </c>
      <c r="S490" s="1" t="str" cm="1">
        <f t="array" ref="S490">_xlfn.IFS(R490="S","Southampton",R490="C","Cherbourg",R490="Q","Queenstown")</f>
        <v>Southampton</v>
      </c>
    </row>
    <row r="491" spans="1:19" x14ac:dyDescent="0.3">
      <c r="A491">
        <v>490</v>
      </c>
      <c r="B491">
        <v>2</v>
      </c>
      <c r="C491" s="1" t="str" cm="1">
        <f t="array" ref="C491">_xlfn.IFS(B491=1,"First Class",B491=2,"Second Class",B491=3,"Third Class")</f>
        <v>Second Class</v>
      </c>
      <c r="D491">
        <v>1</v>
      </c>
      <c r="E491" s="1" t="str">
        <f t="shared" si="28"/>
        <v>Alive</v>
      </c>
      <c r="F491" t="s">
        <v>978</v>
      </c>
      <c r="G491" s="1" t="s">
        <v>3001</v>
      </c>
      <c r="H491" t="s">
        <v>15</v>
      </c>
      <c r="I491" s="1" t="str">
        <f t="shared" si="29"/>
        <v>Female</v>
      </c>
      <c r="J491" s="3">
        <v>42</v>
      </c>
      <c r="K491" s="3" t="str" cm="1">
        <f t="array" ref="K491">_xlfn.IFS(J491&lt;=13,"Child",J491&lt;=18,"Teenager",J491&lt;=30,"Young Adult",J491&lt;=50,"Middle Aged Adult",J491&gt;50,"Senior")</f>
        <v>Middle Aged Adult</v>
      </c>
      <c r="L491">
        <v>1</v>
      </c>
      <c r="M491">
        <v>0</v>
      </c>
      <c r="N491" s="1">
        <f t="shared" si="30"/>
        <v>2</v>
      </c>
      <c r="O491" s="1" t="str">
        <f t="shared" si="31"/>
        <v>With Family</v>
      </c>
      <c r="P491">
        <v>26</v>
      </c>
      <c r="Q491" s="1" t="str" cm="1">
        <f t="array" ref="Q491">_xlfn.IFS(P491&lt;=50,"Low",P491&lt;=100,"Medium",P491&gt;100,"High")</f>
        <v>Low</v>
      </c>
      <c r="R491" t="s">
        <v>17</v>
      </c>
      <c r="S491" s="1" t="str" cm="1">
        <f t="array" ref="S491">_xlfn.IFS(R491="S","Southampton",R491="C","Cherbourg",R491="Q","Queenstown")</f>
        <v>Southampton</v>
      </c>
    </row>
    <row r="492" spans="1:19" x14ac:dyDescent="0.3">
      <c r="A492">
        <v>491</v>
      </c>
      <c r="B492">
        <v>2</v>
      </c>
      <c r="C492" s="1" t="str" cm="1">
        <f t="array" ref="C492">_xlfn.IFS(B492=1,"First Class",B492=2,"Second Class",B492=3,"Third Class")</f>
        <v>Second Class</v>
      </c>
      <c r="D492">
        <v>0</v>
      </c>
      <c r="E492" s="1" t="str">
        <f t="shared" si="28"/>
        <v>Dead</v>
      </c>
      <c r="F492" t="s">
        <v>979</v>
      </c>
      <c r="G492" s="1" t="s">
        <v>3001</v>
      </c>
      <c r="H492" t="s">
        <v>15</v>
      </c>
      <c r="I492" s="1" t="str">
        <f t="shared" si="29"/>
        <v>Female</v>
      </c>
      <c r="J492" s="3">
        <v>57</v>
      </c>
      <c r="K492" s="3" t="str" cm="1">
        <f t="array" ref="K492">_xlfn.IFS(J492&lt;=13,"Child",J492&lt;=18,"Teenager",J492&lt;=30,"Young Adult",J492&lt;=50,"Middle Aged Adult",J492&gt;50,"Senior")</f>
        <v>Senior</v>
      </c>
      <c r="L492">
        <v>0</v>
      </c>
      <c r="M492">
        <v>0</v>
      </c>
      <c r="N492" s="1">
        <f t="shared" si="30"/>
        <v>1</v>
      </c>
      <c r="O492" s="1" t="str">
        <f t="shared" si="31"/>
        <v>Single</v>
      </c>
      <c r="P492">
        <v>10.5</v>
      </c>
      <c r="Q492" s="1" t="str" cm="1">
        <f t="array" ref="Q492">_xlfn.IFS(P492&lt;=50,"Low",P492&lt;=100,"Medium",P492&gt;100,"High")</f>
        <v>Low</v>
      </c>
      <c r="R492" t="s">
        <v>17</v>
      </c>
      <c r="S492" s="1" t="str" cm="1">
        <f t="array" ref="S492">_xlfn.IFS(R492="S","Southampton",R492="C","Cherbourg",R492="Q","Queenstown")</f>
        <v>Southampton</v>
      </c>
    </row>
    <row r="493" spans="1:19" x14ac:dyDescent="0.3">
      <c r="A493">
        <v>492</v>
      </c>
      <c r="B493">
        <v>2</v>
      </c>
      <c r="C493" s="1" t="str" cm="1">
        <f t="array" ref="C493">_xlfn.IFS(B493=1,"First Class",B493=2,"Second Class",B493=3,"Third Class")</f>
        <v>Second Class</v>
      </c>
      <c r="D493">
        <v>0</v>
      </c>
      <c r="E493" s="1" t="str">
        <f t="shared" si="28"/>
        <v>Dead</v>
      </c>
      <c r="F493" t="s">
        <v>983</v>
      </c>
      <c r="G493" s="1" t="s">
        <v>2999</v>
      </c>
      <c r="H493" t="s">
        <v>20</v>
      </c>
      <c r="I493" s="1" t="str">
        <f t="shared" si="29"/>
        <v>Male</v>
      </c>
      <c r="J493" s="3">
        <v>29.881137667304014</v>
      </c>
      <c r="K493" s="3" t="str" cm="1">
        <f t="array" ref="K493">_xlfn.IFS(J493&lt;=13,"Child",J493&lt;=18,"Teenager",J493&lt;=30,"Young Adult",J493&lt;=50,"Middle Aged Adult",J493&gt;50,"Senior")</f>
        <v>Young Adult</v>
      </c>
      <c r="L493">
        <v>0</v>
      </c>
      <c r="M493">
        <v>0</v>
      </c>
      <c r="N493" s="1">
        <f t="shared" si="30"/>
        <v>1</v>
      </c>
      <c r="O493" s="1" t="str">
        <f t="shared" si="31"/>
        <v>Single</v>
      </c>
      <c r="P493">
        <v>15.0458</v>
      </c>
      <c r="Q493" s="1" t="str" cm="1">
        <f t="array" ref="Q493">_xlfn.IFS(P493&lt;=50,"Low",P493&lt;=100,"Medium",P493&gt;100,"High")</f>
        <v>Low</v>
      </c>
      <c r="R493" t="s">
        <v>41</v>
      </c>
      <c r="S493" s="1" t="str" cm="1">
        <f t="array" ref="S493">_xlfn.IFS(R493="S","Southampton",R493="C","Cherbourg",R493="Q","Queenstown")</f>
        <v>Cherbourg</v>
      </c>
    </row>
    <row r="494" spans="1:19" x14ac:dyDescent="0.3">
      <c r="A494">
        <v>493</v>
      </c>
      <c r="B494">
        <v>2</v>
      </c>
      <c r="C494" s="1" t="str" cm="1">
        <f t="array" ref="C494">_xlfn.IFS(B494=1,"First Class",B494=2,"Second Class",B494=3,"Third Class")</f>
        <v>Second Class</v>
      </c>
      <c r="D494">
        <v>1</v>
      </c>
      <c r="E494" s="1" t="str">
        <f t="shared" si="28"/>
        <v>Alive</v>
      </c>
      <c r="F494" t="s">
        <v>985</v>
      </c>
      <c r="G494" s="1" t="s">
        <v>2996</v>
      </c>
      <c r="H494" t="s">
        <v>20</v>
      </c>
      <c r="I494" s="1" t="str">
        <f t="shared" si="29"/>
        <v>Male</v>
      </c>
      <c r="J494" s="3">
        <v>1</v>
      </c>
      <c r="K494" s="3" t="str" cm="1">
        <f t="array" ref="K494">_xlfn.IFS(J494&lt;=13,"Child",J494&lt;=18,"Teenager",J494&lt;=30,"Young Adult",J494&lt;=50,"Middle Aged Adult",J494&gt;50,"Senior")</f>
        <v>Child</v>
      </c>
      <c r="L494">
        <v>0</v>
      </c>
      <c r="M494">
        <v>2</v>
      </c>
      <c r="N494" s="1">
        <f t="shared" si="30"/>
        <v>3</v>
      </c>
      <c r="O494" s="1" t="str">
        <f t="shared" si="31"/>
        <v>With Family</v>
      </c>
      <c r="P494">
        <v>37.004199999999997</v>
      </c>
      <c r="Q494" s="1" t="str" cm="1">
        <f t="array" ref="Q494">_xlfn.IFS(P494&lt;=50,"Low",P494&lt;=100,"Medium",P494&gt;100,"High")</f>
        <v>Low</v>
      </c>
      <c r="R494" t="s">
        <v>41</v>
      </c>
      <c r="S494" s="1" t="str" cm="1">
        <f t="array" ref="S494">_xlfn.IFS(R494="S","Southampton",R494="C","Cherbourg",R494="Q","Queenstown")</f>
        <v>Cherbourg</v>
      </c>
    </row>
    <row r="495" spans="1:19" x14ac:dyDescent="0.3">
      <c r="A495">
        <v>494</v>
      </c>
      <c r="B495">
        <v>2</v>
      </c>
      <c r="C495" s="1" t="str" cm="1">
        <f t="array" ref="C495">_xlfn.IFS(B495=1,"First Class",B495=2,"Second Class",B495=3,"Third Class")</f>
        <v>Second Class</v>
      </c>
      <c r="D495">
        <v>0</v>
      </c>
      <c r="E495" s="1" t="str">
        <f t="shared" si="28"/>
        <v>Dead</v>
      </c>
      <c r="F495" t="s">
        <v>988</v>
      </c>
      <c r="G495" s="1" t="s">
        <v>2999</v>
      </c>
      <c r="H495" t="s">
        <v>20</v>
      </c>
      <c r="I495" s="1" t="str">
        <f t="shared" si="29"/>
        <v>Male</v>
      </c>
      <c r="J495" s="3">
        <v>31</v>
      </c>
      <c r="K495" s="3" t="str" cm="1">
        <f t="array" ref="K495">_xlfn.IFS(J495&lt;=13,"Child",J495&lt;=18,"Teenager",J495&lt;=30,"Young Adult",J495&lt;=50,"Middle Aged Adult",J495&gt;50,"Senior")</f>
        <v>Middle Aged Adult</v>
      </c>
      <c r="L495">
        <v>1</v>
      </c>
      <c r="M495">
        <v>1</v>
      </c>
      <c r="N495" s="1">
        <f t="shared" si="30"/>
        <v>3</v>
      </c>
      <c r="O495" s="1" t="str">
        <f t="shared" si="31"/>
        <v>With Family</v>
      </c>
      <c r="P495">
        <v>37.004199999999997</v>
      </c>
      <c r="Q495" s="1" t="str" cm="1">
        <f t="array" ref="Q495">_xlfn.IFS(P495&lt;=50,"Low",P495&lt;=100,"Medium",P495&gt;100,"High")</f>
        <v>Low</v>
      </c>
      <c r="R495" t="s">
        <v>41</v>
      </c>
      <c r="S495" s="1" t="str" cm="1">
        <f t="array" ref="S495">_xlfn.IFS(R495="S","Southampton",R495="C","Cherbourg",R495="Q","Queenstown")</f>
        <v>Cherbourg</v>
      </c>
    </row>
    <row r="496" spans="1:19" x14ac:dyDescent="0.3">
      <c r="A496">
        <v>495</v>
      </c>
      <c r="B496">
        <v>2</v>
      </c>
      <c r="C496" s="1" t="str" cm="1">
        <f t="array" ref="C496">_xlfn.IFS(B496=1,"First Class",B496=2,"Second Class",B496=3,"Third Class")</f>
        <v>Second Class</v>
      </c>
      <c r="D496">
        <v>1</v>
      </c>
      <c r="E496" s="1" t="str">
        <f t="shared" si="28"/>
        <v>Alive</v>
      </c>
      <c r="F496" t="s">
        <v>989</v>
      </c>
      <c r="G496" s="1" t="s">
        <v>3001</v>
      </c>
      <c r="H496" t="s">
        <v>15</v>
      </c>
      <c r="I496" s="1" t="str">
        <f t="shared" si="29"/>
        <v>Female</v>
      </c>
      <c r="J496" s="3">
        <v>24</v>
      </c>
      <c r="K496" s="3" t="str" cm="1">
        <f t="array" ref="K496">_xlfn.IFS(J496&lt;=13,"Child",J496&lt;=18,"Teenager",J496&lt;=30,"Young Adult",J496&lt;=50,"Middle Aged Adult",J496&gt;50,"Senior")</f>
        <v>Young Adult</v>
      </c>
      <c r="L496">
        <v>1</v>
      </c>
      <c r="M496">
        <v>1</v>
      </c>
      <c r="N496" s="1">
        <f t="shared" si="30"/>
        <v>3</v>
      </c>
      <c r="O496" s="1" t="str">
        <f t="shared" si="31"/>
        <v>With Family</v>
      </c>
      <c r="P496">
        <v>37.004199999999997</v>
      </c>
      <c r="Q496" s="1" t="str" cm="1">
        <f t="array" ref="Q496">_xlfn.IFS(P496&lt;=50,"Low",P496&lt;=100,"Medium",P496&gt;100,"High")</f>
        <v>Low</v>
      </c>
      <c r="R496" t="s">
        <v>41</v>
      </c>
      <c r="S496" s="1" t="str" cm="1">
        <f t="array" ref="S496">_xlfn.IFS(R496="S","Southampton",R496="C","Cherbourg",R496="Q","Queenstown")</f>
        <v>Cherbourg</v>
      </c>
    </row>
    <row r="497" spans="1:19" x14ac:dyDescent="0.3">
      <c r="A497">
        <v>496</v>
      </c>
      <c r="B497">
        <v>2</v>
      </c>
      <c r="C497" s="1" t="str" cm="1">
        <f t="array" ref="C497">_xlfn.IFS(B497=1,"First Class",B497=2,"Second Class",B497=3,"Third Class")</f>
        <v>Second Class</v>
      </c>
      <c r="D497">
        <v>0</v>
      </c>
      <c r="E497" s="1" t="str">
        <f t="shared" si="28"/>
        <v>Dead</v>
      </c>
      <c r="F497" t="s">
        <v>990</v>
      </c>
      <c r="G497" s="1" t="s">
        <v>2999</v>
      </c>
      <c r="H497" t="s">
        <v>20</v>
      </c>
      <c r="I497" s="1" t="str">
        <f t="shared" si="29"/>
        <v>Male</v>
      </c>
      <c r="J497" s="3">
        <v>29.881137667304014</v>
      </c>
      <c r="K497" s="3" t="str" cm="1">
        <f t="array" ref="K497">_xlfn.IFS(J497&lt;=13,"Child",J497&lt;=18,"Teenager",J497&lt;=30,"Young Adult",J497&lt;=50,"Middle Aged Adult",J497&gt;50,"Senior")</f>
        <v>Young Adult</v>
      </c>
      <c r="L497">
        <v>0</v>
      </c>
      <c r="M497">
        <v>0</v>
      </c>
      <c r="N497" s="1">
        <f t="shared" si="30"/>
        <v>1</v>
      </c>
      <c r="O497" s="1" t="str">
        <f t="shared" si="31"/>
        <v>Single</v>
      </c>
      <c r="P497">
        <v>15.5792</v>
      </c>
      <c r="Q497" s="1" t="str" cm="1">
        <f t="array" ref="Q497">_xlfn.IFS(P497&lt;=50,"Low",P497&lt;=100,"Medium",P497&gt;100,"High")</f>
        <v>Low</v>
      </c>
      <c r="R497" t="s">
        <v>41</v>
      </c>
      <c r="S497" s="1" t="str" cm="1">
        <f t="array" ref="S497">_xlfn.IFS(R497="S","Southampton",R497="C","Cherbourg",R497="Q","Queenstown")</f>
        <v>Cherbourg</v>
      </c>
    </row>
    <row r="498" spans="1:19" x14ac:dyDescent="0.3">
      <c r="A498">
        <v>497</v>
      </c>
      <c r="B498">
        <v>2</v>
      </c>
      <c r="C498" s="1" t="str" cm="1">
        <f t="array" ref="C498">_xlfn.IFS(B498=1,"First Class",B498=2,"Second Class",B498=3,"Third Class")</f>
        <v>Second Class</v>
      </c>
      <c r="D498">
        <v>0</v>
      </c>
      <c r="E498" s="1" t="str">
        <f t="shared" si="28"/>
        <v>Dead</v>
      </c>
      <c r="F498" t="s">
        <v>992</v>
      </c>
      <c r="G498" s="1" t="s">
        <v>2999</v>
      </c>
      <c r="H498" t="s">
        <v>20</v>
      </c>
      <c r="I498" s="1" t="str">
        <f t="shared" si="29"/>
        <v>Male</v>
      </c>
      <c r="J498" s="3">
        <v>30</v>
      </c>
      <c r="K498" s="3" t="str" cm="1">
        <f t="array" ref="K498">_xlfn.IFS(J498&lt;=13,"Child",J498&lt;=18,"Teenager",J498&lt;=30,"Young Adult",J498&lt;=50,"Middle Aged Adult",J498&gt;50,"Senior")</f>
        <v>Young Adult</v>
      </c>
      <c r="L498">
        <v>0</v>
      </c>
      <c r="M498">
        <v>0</v>
      </c>
      <c r="N498" s="1">
        <f t="shared" si="30"/>
        <v>1</v>
      </c>
      <c r="O498" s="1" t="str">
        <f t="shared" si="31"/>
        <v>Single</v>
      </c>
      <c r="P498">
        <v>13</v>
      </c>
      <c r="Q498" s="1" t="str" cm="1">
        <f t="array" ref="Q498">_xlfn.IFS(P498&lt;=50,"Low",P498&lt;=100,"Medium",P498&gt;100,"High")</f>
        <v>Low</v>
      </c>
      <c r="R498" t="s">
        <v>17</v>
      </c>
      <c r="S498" s="1" t="str" cm="1">
        <f t="array" ref="S498">_xlfn.IFS(R498="S","Southampton",R498="C","Cherbourg",R498="Q","Queenstown")</f>
        <v>Southampton</v>
      </c>
    </row>
    <row r="499" spans="1:19" x14ac:dyDescent="0.3">
      <c r="A499">
        <v>498</v>
      </c>
      <c r="B499">
        <v>2</v>
      </c>
      <c r="C499" s="1" t="str" cm="1">
        <f t="array" ref="C499">_xlfn.IFS(B499=1,"First Class",B499=2,"Second Class",B499=3,"Third Class")</f>
        <v>Second Class</v>
      </c>
      <c r="D499">
        <v>0</v>
      </c>
      <c r="E499" s="1" t="str">
        <f t="shared" si="28"/>
        <v>Dead</v>
      </c>
      <c r="F499" t="s">
        <v>994</v>
      </c>
      <c r="G499" s="1" t="s">
        <v>2999</v>
      </c>
      <c r="H499" t="s">
        <v>20</v>
      </c>
      <c r="I499" s="1" t="str">
        <f t="shared" si="29"/>
        <v>Male</v>
      </c>
      <c r="J499" s="3">
        <v>40</v>
      </c>
      <c r="K499" s="3" t="str" cm="1">
        <f t="array" ref="K499">_xlfn.IFS(J499&lt;=13,"Child",J499&lt;=18,"Teenager",J499&lt;=30,"Young Adult",J499&lt;=50,"Middle Aged Adult",J499&gt;50,"Senior")</f>
        <v>Middle Aged Adult</v>
      </c>
      <c r="L499">
        <v>0</v>
      </c>
      <c r="M499">
        <v>0</v>
      </c>
      <c r="N499" s="1">
        <f t="shared" si="30"/>
        <v>1</v>
      </c>
      <c r="O499" s="1" t="str">
        <f t="shared" si="31"/>
        <v>Single</v>
      </c>
      <c r="P499">
        <v>16</v>
      </c>
      <c r="Q499" s="1" t="str" cm="1">
        <f t="array" ref="Q499">_xlfn.IFS(P499&lt;=50,"Low",P499&lt;=100,"Medium",P499&gt;100,"High")</f>
        <v>Low</v>
      </c>
      <c r="R499" t="s">
        <v>17</v>
      </c>
      <c r="S499" s="1" t="str" cm="1">
        <f t="array" ref="S499">_xlfn.IFS(R499="S","Southampton",R499="C","Cherbourg",R499="Q","Queenstown")</f>
        <v>Southampton</v>
      </c>
    </row>
    <row r="500" spans="1:19" x14ac:dyDescent="0.3">
      <c r="A500">
        <v>499</v>
      </c>
      <c r="B500">
        <v>2</v>
      </c>
      <c r="C500" s="1" t="str" cm="1">
        <f t="array" ref="C500">_xlfn.IFS(B500=1,"First Class",B500=2,"Second Class",B500=3,"Third Class")</f>
        <v>Second Class</v>
      </c>
      <c r="D500">
        <v>0</v>
      </c>
      <c r="E500" s="1" t="str">
        <f t="shared" si="28"/>
        <v>Dead</v>
      </c>
      <c r="F500" t="s">
        <v>996</v>
      </c>
      <c r="G500" s="1" t="s">
        <v>2999</v>
      </c>
      <c r="H500" t="s">
        <v>20</v>
      </c>
      <c r="I500" s="1" t="str">
        <f t="shared" si="29"/>
        <v>Male</v>
      </c>
      <c r="J500" s="3">
        <v>32</v>
      </c>
      <c r="K500" s="3" t="str" cm="1">
        <f t="array" ref="K500">_xlfn.IFS(J500&lt;=13,"Child",J500&lt;=18,"Teenager",J500&lt;=30,"Young Adult",J500&lt;=50,"Middle Aged Adult",J500&gt;50,"Senior")</f>
        <v>Middle Aged Adult</v>
      </c>
      <c r="L500">
        <v>0</v>
      </c>
      <c r="M500">
        <v>0</v>
      </c>
      <c r="N500" s="1">
        <f t="shared" si="30"/>
        <v>1</v>
      </c>
      <c r="O500" s="1" t="str">
        <f t="shared" si="31"/>
        <v>Single</v>
      </c>
      <c r="P500">
        <v>13.5</v>
      </c>
      <c r="Q500" s="1" t="str" cm="1">
        <f t="array" ref="Q500">_xlfn.IFS(P500&lt;=50,"Low",P500&lt;=100,"Medium",P500&gt;100,"High")</f>
        <v>Low</v>
      </c>
      <c r="R500" t="s">
        <v>17</v>
      </c>
      <c r="S500" s="1" t="str" cm="1">
        <f t="array" ref="S500">_xlfn.IFS(R500="S","Southampton",R500="C","Cherbourg",R500="Q","Queenstown")</f>
        <v>Southampton</v>
      </c>
    </row>
    <row r="501" spans="1:19" x14ac:dyDescent="0.3">
      <c r="A501">
        <v>500</v>
      </c>
      <c r="B501">
        <v>2</v>
      </c>
      <c r="C501" s="1" t="str" cm="1">
        <f t="array" ref="C501">_xlfn.IFS(B501=1,"First Class",B501=2,"Second Class",B501=3,"Third Class")</f>
        <v>Second Class</v>
      </c>
      <c r="D501">
        <v>0</v>
      </c>
      <c r="E501" s="1" t="str">
        <f t="shared" si="28"/>
        <v>Dead</v>
      </c>
      <c r="F501" t="s">
        <v>998</v>
      </c>
      <c r="G501" s="1" t="s">
        <v>2999</v>
      </c>
      <c r="H501" t="s">
        <v>20</v>
      </c>
      <c r="I501" s="1" t="str">
        <f t="shared" si="29"/>
        <v>Male</v>
      </c>
      <c r="J501" s="3">
        <v>30</v>
      </c>
      <c r="K501" s="3" t="str" cm="1">
        <f t="array" ref="K501">_xlfn.IFS(J501&lt;=13,"Child",J501&lt;=18,"Teenager",J501&lt;=30,"Young Adult",J501&lt;=50,"Middle Aged Adult",J501&gt;50,"Senior")</f>
        <v>Young Adult</v>
      </c>
      <c r="L501">
        <v>0</v>
      </c>
      <c r="M501">
        <v>0</v>
      </c>
      <c r="N501" s="1">
        <f t="shared" si="30"/>
        <v>1</v>
      </c>
      <c r="O501" s="1" t="str">
        <f t="shared" si="31"/>
        <v>Single</v>
      </c>
      <c r="P501">
        <v>13</v>
      </c>
      <c r="Q501" s="1" t="str" cm="1">
        <f t="array" ref="Q501">_xlfn.IFS(P501&lt;=50,"Low",P501&lt;=100,"Medium",P501&gt;100,"High")</f>
        <v>Low</v>
      </c>
      <c r="R501" t="s">
        <v>17</v>
      </c>
      <c r="S501" s="1" t="str" cm="1">
        <f t="array" ref="S501">_xlfn.IFS(R501="S","Southampton",R501="C","Cherbourg",R501="Q","Queenstown")</f>
        <v>Southampton</v>
      </c>
    </row>
    <row r="502" spans="1:19" x14ac:dyDescent="0.3">
      <c r="A502">
        <v>501</v>
      </c>
      <c r="B502">
        <v>2</v>
      </c>
      <c r="C502" s="1" t="str" cm="1">
        <f t="array" ref="C502">_xlfn.IFS(B502=1,"First Class",B502=2,"Second Class",B502=3,"Third Class")</f>
        <v>Second Class</v>
      </c>
      <c r="D502">
        <v>0</v>
      </c>
      <c r="E502" s="1" t="str">
        <f t="shared" si="28"/>
        <v>Dead</v>
      </c>
      <c r="F502" t="s">
        <v>1000</v>
      </c>
      <c r="G502" s="1" t="s">
        <v>2999</v>
      </c>
      <c r="H502" t="s">
        <v>20</v>
      </c>
      <c r="I502" s="1" t="str">
        <f t="shared" si="29"/>
        <v>Male</v>
      </c>
      <c r="J502" s="3">
        <v>46</v>
      </c>
      <c r="K502" s="3" t="str" cm="1">
        <f t="array" ref="K502">_xlfn.IFS(J502&lt;=13,"Child",J502&lt;=18,"Teenager",J502&lt;=30,"Young Adult",J502&lt;=50,"Middle Aged Adult",J502&gt;50,"Senior")</f>
        <v>Middle Aged Adult</v>
      </c>
      <c r="L502">
        <v>0</v>
      </c>
      <c r="M502">
        <v>0</v>
      </c>
      <c r="N502" s="1">
        <f t="shared" si="30"/>
        <v>1</v>
      </c>
      <c r="O502" s="1" t="str">
        <f t="shared" si="31"/>
        <v>Single</v>
      </c>
      <c r="P502">
        <v>26</v>
      </c>
      <c r="Q502" s="1" t="str" cm="1">
        <f t="array" ref="Q502">_xlfn.IFS(P502&lt;=50,"Low",P502&lt;=100,"Medium",P502&gt;100,"High")</f>
        <v>Low</v>
      </c>
      <c r="R502" t="s">
        <v>17</v>
      </c>
      <c r="S502" s="1" t="str" cm="1">
        <f t="array" ref="S502">_xlfn.IFS(R502="S","Southampton",R502="C","Cherbourg",R502="Q","Queenstown")</f>
        <v>Southampton</v>
      </c>
    </row>
    <row r="503" spans="1:19" x14ac:dyDescent="0.3">
      <c r="A503">
        <v>502</v>
      </c>
      <c r="B503">
        <v>2</v>
      </c>
      <c r="C503" s="1" t="str" cm="1">
        <f t="array" ref="C503">_xlfn.IFS(B503=1,"First Class",B503=2,"Second Class",B503=3,"Third Class")</f>
        <v>Second Class</v>
      </c>
      <c r="D503">
        <v>1</v>
      </c>
      <c r="E503" s="1" t="str">
        <f t="shared" si="28"/>
        <v>Alive</v>
      </c>
      <c r="F503" t="s">
        <v>1001</v>
      </c>
      <c r="G503" s="1" t="s">
        <v>2994</v>
      </c>
      <c r="H503" t="s">
        <v>15</v>
      </c>
      <c r="I503" s="1" t="str">
        <f t="shared" si="29"/>
        <v>Female</v>
      </c>
      <c r="J503" s="3">
        <v>13</v>
      </c>
      <c r="K503" s="3" t="str" cm="1">
        <f t="array" ref="K503">_xlfn.IFS(J503&lt;=13,"Child",J503&lt;=18,"Teenager",J503&lt;=30,"Young Adult",J503&lt;=50,"Middle Aged Adult",J503&gt;50,"Senior")</f>
        <v>Child</v>
      </c>
      <c r="L503">
        <v>0</v>
      </c>
      <c r="M503">
        <v>1</v>
      </c>
      <c r="N503" s="1">
        <f t="shared" si="30"/>
        <v>2</v>
      </c>
      <c r="O503" s="1" t="str">
        <f t="shared" si="31"/>
        <v>With Family</v>
      </c>
      <c r="P503">
        <v>19.5</v>
      </c>
      <c r="Q503" s="1" t="str" cm="1">
        <f t="array" ref="Q503">_xlfn.IFS(P503&lt;=50,"Low",P503&lt;=100,"Medium",P503&gt;100,"High")</f>
        <v>Low</v>
      </c>
      <c r="R503" t="s">
        <v>17</v>
      </c>
      <c r="S503" s="1" t="str" cm="1">
        <f t="array" ref="S503">_xlfn.IFS(R503="S","Southampton",R503="C","Cherbourg",R503="Q","Queenstown")</f>
        <v>Southampton</v>
      </c>
    </row>
    <row r="504" spans="1:19" x14ac:dyDescent="0.3">
      <c r="A504">
        <v>503</v>
      </c>
      <c r="B504">
        <v>2</v>
      </c>
      <c r="C504" s="1" t="str" cm="1">
        <f t="array" ref="C504">_xlfn.IFS(B504=1,"First Class",B504=2,"Second Class",B504=3,"Third Class")</f>
        <v>Second Class</v>
      </c>
      <c r="D504">
        <v>1</v>
      </c>
      <c r="E504" s="1" t="str">
        <f t="shared" si="28"/>
        <v>Alive</v>
      </c>
      <c r="F504" t="s">
        <v>1003</v>
      </c>
      <c r="G504" s="1" t="s">
        <v>3001</v>
      </c>
      <c r="H504" t="s">
        <v>15</v>
      </c>
      <c r="I504" s="1" t="str">
        <f t="shared" si="29"/>
        <v>Female</v>
      </c>
      <c r="J504" s="3">
        <v>41</v>
      </c>
      <c r="K504" s="3" t="str" cm="1">
        <f t="array" ref="K504">_xlfn.IFS(J504&lt;=13,"Child",J504&lt;=18,"Teenager",J504&lt;=30,"Young Adult",J504&lt;=50,"Middle Aged Adult",J504&gt;50,"Senior")</f>
        <v>Middle Aged Adult</v>
      </c>
      <c r="L504">
        <v>0</v>
      </c>
      <c r="M504">
        <v>1</v>
      </c>
      <c r="N504" s="1">
        <f t="shared" si="30"/>
        <v>2</v>
      </c>
      <c r="O504" s="1" t="str">
        <f t="shared" si="31"/>
        <v>With Family</v>
      </c>
      <c r="P504">
        <v>19.5</v>
      </c>
      <c r="Q504" s="1" t="str" cm="1">
        <f t="array" ref="Q504">_xlfn.IFS(P504&lt;=50,"Low",P504&lt;=100,"Medium",P504&gt;100,"High")</f>
        <v>Low</v>
      </c>
      <c r="R504" t="s">
        <v>17</v>
      </c>
      <c r="S504" s="1" t="str" cm="1">
        <f t="array" ref="S504">_xlfn.IFS(R504="S","Southampton",R504="C","Cherbourg",R504="Q","Queenstown")</f>
        <v>Southampton</v>
      </c>
    </row>
    <row r="505" spans="1:19" x14ac:dyDescent="0.3">
      <c r="A505">
        <v>504</v>
      </c>
      <c r="B505">
        <v>2</v>
      </c>
      <c r="C505" s="1" t="str" cm="1">
        <f t="array" ref="C505">_xlfn.IFS(B505=1,"First Class",B505=2,"Second Class",B505=3,"Third Class")</f>
        <v>Second Class</v>
      </c>
      <c r="D505">
        <v>1</v>
      </c>
      <c r="E505" s="1" t="str">
        <f t="shared" si="28"/>
        <v>Alive</v>
      </c>
      <c r="F505" t="s">
        <v>1004</v>
      </c>
      <c r="G505" s="1" t="s">
        <v>2999</v>
      </c>
      <c r="H505" t="s">
        <v>20</v>
      </c>
      <c r="I505" s="1" t="str">
        <f t="shared" si="29"/>
        <v>Male</v>
      </c>
      <c r="J505" s="3">
        <v>19</v>
      </c>
      <c r="K505" s="3" t="str" cm="1">
        <f t="array" ref="K505">_xlfn.IFS(J505&lt;=13,"Child",J505&lt;=18,"Teenager",J505&lt;=30,"Young Adult",J505&lt;=50,"Middle Aged Adult",J505&gt;50,"Senior")</f>
        <v>Young Adult</v>
      </c>
      <c r="L505">
        <v>0</v>
      </c>
      <c r="M505">
        <v>0</v>
      </c>
      <c r="N505" s="1">
        <f t="shared" si="30"/>
        <v>1</v>
      </c>
      <c r="O505" s="1" t="str">
        <f t="shared" si="31"/>
        <v>Single</v>
      </c>
      <c r="P505">
        <v>10.5</v>
      </c>
      <c r="Q505" s="1" t="str" cm="1">
        <f t="array" ref="Q505">_xlfn.IFS(P505&lt;=50,"Low",P505&lt;=100,"Medium",P505&gt;100,"High")</f>
        <v>Low</v>
      </c>
      <c r="R505" t="s">
        <v>17</v>
      </c>
      <c r="S505" s="1" t="str" cm="1">
        <f t="array" ref="S505">_xlfn.IFS(R505="S","Southampton",R505="C","Cherbourg",R505="Q","Queenstown")</f>
        <v>Southampton</v>
      </c>
    </row>
    <row r="506" spans="1:19" x14ac:dyDescent="0.3">
      <c r="A506">
        <v>505</v>
      </c>
      <c r="B506">
        <v>2</v>
      </c>
      <c r="C506" s="1" t="str" cm="1">
        <f t="array" ref="C506">_xlfn.IFS(B506=1,"First Class",B506=2,"Second Class",B506=3,"Third Class")</f>
        <v>Second Class</v>
      </c>
      <c r="D506">
        <v>0</v>
      </c>
      <c r="E506" s="1" t="str">
        <f t="shared" si="28"/>
        <v>Dead</v>
      </c>
      <c r="F506" t="s">
        <v>1007</v>
      </c>
      <c r="G506" s="1" t="s">
        <v>2999</v>
      </c>
      <c r="H506" t="s">
        <v>20</v>
      </c>
      <c r="I506" s="1" t="str">
        <f t="shared" si="29"/>
        <v>Male</v>
      </c>
      <c r="J506" s="3">
        <v>39</v>
      </c>
      <c r="K506" s="3" t="str" cm="1">
        <f t="array" ref="K506">_xlfn.IFS(J506&lt;=13,"Child",J506&lt;=18,"Teenager",J506&lt;=30,"Young Adult",J506&lt;=50,"Middle Aged Adult",J506&gt;50,"Senior")</f>
        <v>Middle Aged Adult</v>
      </c>
      <c r="L506">
        <v>0</v>
      </c>
      <c r="M506">
        <v>0</v>
      </c>
      <c r="N506" s="1">
        <f t="shared" si="30"/>
        <v>1</v>
      </c>
      <c r="O506" s="1" t="str">
        <f t="shared" si="31"/>
        <v>Single</v>
      </c>
      <c r="P506">
        <v>13</v>
      </c>
      <c r="Q506" s="1" t="str" cm="1">
        <f t="array" ref="Q506">_xlfn.IFS(P506&lt;=50,"Low",P506&lt;=100,"Medium",P506&gt;100,"High")</f>
        <v>Low</v>
      </c>
      <c r="R506" t="s">
        <v>17</v>
      </c>
      <c r="S506" s="1" t="str" cm="1">
        <f t="array" ref="S506">_xlfn.IFS(R506="S","Southampton",R506="C","Cherbourg",R506="Q","Queenstown")</f>
        <v>Southampton</v>
      </c>
    </row>
    <row r="507" spans="1:19" x14ac:dyDescent="0.3">
      <c r="A507">
        <v>506</v>
      </c>
      <c r="B507">
        <v>2</v>
      </c>
      <c r="C507" s="1" t="str" cm="1">
        <f t="array" ref="C507">_xlfn.IFS(B507=1,"First Class",B507=2,"Second Class",B507=3,"Third Class")</f>
        <v>Second Class</v>
      </c>
      <c r="D507">
        <v>0</v>
      </c>
      <c r="E507" s="1" t="str">
        <f t="shared" si="28"/>
        <v>Dead</v>
      </c>
      <c r="F507" t="s">
        <v>1009</v>
      </c>
      <c r="G507" s="1" t="s">
        <v>2999</v>
      </c>
      <c r="H507" t="s">
        <v>20</v>
      </c>
      <c r="I507" s="1" t="str">
        <f t="shared" si="29"/>
        <v>Male</v>
      </c>
      <c r="J507" s="3">
        <v>48</v>
      </c>
      <c r="K507" s="3" t="str" cm="1">
        <f t="array" ref="K507">_xlfn.IFS(J507&lt;=13,"Child",J507&lt;=18,"Teenager",J507&lt;=30,"Young Adult",J507&lt;=50,"Middle Aged Adult",J507&gt;50,"Senior")</f>
        <v>Middle Aged Adult</v>
      </c>
      <c r="L507">
        <v>0</v>
      </c>
      <c r="M507">
        <v>0</v>
      </c>
      <c r="N507" s="1">
        <f t="shared" si="30"/>
        <v>1</v>
      </c>
      <c r="O507" s="1" t="str">
        <f t="shared" si="31"/>
        <v>Single</v>
      </c>
      <c r="P507">
        <v>13</v>
      </c>
      <c r="Q507" s="1" t="str" cm="1">
        <f t="array" ref="Q507">_xlfn.IFS(P507&lt;=50,"Low",P507&lt;=100,"Medium",P507&gt;100,"High")</f>
        <v>Low</v>
      </c>
      <c r="R507" t="s">
        <v>17</v>
      </c>
      <c r="S507" s="1" t="str" cm="1">
        <f t="array" ref="S507">_xlfn.IFS(R507="S","Southampton",R507="C","Cherbourg",R507="Q","Queenstown")</f>
        <v>Southampton</v>
      </c>
    </row>
    <row r="508" spans="1:19" x14ac:dyDescent="0.3">
      <c r="A508">
        <v>507</v>
      </c>
      <c r="B508">
        <v>2</v>
      </c>
      <c r="C508" s="1" t="str" cm="1">
        <f t="array" ref="C508">_xlfn.IFS(B508=1,"First Class",B508=2,"Second Class",B508=3,"Third Class")</f>
        <v>Second Class</v>
      </c>
      <c r="D508">
        <v>0</v>
      </c>
      <c r="E508" s="1" t="str">
        <f t="shared" si="28"/>
        <v>Dead</v>
      </c>
      <c r="F508" t="s">
        <v>1011</v>
      </c>
      <c r="G508" s="1" t="s">
        <v>2999</v>
      </c>
      <c r="H508" t="s">
        <v>20</v>
      </c>
      <c r="I508" s="1" t="str">
        <f t="shared" si="29"/>
        <v>Male</v>
      </c>
      <c r="J508" s="3">
        <v>70</v>
      </c>
      <c r="K508" s="3" t="str" cm="1">
        <f t="array" ref="K508">_xlfn.IFS(J508&lt;=13,"Child",J508&lt;=18,"Teenager",J508&lt;=30,"Young Adult",J508&lt;=50,"Middle Aged Adult",J508&gt;50,"Senior")</f>
        <v>Senior</v>
      </c>
      <c r="L508">
        <v>0</v>
      </c>
      <c r="M508">
        <v>0</v>
      </c>
      <c r="N508" s="1">
        <f t="shared" si="30"/>
        <v>1</v>
      </c>
      <c r="O508" s="1" t="str">
        <f t="shared" si="31"/>
        <v>Single</v>
      </c>
      <c r="P508">
        <v>10.5</v>
      </c>
      <c r="Q508" s="1" t="str" cm="1">
        <f t="array" ref="Q508">_xlfn.IFS(P508&lt;=50,"Low",P508&lt;=100,"Medium",P508&gt;100,"High")</f>
        <v>Low</v>
      </c>
      <c r="R508" t="s">
        <v>17</v>
      </c>
      <c r="S508" s="1" t="str" cm="1">
        <f t="array" ref="S508">_xlfn.IFS(R508="S","Southampton",R508="C","Cherbourg",R508="Q","Queenstown")</f>
        <v>Southampton</v>
      </c>
    </row>
    <row r="509" spans="1:19" x14ac:dyDescent="0.3">
      <c r="A509">
        <v>508</v>
      </c>
      <c r="B509">
        <v>2</v>
      </c>
      <c r="C509" s="1" t="str" cm="1">
        <f t="array" ref="C509">_xlfn.IFS(B509=1,"First Class",B509=2,"Second Class",B509=3,"Third Class")</f>
        <v>Second Class</v>
      </c>
      <c r="D509">
        <v>0</v>
      </c>
      <c r="E509" s="1" t="str">
        <f t="shared" si="28"/>
        <v>Dead</v>
      </c>
      <c r="F509" t="s">
        <v>1014</v>
      </c>
      <c r="G509" s="1" t="s">
        <v>3338</v>
      </c>
      <c r="H509" t="s">
        <v>20</v>
      </c>
      <c r="I509" s="1" t="str">
        <f t="shared" si="29"/>
        <v>Male</v>
      </c>
      <c r="J509" s="3">
        <v>27</v>
      </c>
      <c r="K509" s="3" t="str" cm="1">
        <f t="array" ref="K509">_xlfn.IFS(J509&lt;=13,"Child",J509&lt;=18,"Teenager",J509&lt;=30,"Young Adult",J509&lt;=50,"Middle Aged Adult",J509&gt;50,"Senior")</f>
        <v>Young Adult</v>
      </c>
      <c r="L509">
        <v>0</v>
      </c>
      <c r="M509">
        <v>0</v>
      </c>
      <c r="N509" s="1">
        <f t="shared" si="30"/>
        <v>1</v>
      </c>
      <c r="O509" s="1" t="str">
        <f t="shared" si="31"/>
        <v>Single</v>
      </c>
      <c r="P509">
        <v>13</v>
      </c>
      <c r="Q509" s="1" t="str" cm="1">
        <f t="array" ref="Q509">_xlfn.IFS(P509&lt;=50,"Low",P509&lt;=100,"Medium",P509&gt;100,"High")</f>
        <v>Low</v>
      </c>
      <c r="R509" t="s">
        <v>17</v>
      </c>
      <c r="S509" s="1" t="str" cm="1">
        <f t="array" ref="S509">_xlfn.IFS(R509="S","Southampton",R509="C","Cherbourg",R509="Q","Queenstown")</f>
        <v>Southampton</v>
      </c>
    </row>
    <row r="510" spans="1:19" x14ac:dyDescent="0.3">
      <c r="A510">
        <v>509</v>
      </c>
      <c r="B510">
        <v>2</v>
      </c>
      <c r="C510" s="1" t="str" cm="1">
        <f t="array" ref="C510">_xlfn.IFS(B510=1,"First Class",B510=2,"Second Class",B510=3,"Third Class")</f>
        <v>Second Class</v>
      </c>
      <c r="D510">
        <v>0</v>
      </c>
      <c r="E510" s="1" t="str">
        <f t="shared" si="28"/>
        <v>Dead</v>
      </c>
      <c r="F510" t="s">
        <v>1015</v>
      </c>
      <c r="G510" s="1" t="s">
        <v>3040</v>
      </c>
      <c r="H510" t="s">
        <v>20</v>
      </c>
      <c r="I510" s="1" t="str">
        <f t="shared" si="29"/>
        <v>Male</v>
      </c>
      <c r="J510" s="3">
        <v>54</v>
      </c>
      <c r="K510" s="3" t="str" cm="1">
        <f t="array" ref="K510">_xlfn.IFS(J510&lt;=13,"Child",J510&lt;=18,"Teenager",J510&lt;=30,"Young Adult",J510&lt;=50,"Middle Aged Adult",J510&gt;50,"Senior")</f>
        <v>Senior</v>
      </c>
      <c r="L510">
        <v>0</v>
      </c>
      <c r="M510">
        <v>0</v>
      </c>
      <c r="N510" s="1">
        <f t="shared" si="30"/>
        <v>1</v>
      </c>
      <c r="O510" s="1" t="str">
        <f t="shared" si="31"/>
        <v>Single</v>
      </c>
      <c r="P510">
        <v>14</v>
      </c>
      <c r="Q510" s="1" t="str" cm="1">
        <f t="array" ref="Q510">_xlfn.IFS(P510&lt;=50,"Low",P510&lt;=100,"Medium",P510&gt;100,"High")</f>
        <v>Low</v>
      </c>
      <c r="R510" t="s">
        <v>17</v>
      </c>
      <c r="S510" s="1" t="str" cm="1">
        <f t="array" ref="S510">_xlfn.IFS(R510="S","Southampton",R510="C","Cherbourg",R510="Q","Queenstown")</f>
        <v>Southampton</v>
      </c>
    </row>
    <row r="511" spans="1:19" x14ac:dyDescent="0.3">
      <c r="A511">
        <v>510</v>
      </c>
      <c r="B511">
        <v>2</v>
      </c>
      <c r="C511" s="1" t="str" cm="1">
        <f t="array" ref="C511">_xlfn.IFS(B511=1,"First Class",B511=2,"Second Class",B511=3,"Third Class")</f>
        <v>Second Class</v>
      </c>
      <c r="D511">
        <v>0</v>
      </c>
      <c r="E511" s="1" t="str">
        <f t="shared" si="28"/>
        <v>Dead</v>
      </c>
      <c r="F511" t="s">
        <v>1017</v>
      </c>
      <c r="G511" s="1" t="s">
        <v>2999</v>
      </c>
      <c r="H511" t="s">
        <v>20</v>
      </c>
      <c r="I511" s="1" t="str">
        <f t="shared" si="29"/>
        <v>Male</v>
      </c>
      <c r="J511" s="3">
        <v>39</v>
      </c>
      <c r="K511" s="3" t="str" cm="1">
        <f t="array" ref="K511">_xlfn.IFS(J511&lt;=13,"Child",J511&lt;=18,"Teenager",J511&lt;=30,"Young Adult",J511&lt;=50,"Middle Aged Adult",J511&gt;50,"Senior")</f>
        <v>Middle Aged Adult</v>
      </c>
      <c r="L511">
        <v>0</v>
      </c>
      <c r="M511">
        <v>0</v>
      </c>
      <c r="N511" s="1">
        <f t="shared" si="30"/>
        <v>1</v>
      </c>
      <c r="O511" s="1" t="str">
        <f t="shared" si="31"/>
        <v>Single</v>
      </c>
      <c r="P511">
        <v>26</v>
      </c>
      <c r="Q511" s="1" t="str" cm="1">
        <f t="array" ref="Q511">_xlfn.IFS(P511&lt;=50,"Low",P511&lt;=100,"Medium",P511&gt;100,"High")</f>
        <v>Low</v>
      </c>
      <c r="R511" t="s">
        <v>17</v>
      </c>
      <c r="S511" s="1" t="str" cm="1">
        <f t="array" ref="S511">_xlfn.IFS(R511="S","Southampton",R511="C","Cherbourg",R511="Q","Queenstown")</f>
        <v>Southampton</v>
      </c>
    </row>
    <row r="512" spans="1:19" x14ac:dyDescent="0.3">
      <c r="A512">
        <v>511</v>
      </c>
      <c r="B512">
        <v>2</v>
      </c>
      <c r="C512" s="1" t="str" cm="1">
        <f t="array" ref="C512">_xlfn.IFS(B512=1,"First Class",B512=2,"Second Class",B512=3,"Third Class")</f>
        <v>Second Class</v>
      </c>
      <c r="D512">
        <v>0</v>
      </c>
      <c r="E512" s="1" t="str">
        <f t="shared" si="28"/>
        <v>Dead</v>
      </c>
      <c r="F512" t="s">
        <v>1018</v>
      </c>
      <c r="G512" s="1" t="s">
        <v>2999</v>
      </c>
      <c r="H512" t="s">
        <v>20</v>
      </c>
      <c r="I512" s="1" t="str">
        <f t="shared" si="29"/>
        <v>Male</v>
      </c>
      <c r="J512" s="3">
        <v>16</v>
      </c>
      <c r="K512" s="3" t="str" cm="1">
        <f t="array" ref="K512">_xlfn.IFS(J512&lt;=13,"Child",J512&lt;=18,"Teenager",J512&lt;=30,"Young Adult",J512&lt;=50,"Middle Aged Adult",J512&gt;50,"Senior")</f>
        <v>Teenager</v>
      </c>
      <c r="L512">
        <v>0</v>
      </c>
      <c r="M512">
        <v>0</v>
      </c>
      <c r="N512" s="1">
        <f t="shared" si="30"/>
        <v>1</v>
      </c>
      <c r="O512" s="1" t="str">
        <f t="shared" si="31"/>
        <v>Single</v>
      </c>
      <c r="P512">
        <v>10.5</v>
      </c>
      <c r="Q512" s="1" t="str" cm="1">
        <f t="array" ref="Q512">_xlfn.IFS(P512&lt;=50,"Low",P512&lt;=100,"Medium",P512&gt;100,"High")</f>
        <v>Low</v>
      </c>
      <c r="R512" t="s">
        <v>17</v>
      </c>
      <c r="S512" s="1" t="str" cm="1">
        <f t="array" ref="S512">_xlfn.IFS(R512="S","Southampton",R512="C","Cherbourg",R512="Q","Queenstown")</f>
        <v>Southampton</v>
      </c>
    </row>
    <row r="513" spans="1:19" x14ac:dyDescent="0.3">
      <c r="A513">
        <v>512</v>
      </c>
      <c r="B513">
        <v>2</v>
      </c>
      <c r="C513" s="1" t="str" cm="1">
        <f t="array" ref="C513">_xlfn.IFS(B513=1,"First Class",B513=2,"Second Class",B513=3,"Third Class")</f>
        <v>Second Class</v>
      </c>
      <c r="D513">
        <v>0</v>
      </c>
      <c r="E513" s="1" t="str">
        <f t="shared" si="28"/>
        <v>Dead</v>
      </c>
      <c r="F513" t="s">
        <v>1020</v>
      </c>
      <c r="G513" s="1" t="s">
        <v>2999</v>
      </c>
      <c r="H513" t="s">
        <v>20</v>
      </c>
      <c r="I513" s="1" t="str">
        <f t="shared" si="29"/>
        <v>Male</v>
      </c>
      <c r="J513" s="3">
        <v>62</v>
      </c>
      <c r="K513" s="3" t="str" cm="1">
        <f t="array" ref="K513">_xlfn.IFS(J513&lt;=13,"Child",J513&lt;=18,"Teenager",J513&lt;=30,"Young Adult",J513&lt;=50,"Middle Aged Adult",J513&gt;50,"Senior")</f>
        <v>Senior</v>
      </c>
      <c r="L513">
        <v>0</v>
      </c>
      <c r="M513">
        <v>0</v>
      </c>
      <c r="N513" s="1">
        <f t="shared" si="30"/>
        <v>1</v>
      </c>
      <c r="O513" s="1" t="str">
        <f t="shared" si="31"/>
        <v>Single</v>
      </c>
      <c r="P513">
        <v>9.6875</v>
      </c>
      <c r="Q513" s="1" t="str" cm="1">
        <f t="array" ref="Q513">_xlfn.IFS(P513&lt;=50,"Low",P513&lt;=100,"Medium",P513&gt;100,"High")</f>
        <v>Low</v>
      </c>
      <c r="R513" t="s">
        <v>463</v>
      </c>
      <c r="S513" s="1" t="str" cm="1">
        <f t="array" ref="S513">_xlfn.IFS(R513="S","Southampton",R513="C","Cherbourg",R513="Q","Queenstown")</f>
        <v>Queenstown</v>
      </c>
    </row>
    <row r="514" spans="1:19" x14ac:dyDescent="0.3">
      <c r="A514">
        <v>513</v>
      </c>
      <c r="B514">
        <v>2</v>
      </c>
      <c r="C514" s="1" t="str" cm="1">
        <f t="array" ref="C514">_xlfn.IFS(B514=1,"First Class",B514=2,"Second Class",B514=3,"Third Class")</f>
        <v>Second Class</v>
      </c>
      <c r="D514">
        <v>0</v>
      </c>
      <c r="E514" s="1" t="str">
        <f t="shared" si="28"/>
        <v>Dead</v>
      </c>
      <c r="F514" t="s">
        <v>1022</v>
      </c>
      <c r="G514" s="1" t="s">
        <v>2999</v>
      </c>
      <c r="H514" t="s">
        <v>20</v>
      </c>
      <c r="I514" s="1" t="str">
        <f t="shared" si="29"/>
        <v>Male</v>
      </c>
      <c r="J514" s="3">
        <v>32.5</v>
      </c>
      <c r="K514" s="3" t="str" cm="1">
        <f t="array" ref="K514">_xlfn.IFS(J514&lt;=13,"Child",J514&lt;=18,"Teenager",J514&lt;=30,"Young Adult",J514&lt;=50,"Middle Aged Adult",J514&gt;50,"Senior")</f>
        <v>Middle Aged Adult</v>
      </c>
      <c r="L514">
        <v>1</v>
      </c>
      <c r="M514">
        <v>0</v>
      </c>
      <c r="N514" s="1">
        <f t="shared" si="30"/>
        <v>2</v>
      </c>
      <c r="O514" s="1" t="str">
        <f t="shared" si="31"/>
        <v>With Family</v>
      </c>
      <c r="P514">
        <v>30.070799999999998</v>
      </c>
      <c r="Q514" s="1" t="str" cm="1">
        <f t="array" ref="Q514">_xlfn.IFS(P514&lt;=50,"Low",P514&lt;=100,"Medium",P514&gt;100,"High")</f>
        <v>Low</v>
      </c>
      <c r="R514" t="s">
        <v>41</v>
      </c>
      <c r="S514" s="1" t="str" cm="1">
        <f t="array" ref="S514">_xlfn.IFS(R514="S","Southampton",R514="C","Cherbourg",R514="Q","Queenstown")</f>
        <v>Cherbourg</v>
      </c>
    </row>
    <row r="515" spans="1:19" x14ac:dyDescent="0.3">
      <c r="A515">
        <v>514</v>
      </c>
      <c r="B515">
        <v>2</v>
      </c>
      <c r="C515" s="1" t="str" cm="1">
        <f t="array" ref="C515">_xlfn.IFS(B515=1,"First Class",B515=2,"Second Class",B515=3,"Third Class")</f>
        <v>Second Class</v>
      </c>
      <c r="D515">
        <v>1</v>
      </c>
      <c r="E515" s="1" t="str">
        <f t="shared" ref="E515:E578" si="32">IF(D515=0,"Dead","Alive")</f>
        <v>Alive</v>
      </c>
      <c r="F515" t="s">
        <v>1023</v>
      </c>
      <c r="G515" s="1" t="s">
        <v>3001</v>
      </c>
      <c r="H515" t="s">
        <v>15</v>
      </c>
      <c r="I515" s="1" t="str">
        <f t="shared" ref="I515:I578" si="33">PROPER(H515)</f>
        <v>Female</v>
      </c>
      <c r="J515" s="3">
        <v>14</v>
      </c>
      <c r="K515" s="3" t="str" cm="1">
        <f t="array" ref="K515">_xlfn.IFS(J515&lt;=13,"Child",J515&lt;=18,"Teenager",J515&lt;=30,"Young Adult",J515&lt;=50,"Middle Aged Adult",J515&gt;50,"Senior")</f>
        <v>Teenager</v>
      </c>
      <c r="L515">
        <v>1</v>
      </c>
      <c r="M515">
        <v>0</v>
      </c>
      <c r="N515" s="1">
        <f t="shared" ref="N515:N578" si="34">L515+M515+1</f>
        <v>2</v>
      </c>
      <c r="O515" s="1" t="str">
        <f t="shared" ref="O515:O578" si="35">IF(N515=1,"Single","With Family")</f>
        <v>With Family</v>
      </c>
      <c r="P515">
        <v>30.070799999999998</v>
      </c>
      <c r="Q515" s="1" t="str" cm="1">
        <f t="array" ref="Q515">_xlfn.IFS(P515&lt;=50,"Low",P515&lt;=100,"Medium",P515&gt;100,"High")</f>
        <v>Low</v>
      </c>
      <c r="R515" t="s">
        <v>41</v>
      </c>
      <c r="S515" s="1" t="str" cm="1">
        <f t="array" ref="S515">_xlfn.IFS(R515="S","Southampton",R515="C","Cherbourg",R515="Q","Queenstown")</f>
        <v>Cherbourg</v>
      </c>
    </row>
    <row r="516" spans="1:19" x14ac:dyDescent="0.3">
      <c r="A516">
        <v>515</v>
      </c>
      <c r="B516">
        <v>2</v>
      </c>
      <c r="C516" s="1" t="str" cm="1">
        <f t="array" ref="C516">_xlfn.IFS(B516=1,"First Class",B516=2,"Second Class",B516=3,"Third Class")</f>
        <v>Second Class</v>
      </c>
      <c r="D516">
        <v>1</v>
      </c>
      <c r="E516" s="1" t="str">
        <f t="shared" si="32"/>
        <v>Alive</v>
      </c>
      <c r="F516" t="s">
        <v>1024</v>
      </c>
      <c r="G516" s="1" t="s">
        <v>2996</v>
      </c>
      <c r="H516" t="s">
        <v>20</v>
      </c>
      <c r="I516" s="1" t="str">
        <f t="shared" si="33"/>
        <v>Male</v>
      </c>
      <c r="J516" s="3">
        <v>2</v>
      </c>
      <c r="K516" s="3" t="str" cm="1">
        <f t="array" ref="K516">_xlfn.IFS(J516&lt;=13,"Child",J516&lt;=18,"Teenager",J516&lt;=30,"Young Adult",J516&lt;=50,"Middle Aged Adult",J516&gt;50,"Senior")</f>
        <v>Child</v>
      </c>
      <c r="L516">
        <v>1</v>
      </c>
      <c r="M516">
        <v>1</v>
      </c>
      <c r="N516" s="1">
        <f t="shared" si="34"/>
        <v>3</v>
      </c>
      <c r="O516" s="1" t="str">
        <f t="shared" si="35"/>
        <v>With Family</v>
      </c>
      <c r="P516">
        <v>26</v>
      </c>
      <c r="Q516" s="1" t="str" cm="1">
        <f t="array" ref="Q516">_xlfn.IFS(P516&lt;=50,"Low",P516&lt;=100,"Medium",P516&gt;100,"High")</f>
        <v>Low</v>
      </c>
      <c r="R516" t="s">
        <v>17</v>
      </c>
      <c r="S516" s="1" t="str" cm="1">
        <f t="array" ref="S516">_xlfn.IFS(R516="S","Southampton",R516="C","Cherbourg",R516="Q","Queenstown")</f>
        <v>Southampton</v>
      </c>
    </row>
    <row r="517" spans="1:19" x14ac:dyDescent="0.3">
      <c r="A517">
        <v>516</v>
      </c>
      <c r="B517">
        <v>2</v>
      </c>
      <c r="C517" s="1" t="str" cm="1">
        <f t="array" ref="C517">_xlfn.IFS(B517=1,"First Class",B517=2,"Second Class",B517=3,"Third Class")</f>
        <v>Second Class</v>
      </c>
      <c r="D517">
        <v>1</v>
      </c>
      <c r="E517" s="1" t="str">
        <f t="shared" si="32"/>
        <v>Alive</v>
      </c>
      <c r="F517" t="s">
        <v>1027</v>
      </c>
      <c r="G517" s="1" t="s">
        <v>2996</v>
      </c>
      <c r="H517" t="s">
        <v>20</v>
      </c>
      <c r="I517" s="1" t="str">
        <f t="shared" si="33"/>
        <v>Male</v>
      </c>
      <c r="J517" s="3">
        <v>3</v>
      </c>
      <c r="K517" s="3" t="str" cm="1">
        <f t="array" ref="K517">_xlfn.IFS(J517&lt;=13,"Child",J517&lt;=18,"Teenager",J517&lt;=30,"Young Adult",J517&lt;=50,"Middle Aged Adult",J517&gt;50,"Senior")</f>
        <v>Child</v>
      </c>
      <c r="L517">
        <v>1</v>
      </c>
      <c r="M517">
        <v>1</v>
      </c>
      <c r="N517" s="1">
        <f t="shared" si="34"/>
        <v>3</v>
      </c>
      <c r="O517" s="1" t="str">
        <f t="shared" si="35"/>
        <v>With Family</v>
      </c>
      <c r="P517">
        <v>26</v>
      </c>
      <c r="Q517" s="1" t="str" cm="1">
        <f t="array" ref="Q517">_xlfn.IFS(P517&lt;=50,"Low",P517&lt;=100,"Medium",P517&gt;100,"High")</f>
        <v>Low</v>
      </c>
      <c r="R517" t="s">
        <v>17</v>
      </c>
      <c r="S517" s="1" t="str" cm="1">
        <f t="array" ref="S517">_xlfn.IFS(R517="S","Southampton",R517="C","Cherbourg",R517="Q","Queenstown")</f>
        <v>Southampton</v>
      </c>
    </row>
    <row r="518" spans="1:19" x14ac:dyDescent="0.3">
      <c r="A518">
        <v>517</v>
      </c>
      <c r="B518">
        <v>2</v>
      </c>
      <c r="C518" s="1" t="str" cm="1">
        <f t="array" ref="C518">_xlfn.IFS(B518=1,"First Class",B518=2,"Second Class",B518=3,"Third Class")</f>
        <v>Second Class</v>
      </c>
      <c r="D518">
        <v>0</v>
      </c>
      <c r="E518" s="1" t="str">
        <f t="shared" si="32"/>
        <v>Dead</v>
      </c>
      <c r="F518" t="s">
        <v>1028</v>
      </c>
      <c r="G518" s="1" t="s">
        <v>2999</v>
      </c>
      <c r="H518" t="s">
        <v>20</v>
      </c>
      <c r="I518" s="1" t="str">
        <f t="shared" si="33"/>
        <v>Male</v>
      </c>
      <c r="J518" s="3">
        <v>36.5</v>
      </c>
      <c r="K518" s="3" t="str" cm="1">
        <f t="array" ref="K518">_xlfn.IFS(J518&lt;=13,"Child",J518&lt;=18,"Teenager",J518&lt;=30,"Young Adult",J518&lt;=50,"Middle Aged Adult",J518&gt;50,"Senior")</f>
        <v>Middle Aged Adult</v>
      </c>
      <c r="L518">
        <v>0</v>
      </c>
      <c r="M518">
        <v>2</v>
      </c>
      <c r="N518" s="1">
        <f t="shared" si="34"/>
        <v>3</v>
      </c>
      <c r="O518" s="1" t="str">
        <f t="shared" si="35"/>
        <v>With Family</v>
      </c>
      <c r="P518">
        <v>26</v>
      </c>
      <c r="Q518" s="1" t="str" cm="1">
        <f t="array" ref="Q518">_xlfn.IFS(P518&lt;=50,"Low",P518&lt;=100,"Medium",P518&gt;100,"High")</f>
        <v>Low</v>
      </c>
      <c r="R518" t="s">
        <v>17</v>
      </c>
      <c r="S518" s="1" t="str" cm="1">
        <f t="array" ref="S518">_xlfn.IFS(R518="S","Southampton",R518="C","Cherbourg",R518="Q","Queenstown")</f>
        <v>Southampton</v>
      </c>
    </row>
    <row r="519" spans="1:19" x14ac:dyDescent="0.3">
      <c r="A519">
        <v>518</v>
      </c>
      <c r="B519">
        <v>2</v>
      </c>
      <c r="C519" s="1" t="str" cm="1">
        <f t="array" ref="C519">_xlfn.IFS(B519=1,"First Class",B519=2,"Second Class",B519=3,"Third Class")</f>
        <v>Second Class</v>
      </c>
      <c r="D519">
        <v>0</v>
      </c>
      <c r="E519" s="1" t="str">
        <f t="shared" si="32"/>
        <v>Dead</v>
      </c>
      <c r="F519" t="s">
        <v>1029</v>
      </c>
      <c r="G519" s="1" t="s">
        <v>2999</v>
      </c>
      <c r="H519" t="s">
        <v>20</v>
      </c>
      <c r="I519" s="1" t="str">
        <f t="shared" si="33"/>
        <v>Male</v>
      </c>
      <c r="J519" s="3">
        <v>26</v>
      </c>
      <c r="K519" s="3" t="str" cm="1">
        <f t="array" ref="K519">_xlfn.IFS(J519&lt;=13,"Child",J519&lt;=18,"Teenager",J519&lt;=30,"Young Adult",J519&lt;=50,"Middle Aged Adult",J519&gt;50,"Senior")</f>
        <v>Young Adult</v>
      </c>
      <c r="L519">
        <v>0</v>
      </c>
      <c r="M519">
        <v>0</v>
      </c>
      <c r="N519" s="1">
        <f t="shared" si="34"/>
        <v>1</v>
      </c>
      <c r="O519" s="1" t="str">
        <f t="shared" si="35"/>
        <v>Single</v>
      </c>
      <c r="P519">
        <v>13</v>
      </c>
      <c r="Q519" s="1" t="str" cm="1">
        <f t="array" ref="Q519">_xlfn.IFS(P519&lt;=50,"Low",P519&lt;=100,"Medium",P519&gt;100,"High")</f>
        <v>Low</v>
      </c>
      <c r="R519" t="s">
        <v>17</v>
      </c>
      <c r="S519" s="1" t="str" cm="1">
        <f t="array" ref="S519">_xlfn.IFS(R519="S","Southampton",R519="C","Cherbourg",R519="Q","Queenstown")</f>
        <v>Southampton</v>
      </c>
    </row>
    <row r="520" spans="1:19" x14ac:dyDescent="0.3">
      <c r="A520">
        <v>519</v>
      </c>
      <c r="B520">
        <v>2</v>
      </c>
      <c r="C520" s="1" t="str" cm="1">
        <f t="array" ref="C520">_xlfn.IFS(B520=1,"First Class",B520=2,"Second Class",B520=3,"Third Class")</f>
        <v>Second Class</v>
      </c>
      <c r="D520">
        <v>0</v>
      </c>
      <c r="E520" s="1" t="str">
        <f t="shared" si="32"/>
        <v>Dead</v>
      </c>
      <c r="F520" t="s">
        <v>1030</v>
      </c>
      <c r="G520" s="1" t="s">
        <v>2999</v>
      </c>
      <c r="H520" t="s">
        <v>20</v>
      </c>
      <c r="I520" s="1" t="str">
        <f t="shared" si="33"/>
        <v>Male</v>
      </c>
      <c r="J520" s="3">
        <v>19</v>
      </c>
      <c r="K520" s="3" t="str" cm="1">
        <f t="array" ref="K520">_xlfn.IFS(J520&lt;=13,"Child",J520&lt;=18,"Teenager",J520&lt;=30,"Young Adult",J520&lt;=50,"Middle Aged Adult",J520&gt;50,"Senior")</f>
        <v>Young Adult</v>
      </c>
      <c r="L520">
        <v>1</v>
      </c>
      <c r="M520">
        <v>1</v>
      </c>
      <c r="N520" s="1">
        <f t="shared" si="34"/>
        <v>3</v>
      </c>
      <c r="O520" s="1" t="str">
        <f t="shared" si="35"/>
        <v>With Family</v>
      </c>
      <c r="P520">
        <v>36.75</v>
      </c>
      <c r="Q520" s="1" t="str" cm="1">
        <f t="array" ref="Q520">_xlfn.IFS(P520&lt;=50,"Low",P520&lt;=100,"Medium",P520&gt;100,"High")</f>
        <v>Low</v>
      </c>
      <c r="R520" t="s">
        <v>17</v>
      </c>
      <c r="S520" s="1" t="str" cm="1">
        <f t="array" ref="S520">_xlfn.IFS(R520="S","Southampton",R520="C","Cherbourg",R520="Q","Queenstown")</f>
        <v>Southampton</v>
      </c>
    </row>
    <row r="521" spans="1:19" x14ac:dyDescent="0.3">
      <c r="A521">
        <v>520</v>
      </c>
      <c r="B521">
        <v>2</v>
      </c>
      <c r="C521" s="1" t="str" cm="1">
        <f t="array" ref="C521">_xlfn.IFS(B521=1,"First Class",B521=2,"Second Class",B521=3,"Third Class")</f>
        <v>Second Class</v>
      </c>
      <c r="D521">
        <v>0</v>
      </c>
      <c r="E521" s="1" t="str">
        <f t="shared" si="32"/>
        <v>Dead</v>
      </c>
      <c r="F521" t="s">
        <v>1032</v>
      </c>
      <c r="G521" s="1" t="s">
        <v>2999</v>
      </c>
      <c r="H521" t="s">
        <v>20</v>
      </c>
      <c r="I521" s="1" t="str">
        <f t="shared" si="33"/>
        <v>Male</v>
      </c>
      <c r="J521" s="3">
        <v>28</v>
      </c>
      <c r="K521" s="3" t="str" cm="1">
        <f t="array" ref="K521">_xlfn.IFS(J521&lt;=13,"Child",J521&lt;=18,"Teenager",J521&lt;=30,"Young Adult",J521&lt;=50,"Middle Aged Adult",J521&gt;50,"Senior")</f>
        <v>Young Adult</v>
      </c>
      <c r="L521">
        <v>0</v>
      </c>
      <c r="M521">
        <v>0</v>
      </c>
      <c r="N521" s="1">
        <f t="shared" si="34"/>
        <v>1</v>
      </c>
      <c r="O521" s="1" t="str">
        <f t="shared" si="35"/>
        <v>Single</v>
      </c>
      <c r="P521">
        <v>13.5</v>
      </c>
      <c r="Q521" s="1" t="str" cm="1">
        <f t="array" ref="Q521">_xlfn.IFS(P521&lt;=50,"Low",P521&lt;=100,"Medium",P521&gt;100,"High")</f>
        <v>Low</v>
      </c>
      <c r="R521" t="s">
        <v>17</v>
      </c>
      <c r="S521" s="1" t="str" cm="1">
        <f t="array" ref="S521">_xlfn.IFS(R521="S","Southampton",R521="C","Cherbourg",R521="Q","Queenstown")</f>
        <v>Southampton</v>
      </c>
    </row>
    <row r="522" spans="1:19" x14ac:dyDescent="0.3">
      <c r="A522">
        <v>521</v>
      </c>
      <c r="B522">
        <v>2</v>
      </c>
      <c r="C522" s="1" t="str" cm="1">
        <f t="array" ref="C522">_xlfn.IFS(B522=1,"First Class",B522=2,"Second Class",B522=3,"Third Class")</f>
        <v>Second Class</v>
      </c>
      <c r="D522">
        <v>1</v>
      </c>
      <c r="E522" s="1" t="str">
        <f t="shared" si="32"/>
        <v>Alive</v>
      </c>
      <c r="F522" t="s">
        <v>1034</v>
      </c>
      <c r="G522" s="1" t="s">
        <v>2999</v>
      </c>
      <c r="H522" t="s">
        <v>20</v>
      </c>
      <c r="I522" s="1" t="str">
        <f t="shared" si="33"/>
        <v>Male</v>
      </c>
      <c r="J522" s="3">
        <v>20</v>
      </c>
      <c r="K522" s="3" t="str" cm="1">
        <f t="array" ref="K522">_xlfn.IFS(J522&lt;=13,"Child",J522&lt;=18,"Teenager",J522&lt;=30,"Young Adult",J522&lt;=50,"Middle Aged Adult",J522&gt;50,"Senior")</f>
        <v>Young Adult</v>
      </c>
      <c r="L522">
        <v>0</v>
      </c>
      <c r="M522">
        <v>0</v>
      </c>
      <c r="N522" s="1">
        <f t="shared" si="34"/>
        <v>1</v>
      </c>
      <c r="O522" s="1" t="str">
        <f t="shared" si="35"/>
        <v>Single</v>
      </c>
      <c r="P522">
        <v>13.862500000000001</v>
      </c>
      <c r="Q522" s="1" t="str" cm="1">
        <f t="array" ref="Q522">_xlfn.IFS(P522&lt;=50,"Low",P522&lt;=100,"Medium",P522&gt;100,"High")</f>
        <v>Low</v>
      </c>
      <c r="R522" t="s">
        <v>41</v>
      </c>
      <c r="S522" s="1" t="str" cm="1">
        <f t="array" ref="S522">_xlfn.IFS(R522="S","Southampton",R522="C","Cherbourg",R522="Q","Queenstown")</f>
        <v>Cherbourg</v>
      </c>
    </row>
    <row r="523" spans="1:19" x14ac:dyDescent="0.3">
      <c r="A523">
        <v>522</v>
      </c>
      <c r="B523">
        <v>2</v>
      </c>
      <c r="C523" s="1" t="str" cm="1">
        <f t="array" ref="C523">_xlfn.IFS(B523=1,"First Class",B523=2,"Second Class",B523=3,"Third Class")</f>
        <v>Second Class</v>
      </c>
      <c r="D523">
        <v>1</v>
      </c>
      <c r="E523" s="1" t="str">
        <f t="shared" si="32"/>
        <v>Alive</v>
      </c>
      <c r="F523" t="s">
        <v>1038</v>
      </c>
      <c r="G523" s="1" t="s">
        <v>3001</v>
      </c>
      <c r="H523" t="s">
        <v>15</v>
      </c>
      <c r="I523" s="1" t="str">
        <f t="shared" si="33"/>
        <v>Female</v>
      </c>
      <c r="J523" s="3">
        <v>29</v>
      </c>
      <c r="K523" s="3" t="str" cm="1">
        <f t="array" ref="K523">_xlfn.IFS(J523&lt;=13,"Child",J523&lt;=18,"Teenager",J523&lt;=30,"Young Adult",J523&lt;=50,"Middle Aged Adult",J523&gt;50,"Senior")</f>
        <v>Young Adult</v>
      </c>
      <c r="L523">
        <v>0</v>
      </c>
      <c r="M523">
        <v>0</v>
      </c>
      <c r="N523" s="1">
        <f t="shared" si="34"/>
        <v>1</v>
      </c>
      <c r="O523" s="1" t="str">
        <f t="shared" si="35"/>
        <v>Single</v>
      </c>
      <c r="P523">
        <v>10.5</v>
      </c>
      <c r="Q523" s="1" t="str" cm="1">
        <f t="array" ref="Q523">_xlfn.IFS(P523&lt;=50,"Low",P523&lt;=100,"Medium",P523&gt;100,"High")</f>
        <v>Low</v>
      </c>
      <c r="R523" t="s">
        <v>17</v>
      </c>
      <c r="S523" s="1" t="str" cm="1">
        <f t="array" ref="S523">_xlfn.IFS(R523="S","Southampton",R523="C","Cherbourg",R523="Q","Queenstown")</f>
        <v>Southampton</v>
      </c>
    </row>
    <row r="524" spans="1:19" x14ac:dyDescent="0.3">
      <c r="A524">
        <v>523</v>
      </c>
      <c r="B524">
        <v>2</v>
      </c>
      <c r="C524" s="1" t="str" cm="1">
        <f t="array" ref="C524">_xlfn.IFS(B524=1,"First Class",B524=2,"Second Class",B524=3,"Third Class")</f>
        <v>Second Class</v>
      </c>
      <c r="D524">
        <v>0</v>
      </c>
      <c r="E524" s="1" t="str">
        <f t="shared" si="32"/>
        <v>Dead</v>
      </c>
      <c r="F524" t="s">
        <v>1041</v>
      </c>
      <c r="G524" s="1" t="s">
        <v>2999</v>
      </c>
      <c r="H524" t="s">
        <v>20</v>
      </c>
      <c r="I524" s="1" t="str">
        <f t="shared" si="33"/>
        <v>Male</v>
      </c>
      <c r="J524" s="3">
        <v>39</v>
      </c>
      <c r="K524" s="3" t="str" cm="1">
        <f t="array" ref="K524">_xlfn.IFS(J524&lt;=13,"Child",J524&lt;=18,"Teenager",J524&lt;=30,"Young Adult",J524&lt;=50,"Middle Aged Adult",J524&gt;50,"Senior")</f>
        <v>Middle Aged Adult</v>
      </c>
      <c r="L524">
        <v>0</v>
      </c>
      <c r="M524">
        <v>0</v>
      </c>
      <c r="N524" s="1">
        <f t="shared" si="34"/>
        <v>1</v>
      </c>
      <c r="O524" s="1" t="str">
        <f t="shared" si="35"/>
        <v>Single</v>
      </c>
      <c r="P524">
        <v>13</v>
      </c>
      <c r="Q524" s="1" t="str" cm="1">
        <f t="array" ref="Q524">_xlfn.IFS(P524&lt;=50,"Low",P524&lt;=100,"Medium",P524&gt;100,"High")</f>
        <v>Low</v>
      </c>
      <c r="R524" t="s">
        <v>17</v>
      </c>
      <c r="S524" s="1" t="str" cm="1">
        <f t="array" ref="S524">_xlfn.IFS(R524="S","Southampton",R524="C","Cherbourg",R524="Q","Queenstown")</f>
        <v>Southampton</v>
      </c>
    </row>
    <row r="525" spans="1:19" x14ac:dyDescent="0.3">
      <c r="A525">
        <v>524</v>
      </c>
      <c r="B525">
        <v>2</v>
      </c>
      <c r="C525" s="1" t="str" cm="1">
        <f t="array" ref="C525">_xlfn.IFS(B525=1,"First Class",B525=2,"Second Class",B525=3,"Third Class")</f>
        <v>Second Class</v>
      </c>
      <c r="D525">
        <v>1</v>
      </c>
      <c r="E525" s="1" t="str">
        <f t="shared" si="32"/>
        <v>Alive</v>
      </c>
      <c r="F525" t="s">
        <v>1043</v>
      </c>
      <c r="G525" s="1" t="s">
        <v>2999</v>
      </c>
      <c r="H525" t="s">
        <v>20</v>
      </c>
      <c r="I525" s="1" t="str">
        <f t="shared" si="33"/>
        <v>Male</v>
      </c>
      <c r="J525" s="3">
        <v>22</v>
      </c>
      <c r="K525" s="3" t="str" cm="1">
        <f t="array" ref="K525">_xlfn.IFS(J525&lt;=13,"Child",J525&lt;=18,"Teenager",J525&lt;=30,"Young Adult",J525&lt;=50,"Middle Aged Adult",J525&gt;50,"Senior")</f>
        <v>Young Adult</v>
      </c>
      <c r="L525">
        <v>0</v>
      </c>
      <c r="M525">
        <v>0</v>
      </c>
      <c r="N525" s="1">
        <f t="shared" si="34"/>
        <v>1</v>
      </c>
      <c r="O525" s="1" t="str">
        <f t="shared" si="35"/>
        <v>Single</v>
      </c>
      <c r="P525">
        <v>10.5</v>
      </c>
      <c r="Q525" s="1" t="str" cm="1">
        <f t="array" ref="Q525">_xlfn.IFS(P525&lt;=50,"Low",P525&lt;=100,"Medium",P525&gt;100,"High")</f>
        <v>Low</v>
      </c>
      <c r="R525" t="s">
        <v>17</v>
      </c>
      <c r="S525" s="1" t="str" cm="1">
        <f t="array" ref="S525">_xlfn.IFS(R525="S","Southampton",R525="C","Cherbourg",R525="Q","Queenstown")</f>
        <v>Southampton</v>
      </c>
    </row>
    <row r="526" spans="1:19" x14ac:dyDescent="0.3">
      <c r="A526">
        <v>525</v>
      </c>
      <c r="B526">
        <v>2</v>
      </c>
      <c r="C526" s="1" t="str" cm="1">
        <f t="array" ref="C526">_xlfn.IFS(B526=1,"First Class",B526=2,"Second Class",B526=3,"Third Class")</f>
        <v>Second Class</v>
      </c>
      <c r="D526">
        <v>1</v>
      </c>
      <c r="E526" s="1" t="str">
        <f t="shared" si="32"/>
        <v>Alive</v>
      </c>
      <c r="F526" t="s">
        <v>1046</v>
      </c>
      <c r="G526" s="1" t="s">
        <v>2999</v>
      </c>
      <c r="H526" t="s">
        <v>20</v>
      </c>
      <c r="I526" s="1" t="str">
        <f t="shared" si="33"/>
        <v>Male</v>
      </c>
      <c r="J526" s="3">
        <v>29.881137667304014</v>
      </c>
      <c r="K526" s="3" t="str" cm="1">
        <f t="array" ref="K526">_xlfn.IFS(J526&lt;=13,"Child",J526&lt;=18,"Teenager",J526&lt;=30,"Young Adult",J526&lt;=50,"Middle Aged Adult",J526&gt;50,"Senior")</f>
        <v>Young Adult</v>
      </c>
      <c r="L526">
        <v>0</v>
      </c>
      <c r="M526">
        <v>0</v>
      </c>
      <c r="N526" s="1">
        <f t="shared" si="34"/>
        <v>1</v>
      </c>
      <c r="O526" s="1" t="str">
        <f t="shared" si="35"/>
        <v>Single</v>
      </c>
      <c r="P526">
        <v>13.862500000000001</v>
      </c>
      <c r="Q526" s="1" t="str" cm="1">
        <f t="array" ref="Q526">_xlfn.IFS(P526&lt;=50,"Low",P526&lt;=100,"Medium",P526&gt;100,"High")</f>
        <v>Low</v>
      </c>
      <c r="R526" t="s">
        <v>41</v>
      </c>
      <c r="S526" s="1" t="str" cm="1">
        <f t="array" ref="S526">_xlfn.IFS(R526="S","Southampton",R526="C","Cherbourg",R526="Q","Queenstown")</f>
        <v>Cherbourg</v>
      </c>
    </row>
    <row r="527" spans="1:19" x14ac:dyDescent="0.3">
      <c r="A527">
        <v>526</v>
      </c>
      <c r="B527">
        <v>2</v>
      </c>
      <c r="C527" s="1" t="str" cm="1">
        <f t="array" ref="C527">_xlfn.IFS(B527=1,"First Class",B527=2,"Second Class",B527=3,"Third Class")</f>
        <v>Second Class</v>
      </c>
      <c r="D527">
        <v>0</v>
      </c>
      <c r="E527" s="1" t="str">
        <f t="shared" si="32"/>
        <v>Dead</v>
      </c>
      <c r="F527" t="s">
        <v>1049</v>
      </c>
      <c r="G527" s="1" t="s">
        <v>3040</v>
      </c>
      <c r="H527" t="s">
        <v>20</v>
      </c>
      <c r="I527" s="1" t="str">
        <f t="shared" si="33"/>
        <v>Male</v>
      </c>
      <c r="J527" s="3">
        <v>23</v>
      </c>
      <c r="K527" s="3" t="str" cm="1">
        <f t="array" ref="K527">_xlfn.IFS(J527&lt;=13,"Child",J527&lt;=18,"Teenager",J527&lt;=30,"Young Adult",J527&lt;=50,"Middle Aged Adult",J527&gt;50,"Senior")</f>
        <v>Young Adult</v>
      </c>
      <c r="L527">
        <v>0</v>
      </c>
      <c r="M527">
        <v>0</v>
      </c>
      <c r="N527" s="1">
        <f t="shared" si="34"/>
        <v>1</v>
      </c>
      <c r="O527" s="1" t="str">
        <f t="shared" si="35"/>
        <v>Single</v>
      </c>
      <c r="P527">
        <v>10.5</v>
      </c>
      <c r="Q527" s="1" t="str" cm="1">
        <f t="array" ref="Q527">_xlfn.IFS(P527&lt;=50,"Low",P527&lt;=100,"Medium",P527&gt;100,"High")</f>
        <v>Low</v>
      </c>
      <c r="R527" t="s">
        <v>17</v>
      </c>
      <c r="S527" s="1" t="str" cm="1">
        <f t="array" ref="S527">_xlfn.IFS(R527="S","Southampton",R527="C","Cherbourg",R527="Q","Queenstown")</f>
        <v>Southampton</v>
      </c>
    </row>
    <row r="528" spans="1:19" x14ac:dyDescent="0.3">
      <c r="A528">
        <v>527</v>
      </c>
      <c r="B528">
        <v>2</v>
      </c>
      <c r="C528" s="1" t="str" cm="1">
        <f t="array" ref="C528">_xlfn.IFS(B528=1,"First Class",B528=2,"Second Class",B528=3,"Third Class")</f>
        <v>Second Class</v>
      </c>
      <c r="D528">
        <v>1</v>
      </c>
      <c r="E528" s="1" t="str">
        <f t="shared" si="32"/>
        <v>Alive</v>
      </c>
      <c r="F528" t="s">
        <v>1051</v>
      </c>
      <c r="G528" s="1" t="s">
        <v>2999</v>
      </c>
      <c r="H528" t="s">
        <v>20</v>
      </c>
      <c r="I528" s="1" t="str">
        <f t="shared" si="33"/>
        <v>Male</v>
      </c>
      <c r="J528" s="3">
        <v>29</v>
      </c>
      <c r="K528" s="3" t="str" cm="1">
        <f t="array" ref="K528">_xlfn.IFS(J528&lt;=13,"Child",J528&lt;=18,"Teenager",J528&lt;=30,"Young Adult",J528&lt;=50,"Middle Aged Adult",J528&gt;50,"Senior")</f>
        <v>Young Adult</v>
      </c>
      <c r="L528">
        <v>0</v>
      </c>
      <c r="M528">
        <v>0</v>
      </c>
      <c r="N528" s="1">
        <f t="shared" si="34"/>
        <v>1</v>
      </c>
      <c r="O528" s="1" t="str">
        <f t="shared" si="35"/>
        <v>Single</v>
      </c>
      <c r="P528">
        <v>13.8583</v>
      </c>
      <c r="Q528" s="1" t="str" cm="1">
        <f t="array" ref="Q528">_xlfn.IFS(P528&lt;=50,"Low",P528&lt;=100,"Medium",P528&gt;100,"High")</f>
        <v>Low</v>
      </c>
      <c r="R528" t="s">
        <v>41</v>
      </c>
      <c r="S528" s="1" t="str" cm="1">
        <f t="array" ref="S528">_xlfn.IFS(R528="S","Southampton",R528="C","Cherbourg",R528="Q","Queenstown")</f>
        <v>Cherbourg</v>
      </c>
    </row>
    <row r="529" spans="1:19" x14ac:dyDescent="0.3">
      <c r="A529">
        <v>528</v>
      </c>
      <c r="B529">
        <v>2</v>
      </c>
      <c r="C529" s="1" t="str" cm="1">
        <f t="array" ref="C529">_xlfn.IFS(B529=1,"First Class",B529=2,"Second Class",B529=3,"Third Class")</f>
        <v>Second Class</v>
      </c>
      <c r="D529">
        <v>0</v>
      </c>
      <c r="E529" s="1" t="str">
        <f t="shared" si="32"/>
        <v>Dead</v>
      </c>
      <c r="F529" t="s">
        <v>1053</v>
      </c>
      <c r="G529" s="1" t="s">
        <v>2999</v>
      </c>
      <c r="H529" t="s">
        <v>20</v>
      </c>
      <c r="I529" s="1" t="str">
        <f t="shared" si="33"/>
        <v>Male</v>
      </c>
      <c r="J529" s="3">
        <v>28</v>
      </c>
      <c r="K529" s="3" t="str" cm="1">
        <f t="array" ref="K529">_xlfn.IFS(J529&lt;=13,"Child",J529&lt;=18,"Teenager",J529&lt;=30,"Young Adult",J529&lt;=50,"Middle Aged Adult",J529&gt;50,"Senior")</f>
        <v>Young Adult</v>
      </c>
      <c r="L529">
        <v>0</v>
      </c>
      <c r="M529">
        <v>0</v>
      </c>
      <c r="N529" s="1">
        <f t="shared" si="34"/>
        <v>1</v>
      </c>
      <c r="O529" s="1" t="str">
        <f t="shared" si="35"/>
        <v>Single</v>
      </c>
      <c r="P529">
        <v>10.5</v>
      </c>
      <c r="Q529" s="1" t="str" cm="1">
        <f t="array" ref="Q529">_xlfn.IFS(P529&lt;=50,"Low",P529&lt;=100,"Medium",P529&gt;100,"High")</f>
        <v>Low</v>
      </c>
      <c r="R529" t="s">
        <v>17</v>
      </c>
      <c r="S529" s="1" t="str" cm="1">
        <f t="array" ref="S529">_xlfn.IFS(R529="S","Southampton",R529="C","Cherbourg",R529="Q","Queenstown")</f>
        <v>Southampton</v>
      </c>
    </row>
    <row r="530" spans="1:19" x14ac:dyDescent="0.3">
      <c r="A530">
        <v>529</v>
      </c>
      <c r="B530">
        <v>2</v>
      </c>
      <c r="C530" s="1" t="str" cm="1">
        <f t="array" ref="C530">_xlfn.IFS(B530=1,"First Class",B530=2,"Second Class",B530=3,"Third Class")</f>
        <v>Second Class</v>
      </c>
      <c r="D530">
        <v>0</v>
      </c>
      <c r="E530" s="1" t="str">
        <f t="shared" si="32"/>
        <v>Dead</v>
      </c>
      <c r="F530" t="s">
        <v>1056</v>
      </c>
      <c r="G530" s="1" t="s">
        <v>2999</v>
      </c>
      <c r="H530" t="s">
        <v>20</v>
      </c>
      <c r="I530" s="1" t="str">
        <f t="shared" si="33"/>
        <v>Male</v>
      </c>
      <c r="J530" s="3">
        <v>29.881137667304014</v>
      </c>
      <c r="K530" s="3" t="str" cm="1">
        <f t="array" ref="K530">_xlfn.IFS(J530&lt;=13,"Child",J530&lt;=18,"Teenager",J530&lt;=30,"Young Adult",J530&lt;=50,"Middle Aged Adult",J530&gt;50,"Senior")</f>
        <v>Young Adult</v>
      </c>
      <c r="L530">
        <v>0</v>
      </c>
      <c r="M530">
        <v>0</v>
      </c>
      <c r="N530" s="1">
        <f t="shared" si="34"/>
        <v>1</v>
      </c>
      <c r="O530" s="1" t="str">
        <f t="shared" si="35"/>
        <v>Single</v>
      </c>
      <c r="P530">
        <v>0</v>
      </c>
      <c r="Q530" s="1" t="str" cm="1">
        <f t="array" ref="Q530">_xlfn.IFS(P530&lt;=50,"Low",P530&lt;=100,"Medium",P530&gt;100,"High")</f>
        <v>Low</v>
      </c>
      <c r="R530" t="s">
        <v>17</v>
      </c>
      <c r="S530" s="1" t="str" cm="1">
        <f t="array" ref="S530">_xlfn.IFS(R530="S","Southampton",R530="C","Cherbourg",R530="Q","Queenstown")</f>
        <v>Southampton</v>
      </c>
    </row>
    <row r="531" spans="1:19" x14ac:dyDescent="0.3">
      <c r="A531">
        <v>530</v>
      </c>
      <c r="B531">
        <v>2</v>
      </c>
      <c r="C531" s="1" t="str" cm="1">
        <f t="array" ref="C531">_xlfn.IFS(B531=1,"First Class",B531=2,"Second Class",B531=3,"Third Class")</f>
        <v>Second Class</v>
      </c>
      <c r="D531">
        <v>1</v>
      </c>
      <c r="E531" s="1" t="str">
        <f t="shared" si="32"/>
        <v>Alive</v>
      </c>
      <c r="F531" t="s">
        <v>1057</v>
      </c>
      <c r="G531" s="1" t="s">
        <v>3001</v>
      </c>
      <c r="H531" t="s">
        <v>15</v>
      </c>
      <c r="I531" s="1" t="str">
        <f t="shared" si="33"/>
        <v>Female</v>
      </c>
      <c r="J531" s="3">
        <v>50</v>
      </c>
      <c r="K531" s="3" t="str" cm="1">
        <f t="array" ref="K531">_xlfn.IFS(J531&lt;=13,"Child",J531&lt;=18,"Teenager",J531&lt;=30,"Young Adult",J531&lt;=50,"Middle Aged Adult",J531&gt;50,"Senior")</f>
        <v>Middle Aged Adult</v>
      </c>
      <c r="L531">
        <v>0</v>
      </c>
      <c r="M531">
        <v>1</v>
      </c>
      <c r="N531" s="1">
        <f t="shared" si="34"/>
        <v>2</v>
      </c>
      <c r="O531" s="1" t="str">
        <f t="shared" si="35"/>
        <v>With Family</v>
      </c>
      <c r="P531">
        <v>26</v>
      </c>
      <c r="Q531" s="1" t="str" cm="1">
        <f t="array" ref="Q531">_xlfn.IFS(P531&lt;=50,"Low",P531&lt;=100,"Medium",P531&gt;100,"High")</f>
        <v>Low</v>
      </c>
      <c r="R531" t="s">
        <v>17</v>
      </c>
      <c r="S531" s="1" t="str" cm="1">
        <f t="array" ref="S531">_xlfn.IFS(R531="S","Southampton",R531="C","Cherbourg",R531="Q","Queenstown")</f>
        <v>Southampton</v>
      </c>
    </row>
    <row r="532" spans="1:19" x14ac:dyDescent="0.3">
      <c r="A532">
        <v>531</v>
      </c>
      <c r="B532">
        <v>2</v>
      </c>
      <c r="C532" s="1" t="str" cm="1">
        <f t="array" ref="C532">_xlfn.IFS(B532=1,"First Class",B532=2,"Second Class",B532=3,"Third Class")</f>
        <v>Second Class</v>
      </c>
      <c r="D532">
        <v>0</v>
      </c>
      <c r="E532" s="1" t="str">
        <f t="shared" si="32"/>
        <v>Dead</v>
      </c>
      <c r="F532" t="s">
        <v>1059</v>
      </c>
      <c r="G532" s="1" t="s">
        <v>2999</v>
      </c>
      <c r="H532" t="s">
        <v>20</v>
      </c>
      <c r="I532" s="1" t="str">
        <f t="shared" si="33"/>
        <v>Male</v>
      </c>
      <c r="J532" s="3">
        <v>19</v>
      </c>
      <c r="K532" s="3" t="str" cm="1">
        <f t="array" ref="K532">_xlfn.IFS(J532&lt;=13,"Child",J532&lt;=18,"Teenager",J532&lt;=30,"Young Adult",J532&lt;=50,"Middle Aged Adult",J532&gt;50,"Senior")</f>
        <v>Young Adult</v>
      </c>
      <c r="L532">
        <v>0</v>
      </c>
      <c r="M532">
        <v>0</v>
      </c>
      <c r="N532" s="1">
        <f t="shared" si="34"/>
        <v>1</v>
      </c>
      <c r="O532" s="1" t="str">
        <f t="shared" si="35"/>
        <v>Single</v>
      </c>
      <c r="P532">
        <v>10.5</v>
      </c>
      <c r="Q532" s="1" t="str" cm="1">
        <f t="array" ref="Q532">_xlfn.IFS(P532&lt;=50,"Low",P532&lt;=100,"Medium",P532&gt;100,"High")</f>
        <v>Low</v>
      </c>
      <c r="R532" t="s">
        <v>17</v>
      </c>
      <c r="S532" s="1" t="str" cm="1">
        <f t="array" ref="S532">_xlfn.IFS(R532="S","Southampton",R532="C","Cherbourg",R532="Q","Queenstown")</f>
        <v>Southampton</v>
      </c>
    </row>
    <row r="533" spans="1:19" x14ac:dyDescent="0.3">
      <c r="A533">
        <v>532</v>
      </c>
      <c r="B533">
        <v>2</v>
      </c>
      <c r="C533" s="1" t="str" cm="1">
        <f t="array" ref="C533">_xlfn.IFS(B533=1,"First Class",B533=2,"Second Class",B533=3,"Third Class")</f>
        <v>Second Class</v>
      </c>
      <c r="D533">
        <v>0</v>
      </c>
      <c r="E533" s="1" t="str">
        <f t="shared" si="32"/>
        <v>Dead</v>
      </c>
      <c r="F533" t="s">
        <v>1061</v>
      </c>
      <c r="G533" s="1" t="s">
        <v>2999</v>
      </c>
      <c r="H533" t="s">
        <v>20</v>
      </c>
      <c r="I533" s="1" t="str">
        <f t="shared" si="33"/>
        <v>Male</v>
      </c>
      <c r="J533" s="3">
        <v>29.881137667304014</v>
      </c>
      <c r="K533" s="3" t="str" cm="1">
        <f t="array" ref="K533">_xlfn.IFS(J533&lt;=13,"Child",J533&lt;=18,"Teenager",J533&lt;=30,"Young Adult",J533&lt;=50,"Middle Aged Adult",J533&gt;50,"Senior")</f>
        <v>Young Adult</v>
      </c>
      <c r="L533">
        <v>0</v>
      </c>
      <c r="M533">
        <v>0</v>
      </c>
      <c r="N533" s="1">
        <f t="shared" si="34"/>
        <v>1</v>
      </c>
      <c r="O533" s="1" t="str">
        <f t="shared" si="35"/>
        <v>Single</v>
      </c>
      <c r="P533">
        <v>15.05</v>
      </c>
      <c r="Q533" s="1" t="str" cm="1">
        <f t="array" ref="Q533">_xlfn.IFS(P533&lt;=50,"Low",P533&lt;=100,"Medium",P533&gt;100,"High")</f>
        <v>Low</v>
      </c>
      <c r="R533" t="s">
        <v>41</v>
      </c>
      <c r="S533" s="1" t="str" cm="1">
        <f t="array" ref="S533">_xlfn.IFS(R533="S","Southampton",R533="C","Cherbourg",R533="Q","Queenstown")</f>
        <v>Cherbourg</v>
      </c>
    </row>
    <row r="534" spans="1:19" x14ac:dyDescent="0.3">
      <c r="A534">
        <v>533</v>
      </c>
      <c r="B534">
        <v>2</v>
      </c>
      <c r="C534" s="1" t="str" cm="1">
        <f t="array" ref="C534">_xlfn.IFS(B534=1,"First Class",B534=2,"Second Class",B534=3,"Third Class")</f>
        <v>Second Class</v>
      </c>
      <c r="D534">
        <v>0</v>
      </c>
      <c r="E534" s="1" t="str">
        <f t="shared" si="32"/>
        <v>Dead</v>
      </c>
      <c r="F534" t="s">
        <v>1063</v>
      </c>
      <c r="G534" s="1" t="s">
        <v>3338</v>
      </c>
      <c r="H534" t="s">
        <v>20</v>
      </c>
      <c r="I534" s="1" t="str">
        <f t="shared" si="33"/>
        <v>Male</v>
      </c>
      <c r="J534" s="3">
        <v>41</v>
      </c>
      <c r="K534" s="3" t="str" cm="1">
        <f t="array" ref="K534">_xlfn.IFS(J534&lt;=13,"Child",J534&lt;=18,"Teenager",J534&lt;=30,"Young Adult",J534&lt;=50,"Middle Aged Adult",J534&gt;50,"Senior")</f>
        <v>Middle Aged Adult</v>
      </c>
      <c r="L534">
        <v>0</v>
      </c>
      <c r="M534">
        <v>0</v>
      </c>
      <c r="N534" s="1">
        <f t="shared" si="34"/>
        <v>1</v>
      </c>
      <c r="O534" s="1" t="str">
        <f t="shared" si="35"/>
        <v>Single</v>
      </c>
      <c r="P534">
        <v>13</v>
      </c>
      <c r="Q534" s="1" t="str" cm="1">
        <f t="array" ref="Q534">_xlfn.IFS(P534&lt;=50,"Low",P534&lt;=100,"Medium",P534&gt;100,"High")</f>
        <v>Low</v>
      </c>
      <c r="R534" t="s">
        <v>17</v>
      </c>
      <c r="S534" s="1" t="str" cm="1">
        <f t="array" ref="S534">_xlfn.IFS(R534="S","Southampton",R534="C","Cherbourg",R534="Q","Queenstown")</f>
        <v>Southampton</v>
      </c>
    </row>
    <row r="535" spans="1:19" x14ac:dyDescent="0.3">
      <c r="A535">
        <v>534</v>
      </c>
      <c r="B535">
        <v>2</v>
      </c>
      <c r="C535" s="1" t="str" cm="1">
        <f t="array" ref="C535">_xlfn.IFS(B535=1,"First Class",B535=2,"Second Class",B535=3,"Third Class")</f>
        <v>Second Class</v>
      </c>
      <c r="D535">
        <v>1</v>
      </c>
      <c r="E535" s="1" t="str">
        <f t="shared" si="32"/>
        <v>Alive</v>
      </c>
      <c r="F535" t="s">
        <v>1064</v>
      </c>
      <c r="G535" s="1" t="s">
        <v>2994</v>
      </c>
      <c r="H535" t="s">
        <v>15</v>
      </c>
      <c r="I535" s="1" t="str">
        <f t="shared" si="33"/>
        <v>Female</v>
      </c>
      <c r="J535" s="3">
        <v>21</v>
      </c>
      <c r="K535" s="3" t="str" cm="1">
        <f t="array" ref="K535">_xlfn.IFS(J535&lt;=13,"Child",J535&lt;=18,"Teenager",J535&lt;=30,"Young Adult",J535&lt;=50,"Middle Aged Adult",J535&gt;50,"Senior")</f>
        <v>Young Adult</v>
      </c>
      <c r="L535">
        <v>0</v>
      </c>
      <c r="M535">
        <v>1</v>
      </c>
      <c r="N535" s="1">
        <f t="shared" si="34"/>
        <v>2</v>
      </c>
      <c r="O535" s="1" t="str">
        <f t="shared" si="35"/>
        <v>With Family</v>
      </c>
      <c r="P535">
        <v>21</v>
      </c>
      <c r="Q535" s="1" t="str" cm="1">
        <f t="array" ref="Q535">_xlfn.IFS(P535&lt;=50,"Low",P535&lt;=100,"Medium",P535&gt;100,"High")</f>
        <v>Low</v>
      </c>
      <c r="R535" t="s">
        <v>17</v>
      </c>
      <c r="S535" s="1" t="str" cm="1">
        <f t="array" ref="S535">_xlfn.IFS(R535="S","Southampton",R535="C","Cherbourg",R535="Q","Queenstown")</f>
        <v>Southampton</v>
      </c>
    </row>
    <row r="536" spans="1:19" x14ac:dyDescent="0.3">
      <c r="A536">
        <v>535</v>
      </c>
      <c r="B536">
        <v>2</v>
      </c>
      <c r="C536" s="1" t="str" cm="1">
        <f t="array" ref="C536">_xlfn.IFS(B536=1,"First Class",B536=2,"Second Class",B536=3,"Third Class")</f>
        <v>Second Class</v>
      </c>
      <c r="D536">
        <v>1</v>
      </c>
      <c r="E536" s="1" t="str">
        <f t="shared" si="32"/>
        <v>Alive</v>
      </c>
      <c r="F536" t="s">
        <v>1067</v>
      </c>
      <c r="G536" s="1" t="s">
        <v>2994</v>
      </c>
      <c r="H536" t="s">
        <v>15</v>
      </c>
      <c r="I536" s="1" t="str">
        <f t="shared" si="33"/>
        <v>Female</v>
      </c>
      <c r="J536" s="3">
        <v>19</v>
      </c>
      <c r="K536" s="3" t="str" cm="1">
        <f t="array" ref="K536">_xlfn.IFS(J536&lt;=13,"Child",J536&lt;=18,"Teenager",J536&lt;=30,"Young Adult",J536&lt;=50,"Middle Aged Adult",J536&gt;50,"Senior")</f>
        <v>Young Adult</v>
      </c>
      <c r="L536">
        <v>0</v>
      </c>
      <c r="M536">
        <v>0</v>
      </c>
      <c r="N536" s="1">
        <f t="shared" si="34"/>
        <v>1</v>
      </c>
      <c r="O536" s="1" t="str">
        <f t="shared" si="35"/>
        <v>Single</v>
      </c>
      <c r="P536">
        <v>26</v>
      </c>
      <c r="Q536" s="1" t="str" cm="1">
        <f t="array" ref="Q536">_xlfn.IFS(P536&lt;=50,"Low",P536&lt;=100,"Medium",P536&gt;100,"High")</f>
        <v>Low</v>
      </c>
      <c r="R536" t="s">
        <v>17</v>
      </c>
      <c r="S536" s="1" t="str" cm="1">
        <f t="array" ref="S536">_xlfn.IFS(R536="S","Southampton",R536="C","Cherbourg",R536="Q","Queenstown")</f>
        <v>Southampton</v>
      </c>
    </row>
    <row r="537" spans="1:19" x14ac:dyDescent="0.3">
      <c r="A537">
        <v>536</v>
      </c>
      <c r="B537">
        <v>2</v>
      </c>
      <c r="C537" s="1" t="str" cm="1">
        <f t="array" ref="C537">_xlfn.IFS(B537=1,"First Class",B537=2,"Second Class",B537=3,"Third Class")</f>
        <v>Second Class</v>
      </c>
      <c r="D537">
        <v>0</v>
      </c>
      <c r="E537" s="1" t="str">
        <f t="shared" si="32"/>
        <v>Dead</v>
      </c>
      <c r="F537" t="s">
        <v>1069</v>
      </c>
      <c r="G537" s="1" t="s">
        <v>2999</v>
      </c>
      <c r="H537" t="s">
        <v>20</v>
      </c>
      <c r="I537" s="1" t="str">
        <f t="shared" si="33"/>
        <v>Male</v>
      </c>
      <c r="J537" s="3">
        <v>43</v>
      </c>
      <c r="K537" s="3" t="str" cm="1">
        <f t="array" ref="K537">_xlfn.IFS(J537&lt;=13,"Child",J537&lt;=18,"Teenager",J537&lt;=30,"Young Adult",J537&lt;=50,"Middle Aged Adult",J537&gt;50,"Senior")</f>
        <v>Middle Aged Adult</v>
      </c>
      <c r="L537">
        <v>0</v>
      </c>
      <c r="M537">
        <v>1</v>
      </c>
      <c r="N537" s="1">
        <f t="shared" si="34"/>
        <v>2</v>
      </c>
      <c r="O537" s="1" t="str">
        <f t="shared" si="35"/>
        <v>With Family</v>
      </c>
      <c r="P537">
        <v>21</v>
      </c>
      <c r="Q537" s="1" t="str" cm="1">
        <f t="array" ref="Q537">_xlfn.IFS(P537&lt;=50,"Low",P537&lt;=100,"Medium",P537&gt;100,"High")</f>
        <v>Low</v>
      </c>
      <c r="R537" t="s">
        <v>17</v>
      </c>
      <c r="S537" s="1" t="str" cm="1">
        <f t="array" ref="S537">_xlfn.IFS(R537="S","Southampton",R537="C","Cherbourg",R537="Q","Queenstown")</f>
        <v>Southampton</v>
      </c>
    </row>
    <row r="538" spans="1:19" x14ac:dyDescent="0.3">
      <c r="A538">
        <v>537</v>
      </c>
      <c r="B538">
        <v>2</v>
      </c>
      <c r="C538" s="1" t="str" cm="1">
        <f t="array" ref="C538">_xlfn.IFS(B538=1,"First Class",B538=2,"Second Class",B538=3,"Third Class")</f>
        <v>Second Class</v>
      </c>
      <c r="D538">
        <v>1</v>
      </c>
      <c r="E538" s="1" t="str">
        <f t="shared" si="32"/>
        <v>Alive</v>
      </c>
      <c r="F538" t="s">
        <v>1070</v>
      </c>
      <c r="G538" s="1" t="s">
        <v>3001</v>
      </c>
      <c r="H538" t="s">
        <v>15</v>
      </c>
      <c r="I538" s="1" t="str">
        <f t="shared" si="33"/>
        <v>Female</v>
      </c>
      <c r="J538" s="3">
        <v>32</v>
      </c>
      <c r="K538" s="3" t="str" cm="1">
        <f t="array" ref="K538">_xlfn.IFS(J538&lt;=13,"Child",J538&lt;=18,"Teenager",J538&lt;=30,"Young Adult",J538&lt;=50,"Middle Aged Adult",J538&gt;50,"Senior")</f>
        <v>Middle Aged Adult</v>
      </c>
      <c r="L538">
        <v>0</v>
      </c>
      <c r="M538">
        <v>0</v>
      </c>
      <c r="N538" s="1">
        <f t="shared" si="34"/>
        <v>1</v>
      </c>
      <c r="O538" s="1" t="str">
        <f t="shared" si="35"/>
        <v>Single</v>
      </c>
      <c r="P538">
        <v>13</v>
      </c>
      <c r="Q538" s="1" t="str" cm="1">
        <f t="array" ref="Q538">_xlfn.IFS(P538&lt;=50,"Low",P538&lt;=100,"Medium",P538&gt;100,"High")</f>
        <v>Low</v>
      </c>
      <c r="R538" t="s">
        <v>17</v>
      </c>
      <c r="S538" s="1" t="str" cm="1">
        <f t="array" ref="S538">_xlfn.IFS(R538="S","Southampton",R538="C","Cherbourg",R538="Q","Queenstown")</f>
        <v>Southampton</v>
      </c>
    </row>
    <row r="539" spans="1:19" x14ac:dyDescent="0.3">
      <c r="A539">
        <v>538</v>
      </c>
      <c r="B539">
        <v>2</v>
      </c>
      <c r="C539" s="1" t="str" cm="1">
        <f t="array" ref="C539">_xlfn.IFS(B539=1,"First Class",B539=2,"Second Class",B539=3,"Third Class")</f>
        <v>Second Class</v>
      </c>
      <c r="D539">
        <v>0</v>
      </c>
      <c r="E539" s="1" t="str">
        <f t="shared" si="32"/>
        <v>Dead</v>
      </c>
      <c r="F539" t="s">
        <v>1072</v>
      </c>
      <c r="G539" s="1" t="s">
        <v>2999</v>
      </c>
      <c r="H539" t="s">
        <v>20</v>
      </c>
      <c r="I539" s="1" t="str">
        <f t="shared" si="33"/>
        <v>Male</v>
      </c>
      <c r="J539" s="3">
        <v>34</v>
      </c>
      <c r="K539" s="3" t="str" cm="1">
        <f t="array" ref="K539">_xlfn.IFS(J539&lt;=13,"Child",J539&lt;=18,"Teenager",J539&lt;=30,"Young Adult",J539&lt;=50,"Middle Aged Adult",J539&gt;50,"Senior")</f>
        <v>Middle Aged Adult</v>
      </c>
      <c r="L539">
        <v>0</v>
      </c>
      <c r="M539">
        <v>0</v>
      </c>
      <c r="N539" s="1">
        <f t="shared" si="34"/>
        <v>1</v>
      </c>
      <c r="O539" s="1" t="str">
        <f t="shared" si="35"/>
        <v>Single</v>
      </c>
      <c r="P539">
        <v>13</v>
      </c>
      <c r="Q539" s="1" t="str" cm="1">
        <f t="array" ref="Q539">_xlfn.IFS(P539&lt;=50,"Low",P539&lt;=100,"Medium",P539&gt;100,"High")</f>
        <v>Low</v>
      </c>
      <c r="R539" t="s">
        <v>17</v>
      </c>
      <c r="S539" s="1" t="str" cm="1">
        <f t="array" ref="S539">_xlfn.IFS(R539="S","Southampton",R539="C","Cherbourg",R539="Q","Queenstown")</f>
        <v>Southampton</v>
      </c>
    </row>
    <row r="540" spans="1:19" x14ac:dyDescent="0.3">
      <c r="A540">
        <v>539</v>
      </c>
      <c r="B540">
        <v>2</v>
      </c>
      <c r="C540" s="1" t="str" cm="1">
        <f t="array" ref="C540">_xlfn.IFS(B540=1,"First Class",B540=2,"Second Class",B540=3,"Third Class")</f>
        <v>Second Class</v>
      </c>
      <c r="D540">
        <v>1</v>
      </c>
      <c r="E540" s="1" t="str">
        <f t="shared" si="32"/>
        <v>Alive</v>
      </c>
      <c r="F540" t="s">
        <v>1074</v>
      </c>
      <c r="G540" s="1" t="s">
        <v>2999</v>
      </c>
      <c r="H540" t="s">
        <v>20</v>
      </c>
      <c r="I540" s="1" t="str">
        <f t="shared" si="33"/>
        <v>Male</v>
      </c>
      <c r="J540" s="3">
        <v>30</v>
      </c>
      <c r="K540" s="3" t="str" cm="1">
        <f t="array" ref="K540">_xlfn.IFS(J540&lt;=13,"Child",J540&lt;=18,"Teenager",J540&lt;=30,"Young Adult",J540&lt;=50,"Middle Aged Adult",J540&gt;50,"Senior")</f>
        <v>Young Adult</v>
      </c>
      <c r="L540">
        <v>0</v>
      </c>
      <c r="M540">
        <v>0</v>
      </c>
      <c r="N540" s="1">
        <f t="shared" si="34"/>
        <v>1</v>
      </c>
      <c r="O540" s="1" t="str">
        <f t="shared" si="35"/>
        <v>Single</v>
      </c>
      <c r="P540">
        <v>12.737500000000001</v>
      </c>
      <c r="Q540" s="1" t="str" cm="1">
        <f t="array" ref="Q540">_xlfn.IFS(P540&lt;=50,"Low",P540&lt;=100,"Medium",P540&gt;100,"High")</f>
        <v>Low</v>
      </c>
      <c r="R540" t="s">
        <v>41</v>
      </c>
      <c r="S540" s="1" t="str" cm="1">
        <f t="array" ref="S540">_xlfn.IFS(R540="S","Southampton",R540="C","Cherbourg",R540="Q","Queenstown")</f>
        <v>Cherbourg</v>
      </c>
    </row>
    <row r="541" spans="1:19" x14ac:dyDescent="0.3">
      <c r="A541">
        <v>540</v>
      </c>
      <c r="B541">
        <v>2</v>
      </c>
      <c r="C541" s="1" t="str" cm="1">
        <f t="array" ref="C541">_xlfn.IFS(B541=1,"First Class",B541=2,"Second Class",B541=3,"Third Class")</f>
        <v>Second Class</v>
      </c>
      <c r="D541">
        <v>0</v>
      </c>
      <c r="E541" s="1" t="str">
        <f t="shared" si="32"/>
        <v>Dead</v>
      </c>
      <c r="F541" t="s">
        <v>1077</v>
      </c>
      <c r="G541" s="1" t="s">
        <v>2999</v>
      </c>
      <c r="H541" t="s">
        <v>20</v>
      </c>
      <c r="I541" s="1" t="str">
        <f t="shared" si="33"/>
        <v>Male</v>
      </c>
      <c r="J541" s="3">
        <v>27</v>
      </c>
      <c r="K541" s="3" t="str" cm="1">
        <f t="array" ref="K541">_xlfn.IFS(J541&lt;=13,"Child",J541&lt;=18,"Teenager",J541&lt;=30,"Young Adult",J541&lt;=50,"Middle Aged Adult",J541&gt;50,"Senior")</f>
        <v>Young Adult</v>
      </c>
      <c r="L541">
        <v>0</v>
      </c>
      <c r="M541">
        <v>0</v>
      </c>
      <c r="N541" s="1">
        <f t="shared" si="34"/>
        <v>1</v>
      </c>
      <c r="O541" s="1" t="str">
        <f t="shared" si="35"/>
        <v>Single</v>
      </c>
      <c r="P541">
        <v>15.033300000000001</v>
      </c>
      <c r="Q541" s="1" t="str" cm="1">
        <f t="array" ref="Q541">_xlfn.IFS(P541&lt;=50,"Low",P541&lt;=100,"Medium",P541&gt;100,"High")</f>
        <v>Low</v>
      </c>
      <c r="R541" t="s">
        <v>41</v>
      </c>
      <c r="S541" s="1" t="str" cm="1">
        <f t="array" ref="S541">_xlfn.IFS(R541="S","Southampton",R541="C","Cherbourg",R541="Q","Queenstown")</f>
        <v>Cherbourg</v>
      </c>
    </row>
    <row r="542" spans="1:19" x14ac:dyDescent="0.3">
      <c r="A542">
        <v>541</v>
      </c>
      <c r="B542">
        <v>2</v>
      </c>
      <c r="C542" s="1" t="str" cm="1">
        <f t="array" ref="C542">_xlfn.IFS(B542=1,"First Class",B542=2,"Second Class",B542=3,"Third Class")</f>
        <v>Second Class</v>
      </c>
      <c r="D542">
        <v>1</v>
      </c>
      <c r="E542" s="1" t="str">
        <f t="shared" si="32"/>
        <v>Alive</v>
      </c>
      <c r="F542" t="s">
        <v>1079</v>
      </c>
      <c r="G542" s="1" t="s">
        <v>2994</v>
      </c>
      <c r="H542" t="s">
        <v>15</v>
      </c>
      <c r="I542" s="1" t="str">
        <f t="shared" si="33"/>
        <v>Female</v>
      </c>
      <c r="J542" s="3">
        <v>2</v>
      </c>
      <c r="K542" s="3" t="str" cm="1">
        <f t="array" ref="K542">_xlfn.IFS(J542&lt;=13,"Child",J542&lt;=18,"Teenager",J542&lt;=30,"Young Adult",J542&lt;=50,"Middle Aged Adult",J542&gt;50,"Senior")</f>
        <v>Child</v>
      </c>
      <c r="L542">
        <v>1</v>
      </c>
      <c r="M542">
        <v>1</v>
      </c>
      <c r="N542" s="1">
        <f t="shared" si="34"/>
        <v>3</v>
      </c>
      <c r="O542" s="1" t="str">
        <f t="shared" si="35"/>
        <v>With Family</v>
      </c>
      <c r="P542">
        <v>26</v>
      </c>
      <c r="Q542" s="1" t="str" cm="1">
        <f t="array" ref="Q542">_xlfn.IFS(P542&lt;=50,"Low",P542&lt;=100,"Medium",P542&gt;100,"High")</f>
        <v>Low</v>
      </c>
      <c r="R542" t="s">
        <v>17</v>
      </c>
      <c r="S542" s="1" t="str" cm="1">
        <f t="array" ref="S542">_xlfn.IFS(R542="S","Southampton",R542="C","Cherbourg",R542="Q","Queenstown")</f>
        <v>Southampton</v>
      </c>
    </row>
    <row r="543" spans="1:19" x14ac:dyDescent="0.3">
      <c r="A543">
        <v>542</v>
      </c>
      <c r="B543">
        <v>2</v>
      </c>
      <c r="C543" s="1" t="str" cm="1">
        <f t="array" ref="C543">_xlfn.IFS(B543=1,"First Class",B543=2,"Second Class",B543=3,"Third Class")</f>
        <v>Second Class</v>
      </c>
      <c r="D543">
        <v>1</v>
      </c>
      <c r="E543" s="1" t="str">
        <f t="shared" si="32"/>
        <v>Alive</v>
      </c>
      <c r="F543" t="s">
        <v>1081</v>
      </c>
      <c r="G543" s="1" t="s">
        <v>2994</v>
      </c>
      <c r="H543" t="s">
        <v>15</v>
      </c>
      <c r="I543" s="1" t="str">
        <f t="shared" si="33"/>
        <v>Female</v>
      </c>
      <c r="J543" s="3">
        <v>8</v>
      </c>
      <c r="K543" s="3" t="str" cm="1">
        <f t="array" ref="K543">_xlfn.IFS(J543&lt;=13,"Child",J543&lt;=18,"Teenager",J543&lt;=30,"Young Adult",J543&lt;=50,"Middle Aged Adult",J543&gt;50,"Senior")</f>
        <v>Child</v>
      </c>
      <c r="L543">
        <v>1</v>
      </c>
      <c r="M543">
        <v>1</v>
      </c>
      <c r="N543" s="1">
        <f t="shared" si="34"/>
        <v>3</v>
      </c>
      <c r="O543" s="1" t="str">
        <f t="shared" si="35"/>
        <v>With Family</v>
      </c>
      <c r="P543">
        <v>26</v>
      </c>
      <c r="Q543" s="1" t="str" cm="1">
        <f t="array" ref="Q543">_xlfn.IFS(P543&lt;=50,"Low",P543&lt;=100,"Medium",P543&gt;100,"High")</f>
        <v>Low</v>
      </c>
      <c r="R543" t="s">
        <v>17</v>
      </c>
      <c r="S543" s="1" t="str" cm="1">
        <f t="array" ref="S543">_xlfn.IFS(R543="S","Southampton",R543="C","Cherbourg",R543="Q","Queenstown")</f>
        <v>Southampton</v>
      </c>
    </row>
    <row r="544" spans="1:19" x14ac:dyDescent="0.3">
      <c r="A544">
        <v>543</v>
      </c>
      <c r="B544">
        <v>2</v>
      </c>
      <c r="C544" s="1" t="str" cm="1">
        <f t="array" ref="C544">_xlfn.IFS(B544=1,"First Class",B544=2,"Second Class",B544=3,"Third Class")</f>
        <v>Second Class</v>
      </c>
      <c r="D544">
        <v>1</v>
      </c>
      <c r="E544" s="1" t="str">
        <f t="shared" si="32"/>
        <v>Alive</v>
      </c>
      <c r="F544" t="s">
        <v>1082</v>
      </c>
      <c r="G544" s="1" t="s">
        <v>3001</v>
      </c>
      <c r="H544" t="s">
        <v>15</v>
      </c>
      <c r="I544" s="1" t="str">
        <f t="shared" si="33"/>
        <v>Female</v>
      </c>
      <c r="J544" s="3">
        <v>33</v>
      </c>
      <c r="K544" s="3" t="str" cm="1">
        <f t="array" ref="K544">_xlfn.IFS(J544&lt;=13,"Child",J544&lt;=18,"Teenager",J544&lt;=30,"Young Adult",J544&lt;=50,"Middle Aged Adult",J544&gt;50,"Senior")</f>
        <v>Middle Aged Adult</v>
      </c>
      <c r="L544">
        <v>0</v>
      </c>
      <c r="M544">
        <v>2</v>
      </c>
      <c r="N544" s="1">
        <f t="shared" si="34"/>
        <v>3</v>
      </c>
      <c r="O544" s="1" t="str">
        <f t="shared" si="35"/>
        <v>With Family</v>
      </c>
      <c r="P544">
        <v>26</v>
      </c>
      <c r="Q544" s="1" t="str" cm="1">
        <f t="array" ref="Q544">_xlfn.IFS(P544&lt;=50,"Low",P544&lt;=100,"Medium",P544&gt;100,"High")</f>
        <v>Low</v>
      </c>
      <c r="R544" t="s">
        <v>17</v>
      </c>
      <c r="S544" s="1" t="str" cm="1">
        <f t="array" ref="S544">_xlfn.IFS(R544="S","Southampton",R544="C","Cherbourg",R544="Q","Queenstown")</f>
        <v>Southampton</v>
      </c>
    </row>
    <row r="545" spans="1:19" x14ac:dyDescent="0.3">
      <c r="A545">
        <v>544</v>
      </c>
      <c r="B545">
        <v>2</v>
      </c>
      <c r="C545" s="1" t="str" cm="1">
        <f t="array" ref="C545">_xlfn.IFS(B545=1,"First Class",B545=2,"Second Class",B545=3,"Third Class")</f>
        <v>Second Class</v>
      </c>
      <c r="D545">
        <v>0</v>
      </c>
      <c r="E545" s="1" t="str">
        <f t="shared" si="32"/>
        <v>Dead</v>
      </c>
      <c r="F545" t="s">
        <v>1083</v>
      </c>
      <c r="G545" s="1" t="s">
        <v>2999</v>
      </c>
      <c r="H545" t="s">
        <v>20</v>
      </c>
      <c r="I545" s="1" t="str">
        <f t="shared" si="33"/>
        <v>Male</v>
      </c>
      <c r="J545" s="3">
        <v>36</v>
      </c>
      <c r="K545" s="3" t="str" cm="1">
        <f t="array" ref="K545">_xlfn.IFS(J545&lt;=13,"Child",J545&lt;=18,"Teenager",J545&lt;=30,"Young Adult",J545&lt;=50,"Middle Aged Adult",J545&gt;50,"Senior")</f>
        <v>Middle Aged Adult</v>
      </c>
      <c r="L545">
        <v>0</v>
      </c>
      <c r="M545">
        <v>0</v>
      </c>
      <c r="N545" s="1">
        <f t="shared" si="34"/>
        <v>1</v>
      </c>
      <c r="O545" s="1" t="str">
        <f t="shared" si="35"/>
        <v>Single</v>
      </c>
      <c r="P545">
        <v>10.5</v>
      </c>
      <c r="Q545" s="1" t="str" cm="1">
        <f t="array" ref="Q545">_xlfn.IFS(P545&lt;=50,"Low",P545&lt;=100,"Medium",P545&gt;100,"High")</f>
        <v>Low</v>
      </c>
      <c r="R545" t="s">
        <v>17</v>
      </c>
      <c r="S545" s="1" t="str" cm="1">
        <f t="array" ref="S545">_xlfn.IFS(R545="S","Southampton",R545="C","Cherbourg",R545="Q","Queenstown")</f>
        <v>Southampton</v>
      </c>
    </row>
    <row r="546" spans="1:19" x14ac:dyDescent="0.3">
      <c r="A546">
        <v>545</v>
      </c>
      <c r="B546">
        <v>2</v>
      </c>
      <c r="C546" s="1" t="str" cm="1">
        <f t="array" ref="C546">_xlfn.IFS(B546=1,"First Class",B546=2,"Second Class",B546=3,"Third Class")</f>
        <v>Second Class</v>
      </c>
      <c r="D546">
        <v>0</v>
      </c>
      <c r="E546" s="1" t="str">
        <f t="shared" si="32"/>
        <v>Dead</v>
      </c>
      <c r="F546" t="s">
        <v>1086</v>
      </c>
      <c r="G546" s="1" t="s">
        <v>2999</v>
      </c>
      <c r="H546" t="s">
        <v>20</v>
      </c>
      <c r="I546" s="1" t="str">
        <f t="shared" si="33"/>
        <v>Male</v>
      </c>
      <c r="J546" s="3">
        <v>34</v>
      </c>
      <c r="K546" s="3" t="str" cm="1">
        <f t="array" ref="K546">_xlfn.IFS(J546&lt;=13,"Child",J546&lt;=18,"Teenager",J546&lt;=30,"Young Adult",J546&lt;=50,"Middle Aged Adult",J546&gt;50,"Senior")</f>
        <v>Middle Aged Adult</v>
      </c>
      <c r="L546">
        <v>1</v>
      </c>
      <c r="M546">
        <v>0</v>
      </c>
      <c r="N546" s="1">
        <f t="shared" si="34"/>
        <v>2</v>
      </c>
      <c r="O546" s="1" t="str">
        <f t="shared" si="35"/>
        <v>With Family</v>
      </c>
      <c r="P546">
        <v>21</v>
      </c>
      <c r="Q546" s="1" t="str" cm="1">
        <f t="array" ref="Q546">_xlfn.IFS(P546&lt;=50,"Low",P546&lt;=100,"Medium",P546&gt;100,"High")</f>
        <v>Low</v>
      </c>
      <c r="R546" t="s">
        <v>17</v>
      </c>
      <c r="S546" s="1" t="str" cm="1">
        <f t="array" ref="S546">_xlfn.IFS(R546="S","Southampton",R546="C","Cherbourg",R546="Q","Queenstown")</f>
        <v>Southampton</v>
      </c>
    </row>
    <row r="547" spans="1:19" x14ac:dyDescent="0.3">
      <c r="A547">
        <v>546</v>
      </c>
      <c r="B547">
        <v>2</v>
      </c>
      <c r="C547" s="1" t="str" cm="1">
        <f t="array" ref="C547">_xlfn.IFS(B547=1,"First Class",B547=2,"Second Class",B547=3,"Third Class")</f>
        <v>Second Class</v>
      </c>
      <c r="D547">
        <v>1</v>
      </c>
      <c r="E547" s="1" t="str">
        <f t="shared" si="32"/>
        <v>Alive</v>
      </c>
      <c r="F547" t="s">
        <v>1088</v>
      </c>
      <c r="G547" s="1" t="s">
        <v>3001</v>
      </c>
      <c r="H547" t="s">
        <v>15</v>
      </c>
      <c r="I547" s="1" t="str">
        <f t="shared" si="33"/>
        <v>Female</v>
      </c>
      <c r="J547" s="3">
        <v>30</v>
      </c>
      <c r="K547" s="3" t="str" cm="1">
        <f t="array" ref="K547">_xlfn.IFS(J547&lt;=13,"Child",J547&lt;=18,"Teenager",J547&lt;=30,"Young Adult",J547&lt;=50,"Middle Aged Adult",J547&gt;50,"Senior")</f>
        <v>Young Adult</v>
      </c>
      <c r="L547">
        <v>3</v>
      </c>
      <c r="M547">
        <v>0</v>
      </c>
      <c r="N547" s="1">
        <f t="shared" si="34"/>
        <v>4</v>
      </c>
      <c r="O547" s="1" t="str">
        <f t="shared" si="35"/>
        <v>With Family</v>
      </c>
      <c r="P547">
        <v>21</v>
      </c>
      <c r="Q547" s="1" t="str" cm="1">
        <f t="array" ref="Q547">_xlfn.IFS(P547&lt;=50,"Low",P547&lt;=100,"Medium",P547&gt;100,"High")</f>
        <v>Low</v>
      </c>
      <c r="R547" t="s">
        <v>17</v>
      </c>
      <c r="S547" s="1" t="str" cm="1">
        <f t="array" ref="S547">_xlfn.IFS(R547="S","Southampton",R547="C","Cherbourg",R547="Q","Queenstown")</f>
        <v>Southampton</v>
      </c>
    </row>
    <row r="548" spans="1:19" x14ac:dyDescent="0.3">
      <c r="A548">
        <v>547</v>
      </c>
      <c r="B548">
        <v>2</v>
      </c>
      <c r="C548" s="1" t="str" cm="1">
        <f t="array" ref="C548">_xlfn.IFS(B548=1,"First Class",B548=2,"Second Class",B548=3,"Third Class")</f>
        <v>Second Class</v>
      </c>
      <c r="D548">
        <v>1</v>
      </c>
      <c r="E548" s="1" t="str">
        <f t="shared" si="32"/>
        <v>Alive</v>
      </c>
      <c r="F548" t="s">
        <v>1089</v>
      </c>
      <c r="G548" s="1" t="s">
        <v>3520</v>
      </c>
      <c r="H548" t="s">
        <v>15</v>
      </c>
      <c r="I548" s="1" t="str">
        <f t="shared" si="33"/>
        <v>Female</v>
      </c>
      <c r="J548" s="3">
        <v>28</v>
      </c>
      <c r="K548" s="3" t="str" cm="1">
        <f t="array" ref="K548">_xlfn.IFS(J548&lt;=13,"Child",J548&lt;=18,"Teenager",J548&lt;=30,"Young Adult",J548&lt;=50,"Middle Aged Adult",J548&gt;50,"Senior")</f>
        <v>Young Adult</v>
      </c>
      <c r="L548">
        <v>0</v>
      </c>
      <c r="M548">
        <v>0</v>
      </c>
      <c r="N548" s="1">
        <f t="shared" si="34"/>
        <v>1</v>
      </c>
      <c r="O548" s="1" t="str">
        <f t="shared" si="35"/>
        <v>Single</v>
      </c>
      <c r="P548">
        <v>13</v>
      </c>
      <c r="Q548" s="1" t="str" cm="1">
        <f t="array" ref="Q548">_xlfn.IFS(P548&lt;=50,"Low",P548&lt;=100,"Medium",P548&gt;100,"High")</f>
        <v>Low</v>
      </c>
      <c r="R548" t="s">
        <v>17</v>
      </c>
      <c r="S548" s="1" t="str" cm="1">
        <f t="array" ref="S548">_xlfn.IFS(R548="S","Southampton",R548="C","Cherbourg",R548="Q","Queenstown")</f>
        <v>Southampton</v>
      </c>
    </row>
    <row r="549" spans="1:19" x14ac:dyDescent="0.3">
      <c r="A549">
        <v>548</v>
      </c>
      <c r="B549">
        <v>2</v>
      </c>
      <c r="C549" s="1" t="str" cm="1">
        <f t="array" ref="C549">_xlfn.IFS(B549=1,"First Class",B549=2,"Second Class",B549=3,"Third Class")</f>
        <v>Second Class</v>
      </c>
      <c r="D549">
        <v>0</v>
      </c>
      <c r="E549" s="1" t="str">
        <f t="shared" si="32"/>
        <v>Dead</v>
      </c>
      <c r="F549" t="s">
        <v>1091</v>
      </c>
      <c r="G549" s="1" t="s">
        <v>2999</v>
      </c>
      <c r="H549" t="s">
        <v>20</v>
      </c>
      <c r="I549" s="1" t="str">
        <f t="shared" si="33"/>
        <v>Male</v>
      </c>
      <c r="J549" s="3">
        <v>23</v>
      </c>
      <c r="K549" s="3" t="str" cm="1">
        <f t="array" ref="K549">_xlfn.IFS(J549&lt;=13,"Child",J549&lt;=18,"Teenager",J549&lt;=30,"Young Adult",J549&lt;=50,"Middle Aged Adult",J549&gt;50,"Senior")</f>
        <v>Young Adult</v>
      </c>
      <c r="L549">
        <v>0</v>
      </c>
      <c r="M549">
        <v>0</v>
      </c>
      <c r="N549" s="1">
        <f t="shared" si="34"/>
        <v>1</v>
      </c>
      <c r="O549" s="1" t="str">
        <f t="shared" si="35"/>
        <v>Single</v>
      </c>
      <c r="P549">
        <v>15.0458</v>
      </c>
      <c r="Q549" s="1" t="str" cm="1">
        <f t="array" ref="Q549">_xlfn.IFS(P549&lt;=50,"Low",P549&lt;=100,"Medium",P549&gt;100,"High")</f>
        <v>Low</v>
      </c>
      <c r="R549" t="s">
        <v>41</v>
      </c>
      <c r="S549" s="1" t="str" cm="1">
        <f t="array" ref="S549">_xlfn.IFS(R549="S","Southampton",R549="C","Cherbourg",R549="Q","Queenstown")</f>
        <v>Cherbourg</v>
      </c>
    </row>
    <row r="550" spans="1:19" x14ac:dyDescent="0.3">
      <c r="A550">
        <v>549</v>
      </c>
      <c r="B550">
        <v>2</v>
      </c>
      <c r="C550" s="1" t="str" cm="1">
        <f t="array" ref="C550">_xlfn.IFS(B550=1,"First Class",B550=2,"Second Class",B550=3,"Third Class")</f>
        <v>Second Class</v>
      </c>
      <c r="D550">
        <v>1</v>
      </c>
      <c r="E550" s="1" t="str">
        <f t="shared" si="32"/>
        <v>Alive</v>
      </c>
      <c r="F550" t="s">
        <v>1093</v>
      </c>
      <c r="G550" s="1" t="s">
        <v>2996</v>
      </c>
      <c r="H550" t="s">
        <v>20</v>
      </c>
      <c r="I550" s="1" t="str">
        <f t="shared" si="33"/>
        <v>Male</v>
      </c>
      <c r="J550" s="3">
        <v>0.83</v>
      </c>
      <c r="K550" s="3" t="str" cm="1">
        <f t="array" ref="K550">_xlfn.IFS(J550&lt;=13,"Child",J550&lt;=18,"Teenager",J550&lt;=30,"Young Adult",J550&lt;=50,"Middle Aged Adult",J550&gt;50,"Senior")</f>
        <v>Child</v>
      </c>
      <c r="L550">
        <v>1</v>
      </c>
      <c r="M550">
        <v>1</v>
      </c>
      <c r="N550" s="1">
        <f t="shared" si="34"/>
        <v>3</v>
      </c>
      <c r="O550" s="1" t="str">
        <f t="shared" si="35"/>
        <v>With Family</v>
      </c>
      <c r="P550">
        <v>18.75</v>
      </c>
      <c r="Q550" s="1" t="str" cm="1">
        <f t="array" ref="Q550">_xlfn.IFS(P550&lt;=50,"Low",P550&lt;=100,"Medium",P550&gt;100,"High")</f>
        <v>Low</v>
      </c>
      <c r="R550" t="s">
        <v>17</v>
      </c>
      <c r="S550" s="1" t="str" cm="1">
        <f t="array" ref="S550">_xlfn.IFS(R550="S","Southampton",R550="C","Cherbourg",R550="Q","Queenstown")</f>
        <v>Southampton</v>
      </c>
    </row>
    <row r="551" spans="1:19" x14ac:dyDescent="0.3">
      <c r="A551">
        <v>550</v>
      </c>
      <c r="B551">
        <v>2</v>
      </c>
      <c r="C551" s="1" t="str" cm="1">
        <f t="array" ref="C551">_xlfn.IFS(B551=1,"First Class",B551=2,"Second Class",B551=3,"Third Class")</f>
        <v>Second Class</v>
      </c>
      <c r="D551">
        <v>1</v>
      </c>
      <c r="E551" s="1" t="str">
        <f t="shared" si="32"/>
        <v>Alive</v>
      </c>
      <c r="F551" t="s">
        <v>1094</v>
      </c>
      <c r="G551" s="1" t="s">
        <v>2996</v>
      </c>
      <c r="H551" t="s">
        <v>20</v>
      </c>
      <c r="I551" s="1" t="str">
        <f t="shared" si="33"/>
        <v>Male</v>
      </c>
      <c r="J551" s="3">
        <v>3</v>
      </c>
      <c r="K551" s="3" t="str" cm="1">
        <f t="array" ref="K551">_xlfn.IFS(J551&lt;=13,"Child",J551&lt;=18,"Teenager",J551&lt;=30,"Young Adult",J551&lt;=50,"Middle Aged Adult",J551&gt;50,"Senior")</f>
        <v>Child</v>
      </c>
      <c r="L551">
        <v>1</v>
      </c>
      <c r="M551">
        <v>1</v>
      </c>
      <c r="N551" s="1">
        <f t="shared" si="34"/>
        <v>3</v>
      </c>
      <c r="O551" s="1" t="str">
        <f t="shared" si="35"/>
        <v>With Family</v>
      </c>
      <c r="P551">
        <v>18.75</v>
      </c>
      <c r="Q551" s="1" t="str" cm="1">
        <f t="array" ref="Q551">_xlfn.IFS(P551&lt;=50,"Low",P551&lt;=100,"Medium",P551&gt;100,"High")</f>
        <v>Low</v>
      </c>
      <c r="R551" t="s">
        <v>17</v>
      </c>
      <c r="S551" s="1" t="str" cm="1">
        <f t="array" ref="S551">_xlfn.IFS(R551="S","Southampton",R551="C","Cherbourg",R551="Q","Queenstown")</f>
        <v>Southampton</v>
      </c>
    </row>
    <row r="552" spans="1:19" x14ac:dyDescent="0.3">
      <c r="A552">
        <v>551</v>
      </c>
      <c r="B552">
        <v>2</v>
      </c>
      <c r="C552" s="1" t="str" cm="1">
        <f t="array" ref="C552">_xlfn.IFS(B552=1,"First Class",B552=2,"Second Class",B552=3,"Third Class")</f>
        <v>Second Class</v>
      </c>
      <c r="D552">
        <v>1</v>
      </c>
      <c r="E552" s="1" t="str">
        <f t="shared" si="32"/>
        <v>Alive</v>
      </c>
      <c r="F552" t="s">
        <v>1095</v>
      </c>
      <c r="G552" s="1" t="s">
        <v>3001</v>
      </c>
      <c r="H552" t="s">
        <v>15</v>
      </c>
      <c r="I552" s="1" t="str">
        <f t="shared" si="33"/>
        <v>Female</v>
      </c>
      <c r="J552" s="3">
        <v>24</v>
      </c>
      <c r="K552" s="3" t="str" cm="1">
        <f t="array" ref="K552">_xlfn.IFS(J552&lt;=13,"Child",J552&lt;=18,"Teenager",J552&lt;=30,"Young Adult",J552&lt;=50,"Middle Aged Adult",J552&gt;50,"Senior")</f>
        <v>Young Adult</v>
      </c>
      <c r="L552">
        <v>2</v>
      </c>
      <c r="M552">
        <v>3</v>
      </c>
      <c r="N552" s="1">
        <f t="shared" si="34"/>
        <v>6</v>
      </c>
      <c r="O552" s="1" t="str">
        <f t="shared" si="35"/>
        <v>With Family</v>
      </c>
      <c r="P552">
        <v>18.75</v>
      </c>
      <c r="Q552" s="1" t="str" cm="1">
        <f t="array" ref="Q552">_xlfn.IFS(P552&lt;=50,"Low",P552&lt;=100,"Medium",P552&gt;100,"High")</f>
        <v>Low</v>
      </c>
      <c r="R552" t="s">
        <v>17</v>
      </c>
      <c r="S552" s="1" t="str" cm="1">
        <f t="array" ref="S552">_xlfn.IFS(R552="S","Southampton",R552="C","Cherbourg",R552="Q","Queenstown")</f>
        <v>Southampton</v>
      </c>
    </row>
    <row r="553" spans="1:19" x14ac:dyDescent="0.3">
      <c r="A553">
        <v>552</v>
      </c>
      <c r="B553">
        <v>2</v>
      </c>
      <c r="C553" s="1" t="str" cm="1">
        <f t="array" ref="C553">_xlfn.IFS(B553=1,"First Class",B553=2,"Second Class",B553=3,"Third Class")</f>
        <v>Second Class</v>
      </c>
      <c r="D553">
        <v>1</v>
      </c>
      <c r="E553" s="1" t="str">
        <f t="shared" si="32"/>
        <v>Alive</v>
      </c>
      <c r="F553" t="s">
        <v>1096</v>
      </c>
      <c r="G553" s="1" t="s">
        <v>2994</v>
      </c>
      <c r="H553" t="s">
        <v>15</v>
      </c>
      <c r="I553" s="1" t="str">
        <f t="shared" si="33"/>
        <v>Female</v>
      </c>
      <c r="J553" s="3">
        <v>50</v>
      </c>
      <c r="K553" s="3" t="str" cm="1">
        <f t="array" ref="K553">_xlfn.IFS(J553&lt;=13,"Child",J553&lt;=18,"Teenager",J553&lt;=30,"Young Adult",J553&lt;=50,"Middle Aged Adult",J553&gt;50,"Senior")</f>
        <v>Middle Aged Adult</v>
      </c>
      <c r="L553">
        <v>0</v>
      </c>
      <c r="M553">
        <v>0</v>
      </c>
      <c r="N553" s="1">
        <f t="shared" si="34"/>
        <v>1</v>
      </c>
      <c r="O553" s="1" t="str">
        <f t="shared" si="35"/>
        <v>Single</v>
      </c>
      <c r="P553">
        <v>10.5</v>
      </c>
      <c r="Q553" s="1" t="str" cm="1">
        <f t="array" ref="Q553">_xlfn.IFS(P553&lt;=50,"Low",P553&lt;=100,"Medium",P553&gt;100,"High")</f>
        <v>Low</v>
      </c>
      <c r="R553" t="s">
        <v>17</v>
      </c>
      <c r="S553" s="1" t="str" cm="1">
        <f t="array" ref="S553">_xlfn.IFS(R553="S","Southampton",R553="C","Cherbourg",R553="Q","Queenstown")</f>
        <v>Southampton</v>
      </c>
    </row>
    <row r="554" spans="1:19" x14ac:dyDescent="0.3">
      <c r="A554">
        <v>553</v>
      </c>
      <c r="B554">
        <v>2</v>
      </c>
      <c r="C554" s="1" t="str" cm="1">
        <f t="array" ref="C554">_xlfn.IFS(B554=1,"First Class",B554=2,"Second Class",B554=3,"Third Class")</f>
        <v>Second Class</v>
      </c>
      <c r="D554">
        <v>0</v>
      </c>
      <c r="E554" s="1" t="str">
        <f t="shared" si="32"/>
        <v>Dead</v>
      </c>
      <c r="F554" t="s">
        <v>1099</v>
      </c>
      <c r="G554" s="1" t="s">
        <v>2999</v>
      </c>
      <c r="H554" t="s">
        <v>20</v>
      </c>
      <c r="I554" s="1" t="str">
        <f t="shared" si="33"/>
        <v>Male</v>
      </c>
      <c r="J554" s="3">
        <v>19</v>
      </c>
      <c r="K554" s="3" t="str" cm="1">
        <f t="array" ref="K554">_xlfn.IFS(J554&lt;=13,"Child",J554&lt;=18,"Teenager",J554&lt;=30,"Young Adult",J554&lt;=50,"Middle Aged Adult",J554&gt;50,"Senior")</f>
        <v>Young Adult</v>
      </c>
      <c r="L554">
        <v>0</v>
      </c>
      <c r="M554">
        <v>0</v>
      </c>
      <c r="N554" s="1">
        <f t="shared" si="34"/>
        <v>1</v>
      </c>
      <c r="O554" s="1" t="str">
        <f t="shared" si="35"/>
        <v>Single</v>
      </c>
      <c r="P554">
        <v>10.5</v>
      </c>
      <c r="Q554" s="1" t="str" cm="1">
        <f t="array" ref="Q554">_xlfn.IFS(P554&lt;=50,"Low",P554&lt;=100,"Medium",P554&gt;100,"High")</f>
        <v>Low</v>
      </c>
      <c r="R554" t="s">
        <v>17</v>
      </c>
      <c r="S554" s="1" t="str" cm="1">
        <f t="array" ref="S554">_xlfn.IFS(R554="S","Southampton",R554="C","Cherbourg",R554="Q","Queenstown")</f>
        <v>Southampton</v>
      </c>
    </row>
    <row r="555" spans="1:19" x14ac:dyDescent="0.3">
      <c r="A555">
        <v>554</v>
      </c>
      <c r="B555">
        <v>2</v>
      </c>
      <c r="C555" s="1" t="str" cm="1">
        <f t="array" ref="C555">_xlfn.IFS(B555=1,"First Class",B555=2,"Second Class",B555=3,"Third Class")</f>
        <v>Second Class</v>
      </c>
      <c r="D555">
        <v>1</v>
      </c>
      <c r="E555" s="1" t="str">
        <f t="shared" si="32"/>
        <v>Alive</v>
      </c>
      <c r="F555" t="s">
        <v>1100</v>
      </c>
      <c r="G555" s="1" t="s">
        <v>2994</v>
      </c>
      <c r="H555" t="s">
        <v>15</v>
      </c>
      <c r="I555" s="1" t="str">
        <f t="shared" si="33"/>
        <v>Female</v>
      </c>
      <c r="J555" s="3">
        <v>21</v>
      </c>
      <c r="K555" s="3" t="str" cm="1">
        <f t="array" ref="K555">_xlfn.IFS(J555&lt;=13,"Child",J555&lt;=18,"Teenager",J555&lt;=30,"Young Adult",J555&lt;=50,"Middle Aged Adult",J555&gt;50,"Senior")</f>
        <v>Young Adult</v>
      </c>
      <c r="L555">
        <v>0</v>
      </c>
      <c r="M555">
        <v>0</v>
      </c>
      <c r="N555" s="1">
        <f t="shared" si="34"/>
        <v>1</v>
      </c>
      <c r="O555" s="1" t="str">
        <f t="shared" si="35"/>
        <v>Single</v>
      </c>
      <c r="P555">
        <v>10.5</v>
      </c>
      <c r="Q555" s="1" t="str" cm="1">
        <f t="array" ref="Q555">_xlfn.IFS(P555&lt;=50,"Low",P555&lt;=100,"Medium",P555&gt;100,"High")</f>
        <v>Low</v>
      </c>
      <c r="R555" t="s">
        <v>17</v>
      </c>
      <c r="S555" s="1" t="str" cm="1">
        <f t="array" ref="S555">_xlfn.IFS(R555="S","Southampton",R555="C","Cherbourg",R555="Q","Queenstown")</f>
        <v>Southampton</v>
      </c>
    </row>
    <row r="556" spans="1:19" x14ac:dyDescent="0.3">
      <c r="A556">
        <v>555</v>
      </c>
      <c r="B556">
        <v>2</v>
      </c>
      <c r="C556" s="1" t="str" cm="1">
        <f t="array" ref="C556">_xlfn.IFS(B556=1,"First Class",B556=2,"Second Class",B556=3,"Third Class")</f>
        <v>Second Class</v>
      </c>
      <c r="D556">
        <v>0</v>
      </c>
      <c r="E556" s="1" t="str">
        <f t="shared" si="32"/>
        <v>Dead</v>
      </c>
      <c r="F556" t="s">
        <v>1103</v>
      </c>
      <c r="G556" s="1" t="s">
        <v>2999</v>
      </c>
      <c r="H556" t="s">
        <v>20</v>
      </c>
      <c r="I556" s="1" t="str">
        <f t="shared" si="33"/>
        <v>Male</v>
      </c>
      <c r="J556" s="3">
        <v>26</v>
      </c>
      <c r="K556" s="3" t="str" cm="1">
        <f t="array" ref="K556">_xlfn.IFS(J556&lt;=13,"Child",J556&lt;=18,"Teenager",J556&lt;=30,"Young Adult",J556&lt;=50,"Middle Aged Adult",J556&gt;50,"Senior")</f>
        <v>Young Adult</v>
      </c>
      <c r="L556">
        <v>0</v>
      </c>
      <c r="M556">
        <v>0</v>
      </c>
      <c r="N556" s="1">
        <f t="shared" si="34"/>
        <v>1</v>
      </c>
      <c r="O556" s="1" t="str">
        <f t="shared" si="35"/>
        <v>Single</v>
      </c>
      <c r="P556">
        <v>13</v>
      </c>
      <c r="Q556" s="1" t="str" cm="1">
        <f t="array" ref="Q556">_xlfn.IFS(P556&lt;=50,"Low",P556&lt;=100,"Medium",P556&gt;100,"High")</f>
        <v>Low</v>
      </c>
      <c r="R556" t="s">
        <v>17</v>
      </c>
      <c r="S556" s="1" t="str" cm="1">
        <f t="array" ref="S556">_xlfn.IFS(R556="S","Southampton",R556="C","Cherbourg",R556="Q","Queenstown")</f>
        <v>Southampton</v>
      </c>
    </row>
    <row r="557" spans="1:19" x14ac:dyDescent="0.3">
      <c r="A557">
        <v>556</v>
      </c>
      <c r="B557">
        <v>2</v>
      </c>
      <c r="C557" s="1" t="str" cm="1">
        <f t="array" ref="C557">_xlfn.IFS(B557=1,"First Class",B557=2,"Second Class",B557=3,"Third Class")</f>
        <v>Second Class</v>
      </c>
      <c r="D557">
        <v>0</v>
      </c>
      <c r="E557" s="1" t="str">
        <f t="shared" si="32"/>
        <v>Dead</v>
      </c>
      <c r="F557" t="s">
        <v>1104</v>
      </c>
      <c r="G557" s="1" t="s">
        <v>2999</v>
      </c>
      <c r="H557" t="s">
        <v>20</v>
      </c>
      <c r="I557" s="1" t="str">
        <f t="shared" si="33"/>
        <v>Male</v>
      </c>
      <c r="J557" s="3">
        <v>25</v>
      </c>
      <c r="K557" s="3" t="str" cm="1">
        <f t="array" ref="K557">_xlfn.IFS(J557&lt;=13,"Child",J557&lt;=18,"Teenager",J557&lt;=30,"Young Adult",J557&lt;=50,"Middle Aged Adult",J557&gt;50,"Senior")</f>
        <v>Young Adult</v>
      </c>
      <c r="L557">
        <v>0</v>
      </c>
      <c r="M557">
        <v>0</v>
      </c>
      <c r="N557" s="1">
        <f t="shared" si="34"/>
        <v>1</v>
      </c>
      <c r="O557" s="1" t="str">
        <f t="shared" si="35"/>
        <v>Single</v>
      </c>
      <c r="P557">
        <v>13</v>
      </c>
      <c r="Q557" s="1" t="str" cm="1">
        <f t="array" ref="Q557">_xlfn.IFS(P557&lt;=50,"Low",P557&lt;=100,"Medium",P557&gt;100,"High")</f>
        <v>Low</v>
      </c>
      <c r="R557" t="s">
        <v>17</v>
      </c>
      <c r="S557" s="1" t="str" cm="1">
        <f t="array" ref="S557">_xlfn.IFS(R557="S","Southampton",R557="C","Cherbourg",R557="Q","Queenstown")</f>
        <v>Southampton</v>
      </c>
    </row>
    <row r="558" spans="1:19" x14ac:dyDescent="0.3">
      <c r="A558">
        <v>557</v>
      </c>
      <c r="B558">
        <v>2</v>
      </c>
      <c r="C558" s="1" t="str" cm="1">
        <f t="array" ref="C558">_xlfn.IFS(B558=1,"First Class",B558=2,"Second Class",B558=3,"Third Class")</f>
        <v>Second Class</v>
      </c>
      <c r="D558">
        <v>0</v>
      </c>
      <c r="E558" s="1" t="str">
        <f t="shared" si="32"/>
        <v>Dead</v>
      </c>
      <c r="F558" t="s">
        <v>1105</v>
      </c>
      <c r="G558" s="1" t="s">
        <v>2999</v>
      </c>
      <c r="H558" t="s">
        <v>20</v>
      </c>
      <c r="I558" s="1" t="str">
        <f t="shared" si="33"/>
        <v>Male</v>
      </c>
      <c r="J558" s="3">
        <v>27</v>
      </c>
      <c r="K558" s="3" t="str" cm="1">
        <f t="array" ref="K558">_xlfn.IFS(J558&lt;=13,"Child",J558&lt;=18,"Teenager",J558&lt;=30,"Young Adult",J558&lt;=50,"Middle Aged Adult",J558&gt;50,"Senior")</f>
        <v>Young Adult</v>
      </c>
      <c r="L558">
        <v>0</v>
      </c>
      <c r="M558">
        <v>0</v>
      </c>
      <c r="N558" s="1">
        <f t="shared" si="34"/>
        <v>1</v>
      </c>
      <c r="O558" s="1" t="str">
        <f t="shared" si="35"/>
        <v>Single</v>
      </c>
      <c r="P558">
        <v>26</v>
      </c>
      <c r="Q558" s="1" t="str" cm="1">
        <f t="array" ref="Q558">_xlfn.IFS(P558&lt;=50,"Low",P558&lt;=100,"Medium",P558&gt;100,"High")</f>
        <v>Low</v>
      </c>
      <c r="R558" t="s">
        <v>17</v>
      </c>
      <c r="S558" s="1" t="str" cm="1">
        <f t="array" ref="S558">_xlfn.IFS(R558="S","Southampton",R558="C","Cherbourg",R558="Q","Queenstown")</f>
        <v>Southampton</v>
      </c>
    </row>
    <row r="559" spans="1:19" x14ac:dyDescent="0.3">
      <c r="A559">
        <v>558</v>
      </c>
      <c r="B559">
        <v>2</v>
      </c>
      <c r="C559" s="1" t="str" cm="1">
        <f t="array" ref="C559">_xlfn.IFS(B559=1,"First Class",B559=2,"Second Class",B559=3,"Third Class")</f>
        <v>Second Class</v>
      </c>
      <c r="D559">
        <v>1</v>
      </c>
      <c r="E559" s="1" t="str">
        <f t="shared" si="32"/>
        <v>Alive</v>
      </c>
      <c r="F559" t="s">
        <v>1107</v>
      </c>
      <c r="G559" s="1" t="s">
        <v>3001</v>
      </c>
      <c r="H559" t="s">
        <v>15</v>
      </c>
      <c r="I559" s="1" t="str">
        <f t="shared" si="33"/>
        <v>Female</v>
      </c>
      <c r="J559" s="3">
        <v>25</v>
      </c>
      <c r="K559" s="3" t="str" cm="1">
        <f t="array" ref="K559">_xlfn.IFS(J559&lt;=13,"Child",J559&lt;=18,"Teenager",J559&lt;=30,"Young Adult",J559&lt;=50,"Middle Aged Adult",J559&gt;50,"Senior")</f>
        <v>Young Adult</v>
      </c>
      <c r="L559">
        <v>0</v>
      </c>
      <c r="M559">
        <v>1</v>
      </c>
      <c r="N559" s="1">
        <f t="shared" si="34"/>
        <v>2</v>
      </c>
      <c r="O559" s="1" t="str">
        <f t="shared" si="35"/>
        <v>With Family</v>
      </c>
      <c r="P559">
        <v>26</v>
      </c>
      <c r="Q559" s="1" t="str" cm="1">
        <f t="array" ref="Q559">_xlfn.IFS(P559&lt;=50,"Low",P559&lt;=100,"Medium",P559&gt;100,"High")</f>
        <v>Low</v>
      </c>
      <c r="R559" t="s">
        <v>17</v>
      </c>
      <c r="S559" s="1" t="str" cm="1">
        <f t="array" ref="S559">_xlfn.IFS(R559="S","Southampton",R559="C","Cherbourg",R559="Q","Queenstown")</f>
        <v>Southampton</v>
      </c>
    </row>
    <row r="560" spans="1:19" x14ac:dyDescent="0.3">
      <c r="A560">
        <v>559</v>
      </c>
      <c r="B560">
        <v>2</v>
      </c>
      <c r="C560" s="1" t="str" cm="1">
        <f t="array" ref="C560">_xlfn.IFS(B560=1,"First Class",B560=2,"Second Class",B560=3,"Third Class")</f>
        <v>Second Class</v>
      </c>
      <c r="D560">
        <v>1</v>
      </c>
      <c r="E560" s="1" t="str">
        <f t="shared" si="32"/>
        <v>Alive</v>
      </c>
      <c r="F560" t="s">
        <v>1109</v>
      </c>
      <c r="G560" s="1" t="s">
        <v>2994</v>
      </c>
      <c r="H560" t="s">
        <v>15</v>
      </c>
      <c r="I560" s="1" t="str">
        <f t="shared" si="33"/>
        <v>Female</v>
      </c>
      <c r="J560" s="3">
        <v>18</v>
      </c>
      <c r="K560" s="3" t="str" cm="1">
        <f t="array" ref="K560">_xlfn.IFS(J560&lt;=13,"Child",J560&lt;=18,"Teenager",J560&lt;=30,"Young Adult",J560&lt;=50,"Middle Aged Adult",J560&gt;50,"Senior")</f>
        <v>Teenager</v>
      </c>
      <c r="L560">
        <v>0</v>
      </c>
      <c r="M560">
        <v>2</v>
      </c>
      <c r="N560" s="1">
        <f t="shared" si="34"/>
        <v>3</v>
      </c>
      <c r="O560" s="1" t="str">
        <f t="shared" si="35"/>
        <v>With Family</v>
      </c>
      <c r="P560">
        <v>13</v>
      </c>
      <c r="Q560" s="1" t="str" cm="1">
        <f t="array" ref="Q560">_xlfn.IFS(P560&lt;=50,"Low",P560&lt;=100,"Medium",P560&gt;100,"High")</f>
        <v>Low</v>
      </c>
      <c r="R560" t="s">
        <v>17</v>
      </c>
      <c r="S560" s="1" t="str" cm="1">
        <f t="array" ref="S560">_xlfn.IFS(R560="S","Southampton",R560="C","Cherbourg",R560="Q","Queenstown")</f>
        <v>Southampton</v>
      </c>
    </row>
    <row r="561" spans="1:19" x14ac:dyDescent="0.3">
      <c r="A561">
        <v>560</v>
      </c>
      <c r="B561">
        <v>2</v>
      </c>
      <c r="C561" s="1" t="str" cm="1">
        <f t="array" ref="C561">_xlfn.IFS(B561=1,"First Class",B561=2,"Second Class",B561=3,"Third Class")</f>
        <v>Second Class</v>
      </c>
      <c r="D561">
        <v>1</v>
      </c>
      <c r="E561" s="1" t="str">
        <f t="shared" si="32"/>
        <v>Alive</v>
      </c>
      <c r="F561" t="s">
        <v>1111</v>
      </c>
      <c r="G561" s="1" t="s">
        <v>2994</v>
      </c>
      <c r="H561" t="s">
        <v>15</v>
      </c>
      <c r="I561" s="1" t="str">
        <f t="shared" si="33"/>
        <v>Female</v>
      </c>
      <c r="J561" s="3">
        <v>20</v>
      </c>
      <c r="K561" s="3" t="str" cm="1">
        <f t="array" ref="K561">_xlfn.IFS(J561&lt;=13,"Child",J561&lt;=18,"Teenager",J561&lt;=30,"Young Adult",J561&lt;=50,"Middle Aged Adult",J561&gt;50,"Senior")</f>
        <v>Young Adult</v>
      </c>
      <c r="L561">
        <v>0</v>
      </c>
      <c r="M561">
        <v>0</v>
      </c>
      <c r="N561" s="1">
        <f t="shared" si="34"/>
        <v>1</v>
      </c>
      <c r="O561" s="1" t="str">
        <f t="shared" si="35"/>
        <v>Single</v>
      </c>
      <c r="P561">
        <v>36.75</v>
      </c>
      <c r="Q561" s="1" t="str" cm="1">
        <f t="array" ref="Q561">_xlfn.IFS(P561&lt;=50,"Low",P561&lt;=100,"Medium",P561&gt;100,"High")</f>
        <v>Low</v>
      </c>
      <c r="R561" t="s">
        <v>17</v>
      </c>
      <c r="S561" s="1" t="str" cm="1">
        <f t="array" ref="S561">_xlfn.IFS(R561="S","Southampton",R561="C","Cherbourg",R561="Q","Queenstown")</f>
        <v>Southampton</v>
      </c>
    </row>
    <row r="562" spans="1:19" x14ac:dyDescent="0.3">
      <c r="A562">
        <v>561</v>
      </c>
      <c r="B562">
        <v>2</v>
      </c>
      <c r="C562" s="1" t="str" cm="1">
        <f t="array" ref="C562">_xlfn.IFS(B562=1,"First Class",B562=2,"Second Class",B562=3,"Third Class")</f>
        <v>Second Class</v>
      </c>
      <c r="D562">
        <v>1</v>
      </c>
      <c r="E562" s="1" t="str">
        <f t="shared" si="32"/>
        <v>Alive</v>
      </c>
      <c r="F562" t="s">
        <v>1112</v>
      </c>
      <c r="G562" s="1" t="s">
        <v>2994</v>
      </c>
      <c r="H562" t="s">
        <v>15</v>
      </c>
      <c r="I562" s="1" t="str">
        <f t="shared" si="33"/>
        <v>Female</v>
      </c>
      <c r="J562" s="3">
        <v>30</v>
      </c>
      <c r="K562" s="3" t="str" cm="1">
        <f t="array" ref="K562">_xlfn.IFS(J562&lt;=13,"Child",J562&lt;=18,"Teenager",J562&lt;=30,"Young Adult",J562&lt;=50,"Middle Aged Adult",J562&gt;50,"Senior")</f>
        <v>Young Adult</v>
      </c>
      <c r="L562">
        <v>0</v>
      </c>
      <c r="M562">
        <v>0</v>
      </c>
      <c r="N562" s="1">
        <f t="shared" si="34"/>
        <v>1</v>
      </c>
      <c r="O562" s="1" t="str">
        <f t="shared" si="35"/>
        <v>Single</v>
      </c>
      <c r="P562">
        <v>13</v>
      </c>
      <c r="Q562" s="1" t="str" cm="1">
        <f t="array" ref="Q562">_xlfn.IFS(P562&lt;=50,"Low",P562&lt;=100,"Medium",P562&gt;100,"High")</f>
        <v>Low</v>
      </c>
      <c r="R562" t="s">
        <v>17</v>
      </c>
      <c r="S562" s="1" t="str" cm="1">
        <f t="array" ref="S562">_xlfn.IFS(R562="S","Southampton",R562="C","Cherbourg",R562="Q","Queenstown")</f>
        <v>Southampton</v>
      </c>
    </row>
    <row r="563" spans="1:19" x14ac:dyDescent="0.3">
      <c r="A563">
        <v>562</v>
      </c>
      <c r="B563">
        <v>2</v>
      </c>
      <c r="C563" s="1" t="str" cm="1">
        <f t="array" ref="C563">_xlfn.IFS(B563=1,"First Class",B563=2,"Second Class",B563=3,"Third Class")</f>
        <v>Second Class</v>
      </c>
      <c r="D563">
        <v>0</v>
      </c>
      <c r="E563" s="1" t="str">
        <f t="shared" si="32"/>
        <v>Dead</v>
      </c>
      <c r="F563" t="s">
        <v>1114</v>
      </c>
      <c r="G563" s="1" t="s">
        <v>2999</v>
      </c>
      <c r="H563" t="s">
        <v>20</v>
      </c>
      <c r="I563" s="1" t="str">
        <f t="shared" si="33"/>
        <v>Male</v>
      </c>
      <c r="J563" s="3">
        <v>59</v>
      </c>
      <c r="K563" s="3" t="str" cm="1">
        <f t="array" ref="K563">_xlfn.IFS(J563&lt;=13,"Child",J563&lt;=18,"Teenager",J563&lt;=30,"Young Adult",J563&lt;=50,"Middle Aged Adult",J563&gt;50,"Senior")</f>
        <v>Senior</v>
      </c>
      <c r="L563">
        <v>0</v>
      </c>
      <c r="M563">
        <v>0</v>
      </c>
      <c r="N563" s="1">
        <f t="shared" si="34"/>
        <v>1</v>
      </c>
      <c r="O563" s="1" t="str">
        <f t="shared" si="35"/>
        <v>Single</v>
      </c>
      <c r="P563">
        <v>13.5</v>
      </c>
      <c r="Q563" s="1" t="str" cm="1">
        <f t="array" ref="Q563">_xlfn.IFS(P563&lt;=50,"Low",P563&lt;=100,"Medium",P563&gt;100,"High")</f>
        <v>Low</v>
      </c>
      <c r="R563" t="s">
        <v>17</v>
      </c>
      <c r="S563" s="1" t="str" cm="1">
        <f t="array" ref="S563">_xlfn.IFS(R563="S","Southampton",R563="C","Cherbourg",R563="Q","Queenstown")</f>
        <v>Southampton</v>
      </c>
    </row>
    <row r="564" spans="1:19" x14ac:dyDescent="0.3">
      <c r="A564">
        <v>563</v>
      </c>
      <c r="B564">
        <v>2</v>
      </c>
      <c r="C564" s="1" t="str" cm="1">
        <f t="array" ref="C564">_xlfn.IFS(B564=1,"First Class",B564=2,"Second Class",B564=3,"Third Class")</f>
        <v>Second Class</v>
      </c>
      <c r="D564">
        <v>1</v>
      </c>
      <c r="E564" s="1" t="str">
        <f t="shared" si="32"/>
        <v>Alive</v>
      </c>
      <c r="F564" t="s">
        <v>1116</v>
      </c>
      <c r="G564" s="1" t="s">
        <v>2994</v>
      </c>
      <c r="H564" t="s">
        <v>15</v>
      </c>
      <c r="I564" s="1" t="str">
        <f t="shared" si="33"/>
        <v>Female</v>
      </c>
      <c r="J564" s="3">
        <v>30</v>
      </c>
      <c r="K564" s="3" t="str" cm="1">
        <f t="array" ref="K564">_xlfn.IFS(J564&lt;=13,"Child",J564&lt;=18,"Teenager",J564&lt;=30,"Young Adult",J564&lt;=50,"Middle Aged Adult",J564&gt;50,"Senior")</f>
        <v>Young Adult</v>
      </c>
      <c r="L564">
        <v>0</v>
      </c>
      <c r="M564">
        <v>0</v>
      </c>
      <c r="N564" s="1">
        <f t="shared" si="34"/>
        <v>1</v>
      </c>
      <c r="O564" s="1" t="str">
        <f t="shared" si="35"/>
        <v>Single</v>
      </c>
      <c r="P564">
        <v>12.35</v>
      </c>
      <c r="Q564" s="1" t="str" cm="1">
        <f t="array" ref="Q564">_xlfn.IFS(P564&lt;=50,"Low",P564&lt;=100,"Medium",P564&gt;100,"High")</f>
        <v>Low</v>
      </c>
      <c r="R564" t="s">
        <v>463</v>
      </c>
      <c r="S564" s="1" t="str" cm="1">
        <f t="array" ref="S564">_xlfn.IFS(R564="S","Southampton",R564="C","Cherbourg",R564="Q","Queenstown")</f>
        <v>Queenstown</v>
      </c>
    </row>
    <row r="565" spans="1:19" x14ac:dyDescent="0.3">
      <c r="A565">
        <v>564</v>
      </c>
      <c r="B565">
        <v>2</v>
      </c>
      <c r="C565" s="1" t="str" cm="1">
        <f t="array" ref="C565">_xlfn.IFS(B565=1,"First Class",B565=2,"Second Class",B565=3,"Third Class")</f>
        <v>Second Class</v>
      </c>
      <c r="D565">
        <v>0</v>
      </c>
      <c r="E565" s="1" t="str">
        <f t="shared" si="32"/>
        <v>Dead</v>
      </c>
      <c r="F565" t="s">
        <v>1117</v>
      </c>
      <c r="G565" s="1" t="s">
        <v>2999</v>
      </c>
      <c r="H565" t="s">
        <v>20</v>
      </c>
      <c r="I565" s="1" t="str">
        <f t="shared" si="33"/>
        <v>Male</v>
      </c>
      <c r="J565" s="3">
        <v>35</v>
      </c>
      <c r="K565" s="3" t="str" cm="1">
        <f t="array" ref="K565">_xlfn.IFS(J565&lt;=13,"Child",J565&lt;=18,"Teenager",J565&lt;=30,"Young Adult",J565&lt;=50,"Middle Aged Adult",J565&gt;50,"Senior")</f>
        <v>Middle Aged Adult</v>
      </c>
      <c r="L565">
        <v>0</v>
      </c>
      <c r="M565">
        <v>0</v>
      </c>
      <c r="N565" s="1">
        <f t="shared" si="34"/>
        <v>1</v>
      </c>
      <c r="O565" s="1" t="str">
        <f t="shared" si="35"/>
        <v>Single</v>
      </c>
      <c r="P565">
        <v>10.5</v>
      </c>
      <c r="Q565" s="1" t="str" cm="1">
        <f t="array" ref="Q565">_xlfn.IFS(P565&lt;=50,"Low",P565&lt;=100,"Medium",P565&gt;100,"High")</f>
        <v>Low</v>
      </c>
      <c r="R565" t="s">
        <v>17</v>
      </c>
      <c r="S565" s="1" t="str" cm="1">
        <f t="array" ref="S565">_xlfn.IFS(R565="S","Southampton",R565="C","Cherbourg",R565="Q","Queenstown")</f>
        <v>Southampton</v>
      </c>
    </row>
    <row r="566" spans="1:19" x14ac:dyDescent="0.3">
      <c r="A566">
        <v>565</v>
      </c>
      <c r="B566">
        <v>2</v>
      </c>
      <c r="C566" s="1" t="str" cm="1">
        <f t="array" ref="C566">_xlfn.IFS(B566=1,"First Class",B566=2,"Second Class",B566=3,"Third Class")</f>
        <v>Second Class</v>
      </c>
      <c r="D566">
        <v>1</v>
      </c>
      <c r="E566" s="1" t="str">
        <f t="shared" si="32"/>
        <v>Alive</v>
      </c>
      <c r="F566" t="s">
        <v>1118</v>
      </c>
      <c r="G566" s="1" t="s">
        <v>2994</v>
      </c>
      <c r="H566" t="s">
        <v>15</v>
      </c>
      <c r="I566" s="1" t="str">
        <f t="shared" si="33"/>
        <v>Female</v>
      </c>
      <c r="J566" s="3">
        <v>40</v>
      </c>
      <c r="K566" s="3" t="str" cm="1">
        <f t="array" ref="K566">_xlfn.IFS(J566&lt;=13,"Child",J566&lt;=18,"Teenager",J566&lt;=30,"Young Adult",J566&lt;=50,"Middle Aged Adult",J566&gt;50,"Senior")</f>
        <v>Middle Aged Adult</v>
      </c>
      <c r="L566">
        <v>0</v>
      </c>
      <c r="M566">
        <v>0</v>
      </c>
      <c r="N566" s="1">
        <f t="shared" si="34"/>
        <v>1</v>
      </c>
      <c r="O566" s="1" t="str">
        <f t="shared" si="35"/>
        <v>Single</v>
      </c>
      <c r="P566">
        <v>13</v>
      </c>
      <c r="Q566" s="1" t="str" cm="1">
        <f t="array" ref="Q566">_xlfn.IFS(P566&lt;=50,"Low",P566&lt;=100,"Medium",P566&gt;100,"High")</f>
        <v>Low</v>
      </c>
      <c r="R566" t="s">
        <v>17</v>
      </c>
      <c r="S566" s="1" t="str" cm="1">
        <f t="array" ref="S566">_xlfn.IFS(R566="S","Southampton",R566="C","Cherbourg",R566="Q","Queenstown")</f>
        <v>Southampton</v>
      </c>
    </row>
    <row r="567" spans="1:19" x14ac:dyDescent="0.3">
      <c r="A567">
        <v>566</v>
      </c>
      <c r="B567">
        <v>2</v>
      </c>
      <c r="C567" s="1" t="str" cm="1">
        <f t="array" ref="C567">_xlfn.IFS(B567=1,"First Class",B567=2,"Second Class",B567=3,"Third Class")</f>
        <v>Second Class</v>
      </c>
      <c r="D567">
        <v>0</v>
      </c>
      <c r="E567" s="1" t="str">
        <f t="shared" si="32"/>
        <v>Dead</v>
      </c>
      <c r="F567" t="s">
        <v>1119</v>
      </c>
      <c r="G567" s="1" t="s">
        <v>2999</v>
      </c>
      <c r="H567" t="s">
        <v>20</v>
      </c>
      <c r="I567" s="1" t="str">
        <f t="shared" si="33"/>
        <v>Male</v>
      </c>
      <c r="J567" s="3">
        <v>25</v>
      </c>
      <c r="K567" s="3" t="str" cm="1">
        <f t="array" ref="K567">_xlfn.IFS(J567&lt;=13,"Child",J567&lt;=18,"Teenager",J567&lt;=30,"Young Adult",J567&lt;=50,"Middle Aged Adult",J567&gt;50,"Senior")</f>
        <v>Young Adult</v>
      </c>
      <c r="L567">
        <v>0</v>
      </c>
      <c r="M567">
        <v>0</v>
      </c>
      <c r="N567" s="1">
        <f t="shared" si="34"/>
        <v>1</v>
      </c>
      <c r="O567" s="1" t="str">
        <f t="shared" si="35"/>
        <v>Single</v>
      </c>
      <c r="P567">
        <v>13</v>
      </c>
      <c r="Q567" s="1" t="str" cm="1">
        <f t="array" ref="Q567">_xlfn.IFS(P567&lt;=50,"Low",P567&lt;=100,"Medium",P567&gt;100,"High")</f>
        <v>Low</v>
      </c>
      <c r="R567" t="s">
        <v>17</v>
      </c>
      <c r="S567" s="1" t="str" cm="1">
        <f t="array" ref="S567">_xlfn.IFS(R567="S","Southampton",R567="C","Cherbourg",R567="Q","Queenstown")</f>
        <v>Southampton</v>
      </c>
    </row>
    <row r="568" spans="1:19" x14ac:dyDescent="0.3">
      <c r="A568">
        <v>567</v>
      </c>
      <c r="B568">
        <v>2</v>
      </c>
      <c r="C568" s="1" t="str" cm="1">
        <f t="array" ref="C568">_xlfn.IFS(B568=1,"First Class",B568=2,"Second Class",B568=3,"Third Class")</f>
        <v>Second Class</v>
      </c>
      <c r="D568">
        <v>0</v>
      </c>
      <c r="E568" s="1" t="str">
        <f t="shared" si="32"/>
        <v>Dead</v>
      </c>
      <c r="F568" t="s">
        <v>1121</v>
      </c>
      <c r="G568" s="1" t="s">
        <v>2999</v>
      </c>
      <c r="H568" t="s">
        <v>20</v>
      </c>
      <c r="I568" s="1" t="str">
        <f t="shared" si="33"/>
        <v>Male</v>
      </c>
      <c r="J568" s="3">
        <v>41</v>
      </c>
      <c r="K568" s="3" t="str" cm="1">
        <f t="array" ref="K568">_xlfn.IFS(J568&lt;=13,"Child",J568&lt;=18,"Teenager",J568&lt;=30,"Young Adult",J568&lt;=50,"Middle Aged Adult",J568&gt;50,"Senior")</f>
        <v>Middle Aged Adult</v>
      </c>
      <c r="L568">
        <v>0</v>
      </c>
      <c r="M568">
        <v>0</v>
      </c>
      <c r="N568" s="1">
        <f t="shared" si="34"/>
        <v>1</v>
      </c>
      <c r="O568" s="1" t="str">
        <f t="shared" si="35"/>
        <v>Single</v>
      </c>
      <c r="P568">
        <v>15.0458</v>
      </c>
      <c r="Q568" s="1" t="str" cm="1">
        <f t="array" ref="Q568">_xlfn.IFS(P568&lt;=50,"Low",P568&lt;=100,"Medium",P568&gt;100,"High")</f>
        <v>Low</v>
      </c>
      <c r="R568" t="s">
        <v>41</v>
      </c>
      <c r="S568" s="1" t="str" cm="1">
        <f t="array" ref="S568">_xlfn.IFS(R568="S","Southampton",R568="C","Cherbourg",R568="Q","Queenstown")</f>
        <v>Cherbourg</v>
      </c>
    </row>
    <row r="569" spans="1:19" x14ac:dyDescent="0.3">
      <c r="A569">
        <v>568</v>
      </c>
      <c r="B569">
        <v>2</v>
      </c>
      <c r="C569" s="1" t="str" cm="1">
        <f t="array" ref="C569">_xlfn.IFS(B569=1,"First Class",B569=2,"Second Class",B569=3,"Third Class")</f>
        <v>Second Class</v>
      </c>
      <c r="D569">
        <v>0</v>
      </c>
      <c r="E569" s="1" t="str">
        <f t="shared" si="32"/>
        <v>Dead</v>
      </c>
      <c r="F569" t="s">
        <v>1122</v>
      </c>
      <c r="G569" s="1" t="s">
        <v>2999</v>
      </c>
      <c r="H569" t="s">
        <v>20</v>
      </c>
      <c r="I569" s="1" t="str">
        <f t="shared" si="33"/>
        <v>Male</v>
      </c>
      <c r="J569" s="3">
        <v>25</v>
      </c>
      <c r="K569" s="3" t="str" cm="1">
        <f t="array" ref="K569">_xlfn.IFS(J569&lt;=13,"Child",J569&lt;=18,"Teenager",J569&lt;=30,"Young Adult",J569&lt;=50,"Middle Aged Adult",J569&gt;50,"Senior")</f>
        <v>Young Adult</v>
      </c>
      <c r="L569">
        <v>0</v>
      </c>
      <c r="M569">
        <v>0</v>
      </c>
      <c r="N569" s="1">
        <f t="shared" si="34"/>
        <v>1</v>
      </c>
      <c r="O569" s="1" t="str">
        <f t="shared" si="35"/>
        <v>Single</v>
      </c>
      <c r="P569">
        <v>10.5</v>
      </c>
      <c r="Q569" s="1" t="str" cm="1">
        <f t="array" ref="Q569">_xlfn.IFS(P569&lt;=50,"Low",P569&lt;=100,"Medium",P569&gt;100,"High")</f>
        <v>Low</v>
      </c>
      <c r="R569" t="s">
        <v>17</v>
      </c>
      <c r="S569" s="1" t="str" cm="1">
        <f t="array" ref="S569">_xlfn.IFS(R569="S","Southampton",R569="C","Cherbourg",R569="Q","Queenstown")</f>
        <v>Southampton</v>
      </c>
    </row>
    <row r="570" spans="1:19" x14ac:dyDescent="0.3">
      <c r="A570">
        <v>569</v>
      </c>
      <c r="B570">
        <v>2</v>
      </c>
      <c r="C570" s="1" t="str" cm="1">
        <f t="array" ref="C570">_xlfn.IFS(B570=1,"First Class",B570=2,"Second Class",B570=3,"Third Class")</f>
        <v>Second Class</v>
      </c>
      <c r="D570">
        <v>0</v>
      </c>
      <c r="E570" s="1" t="str">
        <f t="shared" si="32"/>
        <v>Dead</v>
      </c>
      <c r="F570" t="s">
        <v>1125</v>
      </c>
      <c r="G570" s="1" t="s">
        <v>2999</v>
      </c>
      <c r="H570" t="s">
        <v>20</v>
      </c>
      <c r="I570" s="1" t="str">
        <f t="shared" si="33"/>
        <v>Male</v>
      </c>
      <c r="J570" s="3">
        <v>18.5</v>
      </c>
      <c r="K570" s="3" t="str" cm="1">
        <f t="array" ref="K570">_xlfn.IFS(J570&lt;=13,"Child",J570&lt;=18,"Teenager",J570&lt;=30,"Young Adult",J570&lt;=50,"Middle Aged Adult",J570&gt;50,"Senior")</f>
        <v>Young Adult</v>
      </c>
      <c r="L570">
        <v>0</v>
      </c>
      <c r="M570">
        <v>0</v>
      </c>
      <c r="N570" s="1">
        <f t="shared" si="34"/>
        <v>1</v>
      </c>
      <c r="O570" s="1" t="str">
        <f t="shared" si="35"/>
        <v>Single</v>
      </c>
      <c r="P570">
        <v>13</v>
      </c>
      <c r="Q570" s="1" t="str" cm="1">
        <f t="array" ref="Q570">_xlfn.IFS(P570&lt;=50,"Low",P570&lt;=100,"Medium",P570&gt;100,"High")</f>
        <v>Low</v>
      </c>
      <c r="R570" t="s">
        <v>17</v>
      </c>
      <c r="S570" s="1" t="str" cm="1">
        <f t="array" ref="S570">_xlfn.IFS(R570="S","Southampton",R570="C","Cherbourg",R570="Q","Queenstown")</f>
        <v>Southampton</v>
      </c>
    </row>
    <row r="571" spans="1:19" x14ac:dyDescent="0.3">
      <c r="A571">
        <v>570</v>
      </c>
      <c r="B571">
        <v>2</v>
      </c>
      <c r="C571" s="1" t="str" cm="1">
        <f t="array" ref="C571">_xlfn.IFS(B571=1,"First Class",B571=2,"Second Class",B571=3,"Third Class")</f>
        <v>Second Class</v>
      </c>
      <c r="D571">
        <v>0</v>
      </c>
      <c r="E571" s="1" t="str">
        <f t="shared" si="32"/>
        <v>Dead</v>
      </c>
      <c r="F571" t="s">
        <v>1127</v>
      </c>
      <c r="G571" s="1" t="s">
        <v>2999</v>
      </c>
      <c r="H571" t="s">
        <v>20</v>
      </c>
      <c r="I571" s="1" t="str">
        <f t="shared" si="33"/>
        <v>Male</v>
      </c>
      <c r="J571" s="3">
        <v>14</v>
      </c>
      <c r="K571" s="3" t="str" cm="1">
        <f t="array" ref="K571">_xlfn.IFS(J571&lt;=13,"Child",J571&lt;=18,"Teenager",J571&lt;=30,"Young Adult",J571&lt;=50,"Middle Aged Adult",J571&gt;50,"Senior")</f>
        <v>Teenager</v>
      </c>
      <c r="L571">
        <v>0</v>
      </c>
      <c r="M571">
        <v>0</v>
      </c>
      <c r="N571" s="1">
        <f t="shared" si="34"/>
        <v>1</v>
      </c>
      <c r="O571" s="1" t="str">
        <f t="shared" si="35"/>
        <v>Single</v>
      </c>
      <c r="P571">
        <v>65</v>
      </c>
      <c r="Q571" s="1" t="str" cm="1">
        <f t="array" ref="Q571">_xlfn.IFS(P571&lt;=50,"Low",P571&lt;=100,"Medium",P571&gt;100,"High")</f>
        <v>Medium</v>
      </c>
      <c r="R571" t="s">
        <v>17</v>
      </c>
      <c r="S571" s="1" t="str" cm="1">
        <f t="array" ref="S571">_xlfn.IFS(R571="S","Southampton",R571="C","Cherbourg",R571="Q","Queenstown")</f>
        <v>Southampton</v>
      </c>
    </row>
    <row r="572" spans="1:19" x14ac:dyDescent="0.3">
      <c r="A572">
        <v>571</v>
      </c>
      <c r="B572">
        <v>2</v>
      </c>
      <c r="C572" s="1" t="str" cm="1">
        <f t="array" ref="C572">_xlfn.IFS(B572=1,"First Class",B572=2,"Second Class",B572=3,"Third Class")</f>
        <v>Second Class</v>
      </c>
      <c r="D572">
        <v>1</v>
      </c>
      <c r="E572" s="1" t="str">
        <f t="shared" si="32"/>
        <v>Alive</v>
      </c>
      <c r="F572" t="s">
        <v>1128</v>
      </c>
      <c r="G572" s="1" t="s">
        <v>2994</v>
      </c>
      <c r="H572" t="s">
        <v>15</v>
      </c>
      <c r="I572" s="1" t="str">
        <f t="shared" si="33"/>
        <v>Female</v>
      </c>
      <c r="J572" s="3">
        <v>50</v>
      </c>
      <c r="K572" s="3" t="str" cm="1">
        <f t="array" ref="K572">_xlfn.IFS(J572&lt;=13,"Child",J572&lt;=18,"Teenager",J572&lt;=30,"Young Adult",J572&lt;=50,"Middle Aged Adult",J572&gt;50,"Senior")</f>
        <v>Middle Aged Adult</v>
      </c>
      <c r="L572">
        <v>0</v>
      </c>
      <c r="M572">
        <v>0</v>
      </c>
      <c r="N572" s="1">
        <f t="shared" si="34"/>
        <v>1</v>
      </c>
      <c r="O572" s="1" t="str">
        <f t="shared" si="35"/>
        <v>Single</v>
      </c>
      <c r="P572">
        <v>10.5</v>
      </c>
      <c r="Q572" s="1" t="str" cm="1">
        <f t="array" ref="Q572">_xlfn.IFS(P572&lt;=50,"Low",P572&lt;=100,"Medium",P572&gt;100,"High")</f>
        <v>Low</v>
      </c>
      <c r="R572" t="s">
        <v>17</v>
      </c>
      <c r="S572" s="1" t="str" cm="1">
        <f t="array" ref="S572">_xlfn.IFS(R572="S","Southampton",R572="C","Cherbourg",R572="Q","Queenstown")</f>
        <v>Southampton</v>
      </c>
    </row>
    <row r="573" spans="1:19" x14ac:dyDescent="0.3">
      <c r="A573">
        <v>572</v>
      </c>
      <c r="B573">
        <v>2</v>
      </c>
      <c r="C573" s="1" t="str" cm="1">
        <f t="array" ref="C573">_xlfn.IFS(B573=1,"First Class",B573=2,"Second Class",B573=3,"Third Class")</f>
        <v>Second Class</v>
      </c>
      <c r="D573">
        <v>0</v>
      </c>
      <c r="E573" s="1" t="str">
        <f t="shared" si="32"/>
        <v>Dead</v>
      </c>
      <c r="F573" t="s">
        <v>1130</v>
      </c>
      <c r="G573" s="1" t="s">
        <v>2999</v>
      </c>
      <c r="H573" t="s">
        <v>20</v>
      </c>
      <c r="I573" s="1" t="str">
        <f t="shared" si="33"/>
        <v>Male</v>
      </c>
      <c r="J573" s="3">
        <v>23</v>
      </c>
      <c r="K573" s="3" t="str" cm="1">
        <f t="array" ref="K573">_xlfn.IFS(J573&lt;=13,"Child",J573&lt;=18,"Teenager",J573&lt;=30,"Young Adult",J573&lt;=50,"Middle Aged Adult",J573&gt;50,"Senior")</f>
        <v>Young Adult</v>
      </c>
      <c r="L573">
        <v>0</v>
      </c>
      <c r="M573">
        <v>0</v>
      </c>
      <c r="N573" s="1">
        <f t="shared" si="34"/>
        <v>1</v>
      </c>
      <c r="O573" s="1" t="str">
        <f t="shared" si="35"/>
        <v>Single</v>
      </c>
      <c r="P573">
        <v>13</v>
      </c>
      <c r="Q573" s="1" t="str" cm="1">
        <f t="array" ref="Q573">_xlfn.IFS(P573&lt;=50,"Low",P573&lt;=100,"Medium",P573&gt;100,"High")</f>
        <v>Low</v>
      </c>
      <c r="R573" t="s">
        <v>17</v>
      </c>
      <c r="S573" s="1" t="str" cm="1">
        <f t="array" ref="S573">_xlfn.IFS(R573="S","Southampton",R573="C","Cherbourg",R573="Q","Queenstown")</f>
        <v>Southampton</v>
      </c>
    </row>
    <row r="574" spans="1:19" x14ac:dyDescent="0.3">
      <c r="A574">
        <v>573</v>
      </c>
      <c r="B574">
        <v>2</v>
      </c>
      <c r="C574" s="1" t="str" cm="1">
        <f t="array" ref="C574">_xlfn.IFS(B574=1,"First Class",B574=2,"Second Class",B574=3,"Third Class")</f>
        <v>Second Class</v>
      </c>
      <c r="D574">
        <v>1</v>
      </c>
      <c r="E574" s="1" t="str">
        <f t="shared" si="32"/>
        <v>Alive</v>
      </c>
      <c r="F574" t="s">
        <v>1131</v>
      </c>
      <c r="G574" s="1" t="s">
        <v>3001</v>
      </c>
      <c r="H574" t="s">
        <v>15</v>
      </c>
      <c r="I574" s="1" t="str">
        <f t="shared" si="33"/>
        <v>Female</v>
      </c>
      <c r="J574" s="3">
        <v>28</v>
      </c>
      <c r="K574" s="3" t="str" cm="1">
        <f t="array" ref="K574">_xlfn.IFS(J574&lt;=13,"Child",J574&lt;=18,"Teenager",J574&lt;=30,"Young Adult",J574&lt;=50,"Middle Aged Adult",J574&gt;50,"Senior")</f>
        <v>Young Adult</v>
      </c>
      <c r="L574">
        <v>0</v>
      </c>
      <c r="M574">
        <v>0</v>
      </c>
      <c r="N574" s="1">
        <f t="shared" si="34"/>
        <v>1</v>
      </c>
      <c r="O574" s="1" t="str">
        <f t="shared" si="35"/>
        <v>Single</v>
      </c>
      <c r="P574">
        <v>12.65</v>
      </c>
      <c r="Q574" s="1" t="str" cm="1">
        <f t="array" ref="Q574">_xlfn.IFS(P574&lt;=50,"Low",P574&lt;=100,"Medium",P574&gt;100,"High")</f>
        <v>Low</v>
      </c>
      <c r="R574" t="s">
        <v>17</v>
      </c>
      <c r="S574" s="1" t="str" cm="1">
        <f t="array" ref="S574">_xlfn.IFS(R574="S","Southampton",R574="C","Cherbourg",R574="Q","Queenstown")</f>
        <v>Southampton</v>
      </c>
    </row>
    <row r="575" spans="1:19" x14ac:dyDescent="0.3">
      <c r="A575">
        <v>574</v>
      </c>
      <c r="B575">
        <v>2</v>
      </c>
      <c r="C575" s="1" t="str" cm="1">
        <f t="array" ref="C575">_xlfn.IFS(B575=1,"First Class",B575=2,"Second Class",B575=3,"Third Class")</f>
        <v>Second Class</v>
      </c>
      <c r="D575">
        <v>1</v>
      </c>
      <c r="E575" s="1" t="str">
        <f t="shared" si="32"/>
        <v>Alive</v>
      </c>
      <c r="F575" t="s">
        <v>1133</v>
      </c>
      <c r="G575" s="1" t="s">
        <v>2994</v>
      </c>
      <c r="H575" t="s">
        <v>15</v>
      </c>
      <c r="I575" s="1" t="str">
        <f t="shared" si="33"/>
        <v>Female</v>
      </c>
      <c r="J575" s="3">
        <v>27</v>
      </c>
      <c r="K575" s="3" t="str" cm="1">
        <f t="array" ref="K575">_xlfn.IFS(J575&lt;=13,"Child",J575&lt;=18,"Teenager",J575&lt;=30,"Young Adult",J575&lt;=50,"Middle Aged Adult",J575&gt;50,"Senior")</f>
        <v>Young Adult</v>
      </c>
      <c r="L575">
        <v>0</v>
      </c>
      <c r="M575">
        <v>0</v>
      </c>
      <c r="N575" s="1">
        <f t="shared" si="34"/>
        <v>1</v>
      </c>
      <c r="O575" s="1" t="str">
        <f t="shared" si="35"/>
        <v>Single</v>
      </c>
      <c r="P575">
        <v>10.5</v>
      </c>
      <c r="Q575" s="1" t="str" cm="1">
        <f t="array" ref="Q575">_xlfn.IFS(P575&lt;=50,"Low",P575&lt;=100,"Medium",P575&gt;100,"High")</f>
        <v>Low</v>
      </c>
      <c r="R575" t="s">
        <v>17</v>
      </c>
      <c r="S575" s="1" t="str" cm="1">
        <f t="array" ref="S575">_xlfn.IFS(R575="S","Southampton",R575="C","Cherbourg",R575="Q","Queenstown")</f>
        <v>Southampton</v>
      </c>
    </row>
    <row r="576" spans="1:19" x14ac:dyDescent="0.3">
      <c r="A576">
        <v>575</v>
      </c>
      <c r="B576">
        <v>2</v>
      </c>
      <c r="C576" s="1" t="str" cm="1">
        <f t="array" ref="C576">_xlfn.IFS(B576=1,"First Class",B576=2,"Second Class",B576=3,"Third Class")</f>
        <v>Second Class</v>
      </c>
      <c r="D576">
        <v>0</v>
      </c>
      <c r="E576" s="1" t="str">
        <f t="shared" si="32"/>
        <v>Dead</v>
      </c>
      <c r="F576" t="s">
        <v>1135</v>
      </c>
      <c r="G576" s="1" t="s">
        <v>2999</v>
      </c>
      <c r="H576" t="s">
        <v>20</v>
      </c>
      <c r="I576" s="1" t="str">
        <f t="shared" si="33"/>
        <v>Male</v>
      </c>
      <c r="J576" s="3">
        <v>29</v>
      </c>
      <c r="K576" s="3" t="str" cm="1">
        <f t="array" ref="K576">_xlfn.IFS(J576&lt;=13,"Child",J576&lt;=18,"Teenager",J576&lt;=30,"Young Adult",J576&lt;=50,"Middle Aged Adult",J576&gt;50,"Senior")</f>
        <v>Young Adult</v>
      </c>
      <c r="L576">
        <v>1</v>
      </c>
      <c r="M576">
        <v>0</v>
      </c>
      <c r="N576" s="1">
        <f t="shared" si="34"/>
        <v>2</v>
      </c>
      <c r="O576" s="1" t="str">
        <f t="shared" si="35"/>
        <v>With Family</v>
      </c>
      <c r="P576">
        <v>21</v>
      </c>
      <c r="Q576" s="1" t="str" cm="1">
        <f t="array" ref="Q576">_xlfn.IFS(P576&lt;=50,"Low",P576&lt;=100,"Medium",P576&gt;100,"High")</f>
        <v>Low</v>
      </c>
      <c r="R576" t="s">
        <v>17</v>
      </c>
      <c r="S576" s="1" t="str" cm="1">
        <f t="array" ref="S576">_xlfn.IFS(R576="S","Southampton",R576="C","Cherbourg",R576="Q","Queenstown")</f>
        <v>Southampton</v>
      </c>
    </row>
    <row r="577" spans="1:19" x14ac:dyDescent="0.3">
      <c r="A577">
        <v>576</v>
      </c>
      <c r="B577">
        <v>2</v>
      </c>
      <c r="C577" s="1" t="str" cm="1">
        <f t="array" ref="C577">_xlfn.IFS(B577=1,"First Class",B577=2,"Second Class",B577=3,"Third Class")</f>
        <v>Second Class</v>
      </c>
      <c r="D577">
        <v>0</v>
      </c>
      <c r="E577" s="1" t="str">
        <f t="shared" si="32"/>
        <v>Dead</v>
      </c>
      <c r="F577" t="s">
        <v>1137</v>
      </c>
      <c r="G577" s="1" t="s">
        <v>3001</v>
      </c>
      <c r="H577" t="s">
        <v>15</v>
      </c>
      <c r="I577" s="1" t="str">
        <f t="shared" si="33"/>
        <v>Female</v>
      </c>
      <c r="J577" s="3">
        <v>27</v>
      </c>
      <c r="K577" s="3" t="str" cm="1">
        <f t="array" ref="K577">_xlfn.IFS(J577&lt;=13,"Child",J577&lt;=18,"Teenager",J577&lt;=30,"Young Adult",J577&lt;=50,"Middle Aged Adult",J577&gt;50,"Senior")</f>
        <v>Young Adult</v>
      </c>
      <c r="L577">
        <v>1</v>
      </c>
      <c r="M577">
        <v>0</v>
      </c>
      <c r="N577" s="1">
        <f t="shared" si="34"/>
        <v>2</v>
      </c>
      <c r="O577" s="1" t="str">
        <f t="shared" si="35"/>
        <v>With Family</v>
      </c>
      <c r="P577">
        <v>21</v>
      </c>
      <c r="Q577" s="1" t="str" cm="1">
        <f t="array" ref="Q577">_xlfn.IFS(P577&lt;=50,"Low",P577&lt;=100,"Medium",P577&gt;100,"High")</f>
        <v>Low</v>
      </c>
      <c r="R577" t="s">
        <v>17</v>
      </c>
      <c r="S577" s="1" t="str" cm="1">
        <f t="array" ref="S577">_xlfn.IFS(R577="S","Southampton",R577="C","Cherbourg",R577="Q","Queenstown")</f>
        <v>Southampton</v>
      </c>
    </row>
    <row r="578" spans="1:19" x14ac:dyDescent="0.3">
      <c r="A578">
        <v>577</v>
      </c>
      <c r="B578">
        <v>2</v>
      </c>
      <c r="C578" s="1" t="str" cm="1">
        <f t="array" ref="C578">_xlfn.IFS(B578=1,"First Class",B578=2,"Second Class",B578=3,"Third Class")</f>
        <v>Second Class</v>
      </c>
      <c r="D578">
        <v>0</v>
      </c>
      <c r="E578" s="1" t="str">
        <f t="shared" si="32"/>
        <v>Dead</v>
      </c>
      <c r="F578" t="s">
        <v>1138</v>
      </c>
      <c r="G578" s="1" t="s">
        <v>2999</v>
      </c>
      <c r="H578" t="s">
        <v>20</v>
      </c>
      <c r="I578" s="1" t="str">
        <f t="shared" si="33"/>
        <v>Male</v>
      </c>
      <c r="J578" s="3">
        <v>40</v>
      </c>
      <c r="K578" s="3" t="str" cm="1">
        <f t="array" ref="K578">_xlfn.IFS(J578&lt;=13,"Child",J578&lt;=18,"Teenager",J578&lt;=30,"Young Adult",J578&lt;=50,"Middle Aged Adult",J578&gt;50,"Senior")</f>
        <v>Middle Aged Adult</v>
      </c>
      <c r="L578">
        <v>0</v>
      </c>
      <c r="M578">
        <v>0</v>
      </c>
      <c r="N578" s="1">
        <f t="shared" si="34"/>
        <v>1</v>
      </c>
      <c r="O578" s="1" t="str">
        <f t="shared" si="35"/>
        <v>Single</v>
      </c>
      <c r="P578">
        <v>13</v>
      </c>
      <c r="Q578" s="1" t="str" cm="1">
        <f t="array" ref="Q578">_xlfn.IFS(P578&lt;=50,"Low",P578&lt;=100,"Medium",P578&gt;100,"High")</f>
        <v>Low</v>
      </c>
      <c r="R578" t="s">
        <v>17</v>
      </c>
      <c r="S578" s="1" t="str" cm="1">
        <f t="array" ref="S578">_xlfn.IFS(R578="S","Southampton",R578="C","Cherbourg",R578="Q","Queenstown")</f>
        <v>Southampton</v>
      </c>
    </row>
    <row r="579" spans="1:19" x14ac:dyDescent="0.3">
      <c r="A579">
        <v>578</v>
      </c>
      <c r="B579">
        <v>2</v>
      </c>
      <c r="C579" s="1" t="str" cm="1">
        <f t="array" ref="C579">_xlfn.IFS(B579=1,"First Class",B579=2,"Second Class",B579=3,"Third Class")</f>
        <v>Second Class</v>
      </c>
      <c r="D579">
        <v>1</v>
      </c>
      <c r="E579" s="1" t="str">
        <f t="shared" ref="E579:E642" si="36">IF(D579=0,"Dead","Alive")</f>
        <v>Alive</v>
      </c>
      <c r="F579" t="s">
        <v>1140</v>
      </c>
      <c r="G579" s="1" t="s">
        <v>2994</v>
      </c>
      <c r="H579" t="s">
        <v>15</v>
      </c>
      <c r="I579" s="1" t="str">
        <f t="shared" ref="I579:I642" si="37">PROPER(H579)</f>
        <v>Female</v>
      </c>
      <c r="J579" s="3">
        <v>31</v>
      </c>
      <c r="K579" s="3" t="str" cm="1">
        <f t="array" ref="K579">_xlfn.IFS(J579&lt;=13,"Child",J579&lt;=18,"Teenager",J579&lt;=30,"Young Adult",J579&lt;=50,"Middle Aged Adult",J579&gt;50,"Senior")</f>
        <v>Middle Aged Adult</v>
      </c>
      <c r="L579">
        <v>0</v>
      </c>
      <c r="M579">
        <v>0</v>
      </c>
      <c r="N579" s="1">
        <f t="shared" ref="N579:N642" si="38">L579+M579+1</f>
        <v>1</v>
      </c>
      <c r="O579" s="1" t="str">
        <f t="shared" ref="O579:O642" si="39">IF(N579=1,"Single","With Family")</f>
        <v>Single</v>
      </c>
      <c r="P579">
        <v>21</v>
      </c>
      <c r="Q579" s="1" t="str" cm="1">
        <f t="array" ref="Q579">_xlfn.IFS(P579&lt;=50,"Low",P579&lt;=100,"Medium",P579&gt;100,"High")</f>
        <v>Low</v>
      </c>
      <c r="R579" t="s">
        <v>17</v>
      </c>
      <c r="S579" s="1" t="str" cm="1">
        <f t="array" ref="S579">_xlfn.IFS(R579="S","Southampton",R579="C","Cherbourg",R579="Q","Queenstown")</f>
        <v>Southampton</v>
      </c>
    </row>
    <row r="580" spans="1:19" x14ac:dyDescent="0.3">
      <c r="A580">
        <v>579</v>
      </c>
      <c r="B580">
        <v>2</v>
      </c>
      <c r="C580" s="1" t="str" cm="1">
        <f t="array" ref="C580">_xlfn.IFS(B580=1,"First Class",B580=2,"Second Class",B580=3,"Third Class")</f>
        <v>Second Class</v>
      </c>
      <c r="D580">
        <v>0</v>
      </c>
      <c r="E580" s="1" t="str">
        <f t="shared" si="36"/>
        <v>Dead</v>
      </c>
      <c r="F580" t="s">
        <v>1141</v>
      </c>
      <c r="G580" s="1" t="s">
        <v>2999</v>
      </c>
      <c r="H580" t="s">
        <v>20</v>
      </c>
      <c r="I580" s="1" t="str">
        <f t="shared" si="37"/>
        <v>Male</v>
      </c>
      <c r="J580" s="3">
        <v>30</v>
      </c>
      <c r="K580" s="3" t="str" cm="1">
        <f t="array" ref="K580">_xlfn.IFS(J580&lt;=13,"Child",J580&lt;=18,"Teenager",J580&lt;=30,"Young Adult",J580&lt;=50,"Middle Aged Adult",J580&gt;50,"Senior")</f>
        <v>Young Adult</v>
      </c>
      <c r="L580">
        <v>1</v>
      </c>
      <c r="M580">
        <v>0</v>
      </c>
      <c r="N580" s="1">
        <f t="shared" si="38"/>
        <v>2</v>
      </c>
      <c r="O580" s="1" t="str">
        <f t="shared" si="39"/>
        <v>With Family</v>
      </c>
      <c r="P580">
        <v>21</v>
      </c>
      <c r="Q580" s="1" t="str" cm="1">
        <f t="array" ref="Q580">_xlfn.IFS(P580&lt;=50,"Low",P580&lt;=100,"Medium",P580&gt;100,"High")</f>
        <v>Low</v>
      </c>
      <c r="R580" t="s">
        <v>17</v>
      </c>
      <c r="S580" s="1" t="str" cm="1">
        <f t="array" ref="S580">_xlfn.IFS(R580="S","Southampton",R580="C","Cherbourg",R580="Q","Queenstown")</f>
        <v>Southampton</v>
      </c>
    </row>
    <row r="581" spans="1:19" x14ac:dyDescent="0.3">
      <c r="A581">
        <v>580</v>
      </c>
      <c r="B581">
        <v>2</v>
      </c>
      <c r="C581" s="1" t="str" cm="1">
        <f t="array" ref="C581">_xlfn.IFS(B581=1,"First Class",B581=2,"Second Class",B581=3,"Third Class")</f>
        <v>Second Class</v>
      </c>
      <c r="D581">
        <v>0</v>
      </c>
      <c r="E581" s="1" t="str">
        <f t="shared" si="36"/>
        <v>Dead</v>
      </c>
      <c r="F581" t="s">
        <v>1144</v>
      </c>
      <c r="G581" s="1" t="s">
        <v>2999</v>
      </c>
      <c r="H581" t="s">
        <v>20</v>
      </c>
      <c r="I581" s="1" t="str">
        <f t="shared" si="37"/>
        <v>Male</v>
      </c>
      <c r="J581" s="3">
        <v>23</v>
      </c>
      <c r="K581" s="3" t="str" cm="1">
        <f t="array" ref="K581">_xlfn.IFS(J581&lt;=13,"Child",J581&lt;=18,"Teenager",J581&lt;=30,"Young Adult",J581&lt;=50,"Middle Aged Adult",J581&gt;50,"Senior")</f>
        <v>Young Adult</v>
      </c>
      <c r="L581">
        <v>1</v>
      </c>
      <c r="M581">
        <v>0</v>
      </c>
      <c r="N581" s="1">
        <f t="shared" si="38"/>
        <v>2</v>
      </c>
      <c r="O581" s="1" t="str">
        <f t="shared" si="39"/>
        <v>With Family</v>
      </c>
      <c r="P581">
        <v>10.5</v>
      </c>
      <c r="Q581" s="1" t="str" cm="1">
        <f t="array" ref="Q581">_xlfn.IFS(P581&lt;=50,"Low",P581&lt;=100,"Medium",P581&gt;100,"High")</f>
        <v>Low</v>
      </c>
      <c r="R581" t="s">
        <v>17</v>
      </c>
      <c r="S581" s="1" t="str" cm="1">
        <f t="array" ref="S581">_xlfn.IFS(R581="S","Southampton",R581="C","Cherbourg",R581="Q","Queenstown")</f>
        <v>Southampton</v>
      </c>
    </row>
    <row r="582" spans="1:19" x14ac:dyDescent="0.3">
      <c r="A582">
        <v>581</v>
      </c>
      <c r="B582">
        <v>2</v>
      </c>
      <c r="C582" s="1" t="str" cm="1">
        <f t="array" ref="C582">_xlfn.IFS(B582=1,"First Class",B582=2,"Second Class",B582=3,"Third Class")</f>
        <v>Second Class</v>
      </c>
      <c r="D582">
        <v>1</v>
      </c>
      <c r="E582" s="1" t="str">
        <f t="shared" si="36"/>
        <v>Alive</v>
      </c>
      <c r="F582" t="s">
        <v>1145</v>
      </c>
      <c r="G582" s="1" t="s">
        <v>3001</v>
      </c>
      <c r="H582" t="s">
        <v>15</v>
      </c>
      <c r="I582" s="1" t="str">
        <f t="shared" si="37"/>
        <v>Female</v>
      </c>
      <c r="J582" s="3">
        <v>31</v>
      </c>
      <c r="K582" s="3" t="str" cm="1">
        <f t="array" ref="K582">_xlfn.IFS(J582&lt;=13,"Child",J582&lt;=18,"Teenager",J582&lt;=30,"Young Adult",J582&lt;=50,"Middle Aged Adult",J582&gt;50,"Senior")</f>
        <v>Middle Aged Adult</v>
      </c>
      <c r="L582">
        <v>0</v>
      </c>
      <c r="M582">
        <v>0</v>
      </c>
      <c r="N582" s="1">
        <f t="shared" si="38"/>
        <v>1</v>
      </c>
      <c r="O582" s="1" t="str">
        <f t="shared" si="39"/>
        <v>Single</v>
      </c>
      <c r="P582">
        <v>21</v>
      </c>
      <c r="Q582" s="1" t="str" cm="1">
        <f t="array" ref="Q582">_xlfn.IFS(P582&lt;=50,"Low",P582&lt;=100,"Medium",P582&gt;100,"High")</f>
        <v>Low</v>
      </c>
      <c r="R582" t="s">
        <v>17</v>
      </c>
      <c r="S582" s="1" t="str" cm="1">
        <f t="array" ref="S582">_xlfn.IFS(R582="S","Southampton",R582="C","Cherbourg",R582="Q","Queenstown")</f>
        <v>Southampton</v>
      </c>
    </row>
    <row r="583" spans="1:19" x14ac:dyDescent="0.3">
      <c r="A583">
        <v>582</v>
      </c>
      <c r="B583">
        <v>2</v>
      </c>
      <c r="C583" s="1" t="str" cm="1">
        <f t="array" ref="C583">_xlfn.IFS(B583=1,"First Class",B583=2,"Second Class",B583=3,"Third Class")</f>
        <v>Second Class</v>
      </c>
      <c r="D583">
        <v>0</v>
      </c>
      <c r="E583" s="1" t="str">
        <f t="shared" si="36"/>
        <v>Dead</v>
      </c>
      <c r="F583" t="s">
        <v>1146</v>
      </c>
      <c r="G583" s="1" t="s">
        <v>2999</v>
      </c>
      <c r="H583" t="s">
        <v>20</v>
      </c>
      <c r="I583" s="1" t="str">
        <f t="shared" si="37"/>
        <v>Male</v>
      </c>
      <c r="J583" s="3">
        <v>29.881137667304014</v>
      </c>
      <c r="K583" s="3" t="str" cm="1">
        <f t="array" ref="K583">_xlfn.IFS(J583&lt;=13,"Child",J583&lt;=18,"Teenager",J583&lt;=30,"Young Adult",J583&lt;=50,"Middle Aged Adult",J583&gt;50,"Senior")</f>
        <v>Young Adult</v>
      </c>
      <c r="L583">
        <v>0</v>
      </c>
      <c r="M583">
        <v>0</v>
      </c>
      <c r="N583" s="1">
        <f t="shared" si="38"/>
        <v>1</v>
      </c>
      <c r="O583" s="1" t="str">
        <f t="shared" si="39"/>
        <v>Single</v>
      </c>
      <c r="P583">
        <v>0</v>
      </c>
      <c r="Q583" s="1" t="str" cm="1">
        <f t="array" ref="Q583">_xlfn.IFS(P583&lt;=50,"Low",P583&lt;=100,"Medium",P583&gt;100,"High")</f>
        <v>Low</v>
      </c>
      <c r="R583" t="s">
        <v>17</v>
      </c>
      <c r="S583" s="1" t="str" cm="1">
        <f t="array" ref="S583">_xlfn.IFS(R583="S","Southampton",R583="C","Cherbourg",R583="Q","Queenstown")</f>
        <v>Southampton</v>
      </c>
    </row>
    <row r="584" spans="1:19" x14ac:dyDescent="0.3">
      <c r="A584">
        <v>583</v>
      </c>
      <c r="B584">
        <v>2</v>
      </c>
      <c r="C584" s="1" t="str" cm="1">
        <f t="array" ref="C584">_xlfn.IFS(B584=1,"First Class",B584=2,"Second Class",B584=3,"Third Class")</f>
        <v>Second Class</v>
      </c>
      <c r="D584">
        <v>1</v>
      </c>
      <c r="E584" s="1" t="str">
        <f t="shared" si="36"/>
        <v>Alive</v>
      </c>
      <c r="F584" t="s">
        <v>1147</v>
      </c>
      <c r="G584" s="1" t="s">
        <v>2994</v>
      </c>
      <c r="H584" t="s">
        <v>15</v>
      </c>
      <c r="I584" s="1" t="str">
        <f t="shared" si="37"/>
        <v>Female</v>
      </c>
      <c r="J584" s="3">
        <v>12</v>
      </c>
      <c r="K584" s="3" t="str" cm="1">
        <f t="array" ref="K584">_xlfn.IFS(J584&lt;=13,"Child",J584&lt;=18,"Teenager",J584&lt;=30,"Young Adult",J584&lt;=50,"Middle Aged Adult",J584&gt;50,"Senior")</f>
        <v>Child</v>
      </c>
      <c r="L584">
        <v>0</v>
      </c>
      <c r="M584">
        <v>0</v>
      </c>
      <c r="N584" s="1">
        <f t="shared" si="38"/>
        <v>1</v>
      </c>
      <c r="O584" s="1" t="str">
        <f t="shared" si="39"/>
        <v>Single</v>
      </c>
      <c r="P584">
        <v>15.75</v>
      </c>
      <c r="Q584" s="1" t="str" cm="1">
        <f t="array" ref="Q584">_xlfn.IFS(P584&lt;=50,"Low",P584&lt;=100,"Medium",P584&gt;100,"High")</f>
        <v>Low</v>
      </c>
      <c r="R584" t="s">
        <v>17</v>
      </c>
      <c r="S584" s="1" t="str" cm="1">
        <f t="array" ref="S584">_xlfn.IFS(R584="S","Southampton",R584="C","Cherbourg",R584="Q","Queenstown")</f>
        <v>Southampton</v>
      </c>
    </row>
    <row r="585" spans="1:19" x14ac:dyDescent="0.3">
      <c r="A585">
        <v>584</v>
      </c>
      <c r="B585">
        <v>2</v>
      </c>
      <c r="C585" s="1" t="str" cm="1">
        <f t="array" ref="C585">_xlfn.IFS(B585=1,"First Class",B585=2,"Second Class",B585=3,"Third Class")</f>
        <v>Second Class</v>
      </c>
      <c r="D585">
        <v>1</v>
      </c>
      <c r="E585" s="1" t="str">
        <f t="shared" si="36"/>
        <v>Alive</v>
      </c>
      <c r="F585" t="s">
        <v>1150</v>
      </c>
      <c r="G585" s="1" t="s">
        <v>3001</v>
      </c>
      <c r="H585" t="s">
        <v>15</v>
      </c>
      <c r="I585" s="1" t="str">
        <f t="shared" si="37"/>
        <v>Female</v>
      </c>
      <c r="J585" s="3">
        <v>40</v>
      </c>
      <c r="K585" s="3" t="str" cm="1">
        <f t="array" ref="K585">_xlfn.IFS(J585&lt;=13,"Child",J585&lt;=18,"Teenager",J585&lt;=30,"Young Adult",J585&lt;=50,"Middle Aged Adult",J585&gt;50,"Senior")</f>
        <v>Middle Aged Adult</v>
      </c>
      <c r="L585">
        <v>0</v>
      </c>
      <c r="M585">
        <v>0</v>
      </c>
      <c r="N585" s="1">
        <f t="shared" si="38"/>
        <v>1</v>
      </c>
      <c r="O585" s="1" t="str">
        <f t="shared" si="39"/>
        <v>Single</v>
      </c>
      <c r="P585">
        <v>15.75</v>
      </c>
      <c r="Q585" s="1" t="str" cm="1">
        <f t="array" ref="Q585">_xlfn.IFS(P585&lt;=50,"Low",P585&lt;=100,"Medium",P585&gt;100,"High")</f>
        <v>Low</v>
      </c>
      <c r="R585" t="s">
        <v>17</v>
      </c>
      <c r="S585" s="1" t="str" cm="1">
        <f t="array" ref="S585">_xlfn.IFS(R585="S","Southampton",R585="C","Cherbourg",R585="Q","Queenstown")</f>
        <v>Southampton</v>
      </c>
    </row>
    <row r="586" spans="1:19" x14ac:dyDescent="0.3">
      <c r="A586">
        <v>585</v>
      </c>
      <c r="B586">
        <v>2</v>
      </c>
      <c r="C586" s="1" t="str" cm="1">
        <f t="array" ref="C586">_xlfn.IFS(B586=1,"First Class",B586=2,"Second Class",B586=3,"Third Class")</f>
        <v>Second Class</v>
      </c>
      <c r="D586">
        <v>1</v>
      </c>
      <c r="E586" s="1" t="str">
        <f t="shared" si="36"/>
        <v>Alive</v>
      </c>
      <c r="F586" t="s">
        <v>1151</v>
      </c>
      <c r="G586" s="1" t="s">
        <v>2994</v>
      </c>
      <c r="H586" t="s">
        <v>15</v>
      </c>
      <c r="I586" s="1" t="str">
        <f t="shared" si="37"/>
        <v>Female</v>
      </c>
      <c r="J586" s="3">
        <v>32.5</v>
      </c>
      <c r="K586" s="3" t="str" cm="1">
        <f t="array" ref="K586">_xlfn.IFS(J586&lt;=13,"Child",J586&lt;=18,"Teenager",J586&lt;=30,"Young Adult",J586&lt;=50,"Middle Aged Adult",J586&gt;50,"Senior")</f>
        <v>Middle Aged Adult</v>
      </c>
      <c r="L586">
        <v>0</v>
      </c>
      <c r="M586">
        <v>0</v>
      </c>
      <c r="N586" s="1">
        <f t="shared" si="38"/>
        <v>1</v>
      </c>
      <c r="O586" s="1" t="str">
        <f t="shared" si="39"/>
        <v>Single</v>
      </c>
      <c r="P586">
        <v>13</v>
      </c>
      <c r="Q586" s="1" t="str" cm="1">
        <f t="array" ref="Q586">_xlfn.IFS(P586&lt;=50,"Low",P586&lt;=100,"Medium",P586&gt;100,"High")</f>
        <v>Low</v>
      </c>
      <c r="R586" t="s">
        <v>17</v>
      </c>
      <c r="S586" s="1" t="str" cm="1">
        <f t="array" ref="S586">_xlfn.IFS(R586="S","Southampton",R586="C","Cherbourg",R586="Q","Queenstown")</f>
        <v>Southampton</v>
      </c>
    </row>
    <row r="587" spans="1:19" x14ac:dyDescent="0.3">
      <c r="A587">
        <v>586</v>
      </c>
      <c r="B587">
        <v>2</v>
      </c>
      <c r="C587" s="1" t="str" cm="1">
        <f t="array" ref="C587">_xlfn.IFS(B587=1,"First Class",B587=2,"Second Class",B587=3,"Third Class")</f>
        <v>Second Class</v>
      </c>
      <c r="D587">
        <v>0</v>
      </c>
      <c r="E587" s="1" t="str">
        <f t="shared" si="36"/>
        <v>Dead</v>
      </c>
      <c r="F587" t="s">
        <v>1153</v>
      </c>
      <c r="G587" s="1" t="s">
        <v>2999</v>
      </c>
      <c r="H587" t="s">
        <v>20</v>
      </c>
      <c r="I587" s="1" t="str">
        <f t="shared" si="37"/>
        <v>Male</v>
      </c>
      <c r="J587" s="3">
        <v>27</v>
      </c>
      <c r="K587" s="3" t="str" cm="1">
        <f t="array" ref="K587">_xlfn.IFS(J587&lt;=13,"Child",J587&lt;=18,"Teenager",J587&lt;=30,"Young Adult",J587&lt;=50,"Middle Aged Adult",J587&gt;50,"Senior")</f>
        <v>Young Adult</v>
      </c>
      <c r="L587">
        <v>1</v>
      </c>
      <c r="M587">
        <v>0</v>
      </c>
      <c r="N587" s="1">
        <f t="shared" si="38"/>
        <v>2</v>
      </c>
      <c r="O587" s="1" t="str">
        <f t="shared" si="39"/>
        <v>With Family</v>
      </c>
      <c r="P587">
        <v>26</v>
      </c>
      <c r="Q587" s="1" t="str" cm="1">
        <f t="array" ref="Q587">_xlfn.IFS(P587&lt;=50,"Low",P587&lt;=100,"Medium",P587&gt;100,"High")</f>
        <v>Low</v>
      </c>
      <c r="R587" t="s">
        <v>17</v>
      </c>
      <c r="S587" s="1" t="str" cm="1">
        <f t="array" ref="S587">_xlfn.IFS(R587="S","Southampton",R587="C","Cherbourg",R587="Q","Queenstown")</f>
        <v>Southampton</v>
      </c>
    </row>
    <row r="588" spans="1:19" x14ac:dyDescent="0.3">
      <c r="A588">
        <v>587</v>
      </c>
      <c r="B588">
        <v>2</v>
      </c>
      <c r="C588" s="1" t="str" cm="1">
        <f t="array" ref="C588">_xlfn.IFS(B588=1,"First Class",B588=2,"Second Class",B588=3,"Third Class")</f>
        <v>Second Class</v>
      </c>
      <c r="D588">
        <v>1</v>
      </c>
      <c r="E588" s="1" t="str">
        <f t="shared" si="36"/>
        <v>Alive</v>
      </c>
      <c r="F588" t="s">
        <v>1155</v>
      </c>
      <c r="G588" s="1" t="s">
        <v>3001</v>
      </c>
      <c r="H588" t="s">
        <v>15</v>
      </c>
      <c r="I588" s="1" t="str">
        <f t="shared" si="37"/>
        <v>Female</v>
      </c>
      <c r="J588" s="3">
        <v>29</v>
      </c>
      <c r="K588" s="3" t="str" cm="1">
        <f t="array" ref="K588">_xlfn.IFS(J588&lt;=13,"Child",J588&lt;=18,"Teenager",J588&lt;=30,"Young Adult",J588&lt;=50,"Middle Aged Adult",J588&gt;50,"Senior")</f>
        <v>Young Adult</v>
      </c>
      <c r="L588">
        <v>1</v>
      </c>
      <c r="M588">
        <v>0</v>
      </c>
      <c r="N588" s="1">
        <f t="shared" si="38"/>
        <v>2</v>
      </c>
      <c r="O588" s="1" t="str">
        <f t="shared" si="39"/>
        <v>With Family</v>
      </c>
      <c r="P588">
        <v>26</v>
      </c>
      <c r="Q588" s="1" t="str" cm="1">
        <f t="array" ref="Q588">_xlfn.IFS(P588&lt;=50,"Low",P588&lt;=100,"Medium",P588&gt;100,"High")</f>
        <v>Low</v>
      </c>
      <c r="R588" t="s">
        <v>17</v>
      </c>
      <c r="S588" s="1" t="str" cm="1">
        <f t="array" ref="S588">_xlfn.IFS(R588="S","Southampton",R588="C","Cherbourg",R588="Q","Queenstown")</f>
        <v>Southampton</v>
      </c>
    </row>
    <row r="589" spans="1:19" x14ac:dyDescent="0.3">
      <c r="A589">
        <v>588</v>
      </c>
      <c r="B589">
        <v>2</v>
      </c>
      <c r="C589" s="1" t="str" cm="1">
        <f t="array" ref="C589">_xlfn.IFS(B589=1,"First Class",B589=2,"Second Class",B589=3,"Third Class")</f>
        <v>Second Class</v>
      </c>
      <c r="D589">
        <v>1</v>
      </c>
      <c r="E589" s="1" t="str">
        <f t="shared" si="36"/>
        <v>Alive</v>
      </c>
      <c r="F589" t="s">
        <v>1156</v>
      </c>
      <c r="G589" s="1" t="s">
        <v>2996</v>
      </c>
      <c r="H589" t="s">
        <v>20</v>
      </c>
      <c r="I589" s="1" t="str">
        <f t="shared" si="37"/>
        <v>Male</v>
      </c>
      <c r="J589" s="3">
        <v>2</v>
      </c>
      <c r="K589" s="3" t="str" cm="1">
        <f t="array" ref="K589">_xlfn.IFS(J589&lt;=13,"Child",J589&lt;=18,"Teenager",J589&lt;=30,"Young Adult",J589&lt;=50,"Middle Aged Adult",J589&gt;50,"Senior")</f>
        <v>Child</v>
      </c>
      <c r="L589">
        <v>1</v>
      </c>
      <c r="M589">
        <v>1</v>
      </c>
      <c r="N589" s="1">
        <f t="shared" si="38"/>
        <v>3</v>
      </c>
      <c r="O589" s="1" t="str">
        <f t="shared" si="39"/>
        <v>With Family</v>
      </c>
      <c r="P589">
        <v>23</v>
      </c>
      <c r="Q589" s="1" t="str" cm="1">
        <f t="array" ref="Q589">_xlfn.IFS(P589&lt;=50,"Low",P589&lt;=100,"Medium",P589&gt;100,"High")</f>
        <v>Low</v>
      </c>
      <c r="R589" t="s">
        <v>17</v>
      </c>
      <c r="S589" s="1" t="str" cm="1">
        <f t="array" ref="S589">_xlfn.IFS(R589="S","Southampton",R589="C","Cherbourg",R589="Q","Queenstown")</f>
        <v>Southampton</v>
      </c>
    </row>
    <row r="590" spans="1:19" x14ac:dyDescent="0.3">
      <c r="A590">
        <v>589</v>
      </c>
      <c r="B590">
        <v>2</v>
      </c>
      <c r="C590" s="1" t="str" cm="1">
        <f t="array" ref="C590">_xlfn.IFS(B590=1,"First Class",B590=2,"Second Class",B590=3,"Third Class")</f>
        <v>Second Class</v>
      </c>
      <c r="D590">
        <v>1</v>
      </c>
      <c r="E590" s="1" t="str">
        <f t="shared" si="36"/>
        <v>Alive</v>
      </c>
      <c r="F590" t="s">
        <v>1157</v>
      </c>
      <c r="G590" s="1" t="s">
        <v>2994</v>
      </c>
      <c r="H590" t="s">
        <v>15</v>
      </c>
      <c r="I590" s="1" t="str">
        <f t="shared" si="37"/>
        <v>Female</v>
      </c>
      <c r="J590" s="3">
        <v>4</v>
      </c>
      <c r="K590" s="3" t="str" cm="1">
        <f t="array" ref="K590">_xlfn.IFS(J590&lt;=13,"Child",J590&lt;=18,"Teenager",J590&lt;=30,"Young Adult",J590&lt;=50,"Middle Aged Adult",J590&gt;50,"Senior")</f>
        <v>Child</v>
      </c>
      <c r="L590">
        <v>1</v>
      </c>
      <c r="M590">
        <v>1</v>
      </c>
      <c r="N590" s="1">
        <f t="shared" si="38"/>
        <v>3</v>
      </c>
      <c r="O590" s="1" t="str">
        <f t="shared" si="39"/>
        <v>With Family</v>
      </c>
      <c r="P590">
        <v>23</v>
      </c>
      <c r="Q590" s="1" t="str" cm="1">
        <f t="array" ref="Q590">_xlfn.IFS(P590&lt;=50,"Low",P590&lt;=100,"Medium",P590&gt;100,"High")</f>
        <v>Low</v>
      </c>
      <c r="R590" t="s">
        <v>17</v>
      </c>
      <c r="S590" s="1" t="str" cm="1">
        <f t="array" ref="S590">_xlfn.IFS(R590="S","Southampton",R590="C","Cherbourg",R590="Q","Queenstown")</f>
        <v>Southampton</v>
      </c>
    </row>
    <row r="591" spans="1:19" x14ac:dyDescent="0.3">
      <c r="A591">
        <v>590</v>
      </c>
      <c r="B591">
        <v>2</v>
      </c>
      <c r="C591" s="1" t="str" cm="1">
        <f t="array" ref="C591">_xlfn.IFS(B591=1,"First Class",B591=2,"Second Class",B591=3,"Third Class")</f>
        <v>Second Class</v>
      </c>
      <c r="D591">
        <v>1</v>
      </c>
      <c r="E591" s="1" t="str">
        <f t="shared" si="36"/>
        <v>Alive</v>
      </c>
      <c r="F591" t="s">
        <v>1158</v>
      </c>
      <c r="G591" s="1" t="s">
        <v>3001</v>
      </c>
      <c r="H591" t="s">
        <v>15</v>
      </c>
      <c r="I591" s="1" t="str">
        <f t="shared" si="37"/>
        <v>Female</v>
      </c>
      <c r="J591" s="3">
        <v>29</v>
      </c>
      <c r="K591" s="3" t="str" cm="1">
        <f t="array" ref="K591">_xlfn.IFS(J591&lt;=13,"Child",J591&lt;=18,"Teenager",J591&lt;=30,"Young Adult",J591&lt;=50,"Middle Aged Adult",J591&gt;50,"Senior")</f>
        <v>Young Adult</v>
      </c>
      <c r="L591">
        <v>0</v>
      </c>
      <c r="M591">
        <v>2</v>
      </c>
      <c r="N591" s="1">
        <f t="shared" si="38"/>
        <v>3</v>
      </c>
      <c r="O591" s="1" t="str">
        <f t="shared" si="39"/>
        <v>With Family</v>
      </c>
      <c r="P591">
        <v>23</v>
      </c>
      <c r="Q591" s="1" t="str" cm="1">
        <f t="array" ref="Q591">_xlfn.IFS(P591&lt;=50,"Low",P591&lt;=100,"Medium",P591&gt;100,"High")</f>
        <v>Low</v>
      </c>
      <c r="R591" t="s">
        <v>17</v>
      </c>
      <c r="S591" s="1" t="str" cm="1">
        <f t="array" ref="S591">_xlfn.IFS(R591="S","Southampton",R591="C","Cherbourg",R591="Q","Queenstown")</f>
        <v>Southampton</v>
      </c>
    </row>
    <row r="592" spans="1:19" x14ac:dyDescent="0.3">
      <c r="A592">
        <v>591</v>
      </c>
      <c r="B592">
        <v>2</v>
      </c>
      <c r="C592" s="1" t="str" cm="1">
        <f t="array" ref="C592">_xlfn.IFS(B592=1,"First Class",B592=2,"Second Class",B592=3,"Third Class")</f>
        <v>Second Class</v>
      </c>
      <c r="D592">
        <v>1</v>
      </c>
      <c r="E592" s="1" t="str">
        <f t="shared" si="36"/>
        <v>Alive</v>
      </c>
      <c r="F592" t="s">
        <v>1159</v>
      </c>
      <c r="G592" s="1" t="s">
        <v>2994</v>
      </c>
      <c r="H592" t="s">
        <v>15</v>
      </c>
      <c r="I592" s="1" t="str">
        <f t="shared" si="37"/>
        <v>Female</v>
      </c>
      <c r="J592" s="3">
        <v>0.92</v>
      </c>
      <c r="K592" s="3" t="str" cm="1">
        <f t="array" ref="K592">_xlfn.IFS(J592&lt;=13,"Child",J592&lt;=18,"Teenager",J592&lt;=30,"Young Adult",J592&lt;=50,"Middle Aged Adult",J592&gt;50,"Senior")</f>
        <v>Child</v>
      </c>
      <c r="L592">
        <v>1</v>
      </c>
      <c r="M592">
        <v>2</v>
      </c>
      <c r="N592" s="1">
        <f t="shared" si="38"/>
        <v>4</v>
      </c>
      <c r="O592" s="1" t="str">
        <f t="shared" si="39"/>
        <v>With Family</v>
      </c>
      <c r="P592">
        <v>27.75</v>
      </c>
      <c r="Q592" s="1" t="str" cm="1">
        <f t="array" ref="Q592">_xlfn.IFS(P592&lt;=50,"Low",P592&lt;=100,"Medium",P592&gt;100,"High")</f>
        <v>Low</v>
      </c>
      <c r="R592" t="s">
        <v>17</v>
      </c>
      <c r="S592" s="1" t="str" cm="1">
        <f t="array" ref="S592">_xlfn.IFS(R592="S","Southampton",R592="C","Cherbourg",R592="Q","Queenstown")</f>
        <v>Southampton</v>
      </c>
    </row>
    <row r="593" spans="1:19" x14ac:dyDescent="0.3">
      <c r="A593">
        <v>592</v>
      </c>
      <c r="B593">
        <v>2</v>
      </c>
      <c r="C593" s="1" t="str" cm="1">
        <f t="array" ref="C593">_xlfn.IFS(B593=1,"First Class",B593=2,"Second Class",B593=3,"Third Class")</f>
        <v>Second Class</v>
      </c>
      <c r="D593">
        <v>1</v>
      </c>
      <c r="E593" s="1" t="str">
        <f t="shared" si="36"/>
        <v>Alive</v>
      </c>
      <c r="F593" t="s">
        <v>1162</v>
      </c>
      <c r="G593" s="1" t="s">
        <v>2994</v>
      </c>
      <c r="H593" t="s">
        <v>15</v>
      </c>
      <c r="I593" s="1" t="str">
        <f t="shared" si="37"/>
        <v>Female</v>
      </c>
      <c r="J593" s="3">
        <v>5</v>
      </c>
      <c r="K593" s="3" t="str" cm="1">
        <f t="array" ref="K593">_xlfn.IFS(J593&lt;=13,"Child",J593&lt;=18,"Teenager",J593&lt;=30,"Young Adult",J593&lt;=50,"Middle Aged Adult",J593&gt;50,"Senior")</f>
        <v>Child</v>
      </c>
      <c r="L593">
        <v>1</v>
      </c>
      <c r="M593">
        <v>2</v>
      </c>
      <c r="N593" s="1">
        <f t="shared" si="38"/>
        <v>4</v>
      </c>
      <c r="O593" s="1" t="str">
        <f t="shared" si="39"/>
        <v>With Family</v>
      </c>
      <c r="P593">
        <v>27.75</v>
      </c>
      <c r="Q593" s="1" t="str" cm="1">
        <f t="array" ref="Q593">_xlfn.IFS(P593&lt;=50,"Low",P593&lt;=100,"Medium",P593&gt;100,"High")</f>
        <v>Low</v>
      </c>
      <c r="R593" t="s">
        <v>17</v>
      </c>
      <c r="S593" s="1" t="str" cm="1">
        <f t="array" ref="S593">_xlfn.IFS(R593="S","Southampton",R593="C","Cherbourg",R593="Q","Queenstown")</f>
        <v>Southampton</v>
      </c>
    </row>
    <row r="594" spans="1:19" x14ac:dyDescent="0.3">
      <c r="A594">
        <v>593</v>
      </c>
      <c r="B594">
        <v>2</v>
      </c>
      <c r="C594" s="1" t="str" cm="1">
        <f t="array" ref="C594">_xlfn.IFS(B594=1,"First Class",B594=2,"Second Class",B594=3,"Third Class")</f>
        <v>Second Class</v>
      </c>
      <c r="D594">
        <v>0</v>
      </c>
      <c r="E594" s="1" t="str">
        <f t="shared" si="36"/>
        <v>Dead</v>
      </c>
      <c r="F594" t="s">
        <v>1163</v>
      </c>
      <c r="G594" s="1" t="s">
        <v>2999</v>
      </c>
      <c r="H594" t="s">
        <v>20</v>
      </c>
      <c r="I594" s="1" t="str">
        <f t="shared" si="37"/>
        <v>Male</v>
      </c>
      <c r="J594" s="3">
        <v>36</v>
      </c>
      <c r="K594" s="3" t="str" cm="1">
        <f t="array" ref="K594">_xlfn.IFS(J594&lt;=13,"Child",J594&lt;=18,"Teenager",J594&lt;=30,"Young Adult",J594&lt;=50,"Middle Aged Adult",J594&gt;50,"Senior")</f>
        <v>Middle Aged Adult</v>
      </c>
      <c r="L594">
        <v>1</v>
      </c>
      <c r="M594">
        <v>2</v>
      </c>
      <c r="N594" s="1">
        <f t="shared" si="38"/>
        <v>4</v>
      </c>
      <c r="O594" s="1" t="str">
        <f t="shared" si="39"/>
        <v>With Family</v>
      </c>
      <c r="P594">
        <v>27.75</v>
      </c>
      <c r="Q594" s="1" t="str" cm="1">
        <f t="array" ref="Q594">_xlfn.IFS(P594&lt;=50,"Low",P594&lt;=100,"Medium",P594&gt;100,"High")</f>
        <v>Low</v>
      </c>
      <c r="R594" t="s">
        <v>17</v>
      </c>
      <c r="S594" s="1" t="str" cm="1">
        <f t="array" ref="S594">_xlfn.IFS(R594="S","Southampton",R594="C","Cherbourg",R594="Q","Queenstown")</f>
        <v>Southampton</v>
      </c>
    </row>
    <row r="595" spans="1:19" x14ac:dyDescent="0.3">
      <c r="A595">
        <v>594</v>
      </c>
      <c r="B595">
        <v>2</v>
      </c>
      <c r="C595" s="1" t="str" cm="1">
        <f t="array" ref="C595">_xlfn.IFS(B595=1,"First Class",B595=2,"Second Class",B595=3,"Third Class")</f>
        <v>Second Class</v>
      </c>
      <c r="D595">
        <v>1</v>
      </c>
      <c r="E595" s="1" t="str">
        <f t="shared" si="36"/>
        <v>Alive</v>
      </c>
      <c r="F595" t="s">
        <v>1164</v>
      </c>
      <c r="G595" s="1" t="s">
        <v>3001</v>
      </c>
      <c r="H595" t="s">
        <v>15</v>
      </c>
      <c r="I595" s="1" t="str">
        <f t="shared" si="37"/>
        <v>Female</v>
      </c>
      <c r="J595" s="3">
        <v>33</v>
      </c>
      <c r="K595" s="3" t="str" cm="1">
        <f t="array" ref="K595">_xlfn.IFS(J595&lt;=13,"Child",J595&lt;=18,"Teenager",J595&lt;=30,"Young Adult",J595&lt;=50,"Middle Aged Adult",J595&gt;50,"Senior")</f>
        <v>Middle Aged Adult</v>
      </c>
      <c r="L595">
        <v>1</v>
      </c>
      <c r="M595">
        <v>2</v>
      </c>
      <c r="N595" s="1">
        <f t="shared" si="38"/>
        <v>4</v>
      </c>
      <c r="O595" s="1" t="str">
        <f t="shared" si="39"/>
        <v>With Family</v>
      </c>
      <c r="P595">
        <v>27.75</v>
      </c>
      <c r="Q595" s="1" t="str" cm="1">
        <f t="array" ref="Q595">_xlfn.IFS(P595&lt;=50,"Low",P595&lt;=100,"Medium",P595&gt;100,"High")</f>
        <v>Low</v>
      </c>
      <c r="R595" t="s">
        <v>17</v>
      </c>
      <c r="S595" s="1" t="str" cm="1">
        <f t="array" ref="S595">_xlfn.IFS(R595="S","Southampton",R595="C","Cherbourg",R595="Q","Queenstown")</f>
        <v>Southampton</v>
      </c>
    </row>
    <row r="596" spans="1:19" x14ac:dyDescent="0.3">
      <c r="A596">
        <v>595</v>
      </c>
      <c r="B596">
        <v>2</v>
      </c>
      <c r="C596" s="1" t="str" cm="1">
        <f t="array" ref="C596">_xlfn.IFS(B596=1,"First Class",B596=2,"Second Class",B596=3,"Third Class")</f>
        <v>Second Class</v>
      </c>
      <c r="D596">
        <v>0</v>
      </c>
      <c r="E596" s="1" t="str">
        <f t="shared" si="36"/>
        <v>Dead</v>
      </c>
      <c r="F596" t="s">
        <v>1165</v>
      </c>
      <c r="G596" s="1" t="s">
        <v>2999</v>
      </c>
      <c r="H596" t="s">
        <v>20</v>
      </c>
      <c r="I596" s="1" t="str">
        <f t="shared" si="37"/>
        <v>Male</v>
      </c>
      <c r="J596" s="3">
        <v>66</v>
      </c>
      <c r="K596" s="3" t="str" cm="1">
        <f t="array" ref="K596">_xlfn.IFS(J596&lt;=13,"Child",J596&lt;=18,"Teenager",J596&lt;=30,"Young Adult",J596&lt;=50,"Middle Aged Adult",J596&gt;50,"Senior")</f>
        <v>Senior</v>
      </c>
      <c r="L596">
        <v>0</v>
      </c>
      <c r="M596">
        <v>0</v>
      </c>
      <c r="N596" s="1">
        <f t="shared" si="38"/>
        <v>1</v>
      </c>
      <c r="O596" s="1" t="str">
        <f t="shared" si="39"/>
        <v>Single</v>
      </c>
      <c r="P596">
        <v>10.5</v>
      </c>
      <c r="Q596" s="1" t="str" cm="1">
        <f t="array" ref="Q596">_xlfn.IFS(P596&lt;=50,"Low",P596&lt;=100,"Medium",P596&gt;100,"High")</f>
        <v>Low</v>
      </c>
      <c r="R596" t="s">
        <v>17</v>
      </c>
      <c r="S596" s="1" t="str" cm="1">
        <f t="array" ref="S596">_xlfn.IFS(R596="S","Southampton",R596="C","Cherbourg",R596="Q","Queenstown")</f>
        <v>Southampton</v>
      </c>
    </row>
    <row r="597" spans="1:19" x14ac:dyDescent="0.3">
      <c r="A597">
        <v>596</v>
      </c>
      <c r="B597">
        <v>2</v>
      </c>
      <c r="C597" s="1" t="str" cm="1">
        <f t="array" ref="C597">_xlfn.IFS(B597=1,"First Class",B597=2,"Second Class",B597=3,"Third Class")</f>
        <v>Second Class</v>
      </c>
      <c r="D597">
        <v>0</v>
      </c>
      <c r="E597" s="1" t="str">
        <f t="shared" si="36"/>
        <v>Dead</v>
      </c>
      <c r="F597" t="s">
        <v>1168</v>
      </c>
      <c r="G597" s="1" t="s">
        <v>2999</v>
      </c>
      <c r="H597" t="s">
        <v>20</v>
      </c>
      <c r="I597" s="1" t="str">
        <f t="shared" si="37"/>
        <v>Male</v>
      </c>
      <c r="J597" s="3">
        <v>29.881137667304014</v>
      </c>
      <c r="K597" s="3" t="str" cm="1">
        <f t="array" ref="K597">_xlfn.IFS(J597&lt;=13,"Child",J597&lt;=18,"Teenager",J597&lt;=30,"Young Adult",J597&lt;=50,"Middle Aged Adult",J597&gt;50,"Senior")</f>
        <v>Young Adult</v>
      </c>
      <c r="L597">
        <v>0</v>
      </c>
      <c r="M597">
        <v>0</v>
      </c>
      <c r="N597" s="1">
        <f t="shared" si="38"/>
        <v>1</v>
      </c>
      <c r="O597" s="1" t="str">
        <f t="shared" si="39"/>
        <v>Single</v>
      </c>
      <c r="P597">
        <v>12.875</v>
      </c>
      <c r="Q597" s="1" t="str" cm="1">
        <f t="array" ref="Q597">_xlfn.IFS(P597&lt;=50,"Low",P597&lt;=100,"Medium",P597&gt;100,"High")</f>
        <v>Low</v>
      </c>
      <c r="R597" t="s">
        <v>17</v>
      </c>
      <c r="S597" s="1" t="str" cm="1">
        <f t="array" ref="S597">_xlfn.IFS(R597="S","Southampton",R597="C","Cherbourg",R597="Q","Queenstown")</f>
        <v>Southampton</v>
      </c>
    </row>
    <row r="598" spans="1:19" x14ac:dyDescent="0.3">
      <c r="A598">
        <v>597</v>
      </c>
      <c r="B598">
        <v>2</v>
      </c>
      <c r="C598" s="1" t="str" cm="1">
        <f t="array" ref="C598">_xlfn.IFS(B598=1,"First Class",B598=2,"Second Class",B598=3,"Third Class")</f>
        <v>Second Class</v>
      </c>
      <c r="D598">
        <v>1</v>
      </c>
      <c r="E598" s="1" t="str">
        <f t="shared" si="36"/>
        <v>Alive</v>
      </c>
      <c r="F598" t="s">
        <v>1170</v>
      </c>
      <c r="G598" s="1" t="s">
        <v>2999</v>
      </c>
      <c r="H598" t="s">
        <v>20</v>
      </c>
      <c r="I598" s="1" t="str">
        <f t="shared" si="37"/>
        <v>Male</v>
      </c>
      <c r="J598" s="3">
        <v>31</v>
      </c>
      <c r="K598" s="3" t="str" cm="1">
        <f t="array" ref="K598">_xlfn.IFS(J598&lt;=13,"Child",J598&lt;=18,"Teenager",J598&lt;=30,"Young Adult",J598&lt;=50,"Middle Aged Adult",J598&gt;50,"Senior")</f>
        <v>Middle Aged Adult</v>
      </c>
      <c r="L598">
        <v>0</v>
      </c>
      <c r="M598">
        <v>0</v>
      </c>
      <c r="N598" s="1">
        <f t="shared" si="38"/>
        <v>1</v>
      </c>
      <c r="O598" s="1" t="str">
        <f t="shared" si="39"/>
        <v>Single</v>
      </c>
      <c r="P598">
        <v>13</v>
      </c>
      <c r="Q598" s="1" t="str" cm="1">
        <f t="array" ref="Q598">_xlfn.IFS(P598&lt;=50,"Low",P598&lt;=100,"Medium",P598&gt;100,"High")</f>
        <v>Low</v>
      </c>
      <c r="R598" t="s">
        <v>17</v>
      </c>
      <c r="S598" s="1" t="str" cm="1">
        <f t="array" ref="S598">_xlfn.IFS(R598="S","Southampton",R598="C","Cherbourg",R598="Q","Queenstown")</f>
        <v>Southampton</v>
      </c>
    </row>
    <row r="599" spans="1:19" x14ac:dyDescent="0.3">
      <c r="A599">
        <v>598</v>
      </c>
      <c r="B599">
        <v>2</v>
      </c>
      <c r="C599" s="1" t="str" cm="1">
        <f t="array" ref="C599">_xlfn.IFS(B599=1,"First Class",B599=2,"Second Class",B599=3,"Third Class")</f>
        <v>Second Class</v>
      </c>
      <c r="D599">
        <v>1</v>
      </c>
      <c r="E599" s="1" t="str">
        <f t="shared" si="36"/>
        <v>Alive</v>
      </c>
      <c r="F599" t="s">
        <v>1171</v>
      </c>
      <c r="G599" s="1" t="s">
        <v>2999</v>
      </c>
      <c r="H599" t="s">
        <v>20</v>
      </c>
      <c r="I599" s="1" t="str">
        <f t="shared" si="37"/>
        <v>Male</v>
      </c>
      <c r="J599" s="3">
        <v>29.881137667304014</v>
      </c>
      <c r="K599" s="3" t="str" cm="1">
        <f t="array" ref="K599">_xlfn.IFS(J599&lt;=13,"Child",J599&lt;=18,"Teenager",J599&lt;=30,"Young Adult",J599&lt;=50,"Middle Aged Adult",J599&gt;50,"Senior")</f>
        <v>Young Adult</v>
      </c>
      <c r="L599">
        <v>0</v>
      </c>
      <c r="M599">
        <v>0</v>
      </c>
      <c r="N599" s="1">
        <f t="shared" si="38"/>
        <v>1</v>
      </c>
      <c r="O599" s="1" t="str">
        <f t="shared" si="39"/>
        <v>Single</v>
      </c>
      <c r="P599">
        <v>13</v>
      </c>
      <c r="Q599" s="1" t="str" cm="1">
        <f t="array" ref="Q599">_xlfn.IFS(P599&lt;=50,"Low",P599&lt;=100,"Medium",P599&gt;100,"High")</f>
        <v>Low</v>
      </c>
      <c r="R599" t="s">
        <v>17</v>
      </c>
      <c r="S599" s="1" t="str" cm="1">
        <f t="array" ref="S599">_xlfn.IFS(R599="S","Southampton",R599="C","Cherbourg",R599="Q","Queenstown")</f>
        <v>Southampton</v>
      </c>
    </row>
    <row r="600" spans="1:19" x14ac:dyDescent="0.3">
      <c r="A600">
        <v>599</v>
      </c>
      <c r="B600">
        <v>2</v>
      </c>
      <c r="C600" s="1" t="str" cm="1">
        <f t="array" ref="C600">_xlfn.IFS(B600=1,"First Class",B600=2,"Second Class",B600=3,"Third Class")</f>
        <v>Second Class</v>
      </c>
      <c r="D600">
        <v>1</v>
      </c>
      <c r="E600" s="1" t="str">
        <f t="shared" si="36"/>
        <v>Alive</v>
      </c>
      <c r="F600" t="s">
        <v>1173</v>
      </c>
      <c r="G600" s="1" t="s">
        <v>2994</v>
      </c>
      <c r="H600" t="s">
        <v>15</v>
      </c>
      <c r="I600" s="1" t="str">
        <f t="shared" si="37"/>
        <v>Female</v>
      </c>
      <c r="J600" s="3">
        <v>26</v>
      </c>
      <c r="K600" s="3" t="str" cm="1">
        <f t="array" ref="K600">_xlfn.IFS(J600&lt;=13,"Child",J600&lt;=18,"Teenager",J600&lt;=30,"Young Adult",J600&lt;=50,"Middle Aged Adult",J600&gt;50,"Senior")</f>
        <v>Young Adult</v>
      </c>
      <c r="L600">
        <v>0</v>
      </c>
      <c r="M600">
        <v>0</v>
      </c>
      <c r="N600" s="1">
        <f t="shared" si="38"/>
        <v>1</v>
      </c>
      <c r="O600" s="1" t="str">
        <f t="shared" si="39"/>
        <v>Single</v>
      </c>
      <c r="P600">
        <v>13.5</v>
      </c>
      <c r="Q600" s="1" t="str" cm="1">
        <f t="array" ref="Q600">_xlfn.IFS(P600&lt;=50,"Low",P600&lt;=100,"Medium",P600&gt;100,"High")</f>
        <v>Low</v>
      </c>
      <c r="R600" t="s">
        <v>17</v>
      </c>
      <c r="S600" s="1" t="str" cm="1">
        <f t="array" ref="S600">_xlfn.IFS(R600="S","Southampton",R600="C","Cherbourg",R600="Q","Queenstown")</f>
        <v>Southampton</v>
      </c>
    </row>
    <row r="601" spans="1:19" x14ac:dyDescent="0.3">
      <c r="A601">
        <v>600</v>
      </c>
      <c r="B601">
        <v>2</v>
      </c>
      <c r="C601" s="1" t="str" cm="1">
        <f t="array" ref="C601">_xlfn.IFS(B601=1,"First Class",B601=2,"Second Class",B601=3,"Third Class")</f>
        <v>Second Class</v>
      </c>
      <c r="D601">
        <v>0</v>
      </c>
      <c r="E601" s="1" t="str">
        <f t="shared" si="36"/>
        <v>Dead</v>
      </c>
      <c r="F601" t="s">
        <v>1175</v>
      </c>
      <c r="G601" s="1" t="s">
        <v>2994</v>
      </c>
      <c r="H601" t="s">
        <v>15</v>
      </c>
      <c r="I601" s="1" t="str">
        <f t="shared" si="37"/>
        <v>Female</v>
      </c>
      <c r="J601" s="3">
        <v>24</v>
      </c>
      <c r="K601" s="3" t="str" cm="1">
        <f t="array" ref="K601">_xlfn.IFS(J601&lt;=13,"Child",J601&lt;=18,"Teenager",J601&lt;=30,"Young Adult",J601&lt;=50,"Middle Aged Adult",J601&gt;50,"Senior")</f>
        <v>Young Adult</v>
      </c>
      <c r="L601">
        <v>0</v>
      </c>
      <c r="M601">
        <v>0</v>
      </c>
      <c r="N601" s="1">
        <f t="shared" si="38"/>
        <v>1</v>
      </c>
      <c r="O601" s="1" t="str">
        <f t="shared" si="39"/>
        <v>Single</v>
      </c>
      <c r="P601">
        <v>13</v>
      </c>
      <c r="Q601" s="1" t="str" cm="1">
        <f t="array" ref="Q601">_xlfn.IFS(P601&lt;=50,"Low",P601&lt;=100,"Medium",P601&gt;100,"High")</f>
        <v>Low</v>
      </c>
      <c r="R601" t="s">
        <v>17</v>
      </c>
      <c r="S601" s="1" t="str" cm="1">
        <f t="array" ref="S601">_xlfn.IFS(R601="S","Southampton",R601="C","Cherbourg",R601="Q","Queenstown")</f>
        <v>Southampton</v>
      </c>
    </row>
    <row r="602" spans="1:19" x14ac:dyDescent="0.3">
      <c r="A602">
        <v>601</v>
      </c>
      <c r="B602">
        <v>3</v>
      </c>
      <c r="C602" s="1" t="str" cm="1">
        <f t="array" ref="C602">_xlfn.IFS(B602=1,"First Class",B602=2,"Second Class",B602=3,"Third Class")</f>
        <v>Third Class</v>
      </c>
      <c r="D602">
        <v>0</v>
      </c>
      <c r="E602" s="1" t="str">
        <f t="shared" si="36"/>
        <v>Dead</v>
      </c>
      <c r="F602" t="s">
        <v>1176</v>
      </c>
      <c r="G602" s="1" t="s">
        <v>2999</v>
      </c>
      <c r="H602" t="s">
        <v>20</v>
      </c>
      <c r="I602" s="1" t="str">
        <f t="shared" si="37"/>
        <v>Male</v>
      </c>
      <c r="J602" s="3">
        <v>42</v>
      </c>
      <c r="K602" s="3" t="str" cm="1">
        <f t="array" ref="K602">_xlfn.IFS(J602&lt;=13,"Child",J602&lt;=18,"Teenager",J602&lt;=30,"Young Adult",J602&lt;=50,"Middle Aged Adult",J602&gt;50,"Senior")</f>
        <v>Middle Aged Adult</v>
      </c>
      <c r="L602">
        <v>0</v>
      </c>
      <c r="M602">
        <v>0</v>
      </c>
      <c r="N602" s="1">
        <f t="shared" si="38"/>
        <v>1</v>
      </c>
      <c r="O602" s="1" t="str">
        <f t="shared" si="39"/>
        <v>Single</v>
      </c>
      <c r="P602">
        <v>7.55</v>
      </c>
      <c r="Q602" s="1" t="str" cm="1">
        <f t="array" ref="Q602">_xlfn.IFS(P602&lt;=50,"Low",P602&lt;=100,"Medium",P602&gt;100,"High")</f>
        <v>Low</v>
      </c>
      <c r="R602" t="s">
        <v>17</v>
      </c>
      <c r="S602" s="1" t="str" cm="1">
        <f t="array" ref="S602">_xlfn.IFS(R602="S","Southampton",R602="C","Cherbourg",R602="Q","Queenstown")</f>
        <v>Southampton</v>
      </c>
    </row>
    <row r="603" spans="1:19" x14ac:dyDescent="0.3">
      <c r="A603">
        <v>602</v>
      </c>
      <c r="B603">
        <v>3</v>
      </c>
      <c r="C603" s="1" t="str" cm="1">
        <f t="array" ref="C603">_xlfn.IFS(B603=1,"First Class",B603=2,"Second Class",B603=3,"Third Class")</f>
        <v>Third Class</v>
      </c>
      <c r="D603">
        <v>0</v>
      </c>
      <c r="E603" s="1" t="str">
        <f t="shared" si="36"/>
        <v>Dead</v>
      </c>
      <c r="F603" t="s">
        <v>1178</v>
      </c>
      <c r="G603" s="1" t="s">
        <v>2996</v>
      </c>
      <c r="H603" t="s">
        <v>20</v>
      </c>
      <c r="I603" s="1" t="str">
        <f t="shared" si="37"/>
        <v>Male</v>
      </c>
      <c r="J603" s="3">
        <v>13</v>
      </c>
      <c r="K603" s="3" t="str" cm="1">
        <f t="array" ref="K603">_xlfn.IFS(J603&lt;=13,"Child",J603&lt;=18,"Teenager",J603&lt;=30,"Young Adult",J603&lt;=50,"Middle Aged Adult",J603&gt;50,"Senior")</f>
        <v>Child</v>
      </c>
      <c r="L603">
        <v>0</v>
      </c>
      <c r="M603">
        <v>2</v>
      </c>
      <c r="N603" s="1">
        <f t="shared" si="38"/>
        <v>3</v>
      </c>
      <c r="O603" s="1" t="str">
        <f t="shared" si="39"/>
        <v>With Family</v>
      </c>
      <c r="P603">
        <v>20.25</v>
      </c>
      <c r="Q603" s="1" t="str" cm="1">
        <f t="array" ref="Q603">_xlfn.IFS(P603&lt;=50,"Low",P603&lt;=100,"Medium",P603&gt;100,"High")</f>
        <v>Low</v>
      </c>
      <c r="R603" t="s">
        <v>17</v>
      </c>
      <c r="S603" s="1" t="str" cm="1">
        <f t="array" ref="S603">_xlfn.IFS(R603="S","Southampton",R603="C","Cherbourg",R603="Q","Queenstown")</f>
        <v>Southampton</v>
      </c>
    </row>
    <row r="604" spans="1:19" x14ac:dyDescent="0.3">
      <c r="A604">
        <v>603</v>
      </c>
      <c r="B604">
        <v>3</v>
      </c>
      <c r="C604" s="1" t="str" cm="1">
        <f t="array" ref="C604">_xlfn.IFS(B604=1,"First Class",B604=2,"Second Class",B604=3,"Third Class")</f>
        <v>Third Class</v>
      </c>
      <c r="D604">
        <v>0</v>
      </c>
      <c r="E604" s="1" t="str">
        <f t="shared" si="36"/>
        <v>Dead</v>
      </c>
      <c r="F604" t="s">
        <v>1181</v>
      </c>
      <c r="G604" s="1" t="s">
        <v>2999</v>
      </c>
      <c r="H604" t="s">
        <v>20</v>
      </c>
      <c r="I604" s="1" t="str">
        <f t="shared" si="37"/>
        <v>Male</v>
      </c>
      <c r="J604" s="3">
        <v>16</v>
      </c>
      <c r="K604" s="3" t="str" cm="1">
        <f t="array" ref="K604">_xlfn.IFS(J604&lt;=13,"Child",J604&lt;=18,"Teenager",J604&lt;=30,"Young Adult",J604&lt;=50,"Middle Aged Adult",J604&gt;50,"Senior")</f>
        <v>Teenager</v>
      </c>
      <c r="L604">
        <v>1</v>
      </c>
      <c r="M604">
        <v>1</v>
      </c>
      <c r="N604" s="1">
        <f t="shared" si="38"/>
        <v>3</v>
      </c>
      <c r="O604" s="1" t="str">
        <f t="shared" si="39"/>
        <v>With Family</v>
      </c>
      <c r="P604">
        <v>20.25</v>
      </c>
      <c r="Q604" s="1" t="str" cm="1">
        <f t="array" ref="Q604">_xlfn.IFS(P604&lt;=50,"Low",P604&lt;=100,"Medium",P604&gt;100,"High")</f>
        <v>Low</v>
      </c>
      <c r="R604" t="s">
        <v>17</v>
      </c>
      <c r="S604" s="1" t="str" cm="1">
        <f t="array" ref="S604">_xlfn.IFS(R604="S","Southampton",R604="C","Cherbourg",R604="Q","Queenstown")</f>
        <v>Southampton</v>
      </c>
    </row>
    <row r="605" spans="1:19" x14ac:dyDescent="0.3">
      <c r="A605">
        <v>604</v>
      </c>
      <c r="B605">
        <v>3</v>
      </c>
      <c r="C605" s="1" t="str" cm="1">
        <f t="array" ref="C605">_xlfn.IFS(B605=1,"First Class",B605=2,"Second Class",B605=3,"Third Class")</f>
        <v>Third Class</v>
      </c>
      <c r="D605">
        <v>1</v>
      </c>
      <c r="E605" s="1" t="str">
        <f t="shared" si="36"/>
        <v>Alive</v>
      </c>
      <c r="F605" t="s">
        <v>1182</v>
      </c>
      <c r="G605" s="1" t="s">
        <v>3001</v>
      </c>
      <c r="H605" t="s">
        <v>15</v>
      </c>
      <c r="I605" s="1" t="str">
        <f t="shared" si="37"/>
        <v>Female</v>
      </c>
      <c r="J605" s="3">
        <v>35</v>
      </c>
      <c r="K605" s="3" t="str" cm="1">
        <f t="array" ref="K605">_xlfn.IFS(J605&lt;=13,"Child",J605&lt;=18,"Teenager",J605&lt;=30,"Young Adult",J605&lt;=50,"Middle Aged Adult",J605&gt;50,"Senior")</f>
        <v>Middle Aged Adult</v>
      </c>
      <c r="L605">
        <v>1</v>
      </c>
      <c r="M605">
        <v>1</v>
      </c>
      <c r="N605" s="1">
        <f t="shared" si="38"/>
        <v>3</v>
      </c>
      <c r="O605" s="1" t="str">
        <f t="shared" si="39"/>
        <v>With Family</v>
      </c>
      <c r="P605">
        <v>20.25</v>
      </c>
      <c r="Q605" s="1" t="str" cm="1">
        <f t="array" ref="Q605">_xlfn.IFS(P605&lt;=50,"Low",P605&lt;=100,"Medium",P605&gt;100,"High")</f>
        <v>Low</v>
      </c>
      <c r="R605" t="s">
        <v>17</v>
      </c>
      <c r="S605" s="1" t="str" cm="1">
        <f t="array" ref="S605">_xlfn.IFS(R605="S","Southampton",R605="C","Cherbourg",R605="Q","Queenstown")</f>
        <v>Southampton</v>
      </c>
    </row>
    <row r="606" spans="1:19" x14ac:dyDescent="0.3">
      <c r="A606">
        <v>605</v>
      </c>
      <c r="B606">
        <v>3</v>
      </c>
      <c r="C606" s="1" t="str" cm="1">
        <f t="array" ref="C606">_xlfn.IFS(B606=1,"First Class",B606=2,"Second Class",B606=3,"Third Class")</f>
        <v>Third Class</v>
      </c>
      <c r="D606">
        <v>1</v>
      </c>
      <c r="E606" s="1" t="str">
        <f t="shared" si="36"/>
        <v>Alive</v>
      </c>
      <c r="F606" t="s">
        <v>1183</v>
      </c>
      <c r="G606" s="1" t="s">
        <v>2994</v>
      </c>
      <c r="H606" t="s">
        <v>15</v>
      </c>
      <c r="I606" s="1" t="str">
        <f t="shared" si="37"/>
        <v>Female</v>
      </c>
      <c r="J606" s="3">
        <v>16</v>
      </c>
      <c r="K606" s="3" t="str" cm="1">
        <f t="array" ref="K606">_xlfn.IFS(J606&lt;=13,"Child",J606&lt;=18,"Teenager",J606&lt;=30,"Young Adult",J606&lt;=50,"Middle Aged Adult",J606&gt;50,"Senior")</f>
        <v>Teenager</v>
      </c>
      <c r="L606">
        <v>0</v>
      </c>
      <c r="M606">
        <v>0</v>
      </c>
      <c r="N606" s="1">
        <f t="shared" si="38"/>
        <v>1</v>
      </c>
      <c r="O606" s="1" t="str">
        <f t="shared" si="39"/>
        <v>Single</v>
      </c>
      <c r="P606">
        <v>7.65</v>
      </c>
      <c r="Q606" s="1" t="str" cm="1">
        <f t="array" ref="Q606">_xlfn.IFS(P606&lt;=50,"Low",P606&lt;=100,"Medium",P606&gt;100,"High")</f>
        <v>Low</v>
      </c>
      <c r="R606" t="s">
        <v>17</v>
      </c>
      <c r="S606" s="1" t="str" cm="1">
        <f t="array" ref="S606">_xlfn.IFS(R606="S","Southampton",R606="C","Cherbourg",R606="Q","Queenstown")</f>
        <v>Southampton</v>
      </c>
    </row>
    <row r="607" spans="1:19" x14ac:dyDescent="0.3">
      <c r="A607">
        <v>606</v>
      </c>
      <c r="B607">
        <v>3</v>
      </c>
      <c r="C607" s="1" t="str" cm="1">
        <f t="array" ref="C607">_xlfn.IFS(B607=1,"First Class",B607=2,"Second Class",B607=3,"Third Class")</f>
        <v>Third Class</v>
      </c>
      <c r="D607">
        <v>1</v>
      </c>
      <c r="E607" s="1" t="str">
        <f t="shared" si="36"/>
        <v>Alive</v>
      </c>
      <c r="F607" t="s">
        <v>1185</v>
      </c>
      <c r="G607" s="1" t="s">
        <v>2999</v>
      </c>
      <c r="H607" t="s">
        <v>20</v>
      </c>
      <c r="I607" s="1" t="str">
        <f t="shared" si="37"/>
        <v>Male</v>
      </c>
      <c r="J607" s="3">
        <v>25</v>
      </c>
      <c r="K607" s="3" t="str" cm="1">
        <f t="array" ref="K607">_xlfn.IFS(J607&lt;=13,"Child",J607&lt;=18,"Teenager",J607&lt;=30,"Young Adult",J607&lt;=50,"Middle Aged Adult",J607&gt;50,"Senior")</f>
        <v>Young Adult</v>
      </c>
      <c r="L607">
        <v>0</v>
      </c>
      <c r="M607">
        <v>0</v>
      </c>
      <c r="N607" s="1">
        <f t="shared" si="38"/>
        <v>1</v>
      </c>
      <c r="O607" s="1" t="str">
        <f t="shared" si="39"/>
        <v>Single</v>
      </c>
      <c r="P607">
        <v>7.65</v>
      </c>
      <c r="Q607" s="1" t="str" cm="1">
        <f t="array" ref="Q607">_xlfn.IFS(P607&lt;=50,"Low",P607&lt;=100,"Medium",P607&gt;100,"High")</f>
        <v>Low</v>
      </c>
      <c r="R607" t="s">
        <v>17</v>
      </c>
      <c r="S607" s="1" t="str" cm="1">
        <f t="array" ref="S607">_xlfn.IFS(R607="S","Southampton",R607="C","Cherbourg",R607="Q","Queenstown")</f>
        <v>Southampton</v>
      </c>
    </row>
    <row r="608" spans="1:19" x14ac:dyDescent="0.3">
      <c r="A608">
        <v>607</v>
      </c>
      <c r="B608">
        <v>3</v>
      </c>
      <c r="C608" s="1" t="str" cm="1">
        <f t="array" ref="C608">_xlfn.IFS(B608=1,"First Class",B608=2,"Second Class",B608=3,"Third Class")</f>
        <v>Third Class</v>
      </c>
      <c r="D608">
        <v>1</v>
      </c>
      <c r="E608" s="1" t="str">
        <f t="shared" si="36"/>
        <v>Alive</v>
      </c>
      <c r="F608" t="s">
        <v>1188</v>
      </c>
      <c r="G608" s="1" t="s">
        <v>2999</v>
      </c>
      <c r="H608" t="s">
        <v>20</v>
      </c>
      <c r="I608" s="1" t="str">
        <f t="shared" si="37"/>
        <v>Male</v>
      </c>
      <c r="J608" s="3">
        <v>20</v>
      </c>
      <c r="K608" s="3" t="str" cm="1">
        <f t="array" ref="K608">_xlfn.IFS(J608&lt;=13,"Child",J608&lt;=18,"Teenager",J608&lt;=30,"Young Adult",J608&lt;=50,"Middle Aged Adult",J608&gt;50,"Senior")</f>
        <v>Young Adult</v>
      </c>
      <c r="L608">
        <v>0</v>
      </c>
      <c r="M608">
        <v>0</v>
      </c>
      <c r="N608" s="1">
        <f t="shared" si="38"/>
        <v>1</v>
      </c>
      <c r="O608" s="1" t="str">
        <f t="shared" si="39"/>
        <v>Single</v>
      </c>
      <c r="P608">
        <v>7.9249999999999998</v>
      </c>
      <c r="Q608" s="1" t="str" cm="1">
        <f t="array" ref="Q608">_xlfn.IFS(P608&lt;=50,"Low",P608&lt;=100,"Medium",P608&gt;100,"High")</f>
        <v>Low</v>
      </c>
      <c r="R608" t="s">
        <v>17</v>
      </c>
      <c r="S608" s="1" t="str" cm="1">
        <f t="array" ref="S608">_xlfn.IFS(R608="S","Southampton",R608="C","Cherbourg",R608="Q","Queenstown")</f>
        <v>Southampton</v>
      </c>
    </row>
    <row r="609" spans="1:19" x14ac:dyDescent="0.3">
      <c r="A609">
        <v>608</v>
      </c>
      <c r="B609">
        <v>3</v>
      </c>
      <c r="C609" s="1" t="str" cm="1">
        <f t="array" ref="C609">_xlfn.IFS(B609=1,"First Class",B609=2,"Second Class",B609=3,"Third Class")</f>
        <v>Third Class</v>
      </c>
      <c r="D609">
        <v>1</v>
      </c>
      <c r="E609" s="1" t="str">
        <f t="shared" si="36"/>
        <v>Alive</v>
      </c>
      <c r="F609" t="s">
        <v>1191</v>
      </c>
      <c r="G609" s="1" t="s">
        <v>3001</v>
      </c>
      <c r="H609" t="s">
        <v>15</v>
      </c>
      <c r="I609" s="1" t="str">
        <f t="shared" si="37"/>
        <v>Female</v>
      </c>
      <c r="J609" s="3">
        <v>18</v>
      </c>
      <c r="K609" s="3" t="str" cm="1">
        <f t="array" ref="K609">_xlfn.IFS(J609&lt;=13,"Child",J609&lt;=18,"Teenager",J609&lt;=30,"Young Adult",J609&lt;=50,"Middle Aged Adult",J609&gt;50,"Senior")</f>
        <v>Teenager</v>
      </c>
      <c r="L609">
        <v>0</v>
      </c>
      <c r="M609">
        <v>0</v>
      </c>
      <c r="N609" s="1">
        <f t="shared" si="38"/>
        <v>1</v>
      </c>
      <c r="O609" s="1" t="str">
        <f t="shared" si="39"/>
        <v>Single</v>
      </c>
      <c r="P609">
        <v>7.2291999999999996</v>
      </c>
      <c r="Q609" s="1" t="str" cm="1">
        <f t="array" ref="Q609">_xlfn.IFS(P609&lt;=50,"Low",P609&lt;=100,"Medium",P609&gt;100,"High")</f>
        <v>Low</v>
      </c>
      <c r="R609" t="s">
        <v>41</v>
      </c>
      <c r="S609" s="1" t="str" cm="1">
        <f t="array" ref="S609">_xlfn.IFS(R609="S","Southampton",R609="C","Cherbourg",R609="Q","Queenstown")</f>
        <v>Cherbourg</v>
      </c>
    </row>
    <row r="610" spans="1:19" x14ac:dyDescent="0.3">
      <c r="A610">
        <v>609</v>
      </c>
      <c r="B610">
        <v>3</v>
      </c>
      <c r="C610" s="1" t="str" cm="1">
        <f t="array" ref="C610">_xlfn.IFS(B610=1,"First Class",B610=2,"Second Class",B610=3,"Third Class")</f>
        <v>Third Class</v>
      </c>
      <c r="D610">
        <v>0</v>
      </c>
      <c r="E610" s="1" t="str">
        <f t="shared" si="36"/>
        <v>Dead</v>
      </c>
      <c r="F610" t="s">
        <v>1193</v>
      </c>
      <c r="G610" s="1" t="s">
        <v>2999</v>
      </c>
      <c r="H610" t="s">
        <v>20</v>
      </c>
      <c r="I610" s="1" t="str">
        <f t="shared" si="37"/>
        <v>Male</v>
      </c>
      <c r="J610" s="3">
        <v>30</v>
      </c>
      <c r="K610" s="3" t="str" cm="1">
        <f t="array" ref="K610">_xlfn.IFS(J610&lt;=13,"Child",J610&lt;=18,"Teenager",J610&lt;=30,"Young Adult",J610&lt;=50,"Middle Aged Adult",J610&gt;50,"Senior")</f>
        <v>Young Adult</v>
      </c>
      <c r="L610">
        <v>0</v>
      </c>
      <c r="M610">
        <v>0</v>
      </c>
      <c r="N610" s="1">
        <f t="shared" si="38"/>
        <v>1</v>
      </c>
      <c r="O610" s="1" t="str">
        <f t="shared" si="39"/>
        <v>Single</v>
      </c>
      <c r="P610">
        <v>7.25</v>
      </c>
      <c r="Q610" s="1" t="str" cm="1">
        <f t="array" ref="Q610">_xlfn.IFS(P610&lt;=50,"Low",P610&lt;=100,"Medium",P610&gt;100,"High")</f>
        <v>Low</v>
      </c>
      <c r="R610" t="s">
        <v>17</v>
      </c>
      <c r="S610" s="1" t="str" cm="1">
        <f t="array" ref="S610">_xlfn.IFS(R610="S","Southampton",R610="C","Cherbourg",R610="Q","Queenstown")</f>
        <v>Southampton</v>
      </c>
    </row>
    <row r="611" spans="1:19" x14ac:dyDescent="0.3">
      <c r="A611">
        <v>610</v>
      </c>
      <c r="B611">
        <v>3</v>
      </c>
      <c r="C611" s="1" t="str" cm="1">
        <f t="array" ref="C611">_xlfn.IFS(B611=1,"First Class",B611=2,"Second Class",B611=3,"Third Class")</f>
        <v>Third Class</v>
      </c>
      <c r="D611">
        <v>0</v>
      </c>
      <c r="E611" s="1" t="str">
        <f t="shared" si="36"/>
        <v>Dead</v>
      </c>
      <c r="F611" t="s">
        <v>1196</v>
      </c>
      <c r="G611" s="1" t="s">
        <v>2999</v>
      </c>
      <c r="H611" t="s">
        <v>20</v>
      </c>
      <c r="I611" s="1" t="str">
        <f t="shared" si="37"/>
        <v>Male</v>
      </c>
      <c r="J611" s="3">
        <v>26</v>
      </c>
      <c r="K611" s="3" t="str" cm="1">
        <f t="array" ref="K611">_xlfn.IFS(J611&lt;=13,"Child",J611&lt;=18,"Teenager",J611&lt;=30,"Young Adult",J611&lt;=50,"Middle Aged Adult",J611&gt;50,"Senior")</f>
        <v>Young Adult</v>
      </c>
      <c r="L611">
        <v>0</v>
      </c>
      <c r="M611">
        <v>0</v>
      </c>
      <c r="N611" s="1">
        <f t="shared" si="38"/>
        <v>1</v>
      </c>
      <c r="O611" s="1" t="str">
        <f t="shared" si="39"/>
        <v>Single</v>
      </c>
      <c r="P611">
        <v>8.0500000000000007</v>
      </c>
      <c r="Q611" s="1" t="str" cm="1">
        <f t="array" ref="Q611">_xlfn.IFS(P611&lt;=50,"Low",P611&lt;=100,"Medium",P611&gt;100,"High")</f>
        <v>Low</v>
      </c>
      <c r="R611" t="s">
        <v>17</v>
      </c>
      <c r="S611" s="1" t="str" cm="1">
        <f t="array" ref="S611">_xlfn.IFS(R611="S","Southampton",R611="C","Cherbourg",R611="Q","Queenstown")</f>
        <v>Southampton</v>
      </c>
    </row>
    <row r="612" spans="1:19" x14ac:dyDescent="0.3">
      <c r="A612">
        <v>611</v>
      </c>
      <c r="B612">
        <v>3</v>
      </c>
      <c r="C612" s="1" t="str" cm="1">
        <f t="array" ref="C612">_xlfn.IFS(B612=1,"First Class",B612=2,"Second Class",B612=3,"Third Class")</f>
        <v>Third Class</v>
      </c>
      <c r="D612">
        <v>0</v>
      </c>
      <c r="E612" s="1" t="str">
        <f t="shared" si="36"/>
        <v>Dead</v>
      </c>
      <c r="F612" t="s">
        <v>1198</v>
      </c>
      <c r="G612" s="1" t="s">
        <v>3001</v>
      </c>
      <c r="H612" t="s">
        <v>15</v>
      </c>
      <c r="I612" s="1" t="str">
        <f t="shared" si="37"/>
        <v>Female</v>
      </c>
      <c r="J612" s="3">
        <v>40</v>
      </c>
      <c r="K612" s="3" t="str" cm="1">
        <f t="array" ref="K612">_xlfn.IFS(J612&lt;=13,"Child",J612&lt;=18,"Teenager",J612&lt;=30,"Young Adult",J612&lt;=50,"Middle Aged Adult",J612&gt;50,"Senior")</f>
        <v>Middle Aged Adult</v>
      </c>
      <c r="L612">
        <v>1</v>
      </c>
      <c r="M612">
        <v>0</v>
      </c>
      <c r="N612" s="1">
        <f t="shared" si="38"/>
        <v>2</v>
      </c>
      <c r="O612" s="1" t="str">
        <f t="shared" si="39"/>
        <v>With Family</v>
      </c>
      <c r="P612">
        <v>9.4749999999999996</v>
      </c>
      <c r="Q612" s="1" t="str" cm="1">
        <f t="array" ref="Q612">_xlfn.IFS(P612&lt;=50,"Low",P612&lt;=100,"Medium",P612&gt;100,"High")</f>
        <v>Low</v>
      </c>
      <c r="R612" t="s">
        <v>17</v>
      </c>
      <c r="S612" s="1" t="str" cm="1">
        <f t="array" ref="S612">_xlfn.IFS(R612="S","Southampton",R612="C","Cherbourg",R612="Q","Queenstown")</f>
        <v>Southampton</v>
      </c>
    </row>
    <row r="613" spans="1:19" x14ac:dyDescent="0.3">
      <c r="A613">
        <v>612</v>
      </c>
      <c r="B613">
        <v>3</v>
      </c>
      <c r="C613" s="1" t="str" cm="1">
        <f t="array" ref="C613">_xlfn.IFS(B613=1,"First Class",B613=2,"Second Class",B613=3,"Third Class")</f>
        <v>Third Class</v>
      </c>
      <c r="D613">
        <v>1</v>
      </c>
      <c r="E613" s="1" t="str">
        <f t="shared" si="36"/>
        <v>Alive</v>
      </c>
      <c r="F613" t="s">
        <v>1200</v>
      </c>
      <c r="G613" s="1" t="s">
        <v>2996</v>
      </c>
      <c r="H613" t="s">
        <v>20</v>
      </c>
      <c r="I613" s="1" t="str">
        <f t="shared" si="37"/>
        <v>Male</v>
      </c>
      <c r="J613" s="3">
        <v>0.83</v>
      </c>
      <c r="K613" s="3" t="str" cm="1">
        <f t="array" ref="K613">_xlfn.IFS(J613&lt;=13,"Child",J613&lt;=18,"Teenager",J613&lt;=30,"Young Adult",J613&lt;=50,"Middle Aged Adult",J613&gt;50,"Senior")</f>
        <v>Child</v>
      </c>
      <c r="L613">
        <v>0</v>
      </c>
      <c r="M613">
        <v>1</v>
      </c>
      <c r="N613" s="1">
        <f t="shared" si="38"/>
        <v>2</v>
      </c>
      <c r="O613" s="1" t="str">
        <f t="shared" si="39"/>
        <v>With Family</v>
      </c>
      <c r="P613">
        <v>9.35</v>
      </c>
      <c r="Q613" s="1" t="str" cm="1">
        <f t="array" ref="Q613">_xlfn.IFS(P613&lt;=50,"Low",P613&lt;=100,"Medium",P613&gt;100,"High")</f>
        <v>Low</v>
      </c>
      <c r="R613" t="s">
        <v>17</v>
      </c>
      <c r="S613" s="1" t="str" cm="1">
        <f t="array" ref="S613">_xlfn.IFS(R613="S","Southampton",R613="C","Cherbourg",R613="Q","Queenstown")</f>
        <v>Southampton</v>
      </c>
    </row>
    <row r="614" spans="1:19" x14ac:dyDescent="0.3">
      <c r="A614">
        <v>613</v>
      </c>
      <c r="B614">
        <v>3</v>
      </c>
      <c r="C614" s="1" t="str" cm="1">
        <f t="array" ref="C614">_xlfn.IFS(B614=1,"First Class",B614=2,"Second Class",B614=3,"Third Class")</f>
        <v>Third Class</v>
      </c>
      <c r="D614">
        <v>1</v>
      </c>
      <c r="E614" s="1" t="str">
        <f t="shared" si="36"/>
        <v>Alive</v>
      </c>
      <c r="F614" t="s">
        <v>1202</v>
      </c>
      <c r="G614" s="1" t="s">
        <v>3001</v>
      </c>
      <c r="H614" t="s">
        <v>15</v>
      </c>
      <c r="I614" s="1" t="str">
        <f t="shared" si="37"/>
        <v>Female</v>
      </c>
      <c r="J614" s="3">
        <v>18</v>
      </c>
      <c r="K614" s="3" t="str" cm="1">
        <f t="array" ref="K614">_xlfn.IFS(J614&lt;=13,"Child",J614&lt;=18,"Teenager",J614&lt;=30,"Young Adult",J614&lt;=50,"Middle Aged Adult",J614&gt;50,"Senior")</f>
        <v>Teenager</v>
      </c>
      <c r="L614">
        <v>0</v>
      </c>
      <c r="M614">
        <v>1</v>
      </c>
      <c r="N614" s="1">
        <f t="shared" si="38"/>
        <v>2</v>
      </c>
      <c r="O614" s="1" t="str">
        <f t="shared" si="39"/>
        <v>With Family</v>
      </c>
      <c r="P614">
        <v>9.35</v>
      </c>
      <c r="Q614" s="1" t="str" cm="1">
        <f t="array" ref="Q614">_xlfn.IFS(P614&lt;=50,"Low",P614&lt;=100,"Medium",P614&gt;100,"High")</f>
        <v>Low</v>
      </c>
      <c r="R614" t="s">
        <v>17</v>
      </c>
      <c r="S614" s="1" t="str" cm="1">
        <f t="array" ref="S614">_xlfn.IFS(R614="S","Southampton",R614="C","Cherbourg",R614="Q","Queenstown")</f>
        <v>Southampton</v>
      </c>
    </row>
    <row r="615" spans="1:19" x14ac:dyDescent="0.3">
      <c r="A615">
        <v>614</v>
      </c>
      <c r="B615">
        <v>3</v>
      </c>
      <c r="C615" s="1" t="str" cm="1">
        <f t="array" ref="C615">_xlfn.IFS(B615=1,"First Class",B615=2,"Second Class",B615=3,"Third Class")</f>
        <v>Third Class</v>
      </c>
      <c r="D615">
        <v>1</v>
      </c>
      <c r="E615" s="1" t="str">
        <f t="shared" si="36"/>
        <v>Alive</v>
      </c>
      <c r="F615" t="s">
        <v>1203</v>
      </c>
      <c r="G615" s="1" t="s">
        <v>2999</v>
      </c>
      <c r="H615" t="s">
        <v>20</v>
      </c>
      <c r="I615" s="1" t="str">
        <f t="shared" si="37"/>
        <v>Male</v>
      </c>
      <c r="J615" s="3">
        <v>26</v>
      </c>
      <c r="K615" s="3" t="str" cm="1">
        <f t="array" ref="K615">_xlfn.IFS(J615&lt;=13,"Child",J615&lt;=18,"Teenager",J615&lt;=30,"Young Adult",J615&lt;=50,"Middle Aged Adult",J615&gt;50,"Senior")</f>
        <v>Young Adult</v>
      </c>
      <c r="L615">
        <v>0</v>
      </c>
      <c r="M615">
        <v>0</v>
      </c>
      <c r="N615" s="1">
        <f t="shared" si="38"/>
        <v>1</v>
      </c>
      <c r="O615" s="1" t="str">
        <f t="shared" si="39"/>
        <v>Single</v>
      </c>
      <c r="P615">
        <v>18.787500000000001</v>
      </c>
      <c r="Q615" s="1" t="str" cm="1">
        <f t="array" ref="Q615">_xlfn.IFS(P615&lt;=50,"Low",P615&lt;=100,"Medium",P615&gt;100,"High")</f>
        <v>Low</v>
      </c>
      <c r="R615" t="s">
        <v>41</v>
      </c>
      <c r="S615" s="1" t="str" cm="1">
        <f t="array" ref="S615">_xlfn.IFS(R615="S","Southampton",R615="C","Cherbourg",R615="Q","Queenstown")</f>
        <v>Cherbourg</v>
      </c>
    </row>
    <row r="616" spans="1:19" x14ac:dyDescent="0.3">
      <c r="A616">
        <v>615</v>
      </c>
      <c r="B616">
        <v>3</v>
      </c>
      <c r="C616" s="1" t="str" cm="1">
        <f t="array" ref="C616">_xlfn.IFS(B616=1,"First Class",B616=2,"Second Class",B616=3,"Third Class")</f>
        <v>Third Class</v>
      </c>
      <c r="D616">
        <v>0</v>
      </c>
      <c r="E616" s="1" t="str">
        <f t="shared" si="36"/>
        <v>Dead</v>
      </c>
      <c r="F616" t="s">
        <v>1205</v>
      </c>
      <c r="G616" s="1" t="s">
        <v>2999</v>
      </c>
      <c r="H616" t="s">
        <v>20</v>
      </c>
      <c r="I616" s="1" t="str">
        <f t="shared" si="37"/>
        <v>Male</v>
      </c>
      <c r="J616" s="3">
        <v>26</v>
      </c>
      <c r="K616" s="3" t="str" cm="1">
        <f t="array" ref="K616">_xlfn.IFS(J616&lt;=13,"Child",J616&lt;=18,"Teenager",J616&lt;=30,"Young Adult",J616&lt;=50,"Middle Aged Adult",J616&gt;50,"Senior")</f>
        <v>Young Adult</v>
      </c>
      <c r="L616">
        <v>0</v>
      </c>
      <c r="M616">
        <v>0</v>
      </c>
      <c r="N616" s="1">
        <f t="shared" si="38"/>
        <v>1</v>
      </c>
      <c r="O616" s="1" t="str">
        <f t="shared" si="39"/>
        <v>Single</v>
      </c>
      <c r="P616">
        <v>7.8875000000000002</v>
      </c>
      <c r="Q616" s="1" t="str" cm="1">
        <f t="array" ref="Q616">_xlfn.IFS(P616&lt;=50,"Low",P616&lt;=100,"Medium",P616&gt;100,"High")</f>
        <v>Low</v>
      </c>
      <c r="R616" t="s">
        <v>17</v>
      </c>
      <c r="S616" s="1" t="str" cm="1">
        <f t="array" ref="S616">_xlfn.IFS(R616="S","Southampton",R616="C","Cherbourg",R616="Q","Queenstown")</f>
        <v>Southampton</v>
      </c>
    </row>
    <row r="617" spans="1:19" x14ac:dyDescent="0.3">
      <c r="A617">
        <v>616</v>
      </c>
      <c r="B617">
        <v>3</v>
      </c>
      <c r="C617" s="1" t="str" cm="1">
        <f t="array" ref="C617">_xlfn.IFS(B617=1,"First Class",B617=2,"Second Class",B617=3,"Third Class")</f>
        <v>Third Class</v>
      </c>
      <c r="D617">
        <v>0</v>
      </c>
      <c r="E617" s="1" t="str">
        <f t="shared" si="36"/>
        <v>Dead</v>
      </c>
      <c r="F617" t="s">
        <v>1207</v>
      </c>
      <c r="G617" s="1" t="s">
        <v>2999</v>
      </c>
      <c r="H617" t="s">
        <v>20</v>
      </c>
      <c r="I617" s="1" t="str">
        <f t="shared" si="37"/>
        <v>Male</v>
      </c>
      <c r="J617" s="3">
        <v>20</v>
      </c>
      <c r="K617" s="3" t="str" cm="1">
        <f t="array" ref="K617">_xlfn.IFS(J617&lt;=13,"Child",J617&lt;=18,"Teenager",J617&lt;=30,"Young Adult",J617&lt;=50,"Middle Aged Adult",J617&gt;50,"Senior")</f>
        <v>Young Adult</v>
      </c>
      <c r="L617">
        <v>0</v>
      </c>
      <c r="M617">
        <v>0</v>
      </c>
      <c r="N617" s="1">
        <f t="shared" si="38"/>
        <v>1</v>
      </c>
      <c r="O617" s="1" t="str">
        <f t="shared" si="39"/>
        <v>Single</v>
      </c>
      <c r="P617">
        <v>7.9249999999999998</v>
      </c>
      <c r="Q617" s="1" t="str" cm="1">
        <f t="array" ref="Q617">_xlfn.IFS(P617&lt;=50,"Low",P617&lt;=100,"Medium",P617&gt;100,"High")</f>
        <v>Low</v>
      </c>
      <c r="R617" t="s">
        <v>17</v>
      </c>
      <c r="S617" s="1" t="str" cm="1">
        <f t="array" ref="S617">_xlfn.IFS(R617="S","Southampton",R617="C","Cherbourg",R617="Q","Queenstown")</f>
        <v>Southampton</v>
      </c>
    </row>
    <row r="618" spans="1:19" x14ac:dyDescent="0.3">
      <c r="A618">
        <v>617</v>
      </c>
      <c r="B618">
        <v>3</v>
      </c>
      <c r="C618" s="1" t="str" cm="1">
        <f t="array" ref="C618">_xlfn.IFS(B618=1,"First Class",B618=2,"Second Class",B618=3,"Third Class")</f>
        <v>Third Class</v>
      </c>
      <c r="D618">
        <v>0</v>
      </c>
      <c r="E618" s="1" t="str">
        <f t="shared" si="36"/>
        <v>Dead</v>
      </c>
      <c r="F618" t="s">
        <v>1210</v>
      </c>
      <c r="G618" s="1" t="s">
        <v>2999</v>
      </c>
      <c r="H618" t="s">
        <v>20</v>
      </c>
      <c r="I618" s="1" t="str">
        <f t="shared" si="37"/>
        <v>Male</v>
      </c>
      <c r="J618" s="3">
        <v>24</v>
      </c>
      <c r="K618" s="3" t="str" cm="1">
        <f t="array" ref="K618">_xlfn.IFS(J618&lt;=13,"Child",J618&lt;=18,"Teenager",J618&lt;=30,"Young Adult",J618&lt;=50,"Middle Aged Adult",J618&gt;50,"Senior")</f>
        <v>Young Adult</v>
      </c>
      <c r="L618">
        <v>0</v>
      </c>
      <c r="M618">
        <v>0</v>
      </c>
      <c r="N618" s="1">
        <f t="shared" si="38"/>
        <v>1</v>
      </c>
      <c r="O618" s="1" t="str">
        <f t="shared" si="39"/>
        <v>Single</v>
      </c>
      <c r="P618">
        <v>7.05</v>
      </c>
      <c r="Q618" s="1" t="str" cm="1">
        <f t="array" ref="Q618">_xlfn.IFS(P618&lt;=50,"Low",P618&lt;=100,"Medium",P618&gt;100,"High")</f>
        <v>Low</v>
      </c>
      <c r="R618" t="s">
        <v>17</v>
      </c>
      <c r="S618" s="1" t="str" cm="1">
        <f t="array" ref="S618">_xlfn.IFS(R618="S","Southampton",R618="C","Cherbourg",R618="Q","Queenstown")</f>
        <v>Southampton</v>
      </c>
    </row>
    <row r="619" spans="1:19" x14ac:dyDescent="0.3">
      <c r="A619">
        <v>618</v>
      </c>
      <c r="B619">
        <v>3</v>
      </c>
      <c r="C619" s="1" t="str" cm="1">
        <f t="array" ref="C619">_xlfn.IFS(B619=1,"First Class",B619=2,"Second Class",B619=3,"Third Class")</f>
        <v>Third Class</v>
      </c>
      <c r="D619">
        <v>0</v>
      </c>
      <c r="E619" s="1" t="str">
        <f t="shared" si="36"/>
        <v>Dead</v>
      </c>
      <c r="F619" t="s">
        <v>1212</v>
      </c>
      <c r="G619" s="1" t="s">
        <v>2999</v>
      </c>
      <c r="H619" t="s">
        <v>20</v>
      </c>
      <c r="I619" s="1" t="str">
        <f t="shared" si="37"/>
        <v>Male</v>
      </c>
      <c r="J619" s="3">
        <v>25</v>
      </c>
      <c r="K619" s="3" t="str" cm="1">
        <f t="array" ref="K619">_xlfn.IFS(J619&lt;=13,"Child",J619&lt;=18,"Teenager",J619&lt;=30,"Young Adult",J619&lt;=50,"Middle Aged Adult",J619&gt;50,"Senior")</f>
        <v>Young Adult</v>
      </c>
      <c r="L619">
        <v>0</v>
      </c>
      <c r="M619">
        <v>0</v>
      </c>
      <c r="N619" s="1">
        <f t="shared" si="38"/>
        <v>1</v>
      </c>
      <c r="O619" s="1" t="str">
        <f t="shared" si="39"/>
        <v>Single</v>
      </c>
      <c r="P619">
        <v>7.05</v>
      </c>
      <c r="Q619" s="1" t="str" cm="1">
        <f t="array" ref="Q619">_xlfn.IFS(P619&lt;=50,"Low",P619&lt;=100,"Medium",P619&gt;100,"High")</f>
        <v>Low</v>
      </c>
      <c r="R619" t="s">
        <v>17</v>
      </c>
      <c r="S619" s="1" t="str" cm="1">
        <f t="array" ref="S619">_xlfn.IFS(R619="S","Southampton",R619="C","Cherbourg",R619="Q","Queenstown")</f>
        <v>Southampton</v>
      </c>
    </row>
    <row r="620" spans="1:19" x14ac:dyDescent="0.3">
      <c r="A620">
        <v>619</v>
      </c>
      <c r="B620">
        <v>3</v>
      </c>
      <c r="C620" s="1" t="str" cm="1">
        <f t="array" ref="C620">_xlfn.IFS(B620=1,"First Class",B620=2,"Second Class",B620=3,"Third Class")</f>
        <v>Third Class</v>
      </c>
      <c r="D620">
        <v>0</v>
      </c>
      <c r="E620" s="1" t="str">
        <f t="shared" si="36"/>
        <v>Dead</v>
      </c>
      <c r="F620" t="s">
        <v>1215</v>
      </c>
      <c r="G620" s="1" t="s">
        <v>2999</v>
      </c>
      <c r="H620" t="s">
        <v>20</v>
      </c>
      <c r="I620" s="1" t="str">
        <f t="shared" si="37"/>
        <v>Male</v>
      </c>
      <c r="J620" s="3">
        <v>35</v>
      </c>
      <c r="K620" s="3" t="str" cm="1">
        <f t="array" ref="K620">_xlfn.IFS(J620&lt;=13,"Child",J620&lt;=18,"Teenager",J620&lt;=30,"Young Adult",J620&lt;=50,"Middle Aged Adult",J620&gt;50,"Senior")</f>
        <v>Middle Aged Adult</v>
      </c>
      <c r="L620">
        <v>0</v>
      </c>
      <c r="M620">
        <v>0</v>
      </c>
      <c r="N620" s="1">
        <f t="shared" si="38"/>
        <v>1</v>
      </c>
      <c r="O620" s="1" t="str">
        <f t="shared" si="39"/>
        <v>Single</v>
      </c>
      <c r="P620">
        <v>8.0500000000000007</v>
      </c>
      <c r="Q620" s="1" t="str" cm="1">
        <f t="array" ref="Q620">_xlfn.IFS(P620&lt;=50,"Low",P620&lt;=100,"Medium",P620&gt;100,"High")</f>
        <v>Low</v>
      </c>
      <c r="R620" t="s">
        <v>17</v>
      </c>
      <c r="S620" s="1" t="str" cm="1">
        <f t="array" ref="S620">_xlfn.IFS(R620="S","Southampton",R620="C","Cherbourg",R620="Q","Queenstown")</f>
        <v>Southampton</v>
      </c>
    </row>
    <row r="621" spans="1:19" x14ac:dyDescent="0.3">
      <c r="A621">
        <v>620</v>
      </c>
      <c r="B621">
        <v>3</v>
      </c>
      <c r="C621" s="1" t="str" cm="1">
        <f t="array" ref="C621">_xlfn.IFS(B621=1,"First Class",B621=2,"Second Class",B621=3,"Third Class")</f>
        <v>Third Class</v>
      </c>
      <c r="D621">
        <v>0</v>
      </c>
      <c r="E621" s="1" t="str">
        <f t="shared" si="36"/>
        <v>Dead</v>
      </c>
      <c r="F621" t="s">
        <v>1217</v>
      </c>
      <c r="G621" s="1" t="s">
        <v>2999</v>
      </c>
      <c r="H621" t="s">
        <v>20</v>
      </c>
      <c r="I621" s="1" t="str">
        <f t="shared" si="37"/>
        <v>Male</v>
      </c>
      <c r="J621" s="3">
        <v>18</v>
      </c>
      <c r="K621" s="3" t="str" cm="1">
        <f t="array" ref="K621">_xlfn.IFS(J621&lt;=13,"Child",J621&lt;=18,"Teenager",J621&lt;=30,"Young Adult",J621&lt;=50,"Middle Aged Adult",J621&gt;50,"Senior")</f>
        <v>Teenager</v>
      </c>
      <c r="L621">
        <v>0</v>
      </c>
      <c r="M621">
        <v>0</v>
      </c>
      <c r="N621" s="1">
        <f t="shared" si="38"/>
        <v>1</v>
      </c>
      <c r="O621" s="1" t="str">
        <f t="shared" si="39"/>
        <v>Single</v>
      </c>
      <c r="P621">
        <v>8.3000000000000007</v>
      </c>
      <c r="Q621" s="1" t="str" cm="1">
        <f t="array" ref="Q621">_xlfn.IFS(P621&lt;=50,"Low",P621&lt;=100,"Medium",P621&gt;100,"High")</f>
        <v>Low</v>
      </c>
      <c r="R621" t="s">
        <v>17</v>
      </c>
      <c r="S621" s="1" t="str" cm="1">
        <f t="array" ref="S621">_xlfn.IFS(R621="S","Southampton",R621="C","Cherbourg",R621="Q","Queenstown")</f>
        <v>Southampton</v>
      </c>
    </row>
    <row r="622" spans="1:19" x14ac:dyDescent="0.3">
      <c r="A622">
        <v>621</v>
      </c>
      <c r="B622">
        <v>3</v>
      </c>
      <c r="C622" s="1" t="str" cm="1">
        <f t="array" ref="C622">_xlfn.IFS(B622=1,"First Class",B622=2,"Second Class",B622=3,"Third Class")</f>
        <v>Third Class</v>
      </c>
      <c r="D622">
        <v>0</v>
      </c>
      <c r="E622" s="1" t="str">
        <f t="shared" si="36"/>
        <v>Dead</v>
      </c>
      <c r="F622" t="s">
        <v>1219</v>
      </c>
      <c r="G622" s="1" t="s">
        <v>2999</v>
      </c>
      <c r="H622" t="s">
        <v>20</v>
      </c>
      <c r="I622" s="1" t="str">
        <f t="shared" si="37"/>
        <v>Male</v>
      </c>
      <c r="J622" s="3">
        <v>32</v>
      </c>
      <c r="K622" s="3" t="str" cm="1">
        <f t="array" ref="K622">_xlfn.IFS(J622&lt;=13,"Child",J622&lt;=18,"Teenager",J622&lt;=30,"Young Adult",J622&lt;=50,"Middle Aged Adult",J622&gt;50,"Senior")</f>
        <v>Middle Aged Adult</v>
      </c>
      <c r="L622">
        <v>0</v>
      </c>
      <c r="M622">
        <v>0</v>
      </c>
      <c r="N622" s="1">
        <f t="shared" si="38"/>
        <v>1</v>
      </c>
      <c r="O622" s="1" t="str">
        <f t="shared" si="39"/>
        <v>Single</v>
      </c>
      <c r="P622">
        <v>22.524999999999999</v>
      </c>
      <c r="Q622" s="1" t="str" cm="1">
        <f t="array" ref="Q622">_xlfn.IFS(P622&lt;=50,"Low",P622&lt;=100,"Medium",P622&gt;100,"High")</f>
        <v>Low</v>
      </c>
      <c r="R622" t="s">
        <v>17</v>
      </c>
      <c r="S622" s="1" t="str" cm="1">
        <f t="array" ref="S622">_xlfn.IFS(R622="S","Southampton",R622="C","Cherbourg",R622="Q","Queenstown")</f>
        <v>Southampton</v>
      </c>
    </row>
    <row r="623" spans="1:19" x14ac:dyDescent="0.3">
      <c r="A623">
        <v>622</v>
      </c>
      <c r="B623">
        <v>3</v>
      </c>
      <c r="C623" s="1" t="str" cm="1">
        <f t="array" ref="C623">_xlfn.IFS(B623=1,"First Class",B623=2,"Second Class",B623=3,"Third Class")</f>
        <v>Third Class</v>
      </c>
      <c r="D623">
        <v>1</v>
      </c>
      <c r="E623" s="1" t="str">
        <f t="shared" si="36"/>
        <v>Alive</v>
      </c>
      <c r="F623" t="s">
        <v>1222</v>
      </c>
      <c r="G623" s="1" t="s">
        <v>2994</v>
      </c>
      <c r="H623" t="s">
        <v>15</v>
      </c>
      <c r="I623" s="1" t="str">
        <f t="shared" si="37"/>
        <v>Female</v>
      </c>
      <c r="J623" s="3">
        <v>19</v>
      </c>
      <c r="K623" s="3" t="str" cm="1">
        <f t="array" ref="K623">_xlfn.IFS(J623&lt;=13,"Child",J623&lt;=18,"Teenager",J623&lt;=30,"Young Adult",J623&lt;=50,"Middle Aged Adult",J623&gt;50,"Senior")</f>
        <v>Young Adult</v>
      </c>
      <c r="L623">
        <v>1</v>
      </c>
      <c r="M623">
        <v>0</v>
      </c>
      <c r="N623" s="1">
        <f t="shared" si="38"/>
        <v>2</v>
      </c>
      <c r="O623" s="1" t="str">
        <f t="shared" si="39"/>
        <v>With Family</v>
      </c>
      <c r="P623">
        <v>7.8541999999999996</v>
      </c>
      <c r="Q623" s="1" t="str" cm="1">
        <f t="array" ref="Q623">_xlfn.IFS(P623&lt;=50,"Low",P623&lt;=100,"Medium",P623&gt;100,"High")</f>
        <v>Low</v>
      </c>
      <c r="R623" t="s">
        <v>17</v>
      </c>
      <c r="S623" s="1" t="str" cm="1">
        <f t="array" ref="S623">_xlfn.IFS(R623="S","Southampton",R623="C","Cherbourg",R623="Q","Queenstown")</f>
        <v>Southampton</v>
      </c>
    </row>
    <row r="624" spans="1:19" x14ac:dyDescent="0.3">
      <c r="A624">
        <v>623</v>
      </c>
      <c r="B624">
        <v>3</v>
      </c>
      <c r="C624" s="1" t="str" cm="1">
        <f t="array" ref="C624">_xlfn.IFS(B624=1,"First Class",B624=2,"Second Class",B624=3,"Third Class")</f>
        <v>Third Class</v>
      </c>
      <c r="D624">
        <v>0</v>
      </c>
      <c r="E624" s="1" t="str">
        <f t="shared" si="36"/>
        <v>Dead</v>
      </c>
      <c r="F624" t="s">
        <v>1223</v>
      </c>
      <c r="G624" s="1" t="s">
        <v>2996</v>
      </c>
      <c r="H624" t="s">
        <v>20</v>
      </c>
      <c r="I624" s="1" t="str">
        <f t="shared" si="37"/>
        <v>Male</v>
      </c>
      <c r="J624" s="3">
        <v>4</v>
      </c>
      <c r="K624" s="3" t="str" cm="1">
        <f t="array" ref="K624">_xlfn.IFS(J624&lt;=13,"Child",J624&lt;=18,"Teenager",J624&lt;=30,"Young Adult",J624&lt;=50,"Middle Aged Adult",J624&gt;50,"Senior")</f>
        <v>Child</v>
      </c>
      <c r="L624">
        <v>4</v>
      </c>
      <c r="M624">
        <v>2</v>
      </c>
      <c r="N624" s="1">
        <f t="shared" si="38"/>
        <v>7</v>
      </c>
      <c r="O624" s="1" t="str">
        <f t="shared" si="39"/>
        <v>With Family</v>
      </c>
      <c r="P624">
        <v>31.274999999999999</v>
      </c>
      <c r="Q624" s="1" t="str" cm="1">
        <f t="array" ref="Q624">_xlfn.IFS(P624&lt;=50,"Low",P624&lt;=100,"Medium",P624&gt;100,"High")</f>
        <v>Low</v>
      </c>
      <c r="R624" t="s">
        <v>17</v>
      </c>
      <c r="S624" s="1" t="str" cm="1">
        <f t="array" ref="S624">_xlfn.IFS(R624="S","Southampton",R624="C","Cherbourg",R624="Q","Queenstown")</f>
        <v>Southampton</v>
      </c>
    </row>
    <row r="625" spans="1:19" x14ac:dyDescent="0.3">
      <c r="A625">
        <v>624</v>
      </c>
      <c r="B625">
        <v>3</v>
      </c>
      <c r="C625" s="1" t="str" cm="1">
        <f t="array" ref="C625">_xlfn.IFS(B625=1,"First Class",B625=2,"Second Class",B625=3,"Third Class")</f>
        <v>Third Class</v>
      </c>
      <c r="D625">
        <v>0</v>
      </c>
      <c r="E625" s="1" t="str">
        <f t="shared" si="36"/>
        <v>Dead</v>
      </c>
      <c r="F625" t="s">
        <v>1225</v>
      </c>
      <c r="G625" s="1" t="s">
        <v>2994</v>
      </c>
      <c r="H625" t="s">
        <v>15</v>
      </c>
      <c r="I625" s="1" t="str">
        <f t="shared" si="37"/>
        <v>Female</v>
      </c>
      <c r="J625" s="3">
        <v>6</v>
      </c>
      <c r="K625" s="3" t="str" cm="1">
        <f t="array" ref="K625">_xlfn.IFS(J625&lt;=13,"Child",J625&lt;=18,"Teenager",J625&lt;=30,"Young Adult",J625&lt;=50,"Middle Aged Adult",J625&gt;50,"Senior")</f>
        <v>Child</v>
      </c>
      <c r="L625">
        <v>4</v>
      </c>
      <c r="M625">
        <v>2</v>
      </c>
      <c r="N625" s="1">
        <f t="shared" si="38"/>
        <v>7</v>
      </c>
      <c r="O625" s="1" t="str">
        <f t="shared" si="39"/>
        <v>With Family</v>
      </c>
      <c r="P625">
        <v>31.274999999999999</v>
      </c>
      <c r="Q625" s="1" t="str" cm="1">
        <f t="array" ref="Q625">_xlfn.IFS(P625&lt;=50,"Low",P625&lt;=100,"Medium",P625&gt;100,"High")</f>
        <v>Low</v>
      </c>
      <c r="R625" t="s">
        <v>17</v>
      </c>
      <c r="S625" s="1" t="str" cm="1">
        <f t="array" ref="S625">_xlfn.IFS(R625="S","Southampton",R625="C","Cherbourg",R625="Q","Queenstown")</f>
        <v>Southampton</v>
      </c>
    </row>
    <row r="626" spans="1:19" x14ac:dyDescent="0.3">
      <c r="A626">
        <v>625</v>
      </c>
      <c r="B626">
        <v>3</v>
      </c>
      <c r="C626" s="1" t="str" cm="1">
        <f t="array" ref="C626">_xlfn.IFS(B626=1,"First Class",B626=2,"Second Class",B626=3,"Third Class")</f>
        <v>Third Class</v>
      </c>
      <c r="D626">
        <v>0</v>
      </c>
      <c r="E626" s="1" t="str">
        <f t="shared" si="36"/>
        <v>Dead</v>
      </c>
      <c r="F626" t="s">
        <v>1226</v>
      </c>
      <c r="G626" s="1" t="s">
        <v>2994</v>
      </c>
      <c r="H626" t="s">
        <v>15</v>
      </c>
      <c r="I626" s="1" t="str">
        <f t="shared" si="37"/>
        <v>Female</v>
      </c>
      <c r="J626" s="3">
        <v>2</v>
      </c>
      <c r="K626" s="3" t="str" cm="1">
        <f t="array" ref="K626">_xlfn.IFS(J626&lt;=13,"Child",J626&lt;=18,"Teenager",J626&lt;=30,"Young Adult",J626&lt;=50,"Middle Aged Adult",J626&gt;50,"Senior")</f>
        <v>Child</v>
      </c>
      <c r="L626">
        <v>4</v>
      </c>
      <c r="M626">
        <v>2</v>
      </c>
      <c r="N626" s="1">
        <f t="shared" si="38"/>
        <v>7</v>
      </c>
      <c r="O626" s="1" t="str">
        <f t="shared" si="39"/>
        <v>With Family</v>
      </c>
      <c r="P626">
        <v>31.274999999999999</v>
      </c>
      <c r="Q626" s="1" t="str" cm="1">
        <f t="array" ref="Q626">_xlfn.IFS(P626&lt;=50,"Low",P626&lt;=100,"Medium",P626&gt;100,"High")</f>
        <v>Low</v>
      </c>
      <c r="R626" t="s">
        <v>17</v>
      </c>
      <c r="S626" s="1" t="str" cm="1">
        <f t="array" ref="S626">_xlfn.IFS(R626="S","Southampton",R626="C","Cherbourg",R626="Q","Queenstown")</f>
        <v>Southampton</v>
      </c>
    </row>
    <row r="627" spans="1:19" x14ac:dyDescent="0.3">
      <c r="A627">
        <v>626</v>
      </c>
      <c r="B627">
        <v>3</v>
      </c>
      <c r="C627" s="1" t="str" cm="1">
        <f t="array" ref="C627">_xlfn.IFS(B627=1,"First Class",B627=2,"Second Class",B627=3,"Third Class")</f>
        <v>Third Class</v>
      </c>
      <c r="D627">
        <v>1</v>
      </c>
      <c r="E627" s="1" t="str">
        <f t="shared" si="36"/>
        <v>Alive</v>
      </c>
      <c r="F627" t="s">
        <v>1227</v>
      </c>
      <c r="G627" s="1" t="s">
        <v>2994</v>
      </c>
      <c r="H627" t="s">
        <v>15</v>
      </c>
      <c r="I627" s="1" t="str">
        <f t="shared" si="37"/>
        <v>Female</v>
      </c>
      <c r="J627" s="3">
        <v>17</v>
      </c>
      <c r="K627" s="3" t="str" cm="1">
        <f t="array" ref="K627">_xlfn.IFS(J627&lt;=13,"Child",J627&lt;=18,"Teenager",J627&lt;=30,"Young Adult",J627&lt;=50,"Middle Aged Adult",J627&gt;50,"Senior")</f>
        <v>Teenager</v>
      </c>
      <c r="L627">
        <v>4</v>
      </c>
      <c r="M627">
        <v>2</v>
      </c>
      <c r="N627" s="1">
        <f t="shared" si="38"/>
        <v>7</v>
      </c>
      <c r="O627" s="1" t="str">
        <f t="shared" si="39"/>
        <v>With Family</v>
      </c>
      <c r="P627">
        <v>7.9249999999999998</v>
      </c>
      <c r="Q627" s="1" t="str" cm="1">
        <f t="array" ref="Q627">_xlfn.IFS(P627&lt;=50,"Low",P627&lt;=100,"Medium",P627&gt;100,"High")</f>
        <v>Low</v>
      </c>
      <c r="R627" t="s">
        <v>17</v>
      </c>
      <c r="S627" s="1" t="str" cm="1">
        <f t="array" ref="S627">_xlfn.IFS(R627="S","Southampton",R627="C","Cherbourg",R627="Q","Queenstown")</f>
        <v>Southampton</v>
      </c>
    </row>
    <row r="628" spans="1:19" x14ac:dyDescent="0.3">
      <c r="A628">
        <v>627</v>
      </c>
      <c r="B628">
        <v>3</v>
      </c>
      <c r="C628" s="1" t="str" cm="1">
        <f t="array" ref="C628">_xlfn.IFS(B628=1,"First Class",B628=2,"Second Class",B628=3,"Third Class")</f>
        <v>Third Class</v>
      </c>
      <c r="D628">
        <v>0</v>
      </c>
      <c r="E628" s="1" t="str">
        <f t="shared" si="36"/>
        <v>Dead</v>
      </c>
      <c r="F628" t="s">
        <v>1229</v>
      </c>
      <c r="G628" s="1" t="s">
        <v>2994</v>
      </c>
      <c r="H628" t="s">
        <v>15</v>
      </c>
      <c r="I628" s="1" t="str">
        <f t="shared" si="37"/>
        <v>Female</v>
      </c>
      <c r="J628" s="3">
        <v>38</v>
      </c>
      <c r="K628" s="3" t="str" cm="1">
        <f t="array" ref="K628">_xlfn.IFS(J628&lt;=13,"Child",J628&lt;=18,"Teenager",J628&lt;=30,"Young Adult",J628&lt;=50,"Middle Aged Adult",J628&gt;50,"Senior")</f>
        <v>Middle Aged Adult</v>
      </c>
      <c r="L628">
        <v>4</v>
      </c>
      <c r="M628">
        <v>2</v>
      </c>
      <c r="N628" s="1">
        <f t="shared" si="38"/>
        <v>7</v>
      </c>
      <c r="O628" s="1" t="str">
        <f t="shared" si="39"/>
        <v>With Family</v>
      </c>
      <c r="P628">
        <v>7.7750000000000004</v>
      </c>
      <c r="Q628" s="1" t="str" cm="1">
        <f t="array" ref="Q628">_xlfn.IFS(P628&lt;=50,"Low",P628&lt;=100,"Medium",P628&gt;100,"High")</f>
        <v>Low</v>
      </c>
      <c r="R628" t="s">
        <v>17</v>
      </c>
      <c r="S628" s="1" t="str" cm="1">
        <f t="array" ref="S628">_xlfn.IFS(R628="S","Southampton",R628="C","Cherbourg",R628="Q","Queenstown")</f>
        <v>Southampton</v>
      </c>
    </row>
    <row r="629" spans="1:19" x14ac:dyDescent="0.3">
      <c r="A629">
        <v>628</v>
      </c>
      <c r="B629">
        <v>3</v>
      </c>
      <c r="C629" s="1" t="str" cm="1">
        <f t="array" ref="C629">_xlfn.IFS(B629=1,"First Class",B629=2,"Second Class",B629=3,"Third Class")</f>
        <v>Third Class</v>
      </c>
      <c r="D629">
        <v>0</v>
      </c>
      <c r="E629" s="1" t="str">
        <f t="shared" si="36"/>
        <v>Dead</v>
      </c>
      <c r="F629" t="s">
        <v>1231</v>
      </c>
      <c r="G629" s="1" t="s">
        <v>2994</v>
      </c>
      <c r="H629" t="s">
        <v>15</v>
      </c>
      <c r="I629" s="1" t="str">
        <f t="shared" si="37"/>
        <v>Female</v>
      </c>
      <c r="J629" s="3">
        <v>9</v>
      </c>
      <c r="K629" s="3" t="str" cm="1">
        <f t="array" ref="K629">_xlfn.IFS(J629&lt;=13,"Child",J629&lt;=18,"Teenager",J629&lt;=30,"Young Adult",J629&lt;=50,"Middle Aged Adult",J629&gt;50,"Senior")</f>
        <v>Child</v>
      </c>
      <c r="L629">
        <v>4</v>
      </c>
      <c r="M629">
        <v>2</v>
      </c>
      <c r="N629" s="1">
        <f t="shared" si="38"/>
        <v>7</v>
      </c>
      <c r="O629" s="1" t="str">
        <f t="shared" si="39"/>
        <v>With Family</v>
      </c>
      <c r="P629">
        <v>31.274999999999999</v>
      </c>
      <c r="Q629" s="1" t="str" cm="1">
        <f t="array" ref="Q629">_xlfn.IFS(P629&lt;=50,"Low",P629&lt;=100,"Medium",P629&gt;100,"High")</f>
        <v>Low</v>
      </c>
      <c r="R629" t="s">
        <v>17</v>
      </c>
      <c r="S629" s="1" t="str" cm="1">
        <f t="array" ref="S629">_xlfn.IFS(R629="S","Southampton",R629="C","Cherbourg",R629="Q","Queenstown")</f>
        <v>Southampton</v>
      </c>
    </row>
    <row r="630" spans="1:19" x14ac:dyDescent="0.3">
      <c r="A630">
        <v>629</v>
      </c>
      <c r="B630">
        <v>3</v>
      </c>
      <c r="C630" s="1" t="str" cm="1">
        <f t="array" ref="C630">_xlfn.IFS(B630=1,"First Class",B630=2,"Second Class",B630=3,"Third Class")</f>
        <v>Third Class</v>
      </c>
      <c r="D630">
        <v>0</v>
      </c>
      <c r="E630" s="1" t="str">
        <f t="shared" si="36"/>
        <v>Dead</v>
      </c>
      <c r="F630" t="s">
        <v>1232</v>
      </c>
      <c r="G630" s="1" t="s">
        <v>2994</v>
      </c>
      <c r="H630" t="s">
        <v>15</v>
      </c>
      <c r="I630" s="1" t="str">
        <f t="shared" si="37"/>
        <v>Female</v>
      </c>
      <c r="J630" s="3">
        <v>11</v>
      </c>
      <c r="K630" s="3" t="str" cm="1">
        <f t="array" ref="K630">_xlfn.IFS(J630&lt;=13,"Child",J630&lt;=18,"Teenager",J630&lt;=30,"Young Adult",J630&lt;=50,"Middle Aged Adult",J630&gt;50,"Senior")</f>
        <v>Child</v>
      </c>
      <c r="L630">
        <v>4</v>
      </c>
      <c r="M630">
        <v>2</v>
      </c>
      <c r="N630" s="1">
        <f t="shared" si="38"/>
        <v>7</v>
      </c>
      <c r="O630" s="1" t="str">
        <f t="shared" si="39"/>
        <v>With Family</v>
      </c>
      <c r="P630">
        <v>31.274999999999999</v>
      </c>
      <c r="Q630" s="1" t="str" cm="1">
        <f t="array" ref="Q630">_xlfn.IFS(P630&lt;=50,"Low",P630&lt;=100,"Medium",P630&gt;100,"High")</f>
        <v>Low</v>
      </c>
      <c r="R630" t="s">
        <v>17</v>
      </c>
      <c r="S630" s="1" t="str" cm="1">
        <f t="array" ref="S630">_xlfn.IFS(R630="S","Southampton",R630="C","Cherbourg",R630="Q","Queenstown")</f>
        <v>Southampton</v>
      </c>
    </row>
    <row r="631" spans="1:19" x14ac:dyDescent="0.3">
      <c r="A631">
        <v>630</v>
      </c>
      <c r="B631">
        <v>3</v>
      </c>
      <c r="C631" s="1" t="str" cm="1">
        <f t="array" ref="C631">_xlfn.IFS(B631=1,"First Class",B631=2,"Second Class",B631=3,"Third Class")</f>
        <v>Third Class</v>
      </c>
      <c r="D631">
        <v>0</v>
      </c>
      <c r="E631" s="1" t="str">
        <f t="shared" si="36"/>
        <v>Dead</v>
      </c>
      <c r="F631" t="s">
        <v>1233</v>
      </c>
      <c r="G631" s="1" t="s">
        <v>2999</v>
      </c>
      <c r="H631" t="s">
        <v>20</v>
      </c>
      <c r="I631" s="1" t="str">
        <f t="shared" si="37"/>
        <v>Male</v>
      </c>
      <c r="J631" s="3">
        <v>39</v>
      </c>
      <c r="K631" s="3" t="str" cm="1">
        <f t="array" ref="K631">_xlfn.IFS(J631&lt;=13,"Child",J631&lt;=18,"Teenager",J631&lt;=30,"Young Adult",J631&lt;=50,"Middle Aged Adult",J631&gt;50,"Senior")</f>
        <v>Middle Aged Adult</v>
      </c>
      <c r="L631">
        <v>1</v>
      </c>
      <c r="M631">
        <v>5</v>
      </c>
      <c r="N631" s="1">
        <f t="shared" si="38"/>
        <v>7</v>
      </c>
      <c r="O631" s="1" t="str">
        <f t="shared" si="39"/>
        <v>With Family</v>
      </c>
      <c r="P631">
        <v>31.274999999999999</v>
      </c>
      <c r="Q631" s="1" t="str" cm="1">
        <f t="array" ref="Q631">_xlfn.IFS(P631&lt;=50,"Low",P631&lt;=100,"Medium",P631&gt;100,"High")</f>
        <v>Low</v>
      </c>
      <c r="R631" t="s">
        <v>17</v>
      </c>
      <c r="S631" s="1" t="str" cm="1">
        <f t="array" ref="S631">_xlfn.IFS(R631="S","Southampton",R631="C","Cherbourg",R631="Q","Queenstown")</f>
        <v>Southampton</v>
      </c>
    </row>
    <row r="632" spans="1:19" x14ac:dyDescent="0.3">
      <c r="A632">
        <v>631</v>
      </c>
      <c r="B632">
        <v>3</v>
      </c>
      <c r="C632" s="1" t="str" cm="1">
        <f t="array" ref="C632">_xlfn.IFS(B632=1,"First Class",B632=2,"Second Class",B632=3,"Third Class")</f>
        <v>Third Class</v>
      </c>
      <c r="D632">
        <v>1</v>
      </c>
      <c r="E632" s="1" t="str">
        <f t="shared" si="36"/>
        <v>Alive</v>
      </c>
      <c r="F632" t="s">
        <v>1234</v>
      </c>
      <c r="G632" s="1" t="s">
        <v>2999</v>
      </c>
      <c r="H632" t="s">
        <v>20</v>
      </c>
      <c r="I632" s="1" t="str">
        <f t="shared" si="37"/>
        <v>Male</v>
      </c>
      <c r="J632" s="3">
        <v>27</v>
      </c>
      <c r="K632" s="3" t="str" cm="1">
        <f t="array" ref="K632">_xlfn.IFS(J632&lt;=13,"Child",J632&lt;=18,"Teenager",J632&lt;=30,"Young Adult",J632&lt;=50,"Middle Aged Adult",J632&gt;50,"Senior")</f>
        <v>Young Adult</v>
      </c>
      <c r="L632">
        <v>0</v>
      </c>
      <c r="M632">
        <v>0</v>
      </c>
      <c r="N632" s="1">
        <f t="shared" si="38"/>
        <v>1</v>
      </c>
      <c r="O632" s="1" t="str">
        <f t="shared" si="39"/>
        <v>Single</v>
      </c>
      <c r="P632">
        <v>7.7957999999999998</v>
      </c>
      <c r="Q632" s="1" t="str" cm="1">
        <f t="array" ref="Q632">_xlfn.IFS(P632&lt;=50,"Low",P632&lt;=100,"Medium",P632&gt;100,"High")</f>
        <v>Low</v>
      </c>
      <c r="R632" t="s">
        <v>17</v>
      </c>
      <c r="S632" s="1" t="str" cm="1">
        <f t="array" ref="S632">_xlfn.IFS(R632="S","Southampton",R632="C","Cherbourg",R632="Q","Queenstown")</f>
        <v>Southampton</v>
      </c>
    </row>
    <row r="633" spans="1:19" x14ac:dyDescent="0.3">
      <c r="A633">
        <v>632</v>
      </c>
      <c r="B633">
        <v>3</v>
      </c>
      <c r="C633" s="1" t="str" cm="1">
        <f t="array" ref="C633">_xlfn.IFS(B633=1,"First Class",B633=2,"Second Class",B633=3,"Third Class")</f>
        <v>Third Class</v>
      </c>
      <c r="D633">
        <v>0</v>
      </c>
      <c r="E633" s="1" t="str">
        <f t="shared" si="36"/>
        <v>Dead</v>
      </c>
      <c r="F633" t="s">
        <v>1235</v>
      </c>
      <c r="G633" s="1" t="s">
        <v>2999</v>
      </c>
      <c r="H633" t="s">
        <v>20</v>
      </c>
      <c r="I633" s="1" t="str">
        <f t="shared" si="37"/>
        <v>Male</v>
      </c>
      <c r="J633" s="3">
        <v>26</v>
      </c>
      <c r="K633" s="3" t="str" cm="1">
        <f t="array" ref="K633">_xlfn.IFS(J633&lt;=13,"Child",J633&lt;=18,"Teenager",J633&lt;=30,"Young Adult",J633&lt;=50,"Middle Aged Adult",J633&gt;50,"Senior")</f>
        <v>Young Adult</v>
      </c>
      <c r="L633">
        <v>0</v>
      </c>
      <c r="M633">
        <v>0</v>
      </c>
      <c r="N633" s="1">
        <f t="shared" si="38"/>
        <v>1</v>
      </c>
      <c r="O633" s="1" t="str">
        <f t="shared" si="39"/>
        <v>Single</v>
      </c>
      <c r="P633">
        <v>7.7750000000000004</v>
      </c>
      <c r="Q633" s="1" t="str" cm="1">
        <f t="array" ref="Q633">_xlfn.IFS(P633&lt;=50,"Low",P633&lt;=100,"Medium",P633&gt;100,"High")</f>
        <v>Low</v>
      </c>
      <c r="R633" t="s">
        <v>17</v>
      </c>
      <c r="S633" s="1" t="str" cm="1">
        <f t="array" ref="S633">_xlfn.IFS(R633="S","Southampton",R633="C","Cherbourg",R633="Q","Queenstown")</f>
        <v>Southampton</v>
      </c>
    </row>
    <row r="634" spans="1:19" x14ac:dyDescent="0.3">
      <c r="A634">
        <v>633</v>
      </c>
      <c r="B634">
        <v>3</v>
      </c>
      <c r="C634" s="1" t="str" cm="1">
        <f t="array" ref="C634">_xlfn.IFS(B634=1,"First Class",B634=2,"Second Class",B634=3,"Third Class")</f>
        <v>Third Class</v>
      </c>
      <c r="D634">
        <v>0</v>
      </c>
      <c r="E634" s="1" t="str">
        <f t="shared" si="36"/>
        <v>Dead</v>
      </c>
      <c r="F634" t="s">
        <v>1237</v>
      </c>
      <c r="G634" s="1" t="s">
        <v>3001</v>
      </c>
      <c r="H634" t="s">
        <v>15</v>
      </c>
      <c r="I634" s="1" t="str">
        <f t="shared" si="37"/>
        <v>Female</v>
      </c>
      <c r="J634" s="3">
        <v>39</v>
      </c>
      <c r="K634" s="3" t="str" cm="1">
        <f t="array" ref="K634">_xlfn.IFS(J634&lt;=13,"Child",J634&lt;=18,"Teenager",J634&lt;=30,"Young Adult",J634&lt;=50,"Middle Aged Adult",J634&gt;50,"Senior")</f>
        <v>Middle Aged Adult</v>
      </c>
      <c r="L634">
        <v>1</v>
      </c>
      <c r="M634">
        <v>5</v>
      </c>
      <c r="N634" s="1">
        <f t="shared" si="38"/>
        <v>7</v>
      </c>
      <c r="O634" s="1" t="str">
        <f t="shared" si="39"/>
        <v>With Family</v>
      </c>
      <c r="P634">
        <v>31.274999999999999</v>
      </c>
      <c r="Q634" s="1" t="str" cm="1">
        <f t="array" ref="Q634">_xlfn.IFS(P634&lt;=50,"Low",P634&lt;=100,"Medium",P634&gt;100,"High")</f>
        <v>Low</v>
      </c>
      <c r="R634" t="s">
        <v>17</v>
      </c>
      <c r="S634" s="1" t="str" cm="1">
        <f t="array" ref="S634">_xlfn.IFS(R634="S","Southampton",R634="C","Cherbourg",R634="Q","Queenstown")</f>
        <v>Southampton</v>
      </c>
    </row>
    <row r="635" spans="1:19" x14ac:dyDescent="0.3">
      <c r="A635">
        <v>634</v>
      </c>
      <c r="B635">
        <v>3</v>
      </c>
      <c r="C635" s="1" t="str" cm="1">
        <f t="array" ref="C635">_xlfn.IFS(B635=1,"First Class",B635=2,"Second Class",B635=3,"Third Class")</f>
        <v>Third Class</v>
      </c>
      <c r="D635">
        <v>0</v>
      </c>
      <c r="E635" s="1" t="str">
        <f t="shared" si="36"/>
        <v>Dead</v>
      </c>
      <c r="F635" t="s">
        <v>1238</v>
      </c>
      <c r="G635" s="1" t="s">
        <v>2999</v>
      </c>
      <c r="H635" t="s">
        <v>20</v>
      </c>
      <c r="I635" s="1" t="str">
        <f t="shared" si="37"/>
        <v>Male</v>
      </c>
      <c r="J635" s="3">
        <v>20</v>
      </c>
      <c r="K635" s="3" t="str" cm="1">
        <f t="array" ref="K635">_xlfn.IFS(J635&lt;=13,"Child",J635&lt;=18,"Teenager",J635&lt;=30,"Young Adult",J635&lt;=50,"Middle Aged Adult",J635&gt;50,"Senior")</f>
        <v>Young Adult</v>
      </c>
      <c r="L635">
        <v>0</v>
      </c>
      <c r="M635">
        <v>0</v>
      </c>
      <c r="N635" s="1">
        <f t="shared" si="38"/>
        <v>1</v>
      </c>
      <c r="O635" s="1" t="str">
        <f t="shared" si="39"/>
        <v>Single</v>
      </c>
      <c r="P635">
        <v>7.8541999999999996</v>
      </c>
      <c r="Q635" s="1" t="str" cm="1">
        <f t="array" ref="Q635">_xlfn.IFS(P635&lt;=50,"Low",P635&lt;=100,"Medium",P635&gt;100,"High")</f>
        <v>Low</v>
      </c>
      <c r="R635" t="s">
        <v>17</v>
      </c>
      <c r="S635" s="1" t="str" cm="1">
        <f t="array" ref="S635">_xlfn.IFS(R635="S","Southampton",R635="C","Cherbourg",R635="Q","Queenstown")</f>
        <v>Southampton</v>
      </c>
    </row>
    <row r="636" spans="1:19" x14ac:dyDescent="0.3">
      <c r="A636">
        <v>635</v>
      </c>
      <c r="B636">
        <v>3</v>
      </c>
      <c r="C636" s="1" t="str" cm="1">
        <f t="array" ref="C636">_xlfn.IFS(B636=1,"First Class",B636=2,"Second Class",B636=3,"Third Class")</f>
        <v>Third Class</v>
      </c>
      <c r="D636">
        <v>0</v>
      </c>
      <c r="E636" s="1" t="str">
        <f t="shared" si="36"/>
        <v>Dead</v>
      </c>
      <c r="F636" t="s">
        <v>1240</v>
      </c>
      <c r="G636" s="1" t="s">
        <v>2999</v>
      </c>
      <c r="H636" t="s">
        <v>20</v>
      </c>
      <c r="I636" s="1" t="str">
        <f t="shared" si="37"/>
        <v>Male</v>
      </c>
      <c r="J636" s="3">
        <v>26</v>
      </c>
      <c r="K636" s="3" t="str" cm="1">
        <f t="array" ref="K636">_xlfn.IFS(J636&lt;=13,"Child",J636&lt;=18,"Teenager",J636&lt;=30,"Young Adult",J636&lt;=50,"Middle Aged Adult",J636&gt;50,"Senior")</f>
        <v>Young Adult</v>
      </c>
      <c r="L636">
        <v>0</v>
      </c>
      <c r="M636">
        <v>0</v>
      </c>
      <c r="N636" s="1">
        <f t="shared" si="38"/>
        <v>1</v>
      </c>
      <c r="O636" s="1" t="str">
        <f t="shared" si="39"/>
        <v>Single</v>
      </c>
      <c r="P636">
        <v>7.8958000000000004</v>
      </c>
      <c r="Q636" s="1" t="str" cm="1">
        <f t="array" ref="Q636">_xlfn.IFS(P636&lt;=50,"Low",P636&lt;=100,"Medium",P636&gt;100,"High")</f>
        <v>Low</v>
      </c>
      <c r="R636" t="s">
        <v>17</v>
      </c>
      <c r="S636" s="1" t="str" cm="1">
        <f t="array" ref="S636">_xlfn.IFS(R636="S","Southampton",R636="C","Cherbourg",R636="Q","Queenstown")</f>
        <v>Southampton</v>
      </c>
    </row>
    <row r="637" spans="1:19" x14ac:dyDescent="0.3">
      <c r="A637">
        <v>636</v>
      </c>
      <c r="B637">
        <v>3</v>
      </c>
      <c r="C637" s="1" t="str" cm="1">
        <f t="array" ref="C637">_xlfn.IFS(B637=1,"First Class",B637=2,"Second Class",B637=3,"Third Class")</f>
        <v>Third Class</v>
      </c>
      <c r="D637">
        <v>0</v>
      </c>
      <c r="E637" s="1" t="str">
        <f t="shared" si="36"/>
        <v>Dead</v>
      </c>
      <c r="F637" t="s">
        <v>1242</v>
      </c>
      <c r="G637" s="1" t="s">
        <v>2999</v>
      </c>
      <c r="H637" t="s">
        <v>20</v>
      </c>
      <c r="I637" s="1" t="str">
        <f t="shared" si="37"/>
        <v>Male</v>
      </c>
      <c r="J637" s="3">
        <v>25</v>
      </c>
      <c r="K637" s="3" t="str" cm="1">
        <f t="array" ref="K637">_xlfn.IFS(J637&lt;=13,"Child",J637&lt;=18,"Teenager",J637&lt;=30,"Young Adult",J637&lt;=50,"Middle Aged Adult",J637&gt;50,"Senior")</f>
        <v>Young Adult</v>
      </c>
      <c r="L637">
        <v>1</v>
      </c>
      <c r="M637">
        <v>0</v>
      </c>
      <c r="N637" s="1">
        <f t="shared" si="38"/>
        <v>2</v>
      </c>
      <c r="O637" s="1" t="str">
        <f t="shared" si="39"/>
        <v>With Family</v>
      </c>
      <c r="P637">
        <v>17.8</v>
      </c>
      <c r="Q637" s="1" t="str" cm="1">
        <f t="array" ref="Q637">_xlfn.IFS(P637&lt;=50,"Low",P637&lt;=100,"Medium",P637&gt;100,"High")</f>
        <v>Low</v>
      </c>
      <c r="R637" t="s">
        <v>17</v>
      </c>
      <c r="S637" s="1" t="str" cm="1">
        <f t="array" ref="S637">_xlfn.IFS(R637="S","Southampton",R637="C","Cherbourg",R637="Q","Queenstown")</f>
        <v>Southampton</v>
      </c>
    </row>
    <row r="638" spans="1:19" x14ac:dyDescent="0.3">
      <c r="A638">
        <v>637</v>
      </c>
      <c r="B638">
        <v>3</v>
      </c>
      <c r="C638" s="1" t="str" cm="1">
        <f t="array" ref="C638">_xlfn.IFS(B638=1,"First Class",B638=2,"Second Class",B638=3,"Third Class")</f>
        <v>Third Class</v>
      </c>
      <c r="D638">
        <v>0</v>
      </c>
      <c r="E638" s="1" t="str">
        <f t="shared" si="36"/>
        <v>Dead</v>
      </c>
      <c r="F638" t="s">
        <v>1244</v>
      </c>
      <c r="G638" s="1" t="s">
        <v>3001</v>
      </c>
      <c r="H638" t="s">
        <v>15</v>
      </c>
      <c r="I638" s="1" t="str">
        <f t="shared" si="37"/>
        <v>Female</v>
      </c>
      <c r="J638" s="3">
        <v>18</v>
      </c>
      <c r="K638" s="3" t="str" cm="1">
        <f t="array" ref="K638">_xlfn.IFS(J638&lt;=13,"Child",J638&lt;=18,"Teenager",J638&lt;=30,"Young Adult",J638&lt;=50,"Middle Aged Adult",J638&gt;50,"Senior")</f>
        <v>Teenager</v>
      </c>
      <c r="L638">
        <v>1</v>
      </c>
      <c r="M638">
        <v>0</v>
      </c>
      <c r="N638" s="1">
        <f t="shared" si="38"/>
        <v>2</v>
      </c>
      <c r="O638" s="1" t="str">
        <f t="shared" si="39"/>
        <v>With Family</v>
      </c>
      <c r="P638">
        <v>17.8</v>
      </c>
      <c r="Q638" s="1" t="str" cm="1">
        <f t="array" ref="Q638">_xlfn.IFS(P638&lt;=50,"Low",P638&lt;=100,"Medium",P638&gt;100,"High")</f>
        <v>Low</v>
      </c>
      <c r="R638" t="s">
        <v>17</v>
      </c>
      <c r="S638" s="1" t="str" cm="1">
        <f t="array" ref="S638">_xlfn.IFS(R638="S","Southampton",R638="C","Cherbourg",R638="Q","Queenstown")</f>
        <v>Southampton</v>
      </c>
    </row>
    <row r="639" spans="1:19" x14ac:dyDescent="0.3">
      <c r="A639">
        <v>638</v>
      </c>
      <c r="B639">
        <v>3</v>
      </c>
      <c r="C639" s="1" t="str" cm="1">
        <f t="array" ref="C639">_xlfn.IFS(B639=1,"First Class",B639=2,"Second Class",B639=3,"Third Class")</f>
        <v>Third Class</v>
      </c>
      <c r="D639">
        <v>0</v>
      </c>
      <c r="E639" s="1" t="str">
        <f t="shared" si="36"/>
        <v>Dead</v>
      </c>
      <c r="F639" t="s">
        <v>1245</v>
      </c>
      <c r="G639" s="1" t="s">
        <v>2999</v>
      </c>
      <c r="H639" t="s">
        <v>20</v>
      </c>
      <c r="I639" s="1" t="str">
        <f t="shared" si="37"/>
        <v>Male</v>
      </c>
      <c r="J639" s="3">
        <v>24</v>
      </c>
      <c r="K639" s="3" t="str" cm="1">
        <f t="array" ref="K639">_xlfn.IFS(J639&lt;=13,"Child",J639&lt;=18,"Teenager",J639&lt;=30,"Young Adult",J639&lt;=50,"Middle Aged Adult",J639&gt;50,"Senior")</f>
        <v>Young Adult</v>
      </c>
      <c r="L639">
        <v>0</v>
      </c>
      <c r="M639">
        <v>0</v>
      </c>
      <c r="N639" s="1">
        <f t="shared" si="38"/>
        <v>1</v>
      </c>
      <c r="O639" s="1" t="str">
        <f t="shared" si="39"/>
        <v>Single</v>
      </c>
      <c r="P639">
        <v>7.7750000000000004</v>
      </c>
      <c r="Q639" s="1" t="str" cm="1">
        <f t="array" ref="Q639">_xlfn.IFS(P639&lt;=50,"Low",P639&lt;=100,"Medium",P639&gt;100,"High")</f>
        <v>Low</v>
      </c>
      <c r="R639" t="s">
        <v>17</v>
      </c>
      <c r="S639" s="1" t="str" cm="1">
        <f t="array" ref="S639">_xlfn.IFS(R639="S","Southampton",R639="C","Cherbourg",R639="Q","Queenstown")</f>
        <v>Southampton</v>
      </c>
    </row>
    <row r="640" spans="1:19" x14ac:dyDescent="0.3">
      <c r="A640">
        <v>639</v>
      </c>
      <c r="B640">
        <v>3</v>
      </c>
      <c r="C640" s="1" t="str" cm="1">
        <f t="array" ref="C640">_xlfn.IFS(B640=1,"First Class",B640=2,"Second Class",B640=3,"Third Class")</f>
        <v>Third Class</v>
      </c>
      <c r="D640">
        <v>0</v>
      </c>
      <c r="E640" s="1" t="str">
        <f t="shared" si="36"/>
        <v>Dead</v>
      </c>
      <c r="F640" t="s">
        <v>1247</v>
      </c>
      <c r="G640" s="1" t="s">
        <v>2999</v>
      </c>
      <c r="H640" t="s">
        <v>20</v>
      </c>
      <c r="I640" s="1" t="str">
        <f t="shared" si="37"/>
        <v>Male</v>
      </c>
      <c r="J640" s="3">
        <v>35</v>
      </c>
      <c r="K640" s="3" t="str" cm="1">
        <f t="array" ref="K640">_xlfn.IFS(J640&lt;=13,"Child",J640&lt;=18,"Teenager",J640&lt;=30,"Young Adult",J640&lt;=50,"Middle Aged Adult",J640&gt;50,"Senior")</f>
        <v>Middle Aged Adult</v>
      </c>
      <c r="L640">
        <v>0</v>
      </c>
      <c r="M640">
        <v>0</v>
      </c>
      <c r="N640" s="1">
        <f t="shared" si="38"/>
        <v>1</v>
      </c>
      <c r="O640" s="1" t="str">
        <f t="shared" si="39"/>
        <v>Single</v>
      </c>
      <c r="P640">
        <v>7.05</v>
      </c>
      <c r="Q640" s="1" t="str" cm="1">
        <f t="array" ref="Q640">_xlfn.IFS(P640&lt;=50,"Low",P640&lt;=100,"Medium",P640&gt;100,"High")</f>
        <v>Low</v>
      </c>
      <c r="R640" t="s">
        <v>17</v>
      </c>
      <c r="S640" s="1" t="str" cm="1">
        <f t="array" ref="S640">_xlfn.IFS(R640="S","Southampton",R640="C","Cherbourg",R640="Q","Queenstown")</f>
        <v>Southampton</v>
      </c>
    </row>
    <row r="641" spans="1:19" x14ac:dyDescent="0.3">
      <c r="A641">
        <v>640</v>
      </c>
      <c r="B641">
        <v>3</v>
      </c>
      <c r="C641" s="1" t="str" cm="1">
        <f t="array" ref="C641">_xlfn.IFS(B641=1,"First Class",B641=2,"Second Class",B641=3,"Third Class")</f>
        <v>Third Class</v>
      </c>
      <c r="D641">
        <v>0</v>
      </c>
      <c r="E641" s="1" t="str">
        <f t="shared" si="36"/>
        <v>Dead</v>
      </c>
      <c r="F641" t="s">
        <v>1249</v>
      </c>
      <c r="G641" s="1" t="s">
        <v>2996</v>
      </c>
      <c r="H641" t="s">
        <v>20</v>
      </c>
      <c r="I641" s="1" t="str">
        <f t="shared" si="37"/>
        <v>Male</v>
      </c>
      <c r="J641" s="3">
        <v>5</v>
      </c>
      <c r="K641" s="3" t="str" cm="1">
        <f t="array" ref="K641">_xlfn.IFS(J641&lt;=13,"Child",J641&lt;=18,"Teenager",J641&lt;=30,"Young Adult",J641&lt;=50,"Middle Aged Adult",J641&gt;50,"Senior")</f>
        <v>Child</v>
      </c>
      <c r="L641">
        <v>4</v>
      </c>
      <c r="M641">
        <v>2</v>
      </c>
      <c r="N641" s="1">
        <f t="shared" si="38"/>
        <v>7</v>
      </c>
      <c r="O641" s="1" t="str">
        <f t="shared" si="39"/>
        <v>With Family</v>
      </c>
      <c r="P641">
        <v>31.387499999999999</v>
      </c>
      <c r="Q641" s="1" t="str" cm="1">
        <f t="array" ref="Q641">_xlfn.IFS(P641&lt;=50,"Low",P641&lt;=100,"Medium",P641&gt;100,"High")</f>
        <v>Low</v>
      </c>
      <c r="R641" t="s">
        <v>17</v>
      </c>
      <c r="S641" s="1" t="str" cm="1">
        <f t="array" ref="S641">_xlfn.IFS(R641="S","Southampton",R641="C","Cherbourg",R641="Q","Queenstown")</f>
        <v>Southampton</v>
      </c>
    </row>
    <row r="642" spans="1:19" x14ac:dyDescent="0.3">
      <c r="A642">
        <v>641</v>
      </c>
      <c r="B642">
        <v>3</v>
      </c>
      <c r="C642" s="1" t="str" cm="1">
        <f t="array" ref="C642">_xlfn.IFS(B642=1,"First Class",B642=2,"Second Class",B642=3,"Third Class")</f>
        <v>Third Class</v>
      </c>
      <c r="D642">
        <v>0</v>
      </c>
      <c r="E642" s="1" t="str">
        <f t="shared" si="36"/>
        <v>Dead</v>
      </c>
      <c r="F642" t="s">
        <v>1251</v>
      </c>
      <c r="G642" s="1" t="s">
        <v>2996</v>
      </c>
      <c r="H642" t="s">
        <v>20</v>
      </c>
      <c r="I642" s="1" t="str">
        <f t="shared" si="37"/>
        <v>Male</v>
      </c>
      <c r="J642" s="3">
        <v>9</v>
      </c>
      <c r="K642" s="3" t="str" cm="1">
        <f t="array" ref="K642">_xlfn.IFS(J642&lt;=13,"Child",J642&lt;=18,"Teenager",J642&lt;=30,"Young Adult",J642&lt;=50,"Middle Aged Adult",J642&gt;50,"Senior")</f>
        <v>Child</v>
      </c>
      <c r="L642">
        <v>4</v>
      </c>
      <c r="M642">
        <v>2</v>
      </c>
      <c r="N642" s="1">
        <f t="shared" si="38"/>
        <v>7</v>
      </c>
      <c r="O642" s="1" t="str">
        <f t="shared" si="39"/>
        <v>With Family</v>
      </c>
      <c r="P642">
        <v>31.387499999999999</v>
      </c>
      <c r="Q642" s="1" t="str" cm="1">
        <f t="array" ref="Q642">_xlfn.IFS(P642&lt;=50,"Low",P642&lt;=100,"Medium",P642&gt;100,"High")</f>
        <v>Low</v>
      </c>
      <c r="R642" t="s">
        <v>17</v>
      </c>
      <c r="S642" s="1" t="str" cm="1">
        <f t="array" ref="S642">_xlfn.IFS(R642="S","Southampton",R642="C","Cherbourg",R642="Q","Queenstown")</f>
        <v>Southampton</v>
      </c>
    </row>
    <row r="643" spans="1:19" x14ac:dyDescent="0.3">
      <c r="A643">
        <v>642</v>
      </c>
      <c r="B643">
        <v>3</v>
      </c>
      <c r="C643" s="1" t="str" cm="1">
        <f t="array" ref="C643">_xlfn.IFS(B643=1,"First Class",B643=2,"Second Class",B643=3,"Third Class")</f>
        <v>Third Class</v>
      </c>
      <c r="D643">
        <v>1</v>
      </c>
      <c r="E643" s="1" t="str">
        <f t="shared" ref="E643:E706" si="40">IF(D643=0,"Dead","Alive")</f>
        <v>Alive</v>
      </c>
      <c r="F643" t="s">
        <v>1253</v>
      </c>
      <c r="G643" s="1" t="s">
        <v>2996</v>
      </c>
      <c r="H643" t="s">
        <v>20</v>
      </c>
      <c r="I643" s="1" t="str">
        <f t="shared" ref="I643:I706" si="41">PROPER(H643)</f>
        <v>Male</v>
      </c>
      <c r="J643" s="3">
        <v>3</v>
      </c>
      <c r="K643" s="3" t="str" cm="1">
        <f t="array" ref="K643">_xlfn.IFS(J643&lt;=13,"Child",J643&lt;=18,"Teenager",J643&lt;=30,"Young Adult",J643&lt;=50,"Middle Aged Adult",J643&gt;50,"Senior")</f>
        <v>Child</v>
      </c>
      <c r="L643">
        <v>4</v>
      </c>
      <c r="M643">
        <v>2</v>
      </c>
      <c r="N643" s="1">
        <f t="shared" ref="N643:N706" si="42">L643+M643+1</f>
        <v>7</v>
      </c>
      <c r="O643" s="1" t="str">
        <f t="shared" ref="O643:O706" si="43">IF(N643=1,"Single","With Family")</f>
        <v>With Family</v>
      </c>
      <c r="P643">
        <v>31.387499999999999</v>
      </c>
      <c r="Q643" s="1" t="str" cm="1">
        <f t="array" ref="Q643">_xlfn.IFS(P643&lt;=50,"Low",P643&lt;=100,"Medium",P643&gt;100,"High")</f>
        <v>Low</v>
      </c>
      <c r="R643" t="s">
        <v>17</v>
      </c>
      <c r="S643" s="1" t="str" cm="1">
        <f t="array" ref="S643">_xlfn.IFS(R643="S","Southampton",R643="C","Cherbourg",R643="Q","Queenstown")</f>
        <v>Southampton</v>
      </c>
    </row>
    <row r="644" spans="1:19" x14ac:dyDescent="0.3">
      <c r="A644">
        <v>643</v>
      </c>
      <c r="B644">
        <v>3</v>
      </c>
      <c r="C644" s="1" t="str" cm="1">
        <f t="array" ref="C644">_xlfn.IFS(B644=1,"First Class",B644=2,"Second Class",B644=3,"Third Class")</f>
        <v>Third Class</v>
      </c>
      <c r="D644">
        <v>0</v>
      </c>
      <c r="E644" s="1" t="str">
        <f t="shared" si="40"/>
        <v>Dead</v>
      </c>
      <c r="F644" t="s">
        <v>1254</v>
      </c>
      <c r="G644" s="1" t="s">
        <v>2996</v>
      </c>
      <c r="H644" t="s">
        <v>20</v>
      </c>
      <c r="I644" s="1" t="str">
        <f t="shared" si="41"/>
        <v>Male</v>
      </c>
      <c r="J644" s="3">
        <v>13</v>
      </c>
      <c r="K644" s="3" t="str" cm="1">
        <f t="array" ref="K644">_xlfn.IFS(J644&lt;=13,"Child",J644&lt;=18,"Teenager",J644&lt;=30,"Young Adult",J644&lt;=50,"Middle Aged Adult",J644&gt;50,"Senior")</f>
        <v>Child</v>
      </c>
      <c r="L644">
        <v>4</v>
      </c>
      <c r="M644">
        <v>2</v>
      </c>
      <c r="N644" s="1">
        <f t="shared" si="42"/>
        <v>7</v>
      </c>
      <c r="O644" s="1" t="str">
        <f t="shared" si="43"/>
        <v>With Family</v>
      </c>
      <c r="P644">
        <v>31.387499999999999</v>
      </c>
      <c r="Q644" s="1" t="str" cm="1">
        <f t="array" ref="Q644">_xlfn.IFS(P644&lt;=50,"Low",P644&lt;=100,"Medium",P644&gt;100,"High")</f>
        <v>Low</v>
      </c>
      <c r="R644" t="s">
        <v>17</v>
      </c>
      <c r="S644" s="1" t="str" cm="1">
        <f t="array" ref="S644">_xlfn.IFS(R644="S","Southampton",R644="C","Cherbourg",R644="Q","Queenstown")</f>
        <v>Southampton</v>
      </c>
    </row>
    <row r="645" spans="1:19" x14ac:dyDescent="0.3">
      <c r="A645">
        <v>644</v>
      </c>
      <c r="B645">
        <v>3</v>
      </c>
      <c r="C645" s="1" t="str" cm="1">
        <f t="array" ref="C645">_xlfn.IFS(B645=1,"First Class",B645=2,"Second Class",B645=3,"Third Class")</f>
        <v>Third Class</v>
      </c>
      <c r="D645">
        <v>1</v>
      </c>
      <c r="E645" s="1" t="str">
        <f t="shared" si="40"/>
        <v>Alive</v>
      </c>
      <c r="F645" t="s">
        <v>1255</v>
      </c>
      <c r="G645" s="1" t="s">
        <v>2994</v>
      </c>
      <c r="H645" t="s">
        <v>15</v>
      </c>
      <c r="I645" s="1" t="str">
        <f t="shared" si="41"/>
        <v>Female</v>
      </c>
      <c r="J645" s="3">
        <v>5</v>
      </c>
      <c r="K645" s="3" t="str" cm="1">
        <f t="array" ref="K645">_xlfn.IFS(J645&lt;=13,"Child",J645&lt;=18,"Teenager",J645&lt;=30,"Young Adult",J645&lt;=50,"Middle Aged Adult",J645&gt;50,"Senior")</f>
        <v>Child</v>
      </c>
      <c r="L645">
        <v>4</v>
      </c>
      <c r="M645">
        <v>2</v>
      </c>
      <c r="N645" s="1">
        <f t="shared" si="42"/>
        <v>7</v>
      </c>
      <c r="O645" s="1" t="str">
        <f t="shared" si="43"/>
        <v>With Family</v>
      </c>
      <c r="P645">
        <v>31.387499999999999</v>
      </c>
      <c r="Q645" s="1" t="str" cm="1">
        <f t="array" ref="Q645">_xlfn.IFS(P645&lt;=50,"Low",P645&lt;=100,"Medium",P645&gt;100,"High")</f>
        <v>Low</v>
      </c>
      <c r="R645" t="s">
        <v>17</v>
      </c>
      <c r="S645" s="1" t="str" cm="1">
        <f t="array" ref="S645">_xlfn.IFS(R645="S","Southampton",R645="C","Cherbourg",R645="Q","Queenstown")</f>
        <v>Southampton</v>
      </c>
    </row>
    <row r="646" spans="1:19" x14ac:dyDescent="0.3">
      <c r="A646">
        <v>645</v>
      </c>
      <c r="B646">
        <v>3</v>
      </c>
      <c r="C646" s="1" t="str" cm="1">
        <f t="array" ref="C646">_xlfn.IFS(B646=1,"First Class",B646=2,"Second Class",B646=3,"Third Class")</f>
        <v>Third Class</v>
      </c>
      <c r="D646">
        <v>0</v>
      </c>
      <c r="E646" s="1" t="str">
        <f t="shared" si="40"/>
        <v>Dead</v>
      </c>
      <c r="F646" t="s">
        <v>1256</v>
      </c>
      <c r="G646" s="1" t="s">
        <v>2999</v>
      </c>
      <c r="H646" t="s">
        <v>20</v>
      </c>
      <c r="I646" s="1" t="str">
        <f t="shared" si="41"/>
        <v>Male</v>
      </c>
      <c r="J646" s="3">
        <v>40</v>
      </c>
      <c r="K646" s="3" t="str" cm="1">
        <f t="array" ref="K646">_xlfn.IFS(J646&lt;=13,"Child",J646&lt;=18,"Teenager",J646&lt;=30,"Young Adult",J646&lt;=50,"Middle Aged Adult",J646&gt;50,"Senior")</f>
        <v>Middle Aged Adult</v>
      </c>
      <c r="L646">
        <v>1</v>
      </c>
      <c r="M646">
        <v>5</v>
      </c>
      <c r="N646" s="1">
        <f t="shared" si="42"/>
        <v>7</v>
      </c>
      <c r="O646" s="1" t="str">
        <f t="shared" si="43"/>
        <v>With Family</v>
      </c>
      <c r="P646">
        <v>31.387499999999999</v>
      </c>
      <c r="Q646" s="1" t="str" cm="1">
        <f t="array" ref="Q646">_xlfn.IFS(P646&lt;=50,"Low",P646&lt;=100,"Medium",P646&gt;100,"High")</f>
        <v>Low</v>
      </c>
      <c r="R646" t="s">
        <v>17</v>
      </c>
      <c r="S646" s="1" t="str" cm="1">
        <f t="array" ref="S646">_xlfn.IFS(R646="S","Southampton",R646="C","Cherbourg",R646="Q","Queenstown")</f>
        <v>Southampton</v>
      </c>
    </row>
    <row r="647" spans="1:19" x14ac:dyDescent="0.3">
      <c r="A647">
        <v>646</v>
      </c>
      <c r="B647">
        <v>3</v>
      </c>
      <c r="C647" s="1" t="str" cm="1">
        <f t="array" ref="C647">_xlfn.IFS(B647=1,"First Class",B647=2,"Second Class",B647=3,"Third Class")</f>
        <v>Third Class</v>
      </c>
      <c r="D647">
        <v>1</v>
      </c>
      <c r="E647" s="1" t="str">
        <f t="shared" si="40"/>
        <v>Alive</v>
      </c>
      <c r="F647" t="s">
        <v>1257</v>
      </c>
      <c r="G647" s="1" t="s">
        <v>2999</v>
      </c>
      <c r="H647" t="s">
        <v>20</v>
      </c>
      <c r="I647" s="1" t="str">
        <f t="shared" si="41"/>
        <v>Male</v>
      </c>
      <c r="J647" s="3">
        <v>23</v>
      </c>
      <c r="K647" s="3" t="str" cm="1">
        <f t="array" ref="K647">_xlfn.IFS(J647&lt;=13,"Child",J647&lt;=18,"Teenager",J647&lt;=30,"Young Adult",J647&lt;=50,"Middle Aged Adult",J647&gt;50,"Senior")</f>
        <v>Young Adult</v>
      </c>
      <c r="L647">
        <v>0</v>
      </c>
      <c r="M647">
        <v>0</v>
      </c>
      <c r="N647" s="1">
        <f t="shared" si="42"/>
        <v>1</v>
      </c>
      <c r="O647" s="1" t="str">
        <f t="shared" si="43"/>
        <v>Single</v>
      </c>
      <c r="P647">
        <v>7.7957999999999998</v>
      </c>
      <c r="Q647" s="1" t="str" cm="1">
        <f t="array" ref="Q647">_xlfn.IFS(P647&lt;=50,"Low",P647&lt;=100,"Medium",P647&gt;100,"High")</f>
        <v>Low</v>
      </c>
      <c r="R647" t="s">
        <v>17</v>
      </c>
      <c r="S647" s="1" t="str" cm="1">
        <f t="array" ref="S647">_xlfn.IFS(R647="S","Southampton",R647="C","Cherbourg",R647="Q","Queenstown")</f>
        <v>Southampton</v>
      </c>
    </row>
    <row r="648" spans="1:19" x14ac:dyDescent="0.3">
      <c r="A648">
        <v>647</v>
      </c>
      <c r="B648">
        <v>3</v>
      </c>
      <c r="C648" s="1" t="str" cm="1">
        <f t="array" ref="C648">_xlfn.IFS(B648=1,"First Class",B648=2,"Second Class",B648=3,"Third Class")</f>
        <v>Third Class</v>
      </c>
      <c r="D648">
        <v>1</v>
      </c>
      <c r="E648" s="1" t="str">
        <f t="shared" si="40"/>
        <v>Alive</v>
      </c>
      <c r="F648" t="s">
        <v>1259</v>
      </c>
      <c r="G648" s="1" t="s">
        <v>3001</v>
      </c>
      <c r="H648" t="s">
        <v>15</v>
      </c>
      <c r="I648" s="1" t="str">
        <f t="shared" si="41"/>
        <v>Female</v>
      </c>
      <c r="J648" s="3">
        <v>38</v>
      </c>
      <c r="K648" s="3" t="str" cm="1">
        <f t="array" ref="K648">_xlfn.IFS(J648&lt;=13,"Child",J648&lt;=18,"Teenager",J648&lt;=30,"Young Adult",J648&lt;=50,"Middle Aged Adult",J648&gt;50,"Senior")</f>
        <v>Middle Aged Adult</v>
      </c>
      <c r="L648">
        <v>1</v>
      </c>
      <c r="M648">
        <v>5</v>
      </c>
      <c r="N648" s="1">
        <f t="shared" si="42"/>
        <v>7</v>
      </c>
      <c r="O648" s="1" t="str">
        <f t="shared" si="43"/>
        <v>With Family</v>
      </c>
      <c r="P648">
        <v>31.387499999999999</v>
      </c>
      <c r="Q648" s="1" t="str" cm="1">
        <f t="array" ref="Q648">_xlfn.IFS(P648&lt;=50,"Low",P648&lt;=100,"Medium",P648&gt;100,"High")</f>
        <v>Low</v>
      </c>
      <c r="R648" t="s">
        <v>17</v>
      </c>
      <c r="S648" s="1" t="str" cm="1">
        <f t="array" ref="S648">_xlfn.IFS(R648="S","Southampton",R648="C","Cherbourg",R648="Q","Queenstown")</f>
        <v>Southampton</v>
      </c>
    </row>
    <row r="649" spans="1:19" x14ac:dyDescent="0.3">
      <c r="A649">
        <v>648</v>
      </c>
      <c r="B649">
        <v>3</v>
      </c>
      <c r="C649" s="1" t="str" cm="1">
        <f t="array" ref="C649">_xlfn.IFS(B649=1,"First Class",B649=2,"Second Class",B649=3,"Third Class")</f>
        <v>Third Class</v>
      </c>
      <c r="D649">
        <v>1</v>
      </c>
      <c r="E649" s="1" t="str">
        <f t="shared" si="40"/>
        <v>Alive</v>
      </c>
      <c r="F649" t="s">
        <v>1260</v>
      </c>
      <c r="G649" s="1" t="s">
        <v>3001</v>
      </c>
      <c r="H649" t="s">
        <v>15</v>
      </c>
      <c r="I649" s="1" t="str">
        <f t="shared" si="41"/>
        <v>Female</v>
      </c>
      <c r="J649" s="3">
        <v>45</v>
      </c>
      <c r="K649" s="3" t="str" cm="1">
        <f t="array" ref="K649">_xlfn.IFS(J649&lt;=13,"Child",J649&lt;=18,"Teenager",J649&lt;=30,"Young Adult",J649&lt;=50,"Middle Aged Adult",J649&gt;50,"Senior")</f>
        <v>Middle Aged Adult</v>
      </c>
      <c r="L649">
        <v>0</v>
      </c>
      <c r="M649">
        <v>0</v>
      </c>
      <c r="N649" s="1">
        <f t="shared" si="42"/>
        <v>1</v>
      </c>
      <c r="O649" s="1" t="str">
        <f t="shared" si="43"/>
        <v>Single</v>
      </c>
      <c r="P649">
        <v>7.2249999999999996</v>
      </c>
      <c r="Q649" s="1" t="str" cm="1">
        <f t="array" ref="Q649">_xlfn.IFS(P649&lt;=50,"Low",P649&lt;=100,"Medium",P649&gt;100,"High")</f>
        <v>Low</v>
      </c>
      <c r="R649" t="s">
        <v>41</v>
      </c>
      <c r="S649" s="1" t="str" cm="1">
        <f t="array" ref="S649">_xlfn.IFS(R649="S","Southampton",R649="C","Cherbourg",R649="Q","Queenstown")</f>
        <v>Cherbourg</v>
      </c>
    </row>
    <row r="650" spans="1:19" x14ac:dyDescent="0.3">
      <c r="A650">
        <v>649</v>
      </c>
      <c r="B650">
        <v>3</v>
      </c>
      <c r="C650" s="1" t="str" cm="1">
        <f t="array" ref="C650">_xlfn.IFS(B650=1,"First Class",B650=2,"Second Class",B650=3,"Third Class")</f>
        <v>Third Class</v>
      </c>
      <c r="D650">
        <v>0</v>
      </c>
      <c r="E650" s="1" t="str">
        <f t="shared" si="40"/>
        <v>Dead</v>
      </c>
      <c r="F650" t="s">
        <v>1262</v>
      </c>
      <c r="G650" s="1" t="s">
        <v>2999</v>
      </c>
      <c r="H650" t="s">
        <v>20</v>
      </c>
      <c r="I650" s="1" t="str">
        <f t="shared" si="41"/>
        <v>Male</v>
      </c>
      <c r="J650" s="3">
        <v>21</v>
      </c>
      <c r="K650" s="3" t="str" cm="1">
        <f t="array" ref="K650">_xlfn.IFS(J650&lt;=13,"Child",J650&lt;=18,"Teenager",J650&lt;=30,"Young Adult",J650&lt;=50,"Middle Aged Adult",J650&gt;50,"Senior")</f>
        <v>Young Adult</v>
      </c>
      <c r="L650">
        <v>0</v>
      </c>
      <c r="M650">
        <v>0</v>
      </c>
      <c r="N650" s="1">
        <f t="shared" si="42"/>
        <v>1</v>
      </c>
      <c r="O650" s="1" t="str">
        <f t="shared" si="43"/>
        <v>Single</v>
      </c>
      <c r="P650">
        <v>7.2249999999999996</v>
      </c>
      <c r="Q650" s="1" t="str" cm="1">
        <f t="array" ref="Q650">_xlfn.IFS(P650&lt;=50,"Low",P650&lt;=100,"Medium",P650&gt;100,"High")</f>
        <v>Low</v>
      </c>
      <c r="R650" t="s">
        <v>41</v>
      </c>
      <c r="S650" s="1" t="str" cm="1">
        <f t="array" ref="S650">_xlfn.IFS(R650="S","Southampton",R650="C","Cherbourg",R650="Q","Queenstown")</f>
        <v>Cherbourg</v>
      </c>
    </row>
    <row r="651" spans="1:19" x14ac:dyDescent="0.3">
      <c r="A651">
        <v>650</v>
      </c>
      <c r="B651">
        <v>3</v>
      </c>
      <c r="C651" s="1" t="str" cm="1">
        <f t="array" ref="C651">_xlfn.IFS(B651=1,"First Class",B651=2,"Second Class",B651=3,"Third Class")</f>
        <v>Third Class</v>
      </c>
      <c r="D651">
        <v>0</v>
      </c>
      <c r="E651" s="1" t="str">
        <f t="shared" si="40"/>
        <v>Dead</v>
      </c>
      <c r="F651" t="s">
        <v>1263</v>
      </c>
      <c r="G651" s="1" t="s">
        <v>2999</v>
      </c>
      <c r="H651" t="s">
        <v>20</v>
      </c>
      <c r="I651" s="1" t="str">
        <f t="shared" si="41"/>
        <v>Male</v>
      </c>
      <c r="J651" s="3">
        <v>23</v>
      </c>
      <c r="K651" s="3" t="str" cm="1">
        <f t="array" ref="K651">_xlfn.IFS(J651&lt;=13,"Child",J651&lt;=18,"Teenager",J651&lt;=30,"Young Adult",J651&lt;=50,"Middle Aged Adult",J651&gt;50,"Senior")</f>
        <v>Young Adult</v>
      </c>
      <c r="L651">
        <v>0</v>
      </c>
      <c r="M651">
        <v>0</v>
      </c>
      <c r="N651" s="1">
        <f t="shared" si="42"/>
        <v>1</v>
      </c>
      <c r="O651" s="1" t="str">
        <f t="shared" si="43"/>
        <v>Single</v>
      </c>
      <c r="P651">
        <v>7.05</v>
      </c>
      <c r="Q651" s="1" t="str" cm="1">
        <f t="array" ref="Q651">_xlfn.IFS(P651&lt;=50,"Low",P651&lt;=100,"Medium",P651&gt;100,"High")</f>
        <v>Low</v>
      </c>
      <c r="R651" t="s">
        <v>17</v>
      </c>
      <c r="S651" s="1" t="str" cm="1">
        <f t="array" ref="S651">_xlfn.IFS(R651="S","Southampton",R651="C","Cherbourg",R651="Q","Queenstown")</f>
        <v>Southampton</v>
      </c>
    </row>
    <row r="652" spans="1:19" x14ac:dyDescent="0.3">
      <c r="A652">
        <v>651</v>
      </c>
      <c r="B652">
        <v>3</v>
      </c>
      <c r="C652" s="1" t="str" cm="1">
        <f t="array" ref="C652">_xlfn.IFS(B652=1,"First Class",B652=2,"Second Class",B652=3,"Third Class")</f>
        <v>Third Class</v>
      </c>
      <c r="D652">
        <v>0</v>
      </c>
      <c r="E652" s="1" t="str">
        <f t="shared" si="40"/>
        <v>Dead</v>
      </c>
      <c r="F652" t="s">
        <v>1265</v>
      </c>
      <c r="G652" s="1" t="s">
        <v>2994</v>
      </c>
      <c r="H652" t="s">
        <v>15</v>
      </c>
      <c r="I652" s="1" t="str">
        <f t="shared" si="41"/>
        <v>Female</v>
      </c>
      <c r="J652" s="3">
        <v>17</v>
      </c>
      <c r="K652" s="3" t="str" cm="1">
        <f t="array" ref="K652">_xlfn.IFS(J652&lt;=13,"Child",J652&lt;=18,"Teenager",J652&lt;=30,"Young Adult",J652&lt;=50,"Middle Aged Adult",J652&gt;50,"Senior")</f>
        <v>Teenager</v>
      </c>
      <c r="L652">
        <v>0</v>
      </c>
      <c r="M652">
        <v>0</v>
      </c>
      <c r="N652" s="1">
        <f t="shared" si="42"/>
        <v>1</v>
      </c>
      <c r="O652" s="1" t="str">
        <f t="shared" si="43"/>
        <v>Single</v>
      </c>
      <c r="P652">
        <v>14.458299999999999</v>
      </c>
      <c r="Q652" s="1" t="str" cm="1">
        <f t="array" ref="Q652">_xlfn.IFS(P652&lt;=50,"Low",P652&lt;=100,"Medium",P652&gt;100,"High")</f>
        <v>Low</v>
      </c>
      <c r="R652" t="s">
        <v>41</v>
      </c>
      <c r="S652" s="1" t="str" cm="1">
        <f t="array" ref="S652">_xlfn.IFS(R652="S","Southampton",R652="C","Cherbourg",R652="Q","Queenstown")</f>
        <v>Cherbourg</v>
      </c>
    </row>
    <row r="653" spans="1:19" x14ac:dyDescent="0.3">
      <c r="A653">
        <v>652</v>
      </c>
      <c r="B653">
        <v>3</v>
      </c>
      <c r="C653" s="1" t="str" cm="1">
        <f t="array" ref="C653">_xlfn.IFS(B653=1,"First Class",B653=2,"Second Class",B653=3,"Third Class")</f>
        <v>Third Class</v>
      </c>
      <c r="D653">
        <v>0</v>
      </c>
      <c r="E653" s="1" t="str">
        <f t="shared" si="40"/>
        <v>Dead</v>
      </c>
      <c r="F653" t="s">
        <v>1266</v>
      </c>
      <c r="G653" s="1" t="s">
        <v>2999</v>
      </c>
      <c r="H653" t="s">
        <v>20</v>
      </c>
      <c r="I653" s="1" t="str">
        <f t="shared" si="41"/>
        <v>Male</v>
      </c>
      <c r="J653" s="3">
        <v>30</v>
      </c>
      <c r="K653" s="3" t="str" cm="1">
        <f t="array" ref="K653">_xlfn.IFS(J653&lt;=13,"Child",J653&lt;=18,"Teenager",J653&lt;=30,"Young Adult",J653&lt;=50,"Middle Aged Adult",J653&gt;50,"Senior")</f>
        <v>Young Adult</v>
      </c>
      <c r="L653">
        <v>0</v>
      </c>
      <c r="M653">
        <v>0</v>
      </c>
      <c r="N653" s="1">
        <f t="shared" si="42"/>
        <v>1</v>
      </c>
      <c r="O653" s="1" t="str">
        <f t="shared" si="43"/>
        <v>Single</v>
      </c>
      <c r="P653">
        <v>7.2249999999999996</v>
      </c>
      <c r="Q653" s="1" t="str" cm="1">
        <f t="array" ref="Q653">_xlfn.IFS(P653&lt;=50,"Low",P653&lt;=100,"Medium",P653&gt;100,"High")</f>
        <v>Low</v>
      </c>
      <c r="R653" t="s">
        <v>41</v>
      </c>
      <c r="S653" s="1" t="str" cm="1">
        <f t="array" ref="S653">_xlfn.IFS(R653="S","Southampton",R653="C","Cherbourg",R653="Q","Queenstown")</f>
        <v>Cherbourg</v>
      </c>
    </row>
    <row r="654" spans="1:19" x14ac:dyDescent="0.3">
      <c r="A654">
        <v>653</v>
      </c>
      <c r="B654">
        <v>3</v>
      </c>
      <c r="C654" s="1" t="str" cm="1">
        <f t="array" ref="C654">_xlfn.IFS(B654=1,"First Class",B654=2,"Second Class",B654=3,"Third Class")</f>
        <v>Third Class</v>
      </c>
      <c r="D654">
        <v>0</v>
      </c>
      <c r="E654" s="1" t="str">
        <f t="shared" si="40"/>
        <v>Dead</v>
      </c>
      <c r="F654" t="s">
        <v>1267</v>
      </c>
      <c r="G654" s="1" t="s">
        <v>2999</v>
      </c>
      <c r="H654" t="s">
        <v>20</v>
      </c>
      <c r="I654" s="1" t="str">
        <f t="shared" si="41"/>
        <v>Male</v>
      </c>
      <c r="J654" s="3">
        <v>23</v>
      </c>
      <c r="K654" s="3" t="str" cm="1">
        <f t="array" ref="K654">_xlfn.IFS(J654&lt;=13,"Child",J654&lt;=18,"Teenager",J654&lt;=30,"Young Adult",J654&lt;=50,"Middle Aged Adult",J654&gt;50,"Senior")</f>
        <v>Young Adult</v>
      </c>
      <c r="L654">
        <v>0</v>
      </c>
      <c r="M654">
        <v>0</v>
      </c>
      <c r="N654" s="1">
        <f t="shared" si="42"/>
        <v>1</v>
      </c>
      <c r="O654" s="1" t="str">
        <f t="shared" si="43"/>
        <v>Single</v>
      </c>
      <c r="P654">
        <v>7.8541999999999996</v>
      </c>
      <c r="Q654" s="1" t="str" cm="1">
        <f t="array" ref="Q654">_xlfn.IFS(P654&lt;=50,"Low",P654&lt;=100,"Medium",P654&gt;100,"High")</f>
        <v>Low</v>
      </c>
      <c r="R654" t="s">
        <v>17</v>
      </c>
      <c r="S654" s="1" t="str" cm="1">
        <f t="array" ref="S654">_xlfn.IFS(R654="S","Southampton",R654="C","Cherbourg",R654="Q","Queenstown")</f>
        <v>Southampton</v>
      </c>
    </row>
    <row r="655" spans="1:19" x14ac:dyDescent="0.3">
      <c r="A655">
        <v>654</v>
      </c>
      <c r="B655">
        <v>3</v>
      </c>
      <c r="C655" s="1" t="str" cm="1">
        <f t="array" ref="C655">_xlfn.IFS(B655=1,"First Class",B655=2,"Second Class",B655=3,"Third Class")</f>
        <v>Third Class</v>
      </c>
      <c r="D655">
        <v>1</v>
      </c>
      <c r="E655" s="1" t="str">
        <f t="shared" si="40"/>
        <v>Alive</v>
      </c>
      <c r="F655" t="s">
        <v>1269</v>
      </c>
      <c r="G655" s="1" t="s">
        <v>2994</v>
      </c>
      <c r="H655" t="s">
        <v>15</v>
      </c>
      <c r="I655" s="1" t="str">
        <f t="shared" si="41"/>
        <v>Female</v>
      </c>
      <c r="J655" s="3">
        <v>13</v>
      </c>
      <c r="K655" s="3" t="str" cm="1">
        <f t="array" ref="K655">_xlfn.IFS(J655&lt;=13,"Child",J655&lt;=18,"Teenager",J655&lt;=30,"Young Adult",J655&lt;=50,"Middle Aged Adult",J655&gt;50,"Senior")</f>
        <v>Child</v>
      </c>
      <c r="L655">
        <v>0</v>
      </c>
      <c r="M655">
        <v>0</v>
      </c>
      <c r="N655" s="1">
        <f t="shared" si="42"/>
        <v>1</v>
      </c>
      <c r="O655" s="1" t="str">
        <f t="shared" si="43"/>
        <v>Single</v>
      </c>
      <c r="P655">
        <v>7.2291999999999996</v>
      </c>
      <c r="Q655" s="1" t="str" cm="1">
        <f t="array" ref="Q655">_xlfn.IFS(P655&lt;=50,"Low",P655&lt;=100,"Medium",P655&gt;100,"High")</f>
        <v>Low</v>
      </c>
      <c r="R655" t="s">
        <v>41</v>
      </c>
      <c r="S655" s="1" t="str" cm="1">
        <f t="array" ref="S655">_xlfn.IFS(R655="S","Southampton",R655="C","Cherbourg",R655="Q","Queenstown")</f>
        <v>Cherbourg</v>
      </c>
    </row>
    <row r="656" spans="1:19" x14ac:dyDescent="0.3">
      <c r="A656">
        <v>655</v>
      </c>
      <c r="B656">
        <v>3</v>
      </c>
      <c r="C656" s="1" t="str" cm="1">
        <f t="array" ref="C656">_xlfn.IFS(B656=1,"First Class",B656=2,"Second Class",B656=3,"Third Class")</f>
        <v>Third Class</v>
      </c>
      <c r="D656">
        <v>0</v>
      </c>
      <c r="E656" s="1" t="str">
        <f t="shared" si="40"/>
        <v>Dead</v>
      </c>
      <c r="F656" t="s">
        <v>1271</v>
      </c>
      <c r="G656" s="1" t="s">
        <v>2999</v>
      </c>
      <c r="H656" t="s">
        <v>20</v>
      </c>
      <c r="I656" s="1" t="str">
        <f t="shared" si="41"/>
        <v>Male</v>
      </c>
      <c r="J656" s="3">
        <v>20</v>
      </c>
      <c r="K656" s="3" t="str" cm="1">
        <f t="array" ref="K656">_xlfn.IFS(J656&lt;=13,"Child",J656&lt;=18,"Teenager",J656&lt;=30,"Young Adult",J656&lt;=50,"Middle Aged Adult",J656&gt;50,"Senior")</f>
        <v>Young Adult</v>
      </c>
      <c r="L656">
        <v>0</v>
      </c>
      <c r="M656">
        <v>0</v>
      </c>
      <c r="N656" s="1">
        <f t="shared" si="42"/>
        <v>1</v>
      </c>
      <c r="O656" s="1" t="str">
        <f t="shared" si="43"/>
        <v>Single</v>
      </c>
      <c r="P656">
        <v>7.2249999999999996</v>
      </c>
      <c r="Q656" s="1" t="str" cm="1">
        <f t="array" ref="Q656">_xlfn.IFS(P656&lt;=50,"Low",P656&lt;=100,"Medium",P656&gt;100,"High")</f>
        <v>Low</v>
      </c>
      <c r="R656" t="s">
        <v>41</v>
      </c>
      <c r="S656" s="1" t="str" cm="1">
        <f t="array" ref="S656">_xlfn.IFS(R656="S","Southampton",R656="C","Cherbourg",R656="Q","Queenstown")</f>
        <v>Cherbourg</v>
      </c>
    </row>
    <row r="657" spans="1:19" x14ac:dyDescent="0.3">
      <c r="A657">
        <v>656</v>
      </c>
      <c r="B657">
        <v>3</v>
      </c>
      <c r="C657" s="1" t="str" cm="1">
        <f t="array" ref="C657">_xlfn.IFS(B657=1,"First Class",B657=2,"Second Class",B657=3,"Third Class")</f>
        <v>Third Class</v>
      </c>
      <c r="D657">
        <v>0</v>
      </c>
      <c r="E657" s="1" t="str">
        <f t="shared" si="40"/>
        <v>Dead</v>
      </c>
      <c r="F657" t="s">
        <v>1272</v>
      </c>
      <c r="G657" s="1" t="s">
        <v>2999</v>
      </c>
      <c r="H657" t="s">
        <v>20</v>
      </c>
      <c r="I657" s="1" t="str">
        <f t="shared" si="41"/>
        <v>Male</v>
      </c>
      <c r="J657" s="3">
        <v>32</v>
      </c>
      <c r="K657" s="3" t="str" cm="1">
        <f t="array" ref="K657">_xlfn.IFS(J657&lt;=13,"Child",J657&lt;=18,"Teenager",J657&lt;=30,"Young Adult",J657&lt;=50,"Middle Aged Adult",J657&gt;50,"Senior")</f>
        <v>Middle Aged Adult</v>
      </c>
      <c r="L657">
        <v>1</v>
      </c>
      <c r="M657">
        <v>0</v>
      </c>
      <c r="N657" s="1">
        <f t="shared" si="42"/>
        <v>2</v>
      </c>
      <c r="O657" s="1" t="str">
        <f t="shared" si="43"/>
        <v>With Family</v>
      </c>
      <c r="P657">
        <v>15.85</v>
      </c>
      <c r="Q657" s="1" t="str" cm="1">
        <f t="array" ref="Q657">_xlfn.IFS(P657&lt;=50,"Low",P657&lt;=100,"Medium",P657&gt;100,"High")</f>
        <v>Low</v>
      </c>
      <c r="R657" t="s">
        <v>17</v>
      </c>
      <c r="S657" s="1" t="str" cm="1">
        <f t="array" ref="S657">_xlfn.IFS(R657="S","Southampton",R657="C","Cherbourg",R657="Q","Queenstown")</f>
        <v>Southampton</v>
      </c>
    </row>
    <row r="658" spans="1:19" x14ac:dyDescent="0.3">
      <c r="A658">
        <v>657</v>
      </c>
      <c r="B658">
        <v>3</v>
      </c>
      <c r="C658" s="1" t="str" cm="1">
        <f t="array" ref="C658">_xlfn.IFS(B658=1,"First Class",B658=2,"Second Class",B658=3,"Third Class")</f>
        <v>Third Class</v>
      </c>
      <c r="D658">
        <v>1</v>
      </c>
      <c r="E658" s="1" t="str">
        <f t="shared" si="40"/>
        <v>Alive</v>
      </c>
      <c r="F658" t="s">
        <v>1274</v>
      </c>
      <c r="G658" s="1" t="s">
        <v>3001</v>
      </c>
      <c r="H658" t="s">
        <v>15</v>
      </c>
      <c r="I658" s="1" t="str">
        <f t="shared" si="41"/>
        <v>Female</v>
      </c>
      <c r="J658" s="3">
        <v>33</v>
      </c>
      <c r="K658" s="3" t="str" cm="1">
        <f t="array" ref="K658">_xlfn.IFS(J658&lt;=13,"Child",J658&lt;=18,"Teenager",J658&lt;=30,"Young Adult",J658&lt;=50,"Middle Aged Adult",J658&gt;50,"Senior")</f>
        <v>Middle Aged Adult</v>
      </c>
      <c r="L658">
        <v>3</v>
      </c>
      <c r="M658">
        <v>0</v>
      </c>
      <c r="N658" s="1">
        <f t="shared" si="42"/>
        <v>4</v>
      </c>
      <c r="O658" s="1" t="str">
        <f t="shared" si="43"/>
        <v>With Family</v>
      </c>
      <c r="P658">
        <v>15.85</v>
      </c>
      <c r="Q658" s="1" t="str" cm="1">
        <f t="array" ref="Q658">_xlfn.IFS(P658&lt;=50,"Low",P658&lt;=100,"Medium",P658&gt;100,"High")</f>
        <v>Low</v>
      </c>
      <c r="R658" t="s">
        <v>17</v>
      </c>
      <c r="S658" s="1" t="str" cm="1">
        <f t="array" ref="S658">_xlfn.IFS(R658="S","Southampton",R658="C","Cherbourg",R658="Q","Queenstown")</f>
        <v>Southampton</v>
      </c>
    </row>
    <row r="659" spans="1:19" x14ac:dyDescent="0.3">
      <c r="A659">
        <v>658</v>
      </c>
      <c r="B659">
        <v>3</v>
      </c>
      <c r="C659" s="1" t="str" cm="1">
        <f t="array" ref="C659">_xlfn.IFS(B659=1,"First Class",B659=2,"Second Class",B659=3,"Third Class")</f>
        <v>Third Class</v>
      </c>
      <c r="D659">
        <v>1</v>
      </c>
      <c r="E659" s="1" t="str">
        <f t="shared" si="40"/>
        <v>Alive</v>
      </c>
      <c r="F659" t="s">
        <v>1275</v>
      </c>
      <c r="G659" s="1" t="s">
        <v>2994</v>
      </c>
      <c r="H659" t="s">
        <v>15</v>
      </c>
      <c r="I659" s="1" t="str">
        <f t="shared" si="41"/>
        <v>Female</v>
      </c>
      <c r="J659" s="3">
        <v>0.75</v>
      </c>
      <c r="K659" s="3" t="str" cm="1">
        <f t="array" ref="K659">_xlfn.IFS(J659&lt;=13,"Child",J659&lt;=18,"Teenager",J659&lt;=30,"Young Adult",J659&lt;=50,"Middle Aged Adult",J659&gt;50,"Senior")</f>
        <v>Child</v>
      </c>
      <c r="L659">
        <v>2</v>
      </c>
      <c r="M659">
        <v>1</v>
      </c>
      <c r="N659" s="1">
        <f t="shared" si="42"/>
        <v>4</v>
      </c>
      <c r="O659" s="1" t="str">
        <f t="shared" si="43"/>
        <v>With Family</v>
      </c>
      <c r="P659">
        <v>19.258299999999998</v>
      </c>
      <c r="Q659" s="1" t="str" cm="1">
        <f t="array" ref="Q659">_xlfn.IFS(P659&lt;=50,"Low",P659&lt;=100,"Medium",P659&gt;100,"High")</f>
        <v>Low</v>
      </c>
      <c r="R659" t="s">
        <v>41</v>
      </c>
      <c r="S659" s="1" t="str" cm="1">
        <f t="array" ref="S659">_xlfn.IFS(R659="S","Southampton",R659="C","Cherbourg",R659="Q","Queenstown")</f>
        <v>Cherbourg</v>
      </c>
    </row>
    <row r="660" spans="1:19" x14ac:dyDescent="0.3">
      <c r="A660">
        <v>659</v>
      </c>
      <c r="B660">
        <v>3</v>
      </c>
      <c r="C660" s="1" t="str" cm="1">
        <f t="array" ref="C660">_xlfn.IFS(B660=1,"First Class",B660=2,"Second Class",B660=3,"Third Class")</f>
        <v>Third Class</v>
      </c>
      <c r="D660">
        <v>1</v>
      </c>
      <c r="E660" s="1" t="str">
        <f t="shared" si="40"/>
        <v>Alive</v>
      </c>
      <c r="F660" t="s">
        <v>1277</v>
      </c>
      <c r="G660" s="1" t="s">
        <v>2994</v>
      </c>
      <c r="H660" t="s">
        <v>15</v>
      </c>
      <c r="I660" s="1" t="str">
        <f t="shared" si="41"/>
        <v>Female</v>
      </c>
      <c r="J660" s="3">
        <v>0.75</v>
      </c>
      <c r="K660" s="3" t="str" cm="1">
        <f t="array" ref="K660">_xlfn.IFS(J660&lt;=13,"Child",J660&lt;=18,"Teenager",J660&lt;=30,"Young Adult",J660&lt;=50,"Middle Aged Adult",J660&gt;50,"Senior")</f>
        <v>Child</v>
      </c>
      <c r="L660">
        <v>2</v>
      </c>
      <c r="M660">
        <v>1</v>
      </c>
      <c r="N660" s="1">
        <f t="shared" si="42"/>
        <v>4</v>
      </c>
      <c r="O660" s="1" t="str">
        <f t="shared" si="43"/>
        <v>With Family</v>
      </c>
      <c r="P660">
        <v>19.258299999999998</v>
      </c>
      <c r="Q660" s="1" t="str" cm="1">
        <f t="array" ref="Q660">_xlfn.IFS(P660&lt;=50,"Low",P660&lt;=100,"Medium",P660&gt;100,"High")</f>
        <v>Low</v>
      </c>
      <c r="R660" t="s">
        <v>41</v>
      </c>
      <c r="S660" s="1" t="str" cm="1">
        <f t="array" ref="S660">_xlfn.IFS(R660="S","Southampton",R660="C","Cherbourg",R660="Q","Queenstown")</f>
        <v>Cherbourg</v>
      </c>
    </row>
    <row r="661" spans="1:19" x14ac:dyDescent="0.3">
      <c r="A661">
        <v>660</v>
      </c>
      <c r="B661">
        <v>3</v>
      </c>
      <c r="C661" s="1" t="str" cm="1">
        <f t="array" ref="C661">_xlfn.IFS(B661=1,"First Class",B661=2,"Second Class",B661=3,"Third Class")</f>
        <v>Third Class</v>
      </c>
      <c r="D661">
        <v>1</v>
      </c>
      <c r="E661" s="1" t="str">
        <f t="shared" si="40"/>
        <v>Alive</v>
      </c>
      <c r="F661" t="s">
        <v>1278</v>
      </c>
      <c r="G661" s="1" t="s">
        <v>2994</v>
      </c>
      <c r="H661" t="s">
        <v>15</v>
      </c>
      <c r="I661" s="1" t="str">
        <f t="shared" si="41"/>
        <v>Female</v>
      </c>
      <c r="J661" s="3">
        <v>5</v>
      </c>
      <c r="K661" s="3" t="str" cm="1">
        <f t="array" ref="K661">_xlfn.IFS(J661&lt;=13,"Child",J661&lt;=18,"Teenager",J661&lt;=30,"Young Adult",J661&lt;=50,"Middle Aged Adult",J661&gt;50,"Senior")</f>
        <v>Child</v>
      </c>
      <c r="L661">
        <v>2</v>
      </c>
      <c r="M661">
        <v>1</v>
      </c>
      <c r="N661" s="1">
        <f t="shared" si="42"/>
        <v>4</v>
      </c>
      <c r="O661" s="1" t="str">
        <f t="shared" si="43"/>
        <v>With Family</v>
      </c>
      <c r="P661">
        <v>19.258299999999998</v>
      </c>
      <c r="Q661" s="1" t="str" cm="1">
        <f t="array" ref="Q661">_xlfn.IFS(P661&lt;=50,"Low",P661&lt;=100,"Medium",P661&gt;100,"High")</f>
        <v>Low</v>
      </c>
      <c r="R661" t="s">
        <v>41</v>
      </c>
      <c r="S661" s="1" t="str" cm="1">
        <f t="array" ref="S661">_xlfn.IFS(R661="S","Southampton",R661="C","Cherbourg",R661="Q","Queenstown")</f>
        <v>Cherbourg</v>
      </c>
    </row>
    <row r="662" spans="1:19" x14ac:dyDescent="0.3">
      <c r="A662">
        <v>661</v>
      </c>
      <c r="B662">
        <v>3</v>
      </c>
      <c r="C662" s="1" t="str" cm="1">
        <f t="array" ref="C662">_xlfn.IFS(B662=1,"First Class",B662=2,"Second Class",B662=3,"Third Class")</f>
        <v>Third Class</v>
      </c>
      <c r="D662">
        <v>1</v>
      </c>
      <c r="E662" s="1" t="str">
        <f t="shared" si="40"/>
        <v>Alive</v>
      </c>
      <c r="F662" t="s">
        <v>1279</v>
      </c>
      <c r="G662" s="1" t="s">
        <v>3001</v>
      </c>
      <c r="H662" t="s">
        <v>15</v>
      </c>
      <c r="I662" s="1" t="str">
        <f t="shared" si="41"/>
        <v>Female</v>
      </c>
      <c r="J662" s="3">
        <v>24</v>
      </c>
      <c r="K662" s="3" t="str" cm="1">
        <f t="array" ref="K662">_xlfn.IFS(J662&lt;=13,"Child",J662&lt;=18,"Teenager",J662&lt;=30,"Young Adult",J662&lt;=50,"Middle Aged Adult",J662&gt;50,"Senior")</f>
        <v>Young Adult</v>
      </c>
      <c r="L662">
        <v>0</v>
      </c>
      <c r="M662">
        <v>3</v>
      </c>
      <c r="N662" s="1">
        <f t="shared" si="42"/>
        <v>4</v>
      </c>
      <c r="O662" s="1" t="str">
        <f t="shared" si="43"/>
        <v>With Family</v>
      </c>
      <c r="P662">
        <v>19.258299999999998</v>
      </c>
      <c r="Q662" s="1" t="str" cm="1">
        <f t="array" ref="Q662">_xlfn.IFS(P662&lt;=50,"Low",P662&lt;=100,"Medium",P662&gt;100,"High")</f>
        <v>Low</v>
      </c>
      <c r="R662" t="s">
        <v>41</v>
      </c>
      <c r="S662" s="1" t="str" cm="1">
        <f t="array" ref="S662">_xlfn.IFS(R662="S","Southampton",R662="C","Cherbourg",R662="Q","Queenstown")</f>
        <v>Cherbourg</v>
      </c>
    </row>
    <row r="663" spans="1:19" x14ac:dyDescent="0.3">
      <c r="A663">
        <v>662</v>
      </c>
      <c r="B663">
        <v>3</v>
      </c>
      <c r="C663" s="1" t="str" cm="1">
        <f t="array" ref="C663">_xlfn.IFS(B663=1,"First Class",B663=2,"Second Class",B663=3,"Third Class")</f>
        <v>Third Class</v>
      </c>
      <c r="D663">
        <v>1</v>
      </c>
      <c r="E663" s="1" t="str">
        <f t="shared" si="40"/>
        <v>Alive</v>
      </c>
      <c r="F663" t="s">
        <v>1280</v>
      </c>
      <c r="G663" s="1" t="s">
        <v>2994</v>
      </c>
      <c r="H663" t="s">
        <v>15</v>
      </c>
      <c r="I663" s="1" t="str">
        <f t="shared" si="41"/>
        <v>Female</v>
      </c>
      <c r="J663" s="3">
        <v>18</v>
      </c>
      <c r="K663" s="3" t="str" cm="1">
        <f t="array" ref="K663">_xlfn.IFS(J663&lt;=13,"Child",J663&lt;=18,"Teenager",J663&lt;=30,"Young Adult",J663&lt;=50,"Middle Aged Adult",J663&gt;50,"Senior")</f>
        <v>Teenager</v>
      </c>
      <c r="L663">
        <v>0</v>
      </c>
      <c r="M663">
        <v>0</v>
      </c>
      <c r="N663" s="1">
        <f t="shared" si="42"/>
        <v>1</v>
      </c>
      <c r="O663" s="1" t="str">
        <f t="shared" si="43"/>
        <v>Single</v>
      </c>
      <c r="P663">
        <v>8.0500000000000007</v>
      </c>
      <c r="Q663" s="1" t="str" cm="1">
        <f t="array" ref="Q663">_xlfn.IFS(P663&lt;=50,"Low",P663&lt;=100,"Medium",P663&gt;100,"High")</f>
        <v>Low</v>
      </c>
      <c r="R663" t="s">
        <v>17</v>
      </c>
      <c r="S663" s="1" t="str" cm="1">
        <f t="array" ref="S663">_xlfn.IFS(R663="S","Southampton",R663="C","Cherbourg",R663="Q","Queenstown")</f>
        <v>Southampton</v>
      </c>
    </row>
    <row r="664" spans="1:19" x14ac:dyDescent="0.3">
      <c r="A664">
        <v>663</v>
      </c>
      <c r="B664">
        <v>3</v>
      </c>
      <c r="C664" s="1" t="str" cm="1">
        <f t="array" ref="C664">_xlfn.IFS(B664=1,"First Class",B664=2,"Second Class",B664=3,"Third Class")</f>
        <v>Third Class</v>
      </c>
      <c r="D664">
        <v>0</v>
      </c>
      <c r="E664" s="1" t="str">
        <f t="shared" si="40"/>
        <v>Dead</v>
      </c>
      <c r="F664" t="s">
        <v>1283</v>
      </c>
      <c r="G664" s="1" t="s">
        <v>2999</v>
      </c>
      <c r="H664" t="s">
        <v>20</v>
      </c>
      <c r="I664" s="1" t="str">
        <f t="shared" si="41"/>
        <v>Male</v>
      </c>
      <c r="J664" s="3">
        <v>40</v>
      </c>
      <c r="K664" s="3" t="str" cm="1">
        <f t="array" ref="K664">_xlfn.IFS(J664&lt;=13,"Child",J664&lt;=18,"Teenager",J664&lt;=30,"Young Adult",J664&lt;=50,"Middle Aged Adult",J664&gt;50,"Senior")</f>
        <v>Middle Aged Adult</v>
      </c>
      <c r="L664">
        <v>0</v>
      </c>
      <c r="M664">
        <v>0</v>
      </c>
      <c r="N664" s="1">
        <f t="shared" si="42"/>
        <v>1</v>
      </c>
      <c r="O664" s="1" t="str">
        <f t="shared" si="43"/>
        <v>Single</v>
      </c>
      <c r="P664">
        <v>7.2249999999999996</v>
      </c>
      <c r="Q664" s="1" t="str" cm="1">
        <f t="array" ref="Q664">_xlfn.IFS(P664&lt;=50,"Low",P664&lt;=100,"Medium",P664&gt;100,"High")</f>
        <v>Low</v>
      </c>
      <c r="R664" t="s">
        <v>41</v>
      </c>
      <c r="S664" s="1" t="str" cm="1">
        <f t="array" ref="S664">_xlfn.IFS(R664="S","Southampton",R664="C","Cherbourg",R664="Q","Queenstown")</f>
        <v>Cherbourg</v>
      </c>
    </row>
    <row r="665" spans="1:19" x14ac:dyDescent="0.3">
      <c r="A665">
        <v>664</v>
      </c>
      <c r="B665">
        <v>3</v>
      </c>
      <c r="C665" s="1" t="str" cm="1">
        <f t="array" ref="C665">_xlfn.IFS(B665=1,"First Class",B665=2,"Second Class",B665=3,"Third Class")</f>
        <v>Third Class</v>
      </c>
      <c r="D665">
        <v>0</v>
      </c>
      <c r="E665" s="1" t="str">
        <f t="shared" si="40"/>
        <v>Dead</v>
      </c>
      <c r="F665" t="s">
        <v>1284</v>
      </c>
      <c r="G665" s="1" t="s">
        <v>2999</v>
      </c>
      <c r="H665" t="s">
        <v>20</v>
      </c>
      <c r="I665" s="1" t="str">
        <f t="shared" si="41"/>
        <v>Male</v>
      </c>
      <c r="J665" s="3">
        <v>26</v>
      </c>
      <c r="K665" s="3" t="str" cm="1">
        <f t="array" ref="K665">_xlfn.IFS(J665&lt;=13,"Child",J665&lt;=18,"Teenager",J665&lt;=30,"Young Adult",J665&lt;=50,"Middle Aged Adult",J665&gt;50,"Senior")</f>
        <v>Young Adult</v>
      </c>
      <c r="L665">
        <v>0</v>
      </c>
      <c r="M665">
        <v>0</v>
      </c>
      <c r="N665" s="1">
        <f t="shared" si="42"/>
        <v>1</v>
      </c>
      <c r="O665" s="1" t="str">
        <f t="shared" si="43"/>
        <v>Single</v>
      </c>
      <c r="P665">
        <v>7.8958000000000004</v>
      </c>
      <c r="Q665" s="1" t="str" cm="1">
        <f t="array" ref="Q665">_xlfn.IFS(P665&lt;=50,"Low",P665&lt;=100,"Medium",P665&gt;100,"High")</f>
        <v>Low</v>
      </c>
      <c r="R665" t="s">
        <v>17</v>
      </c>
      <c r="S665" s="1" t="str" cm="1">
        <f t="array" ref="S665">_xlfn.IFS(R665="S","Southampton",R665="C","Cherbourg",R665="Q","Queenstown")</f>
        <v>Southampton</v>
      </c>
    </row>
    <row r="666" spans="1:19" x14ac:dyDescent="0.3">
      <c r="A666">
        <v>665</v>
      </c>
      <c r="B666">
        <v>3</v>
      </c>
      <c r="C666" s="1" t="str" cm="1">
        <f t="array" ref="C666">_xlfn.IFS(B666=1,"First Class",B666=2,"Second Class",B666=3,"Third Class")</f>
        <v>Third Class</v>
      </c>
      <c r="D666">
        <v>1</v>
      </c>
      <c r="E666" s="1" t="str">
        <f t="shared" si="40"/>
        <v>Alive</v>
      </c>
      <c r="F666" t="s">
        <v>1285</v>
      </c>
      <c r="G666" s="1" t="s">
        <v>2999</v>
      </c>
      <c r="H666" t="s">
        <v>20</v>
      </c>
      <c r="I666" s="1" t="str">
        <f t="shared" si="41"/>
        <v>Male</v>
      </c>
      <c r="J666" s="3">
        <v>20</v>
      </c>
      <c r="K666" s="3" t="str" cm="1">
        <f t="array" ref="K666">_xlfn.IFS(J666&lt;=13,"Child",J666&lt;=18,"Teenager",J666&lt;=30,"Young Adult",J666&lt;=50,"Middle Aged Adult",J666&gt;50,"Senior")</f>
        <v>Young Adult</v>
      </c>
      <c r="L666">
        <v>0</v>
      </c>
      <c r="M666">
        <v>0</v>
      </c>
      <c r="N666" s="1">
        <f t="shared" si="42"/>
        <v>1</v>
      </c>
      <c r="O666" s="1" t="str">
        <f t="shared" si="43"/>
        <v>Single</v>
      </c>
      <c r="P666">
        <v>7.2291999999999996</v>
      </c>
      <c r="Q666" s="1" t="str" cm="1">
        <f t="array" ref="Q666">_xlfn.IFS(P666&lt;=50,"Low",P666&lt;=100,"Medium",P666&gt;100,"High")</f>
        <v>Low</v>
      </c>
      <c r="R666" t="s">
        <v>41</v>
      </c>
      <c r="S666" s="1" t="str" cm="1">
        <f t="array" ref="S666">_xlfn.IFS(R666="S","Southampton",R666="C","Cherbourg",R666="Q","Queenstown")</f>
        <v>Cherbourg</v>
      </c>
    </row>
    <row r="667" spans="1:19" x14ac:dyDescent="0.3">
      <c r="A667">
        <v>666</v>
      </c>
      <c r="B667">
        <v>3</v>
      </c>
      <c r="C667" s="1" t="str" cm="1">
        <f t="array" ref="C667">_xlfn.IFS(B667=1,"First Class",B667=2,"Second Class",B667=3,"Third Class")</f>
        <v>Third Class</v>
      </c>
      <c r="D667">
        <v>0</v>
      </c>
      <c r="E667" s="1" t="str">
        <f t="shared" si="40"/>
        <v>Dead</v>
      </c>
      <c r="F667" t="s">
        <v>1286</v>
      </c>
      <c r="G667" s="1" t="s">
        <v>2994</v>
      </c>
      <c r="H667" t="s">
        <v>15</v>
      </c>
      <c r="I667" s="1" t="str">
        <f t="shared" si="41"/>
        <v>Female</v>
      </c>
      <c r="J667" s="3">
        <v>18</v>
      </c>
      <c r="K667" s="3" t="str" cm="1">
        <f t="array" ref="K667">_xlfn.IFS(J667&lt;=13,"Child",J667&lt;=18,"Teenager",J667&lt;=30,"Young Adult",J667&lt;=50,"Middle Aged Adult",J667&gt;50,"Senior")</f>
        <v>Teenager</v>
      </c>
      <c r="L667">
        <v>0</v>
      </c>
      <c r="M667">
        <v>1</v>
      </c>
      <c r="N667" s="1">
        <f t="shared" si="42"/>
        <v>2</v>
      </c>
      <c r="O667" s="1" t="str">
        <f t="shared" si="43"/>
        <v>With Family</v>
      </c>
      <c r="P667">
        <v>14.4542</v>
      </c>
      <c r="Q667" s="1" t="str" cm="1">
        <f t="array" ref="Q667">_xlfn.IFS(P667&lt;=50,"Low",P667&lt;=100,"Medium",P667&gt;100,"High")</f>
        <v>Low</v>
      </c>
      <c r="R667" t="s">
        <v>41</v>
      </c>
      <c r="S667" s="1" t="str" cm="1">
        <f t="array" ref="S667">_xlfn.IFS(R667="S","Southampton",R667="C","Cherbourg",R667="Q","Queenstown")</f>
        <v>Cherbourg</v>
      </c>
    </row>
    <row r="668" spans="1:19" x14ac:dyDescent="0.3">
      <c r="A668">
        <v>667</v>
      </c>
      <c r="B668">
        <v>3</v>
      </c>
      <c r="C668" s="1" t="str" cm="1">
        <f t="array" ref="C668">_xlfn.IFS(B668=1,"First Class",B668=2,"Second Class",B668=3,"Third Class")</f>
        <v>Third Class</v>
      </c>
      <c r="D668">
        <v>0</v>
      </c>
      <c r="E668" s="1" t="str">
        <f t="shared" si="40"/>
        <v>Dead</v>
      </c>
      <c r="F668" t="s">
        <v>1288</v>
      </c>
      <c r="G668" s="1" t="s">
        <v>3001</v>
      </c>
      <c r="H668" t="s">
        <v>15</v>
      </c>
      <c r="I668" s="1" t="str">
        <f t="shared" si="41"/>
        <v>Female</v>
      </c>
      <c r="J668" s="3">
        <v>45</v>
      </c>
      <c r="K668" s="3" t="str" cm="1">
        <f t="array" ref="K668">_xlfn.IFS(J668&lt;=13,"Child",J668&lt;=18,"Teenager",J668&lt;=30,"Young Adult",J668&lt;=50,"Middle Aged Adult",J668&gt;50,"Senior")</f>
        <v>Middle Aged Adult</v>
      </c>
      <c r="L668">
        <v>0</v>
      </c>
      <c r="M668">
        <v>1</v>
      </c>
      <c r="N668" s="1">
        <f t="shared" si="42"/>
        <v>2</v>
      </c>
      <c r="O668" s="1" t="str">
        <f t="shared" si="43"/>
        <v>With Family</v>
      </c>
      <c r="P668">
        <v>14.4542</v>
      </c>
      <c r="Q668" s="1" t="str" cm="1">
        <f t="array" ref="Q668">_xlfn.IFS(P668&lt;=50,"Low",P668&lt;=100,"Medium",P668&gt;100,"High")</f>
        <v>Low</v>
      </c>
      <c r="R668" t="s">
        <v>41</v>
      </c>
      <c r="S668" s="1" t="str" cm="1">
        <f t="array" ref="S668">_xlfn.IFS(R668="S","Southampton",R668="C","Cherbourg",R668="Q","Queenstown")</f>
        <v>Cherbourg</v>
      </c>
    </row>
    <row r="669" spans="1:19" x14ac:dyDescent="0.3">
      <c r="A669">
        <v>668</v>
      </c>
      <c r="B669">
        <v>3</v>
      </c>
      <c r="C669" s="1" t="str" cm="1">
        <f t="array" ref="C669">_xlfn.IFS(B669=1,"First Class",B669=2,"Second Class",B669=3,"Third Class")</f>
        <v>Third Class</v>
      </c>
      <c r="D669">
        <v>0</v>
      </c>
      <c r="E669" s="1" t="str">
        <f t="shared" si="40"/>
        <v>Dead</v>
      </c>
      <c r="F669" t="s">
        <v>1289</v>
      </c>
      <c r="G669" s="1" t="s">
        <v>2994</v>
      </c>
      <c r="H669" t="s">
        <v>15</v>
      </c>
      <c r="I669" s="1" t="str">
        <f t="shared" si="41"/>
        <v>Female</v>
      </c>
      <c r="J669" s="3">
        <v>27</v>
      </c>
      <c r="K669" s="3" t="str" cm="1">
        <f t="array" ref="K669">_xlfn.IFS(J669&lt;=13,"Child",J669&lt;=18,"Teenager",J669&lt;=30,"Young Adult",J669&lt;=50,"Middle Aged Adult",J669&gt;50,"Senior")</f>
        <v>Young Adult</v>
      </c>
      <c r="L669">
        <v>0</v>
      </c>
      <c r="M669">
        <v>0</v>
      </c>
      <c r="N669" s="1">
        <f t="shared" si="42"/>
        <v>1</v>
      </c>
      <c r="O669" s="1" t="str">
        <f t="shared" si="43"/>
        <v>Single</v>
      </c>
      <c r="P669">
        <v>7.8792</v>
      </c>
      <c r="Q669" s="1" t="str" cm="1">
        <f t="array" ref="Q669">_xlfn.IFS(P669&lt;=50,"Low",P669&lt;=100,"Medium",P669&gt;100,"High")</f>
        <v>Low</v>
      </c>
      <c r="R669" t="s">
        <v>463</v>
      </c>
      <c r="S669" s="1" t="str" cm="1">
        <f t="array" ref="S669">_xlfn.IFS(R669="S","Southampton",R669="C","Cherbourg",R669="Q","Queenstown")</f>
        <v>Queenstown</v>
      </c>
    </row>
    <row r="670" spans="1:19" x14ac:dyDescent="0.3">
      <c r="A670">
        <v>669</v>
      </c>
      <c r="B670">
        <v>3</v>
      </c>
      <c r="C670" s="1" t="str" cm="1">
        <f t="array" ref="C670">_xlfn.IFS(B670=1,"First Class",B670=2,"Second Class",B670=3,"Third Class")</f>
        <v>Third Class</v>
      </c>
      <c r="D670">
        <v>0</v>
      </c>
      <c r="E670" s="1" t="str">
        <f t="shared" si="40"/>
        <v>Dead</v>
      </c>
      <c r="F670" t="s">
        <v>1290</v>
      </c>
      <c r="G670" s="1" t="s">
        <v>2999</v>
      </c>
      <c r="H670" t="s">
        <v>20</v>
      </c>
      <c r="I670" s="1" t="str">
        <f t="shared" si="41"/>
        <v>Male</v>
      </c>
      <c r="J670" s="3">
        <v>22</v>
      </c>
      <c r="K670" s="3" t="str" cm="1">
        <f t="array" ref="K670">_xlfn.IFS(J670&lt;=13,"Child",J670&lt;=18,"Teenager",J670&lt;=30,"Young Adult",J670&lt;=50,"Middle Aged Adult",J670&gt;50,"Senior")</f>
        <v>Young Adult</v>
      </c>
      <c r="L670">
        <v>0</v>
      </c>
      <c r="M670">
        <v>0</v>
      </c>
      <c r="N670" s="1">
        <f t="shared" si="42"/>
        <v>1</v>
      </c>
      <c r="O670" s="1" t="str">
        <f t="shared" si="43"/>
        <v>Single</v>
      </c>
      <c r="P670">
        <v>8.0500000000000007</v>
      </c>
      <c r="Q670" s="1" t="str" cm="1">
        <f t="array" ref="Q670">_xlfn.IFS(P670&lt;=50,"Low",P670&lt;=100,"Medium",P670&gt;100,"High")</f>
        <v>Low</v>
      </c>
      <c r="R670" t="s">
        <v>17</v>
      </c>
      <c r="S670" s="1" t="str" cm="1">
        <f t="array" ref="S670">_xlfn.IFS(R670="S","Southampton",R670="C","Cherbourg",R670="Q","Queenstown")</f>
        <v>Southampton</v>
      </c>
    </row>
    <row r="671" spans="1:19" x14ac:dyDescent="0.3">
      <c r="A671">
        <v>670</v>
      </c>
      <c r="B671">
        <v>3</v>
      </c>
      <c r="C671" s="1" t="str" cm="1">
        <f t="array" ref="C671">_xlfn.IFS(B671=1,"First Class",B671=2,"Second Class",B671=3,"Third Class")</f>
        <v>Third Class</v>
      </c>
      <c r="D671">
        <v>0</v>
      </c>
      <c r="E671" s="1" t="str">
        <f t="shared" si="40"/>
        <v>Dead</v>
      </c>
      <c r="F671" t="s">
        <v>1292</v>
      </c>
      <c r="G671" s="1" t="s">
        <v>2999</v>
      </c>
      <c r="H671" t="s">
        <v>20</v>
      </c>
      <c r="I671" s="1" t="str">
        <f t="shared" si="41"/>
        <v>Male</v>
      </c>
      <c r="J671" s="3">
        <v>19</v>
      </c>
      <c r="K671" s="3" t="str" cm="1">
        <f t="array" ref="K671">_xlfn.IFS(J671&lt;=13,"Child",J671&lt;=18,"Teenager",J671&lt;=30,"Young Adult",J671&lt;=50,"Middle Aged Adult",J671&gt;50,"Senior")</f>
        <v>Young Adult</v>
      </c>
      <c r="L671">
        <v>0</v>
      </c>
      <c r="M671">
        <v>0</v>
      </c>
      <c r="N671" s="1">
        <f t="shared" si="42"/>
        <v>1</v>
      </c>
      <c r="O671" s="1" t="str">
        <f t="shared" si="43"/>
        <v>Single</v>
      </c>
      <c r="P671">
        <v>8.0500000000000007</v>
      </c>
      <c r="Q671" s="1" t="str" cm="1">
        <f t="array" ref="Q671">_xlfn.IFS(P671&lt;=50,"Low",P671&lt;=100,"Medium",P671&gt;100,"High")</f>
        <v>Low</v>
      </c>
      <c r="R671" t="s">
        <v>17</v>
      </c>
      <c r="S671" s="1" t="str" cm="1">
        <f t="array" ref="S671">_xlfn.IFS(R671="S","Southampton",R671="C","Cherbourg",R671="Q","Queenstown")</f>
        <v>Southampton</v>
      </c>
    </row>
    <row r="672" spans="1:19" x14ac:dyDescent="0.3">
      <c r="A672">
        <v>671</v>
      </c>
      <c r="B672">
        <v>3</v>
      </c>
      <c r="C672" s="1" t="str" cm="1">
        <f t="array" ref="C672">_xlfn.IFS(B672=1,"First Class",B672=2,"Second Class",B672=3,"Third Class")</f>
        <v>Third Class</v>
      </c>
      <c r="D672">
        <v>0</v>
      </c>
      <c r="E672" s="1" t="str">
        <f t="shared" si="40"/>
        <v>Dead</v>
      </c>
      <c r="F672" t="s">
        <v>1293</v>
      </c>
      <c r="G672" s="1" t="s">
        <v>2999</v>
      </c>
      <c r="H672" t="s">
        <v>20</v>
      </c>
      <c r="I672" s="1" t="str">
        <f t="shared" si="41"/>
        <v>Male</v>
      </c>
      <c r="J672" s="3">
        <v>26</v>
      </c>
      <c r="K672" s="3" t="str" cm="1">
        <f t="array" ref="K672">_xlfn.IFS(J672&lt;=13,"Child",J672&lt;=18,"Teenager",J672&lt;=30,"Young Adult",J672&lt;=50,"Middle Aged Adult",J672&gt;50,"Senior")</f>
        <v>Young Adult</v>
      </c>
      <c r="L672">
        <v>0</v>
      </c>
      <c r="M672">
        <v>0</v>
      </c>
      <c r="N672" s="1">
        <f t="shared" si="42"/>
        <v>1</v>
      </c>
      <c r="O672" s="1" t="str">
        <f t="shared" si="43"/>
        <v>Single</v>
      </c>
      <c r="P672">
        <v>7.7750000000000004</v>
      </c>
      <c r="Q672" s="1" t="str" cm="1">
        <f t="array" ref="Q672">_xlfn.IFS(P672&lt;=50,"Low",P672&lt;=100,"Medium",P672&gt;100,"High")</f>
        <v>Low</v>
      </c>
      <c r="R672" t="s">
        <v>17</v>
      </c>
      <c r="S672" s="1" t="str" cm="1">
        <f t="array" ref="S672">_xlfn.IFS(R672="S","Southampton",R672="C","Cherbourg",R672="Q","Queenstown")</f>
        <v>Southampton</v>
      </c>
    </row>
    <row r="673" spans="1:19" x14ac:dyDescent="0.3">
      <c r="A673">
        <v>672</v>
      </c>
      <c r="B673">
        <v>3</v>
      </c>
      <c r="C673" s="1" t="str" cm="1">
        <f t="array" ref="C673">_xlfn.IFS(B673=1,"First Class",B673=2,"Second Class",B673=3,"Third Class")</f>
        <v>Third Class</v>
      </c>
      <c r="D673">
        <v>0</v>
      </c>
      <c r="E673" s="1" t="str">
        <f t="shared" si="40"/>
        <v>Dead</v>
      </c>
      <c r="F673" t="s">
        <v>1295</v>
      </c>
      <c r="G673" s="1" t="s">
        <v>2999</v>
      </c>
      <c r="H673" t="s">
        <v>20</v>
      </c>
      <c r="I673" s="1" t="str">
        <f t="shared" si="41"/>
        <v>Male</v>
      </c>
      <c r="J673" s="3">
        <v>22</v>
      </c>
      <c r="K673" s="3" t="str" cm="1">
        <f t="array" ref="K673">_xlfn.IFS(J673&lt;=13,"Child",J673&lt;=18,"Teenager",J673&lt;=30,"Young Adult",J673&lt;=50,"Middle Aged Adult",J673&gt;50,"Senior")</f>
        <v>Young Adult</v>
      </c>
      <c r="L673">
        <v>0</v>
      </c>
      <c r="M673">
        <v>0</v>
      </c>
      <c r="N673" s="1">
        <f t="shared" si="42"/>
        <v>1</v>
      </c>
      <c r="O673" s="1" t="str">
        <f t="shared" si="43"/>
        <v>Single</v>
      </c>
      <c r="P673">
        <v>9.35</v>
      </c>
      <c r="Q673" s="1" t="str" cm="1">
        <f t="array" ref="Q673">_xlfn.IFS(P673&lt;=50,"Low",P673&lt;=100,"Medium",P673&gt;100,"High")</f>
        <v>Low</v>
      </c>
      <c r="R673" t="s">
        <v>17</v>
      </c>
      <c r="S673" s="1" t="str" cm="1">
        <f t="array" ref="S673">_xlfn.IFS(R673="S","Southampton",R673="C","Cherbourg",R673="Q","Queenstown")</f>
        <v>Southampton</v>
      </c>
    </row>
    <row r="674" spans="1:19" x14ac:dyDescent="0.3">
      <c r="A674">
        <v>673</v>
      </c>
      <c r="B674">
        <v>3</v>
      </c>
      <c r="C674" s="1" t="str" cm="1">
        <f t="array" ref="C674">_xlfn.IFS(B674=1,"First Class",B674=2,"Second Class",B674=3,"Third Class")</f>
        <v>Third Class</v>
      </c>
      <c r="D674">
        <v>0</v>
      </c>
      <c r="E674" s="1" t="str">
        <f t="shared" si="40"/>
        <v>Dead</v>
      </c>
      <c r="F674" t="s">
        <v>1298</v>
      </c>
      <c r="G674" s="1" t="s">
        <v>2996</v>
      </c>
      <c r="H674" t="s">
        <v>20</v>
      </c>
      <c r="I674" s="1" t="str">
        <f t="shared" si="41"/>
        <v>Male</v>
      </c>
      <c r="J674" s="3">
        <v>29.881137667304014</v>
      </c>
      <c r="K674" s="3" t="str" cm="1">
        <f t="array" ref="K674">_xlfn.IFS(J674&lt;=13,"Child",J674&lt;=18,"Teenager",J674&lt;=30,"Young Adult",J674&lt;=50,"Middle Aged Adult",J674&gt;50,"Senior")</f>
        <v>Young Adult</v>
      </c>
      <c r="L674">
        <v>0</v>
      </c>
      <c r="M674">
        <v>0</v>
      </c>
      <c r="N674" s="1">
        <f t="shared" si="42"/>
        <v>1</v>
      </c>
      <c r="O674" s="1" t="str">
        <f t="shared" si="43"/>
        <v>Single</v>
      </c>
      <c r="P674">
        <v>7.2291999999999996</v>
      </c>
      <c r="Q674" s="1" t="str" cm="1">
        <f t="array" ref="Q674">_xlfn.IFS(P674&lt;=50,"Low",P674&lt;=100,"Medium",P674&gt;100,"High")</f>
        <v>Low</v>
      </c>
      <c r="R674" t="s">
        <v>41</v>
      </c>
      <c r="S674" s="1" t="str" cm="1">
        <f t="array" ref="S674">_xlfn.IFS(R674="S","Southampton",R674="C","Cherbourg",R674="Q","Queenstown")</f>
        <v>Cherbourg</v>
      </c>
    </row>
    <row r="675" spans="1:19" x14ac:dyDescent="0.3">
      <c r="A675">
        <v>674</v>
      </c>
      <c r="B675">
        <v>3</v>
      </c>
      <c r="C675" s="1" t="str" cm="1">
        <f t="array" ref="C675">_xlfn.IFS(B675=1,"First Class",B675=2,"Second Class",B675=3,"Third Class")</f>
        <v>Third Class</v>
      </c>
      <c r="D675">
        <v>0</v>
      </c>
      <c r="E675" s="1" t="str">
        <f t="shared" si="40"/>
        <v>Dead</v>
      </c>
      <c r="F675" t="s">
        <v>1299</v>
      </c>
      <c r="G675" s="1" t="s">
        <v>2999</v>
      </c>
      <c r="H675" t="s">
        <v>20</v>
      </c>
      <c r="I675" s="1" t="str">
        <f t="shared" si="41"/>
        <v>Male</v>
      </c>
      <c r="J675" s="3">
        <v>20</v>
      </c>
      <c r="K675" s="3" t="str" cm="1">
        <f t="array" ref="K675">_xlfn.IFS(J675&lt;=13,"Child",J675&lt;=18,"Teenager",J675&lt;=30,"Young Adult",J675&lt;=50,"Middle Aged Adult",J675&gt;50,"Senior")</f>
        <v>Young Adult</v>
      </c>
      <c r="L675">
        <v>0</v>
      </c>
      <c r="M675">
        <v>0</v>
      </c>
      <c r="N675" s="1">
        <f t="shared" si="42"/>
        <v>1</v>
      </c>
      <c r="O675" s="1" t="str">
        <f t="shared" si="43"/>
        <v>Single</v>
      </c>
      <c r="P675">
        <v>4.0125000000000002</v>
      </c>
      <c r="Q675" s="1" t="str" cm="1">
        <f t="array" ref="Q675">_xlfn.IFS(P675&lt;=50,"Low",P675&lt;=100,"Medium",P675&gt;100,"High")</f>
        <v>Low</v>
      </c>
      <c r="R675" t="s">
        <v>41</v>
      </c>
      <c r="S675" s="1" t="str" cm="1">
        <f t="array" ref="S675">_xlfn.IFS(R675="S","Southampton",R675="C","Cherbourg",R675="Q","Queenstown")</f>
        <v>Cherbourg</v>
      </c>
    </row>
    <row r="676" spans="1:19" x14ac:dyDescent="0.3">
      <c r="A676">
        <v>675</v>
      </c>
      <c r="B676">
        <v>3</v>
      </c>
      <c r="C676" s="1" t="str" cm="1">
        <f t="array" ref="C676">_xlfn.IFS(B676=1,"First Class",B676=2,"Second Class",B676=3,"Third Class")</f>
        <v>Third Class</v>
      </c>
      <c r="D676">
        <v>1</v>
      </c>
      <c r="E676" s="1" t="str">
        <f t="shared" si="40"/>
        <v>Alive</v>
      </c>
      <c r="F676" t="s">
        <v>1301</v>
      </c>
      <c r="G676" s="1" t="s">
        <v>2999</v>
      </c>
      <c r="H676" t="s">
        <v>20</v>
      </c>
      <c r="I676" s="1" t="str">
        <f t="shared" si="41"/>
        <v>Male</v>
      </c>
      <c r="J676" s="3">
        <v>32</v>
      </c>
      <c r="K676" s="3" t="str" cm="1">
        <f t="array" ref="K676">_xlfn.IFS(J676&lt;=13,"Child",J676&lt;=18,"Teenager",J676&lt;=30,"Young Adult",J676&lt;=50,"Middle Aged Adult",J676&gt;50,"Senior")</f>
        <v>Middle Aged Adult</v>
      </c>
      <c r="L676">
        <v>0</v>
      </c>
      <c r="M676">
        <v>0</v>
      </c>
      <c r="N676" s="1">
        <f t="shared" si="42"/>
        <v>1</v>
      </c>
      <c r="O676" s="1" t="str">
        <f t="shared" si="43"/>
        <v>Single</v>
      </c>
      <c r="P676">
        <v>56.495800000000003</v>
      </c>
      <c r="Q676" s="1" t="str" cm="1">
        <f t="array" ref="Q676">_xlfn.IFS(P676&lt;=50,"Low",P676&lt;=100,"Medium",P676&gt;100,"High")</f>
        <v>Medium</v>
      </c>
      <c r="R676" t="s">
        <v>17</v>
      </c>
      <c r="S676" s="1" t="str" cm="1">
        <f t="array" ref="S676">_xlfn.IFS(R676="S","Southampton",R676="C","Cherbourg",R676="Q","Queenstown")</f>
        <v>Southampton</v>
      </c>
    </row>
    <row r="677" spans="1:19" x14ac:dyDescent="0.3">
      <c r="A677">
        <v>676</v>
      </c>
      <c r="B677">
        <v>3</v>
      </c>
      <c r="C677" s="1" t="str" cm="1">
        <f t="array" ref="C677">_xlfn.IFS(B677=1,"First Class",B677=2,"Second Class",B677=3,"Third Class")</f>
        <v>Third Class</v>
      </c>
      <c r="D677">
        <v>0</v>
      </c>
      <c r="E677" s="1" t="str">
        <f t="shared" si="40"/>
        <v>Dead</v>
      </c>
      <c r="F677" t="s">
        <v>1303</v>
      </c>
      <c r="G677" s="1" t="s">
        <v>2999</v>
      </c>
      <c r="H677" t="s">
        <v>20</v>
      </c>
      <c r="I677" s="1" t="str">
        <f t="shared" si="41"/>
        <v>Male</v>
      </c>
      <c r="J677" s="3">
        <v>21</v>
      </c>
      <c r="K677" s="3" t="str" cm="1">
        <f t="array" ref="K677">_xlfn.IFS(J677&lt;=13,"Child",J677&lt;=18,"Teenager",J677&lt;=30,"Young Adult",J677&lt;=50,"Middle Aged Adult",J677&gt;50,"Senior")</f>
        <v>Young Adult</v>
      </c>
      <c r="L677">
        <v>0</v>
      </c>
      <c r="M677">
        <v>0</v>
      </c>
      <c r="N677" s="1">
        <f t="shared" si="42"/>
        <v>1</v>
      </c>
      <c r="O677" s="1" t="str">
        <f t="shared" si="43"/>
        <v>Single</v>
      </c>
      <c r="P677">
        <v>7.7750000000000004</v>
      </c>
      <c r="Q677" s="1" t="str" cm="1">
        <f t="array" ref="Q677">_xlfn.IFS(P677&lt;=50,"Low",P677&lt;=100,"Medium",P677&gt;100,"High")</f>
        <v>Low</v>
      </c>
      <c r="R677" t="s">
        <v>17</v>
      </c>
      <c r="S677" s="1" t="str" cm="1">
        <f t="array" ref="S677">_xlfn.IFS(R677="S","Southampton",R677="C","Cherbourg",R677="Q","Queenstown")</f>
        <v>Southampton</v>
      </c>
    </row>
    <row r="678" spans="1:19" x14ac:dyDescent="0.3">
      <c r="A678">
        <v>677</v>
      </c>
      <c r="B678">
        <v>3</v>
      </c>
      <c r="C678" s="1" t="str" cm="1">
        <f t="array" ref="C678">_xlfn.IFS(B678=1,"First Class",B678=2,"Second Class",B678=3,"Third Class")</f>
        <v>Third Class</v>
      </c>
      <c r="D678">
        <v>0</v>
      </c>
      <c r="E678" s="1" t="str">
        <f t="shared" si="40"/>
        <v>Dead</v>
      </c>
      <c r="F678" t="s">
        <v>1305</v>
      </c>
      <c r="G678" s="1" t="s">
        <v>2999</v>
      </c>
      <c r="H678" t="s">
        <v>20</v>
      </c>
      <c r="I678" s="1" t="str">
        <f t="shared" si="41"/>
        <v>Male</v>
      </c>
      <c r="J678" s="3">
        <v>18</v>
      </c>
      <c r="K678" s="3" t="str" cm="1">
        <f t="array" ref="K678">_xlfn.IFS(J678&lt;=13,"Child",J678&lt;=18,"Teenager",J678&lt;=30,"Young Adult",J678&lt;=50,"Middle Aged Adult",J678&gt;50,"Senior")</f>
        <v>Teenager</v>
      </c>
      <c r="L678">
        <v>0</v>
      </c>
      <c r="M678">
        <v>0</v>
      </c>
      <c r="N678" s="1">
        <f t="shared" si="42"/>
        <v>1</v>
      </c>
      <c r="O678" s="1" t="str">
        <f t="shared" si="43"/>
        <v>Single</v>
      </c>
      <c r="P678">
        <v>7.75</v>
      </c>
      <c r="Q678" s="1" t="str" cm="1">
        <f t="array" ref="Q678">_xlfn.IFS(P678&lt;=50,"Low",P678&lt;=100,"Medium",P678&gt;100,"High")</f>
        <v>Low</v>
      </c>
      <c r="R678" t="s">
        <v>17</v>
      </c>
      <c r="S678" s="1" t="str" cm="1">
        <f t="array" ref="S678">_xlfn.IFS(R678="S","Southampton",R678="C","Cherbourg",R678="Q","Queenstown")</f>
        <v>Southampton</v>
      </c>
    </row>
    <row r="679" spans="1:19" x14ac:dyDescent="0.3">
      <c r="A679">
        <v>678</v>
      </c>
      <c r="B679">
        <v>3</v>
      </c>
      <c r="C679" s="1" t="str" cm="1">
        <f t="array" ref="C679">_xlfn.IFS(B679=1,"First Class",B679=2,"Second Class",B679=3,"Third Class")</f>
        <v>Third Class</v>
      </c>
      <c r="D679">
        <v>0</v>
      </c>
      <c r="E679" s="1" t="str">
        <f t="shared" si="40"/>
        <v>Dead</v>
      </c>
      <c r="F679" t="s">
        <v>1307</v>
      </c>
      <c r="G679" s="1" t="s">
        <v>2999</v>
      </c>
      <c r="H679" t="s">
        <v>20</v>
      </c>
      <c r="I679" s="1" t="str">
        <f t="shared" si="41"/>
        <v>Male</v>
      </c>
      <c r="J679" s="3">
        <v>26</v>
      </c>
      <c r="K679" s="3" t="str" cm="1">
        <f t="array" ref="K679">_xlfn.IFS(J679&lt;=13,"Child",J679&lt;=18,"Teenager",J679&lt;=30,"Young Adult",J679&lt;=50,"Middle Aged Adult",J679&gt;50,"Senior")</f>
        <v>Young Adult</v>
      </c>
      <c r="L679">
        <v>0</v>
      </c>
      <c r="M679">
        <v>0</v>
      </c>
      <c r="N679" s="1">
        <f t="shared" si="42"/>
        <v>1</v>
      </c>
      <c r="O679" s="1" t="str">
        <f t="shared" si="43"/>
        <v>Single</v>
      </c>
      <c r="P679">
        <v>7.8958000000000004</v>
      </c>
      <c r="Q679" s="1" t="str" cm="1">
        <f t="array" ref="Q679">_xlfn.IFS(P679&lt;=50,"Low",P679&lt;=100,"Medium",P679&gt;100,"High")</f>
        <v>Low</v>
      </c>
      <c r="R679" t="s">
        <v>17</v>
      </c>
      <c r="S679" s="1" t="str" cm="1">
        <f t="array" ref="S679">_xlfn.IFS(R679="S","Southampton",R679="C","Cherbourg",R679="Q","Queenstown")</f>
        <v>Southampton</v>
      </c>
    </row>
    <row r="680" spans="1:19" x14ac:dyDescent="0.3">
      <c r="A680">
        <v>679</v>
      </c>
      <c r="B680">
        <v>3</v>
      </c>
      <c r="C680" s="1" t="str" cm="1">
        <f t="array" ref="C680">_xlfn.IFS(B680=1,"First Class",B680=2,"Second Class",B680=3,"Third Class")</f>
        <v>Third Class</v>
      </c>
      <c r="D680">
        <v>0</v>
      </c>
      <c r="E680" s="1" t="str">
        <f t="shared" si="40"/>
        <v>Dead</v>
      </c>
      <c r="F680" t="s">
        <v>1308</v>
      </c>
      <c r="G680" s="1" t="s">
        <v>2996</v>
      </c>
      <c r="H680" t="s">
        <v>20</v>
      </c>
      <c r="I680" s="1" t="str">
        <f t="shared" si="41"/>
        <v>Male</v>
      </c>
      <c r="J680" s="3">
        <v>6</v>
      </c>
      <c r="K680" s="3" t="str" cm="1">
        <f t="array" ref="K680">_xlfn.IFS(J680&lt;=13,"Child",J680&lt;=18,"Teenager",J680&lt;=30,"Young Adult",J680&lt;=50,"Middle Aged Adult",J680&gt;50,"Senior")</f>
        <v>Child</v>
      </c>
      <c r="L680">
        <v>1</v>
      </c>
      <c r="M680">
        <v>1</v>
      </c>
      <c r="N680" s="1">
        <f t="shared" si="42"/>
        <v>3</v>
      </c>
      <c r="O680" s="1" t="str">
        <f t="shared" si="43"/>
        <v>With Family</v>
      </c>
      <c r="P680">
        <v>15.245799999999999</v>
      </c>
      <c r="Q680" s="1" t="str" cm="1">
        <f t="array" ref="Q680">_xlfn.IFS(P680&lt;=50,"Low",P680&lt;=100,"Medium",P680&gt;100,"High")</f>
        <v>Low</v>
      </c>
      <c r="R680" t="s">
        <v>41</v>
      </c>
      <c r="S680" s="1" t="str" cm="1">
        <f t="array" ref="S680">_xlfn.IFS(R680="S","Southampton",R680="C","Cherbourg",R680="Q","Queenstown")</f>
        <v>Cherbourg</v>
      </c>
    </row>
    <row r="681" spans="1:19" x14ac:dyDescent="0.3">
      <c r="A681">
        <v>680</v>
      </c>
      <c r="B681">
        <v>3</v>
      </c>
      <c r="C681" s="1" t="str" cm="1">
        <f t="array" ref="C681">_xlfn.IFS(B681=1,"First Class",B681=2,"Second Class",B681=3,"Third Class")</f>
        <v>Third Class</v>
      </c>
      <c r="D681">
        <v>0</v>
      </c>
      <c r="E681" s="1" t="str">
        <f t="shared" si="40"/>
        <v>Dead</v>
      </c>
      <c r="F681" t="s">
        <v>1310</v>
      </c>
      <c r="G681" s="1" t="s">
        <v>2994</v>
      </c>
      <c r="H681" t="s">
        <v>15</v>
      </c>
      <c r="I681" s="1" t="str">
        <f t="shared" si="41"/>
        <v>Female</v>
      </c>
      <c r="J681" s="3">
        <v>9</v>
      </c>
      <c r="K681" s="3" t="str" cm="1">
        <f t="array" ref="K681">_xlfn.IFS(J681&lt;=13,"Child",J681&lt;=18,"Teenager",J681&lt;=30,"Young Adult",J681&lt;=50,"Middle Aged Adult",J681&gt;50,"Senior")</f>
        <v>Child</v>
      </c>
      <c r="L681">
        <v>1</v>
      </c>
      <c r="M681">
        <v>1</v>
      </c>
      <c r="N681" s="1">
        <f t="shared" si="42"/>
        <v>3</v>
      </c>
      <c r="O681" s="1" t="str">
        <f t="shared" si="43"/>
        <v>With Family</v>
      </c>
      <c r="P681">
        <v>15.245799999999999</v>
      </c>
      <c r="Q681" s="1" t="str" cm="1">
        <f t="array" ref="Q681">_xlfn.IFS(P681&lt;=50,"Low",P681&lt;=100,"Medium",P681&gt;100,"High")</f>
        <v>Low</v>
      </c>
      <c r="R681" t="s">
        <v>41</v>
      </c>
      <c r="S681" s="1" t="str" cm="1">
        <f t="array" ref="S681">_xlfn.IFS(R681="S","Southampton",R681="C","Cherbourg",R681="Q","Queenstown")</f>
        <v>Cherbourg</v>
      </c>
    </row>
    <row r="682" spans="1:19" x14ac:dyDescent="0.3">
      <c r="A682">
        <v>681</v>
      </c>
      <c r="B682">
        <v>3</v>
      </c>
      <c r="C682" s="1" t="str" cm="1">
        <f t="array" ref="C682">_xlfn.IFS(B682=1,"First Class",B682=2,"Second Class",B682=3,"Third Class")</f>
        <v>Third Class</v>
      </c>
      <c r="D682">
        <v>0</v>
      </c>
      <c r="E682" s="1" t="str">
        <f t="shared" si="40"/>
        <v>Dead</v>
      </c>
      <c r="F682" t="s">
        <v>1311</v>
      </c>
      <c r="G682" s="1" t="s">
        <v>2999</v>
      </c>
      <c r="H682" t="s">
        <v>20</v>
      </c>
      <c r="I682" s="1" t="str">
        <f t="shared" si="41"/>
        <v>Male</v>
      </c>
      <c r="J682" s="3">
        <v>29.881137667304014</v>
      </c>
      <c r="K682" s="3" t="str" cm="1">
        <f t="array" ref="K682">_xlfn.IFS(J682&lt;=13,"Child",J682&lt;=18,"Teenager",J682&lt;=30,"Young Adult",J682&lt;=50,"Middle Aged Adult",J682&gt;50,"Senior")</f>
        <v>Young Adult</v>
      </c>
      <c r="L682">
        <v>0</v>
      </c>
      <c r="M682">
        <v>0</v>
      </c>
      <c r="N682" s="1">
        <f t="shared" si="42"/>
        <v>1</v>
      </c>
      <c r="O682" s="1" t="str">
        <f t="shared" si="43"/>
        <v>Single</v>
      </c>
      <c r="P682">
        <v>7.2249999999999996</v>
      </c>
      <c r="Q682" s="1" t="str" cm="1">
        <f t="array" ref="Q682">_xlfn.IFS(P682&lt;=50,"Low",P682&lt;=100,"Medium",P682&gt;100,"High")</f>
        <v>Low</v>
      </c>
      <c r="R682" t="s">
        <v>41</v>
      </c>
      <c r="S682" s="1" t="str" cm="1">
        <f t="array" ref="S682">_xlfn.IFS(R682="S","Southampton",R682="C","Cherbourg",R682="Q","Queenstown")</f>
        <v>Cherbourg</v>
      </c>
    </row>
    <row r="683" spans="1:19" x14ac:dyDescent="0.3">
      <c r="A683">
        <v>682</v>
      </c>
      <c r="B683">
        <v>3</v>
      </c>
      <c r="C683" s="1" t="str" cm="1">
        <f t="array" ref="C683">_xlfn.IFS(B683=1,"First Class",B683=2,"Second Class",B683=3,"Third Class")</f>
        <v>Third Class</v>
      </c>
      <c r="D683">
        <v>0</v>
      </c>
      <c r="E683" s="1" t="str">
        <f t="shared" si="40"/>
        <v>Dead</v>
      </c>
      <c r="F683" t="s">
        <v>1312</v>
      </c>
      <c r="G683" s="1" t="s">
        <v>3001</v>
      </c>
      <c r="H683" t="s">
        <v>15</v>
      </c>
      <c r="I683" s="1" t="str">
        <f t="shared" si="41"/>
        <v>Female</v>
      </c>
      <c r="J683" s="3">
        <v>29.881137667304014</v>
      </c>
      <c r="K683" s="3" t="str" cm="1">
        <f t="array" ref="K683">_xlfn.IFS(J683&lt;=13,"Child",J683&lt;=18,"Teenager",J683&lt;=30,"Young Adult",J683&lt;=50,"Middle Aged Adult",J683&gt;50,"Senior")</f>
        <v>Young Adult</v>
      </c>
      <c r="L683">
        <v>0</v>
      </c>
      <c r="M683">
        <v>2</v>
      </c>
      <c r="N683" s="1">
        <f t="shared" si="42"/>
        <v>3</v>
      </c>
      <c r="O683" s="1" t="str">
        <f t="shared" si="43"/>
        <v>With Family</v>
      </c>
      <c r="P683">
        <v>15.245799999999999</v>
      </c>
      <c r="Q683" s="1" t="str" cm="1">
        <f t="array" ref="Q683">_xlfn.IFS(P683&lt;=50,"Low",P683&lt;=100,"Medium",P683&gt;100,"High")</f>
        <v>Low</v>
      </c>
      <c r="R683" t="s">
        <v>41</v>
      </c>
      <c r="S683" s="1" t="str" cm="1">
        <f t="array" ref="S683">_xlfn.IFS(R683="S","Southampton",R683="C","Cherbourg",R683="Q","Queenstown")</f>
        <v>Cherbourg</v>
      </c>
    </row>
    <row r="684" spans="1:19" x14ac:dyDescent="0.3">
      <c r="A684">
        <v>683</v>
      </c>
      <c r="B684">
        <v>3</v>
      </c>
      <c r="C684" s="1" t="str" cm="1">
        <f t="array" ref="C684">_xlfn.IFS(B684=1,"First Class",B684=2,"Second Class",B684=3,"Third Class")</f>
        <v>Third Class</v>
      </c>
      <c r="D684">
        <v>0</v>
      </c>
      <c r="E684" s="1" t="str">
        <f t="shared" si="40"/>
        <v>Dead</v>
      </c>
      <c r="F684" t="s">
        <v>1313</v>
      </c>
      <c r="G684" s="1" t="s">
        <v>2994</v>
      </c>
      <c r="H684" t="s">
        <v>15</v>
      </c>
      <c r="I684" s="1" t="str">
        <f t="shared" si="41"/>
        <v>Female</v>
      </c>
      <c r="J684" s="3">
        <v>29.881137667304014</v>
      </c>
      <c r="K684" s="3" t="str" cm="1">
        <f t="array" ref="K684">_xlfn.IFS(J684&lt;=13,"Child",J684&lt;=18,"Teenager",J684&lt;=30,"Young Adult",J684&lt;=50,"Middle Aged Adult",J684&gt;50,"Senior")</f>
        <v>Young Adult</v>
      </c>
      <c r="L684">
        <v>0</v>
      </c>
      <c r="M684">
        <v>2</v>
      </c>
      <c r="N684" s="1">
        <f t="shared" si="42"/>
        <v>3</v>
      </c>
      <c r="O684" s="1" t="str">
        <f t="shared" si="43"/>
        <v>With Family</v>
      </c>
      <c r="P684">
        <v>7.75</v>
      </c>
      <c r="Q684" s="1" t="str" cm="1">
        <f t="array" ref="Q684">_xlfn.IFS(P684&lt;=50,"Low",P684&lt;=100,"Medium",P684&gt;100,"High")</f>
        <v>Low</v>
      </c>
      <c r="R684" t="s">
        <v>463</v>
      </c>
      <c r="S684" s="1" t="str" cm="1">
        <f t="array" ref="S684">_xlfn.IFS(R684="S","Southampton",R684="C","Cherbourg",R684="Q","Queenstown")</f>
        <v>Queenstown</v>
      </c>
    </row>
    <row r="685" spans="1:19" x14ac:dyDescent="0.3">
      <c r="A685">
        <v>684</v>
      </c>
      <c r="B685">
        <v>3</v>
      </c>
      <c r="C685" s="1" t="str" cm="1">
        <f t="array" ref="C685">_xlfn.IFS(B685=1,"First Class",B685=2,"Second Class",B685=3,"Third Class")</f>
        <v>Third Class</v>
      </c>
      <c r="D685">
        <v>0</v>
      </c>
      <c r="E685" s="1" t="str">
        <f t="shared" si="40"/>
        <v>Dead</v>
      </c>
      <c r="F685" t="s">
        <v>1315</v>
      </c>
      <c r="G685" s="1" t="s">
        <v>2999</v>
      </c>
      <c r="H685" t="s">
        <v>20</v>
      </c>
      <c r="I685" s="1" t="str">
        <f t="shared" si="41"/>
        <v>Male</v>
      </c>
      <c r="J685" s="3">
        <v>40</v>
      </c>
      <c r="K685" s="3" t="str" cm="1">
        <f t="array" ref="K685">_xlfn.IFS(J685&lt;=13,"Child",J685&lt;=18,"Teenager",J685&lt;=30,"Young Adult",J685&lt;=50,"Middle Aged Adult",J685&gt;50,"Senior")</f>
        <v>Middle Aged Adult</v>
      </c>
      <c r="L685">
        <v>1</v>
      </c>
      <c r="M685">
        <v>1</v>
      </c>
      <c r="N685" s="1">
        <f t="shared" si="42"/>
        <v>3</v>
      </c>
      <c r="O685" s="1" t="str">
        <f t="shared" si="43"/>
        <v>With Family</v>
      </c>
      <c r="P685">
        <v>15.5</v>
      </c>
      <c r="Q685" s="1" t="str" cm="1">
        <f t="array" ref="Q685">_xlfn.IFS(P685&lt;=50,"Low",P685&lt;=100,"Medium",P685&gt;100,"High")</f>
        <v>Low</v>
      </c>
      <c r="R685" t="s">
        <v>463</v>
      </c>
      <c r="S685" s="1" t="str" cm="1">
        <f t="array" ref="S685">_xlfn.IFS(R685="S","Southampton",R685="C","Cherbourg",R685="Q","Queenstown")</f>
        <v>Queenstown</v>
      </c>
    </row>
    <row r="686" spans="1:19" x14ac:dyDescent="0.3">
      <c r="A686">
        <v>685</v>
      </c>
      <c r="B686">
        <v>3</v>
      </c>
      <c r="C686" s="1" t="str" cm="1">
        <f t="array" ref="C686">_xlfn.IFS(B686=1,"First Class",B686=2,"Second Class",B686=3,"Third Class")</f>
        <v>Third Class</v>
      </c>
      <c r="D686">
        <v>0</v>
      </c>
      <c r="E686" s="1" t="str">
        <f t="shared" si="40"/>
        <v>Dead</v>
      </c>
      <c r="F686" t="s">
        <v>1316</v>
      </c>
      <c r="G686" s="1" t="s">
        <v>3001</v>
      </c>
      <c r="H686" t="s">
        <v>15</v>
      </c>
      <c r="I686" s="1" t="str">
        <f t="shared" si="41"/>
        <v>Female</v>
      </c>
      <c r="J686" s="3">
        <v>32</v>
      </c>
      <c r="K686" s="3" t="str" cm="1">
        <f t="array" ref="K686">_xlfn.IFS(J686&lt;=13,"Child",J686&lt;=18,"Teenager",J686&lt;=30,"Young Adult",J686&lt;=50,"Middle Aged Adult",J686&gt;50,"Senior")</f>
        <v>Middle Aged Adult</v>
      </c>
      <c r="L686">
        <v>1</v>
      </c>
      <c r="M686">
        <v>1</v>
      </c>
      <c r="N686" s="1">
        <f t="shared" si="42"/>
        <v>3</v>
      </c>
      <c r="O686" s="1" t="str">
        <f t="shared" si="43"/>
        <v>With Family</v>
      </c>
      <c r="P686">
        <v>15.5</v>
      </c>
      <c r="Q686" s="1" t="str" cm="1">
        <f t="array" ref="Q686">_xlfn.IFS(P686&lt;=50,"Low",P686&lt;=100,"Medium",P686&gt;100,"High")</f>
        <v>Low</v>
      </c>
      <c r="R686" t="s">
        <v>463</v>
      </c>
      <c r="S686" s="1" t="str" cm="1">
        <f t="array" ref="S686">_xlfn.IFS(R686="S","Southampton",R686="C","Cherbourg",R686="Q","Queenstown")</f>
        <v>Queenstown</v>
      </c>
    </row>
    <row r="687" spans="1:19" x14ac:dyDescent="0.3">
      <c r="A687">
        <v>686</v>
      </c>
      <c r="B687">
        <v>3</v>
      </c>
      <c r="C687" s="1" t="str" cm="1">
        <f t="array" ref="C687">_xlfn.IFS(B687=1,"First Class",B687=2,"Second Class",B687=3,"Third Class")</f>
        <v>Third Class</v>
      </c>
      <c r="D687">
        <v>0</v>
      </c>
      <c r="E687" s="1" t="str">
        <f t="shared" si="40"/>
        <v>Dead</v>
      </c>
      <c r="F687" t="s">
        <v>1317</v>
      </c>
      <c r="G687" s="1" t="s">
        <v>2999</v>
      </c>
      <c r="H687" t="s">
        <v>20</v>
      </c>
      <c r="I687" s="1" t="str">
        <f t="shared" si="41"/>
        <v>Male</v>
      </c>
      <c r="J687" s="3">
        <v>21</v>
      </c>
      <c r="K687" s="3" t="str" cm="1">
        <f t="array" ref="K687">_xlfn.IFS(J687&lt;=13,"Child",J687&lt;=18,"Teenager",J687&lt;=30,"Young Adult",J687&lt;=50,"Middle Aged Adult",J687&gt;50,"Senior")</f>
        <v>Young Adult</v>
      </c>
      <c r="L687">
        <v>0</v>
      </c>
      <c r="M687">
        <v>0</v>
      </c>
      <c r="N687" s="1">
        <f t="shared" si="42"/>
        <v>1</v>
      </c>
      <c r="O687" s="1" t="str">
        <f t="shared" si="43"/>
        <v>Single</v>
      </c>
      <c r="P687">
        <v>16.100000000000001</v>
      </c>
      <c r="Q687" s="1" t="str" cm="1">
        <f t="array" ref="Q687">_xlfn.IFS(P687&lt;=50,"Low",P687&lt;=100,"Medium",P687&gt;100,"High")</f>
        <v>Low</v>
      </c>
      <c r="R687" t="s">
        <v>17</v>
      </c>
      <c r="S687" s="1" t="str" cm="1">
        <f t="array" ref="S687">_xlfn.IFS(R687="S","Southampton",R687="C","Cherbourg",R687="Q","Queenstown")</f>
        <v>Southampton</v>
      </c>
    </row>
    <row r="688" spans="1:19" x14ac:dyDescent="0.3">
      <c r="A688">
        <v>687</v>
      </c>
      <c r="B688">
        <v>3</v>
      </c>
      <c r="C688" s="1" t="str" cm="1">
        <f t="array" ref="C688">_xlfn.IFS(B688=1,"First Class",B688=2,"Second Class",B688=3,"Third Class")</f>
        <v>Third Class</v>
      </c>
      <c r="D688">
        <v>1</v>
      </c>
      <c r="E688" s="1" t="str">
        <f t="shared" si="40"/>
        <v>Alive</v>
      </c>
      <c r="F688" t="s">
        <v>1319</v>
      </c>
      <c r="G688" s="1" t="s">
        <v>2994</v>
      </c>
      <c r="H688" t="s">
        <v>15</v>
      </c>
      <c r="I688" s="1" t="str">
        <f t="shared" si="41"/>
        <v>Female</v>
      </c>
      <c r="J688" s="3">
        <v>22</v>
      </c>
      <c r="K688" s="3" t="str" cm="1">
        <f t="array" ref="K688">_xlfn.IFS(J688&lt;=13,"Child",J688&lt;=18,"Teenager",J688&lt;=30,"Young Adult",J688&lt;=50,"Middle Aged Adult",J688&gt;50,"Senior")</f>
        <v>Young Adult</v>
      </c>
      <c r="L688">
        <v>0</v>
      </c>
      <c r="M688">
        <v>0</v>
      </c>
      <c r="N688" s="1">
        <f t="shared" si="42"/>
        <v>1</v>
      </c>
      <c r="O688" s="1" t="str">
        <f t="shared" si="43"/>
        <v>Single</v>
      </c>
      <c r="P688">
        <v>7.7249999999999996</v>
      </c>
      <c r="Q688" s="1" t="str" cm="1">
        <f t="array" ref="Q688">_xlfn.IFS(P688&lt;=50,"Low",P688&lt;=100,"Medium",P688&gt;100,"High")</f>
        <v>Low</v>
      </c>
      <c r="R688" t="s">
        <v>463</v>
      </c>
      <c r="S688" s="1" t="str" cm="1">
        <f t="array" ref="S688">_xlfn.IFS(R688="S","Southampton",R688="C","Cherbourg",R688="Q","Queenstown")</f>
        <v>Queenstown</v>
      </c>
    </row>
    <row r="689" spans="1:19" x14ac:dyDescent="0.3">
      <c r="A689">
        <v>688</v>
      </c>
      <c r="B689">
        <v>3</v>
      </c>
      <c r="C689" s="1" t="str" cm="1">
        <f t="array" ref="C689">_xlfn.IFS(B689=1,"First Class",B689=2,"Second Class",B689=3,"Third Class")</f>
        <v>Third Class</v>
      </c>
      <c r="D689">
        <v>0</v>
      </c>
      <c r="E689" s="1" t="str">
        <f t="shared" si="40"/>
        <v>Dead</v>
      </c>
      <c r="F689" t="s">
        <v>1321</v>
      </c>
      <c r="G689" s="1" t="s">
        <v>2994</v>
      </c>
      <c r="H689" t="s">
        <v>15</v>
      </c>
      <c r="I689" s="1" t="str">
        <f t="shared" si="41"/>
        <v>Female</v>
      </c>
      <c r="J689" s="3">
        <v>20</v>
      </c>
      <c r="K689" s="3" t="str" cm="1">
        <f t="array" ref="K689">_xlfn.IFS(J689&lt;=13,"Child",J689&lt;=18,"Teenager",J689&lt;=30,"Young Adult",J689&lt;=50,"Middle Aged Adult",J689&gt;50,"Senior")</f>
        <v>Young Adult</v>
      </c>
      <c r="L689">
        <v>0</v>
      </c>
      <c r="M689">
        <v>0</v>
      </c>
      <c r="N689" s="1">
        <f t="shared" si="42"/>
        <v>1</v>
      </c>
      <c r="O689" s="1" t="str">
        <f t="shared" si="43"/>
        <v>Single</v>
      </c>
      <c r="P689">
        <v>7.8541999999999996</v>
      </c>
      <c r="Q689" s="1" t="str" cm="1">
        <f t="array" ref="Q689">_xlfn.IFS(P689&lt;=50,"Low",P689&lt;=100,"Medium",P689&gt;100,"High")</f>
        <v>Low</v>
      </c>
      <c r="R689" t="s">
        <v>17</v>
      </c>
      <c r="S689" s="1" t="str" cm="1">
        <f t="array" ref="S689">_xlfn.IFS(R689="S","Southampton",R689="C","Cherbourg",R689="Q","Queenstown")</f>
        <v>Southampton</v>
      </c>
    </row>
    <row r="690" spans="1:19" x14ac:dyDescent="0.3">
      <c r="A690">
        <v>689</v>
      </c>
      <c r="B690">
        <v>3</v>
      </c>
      <c r="C690" s="1" t="str" cm="1">
        <f t="array" ref="C690">_xlfn.IFS(B690=1,"First Class",B690=2,"Second Class",B690=3,"Third Class")</f>
        <v>Third Class</v>
      </c>
      <c r="D690">
        <v>0</v>
      </c>
      <c r="E690" s="1" t="str">
        <f t="shared" si="40"/>
        <v>Dead</v>
      </c>
      <c r="F690" t="s">
        <v>1323</v>
      </c>
      <c r="G690" s="1" t="s">
        <v>2999</v>
      </c>
      <c r="H690" t="s">
        <v>20</v>
      </c>
      <c r="I690" s="1" t="str">
        <f t="shared" si="41"/>
        <v>Male</v>
      </c>
      <c r="J690" s="3">
        <v>29</v>
      </c>
      <c r="K690" s="3" t="str" cm="1">
        <f t="array" ref="K690">_xlfn.IFS(J690&lt;=13,"Child",J690&lt;=18,"Teenager",J690&lt;=30,"Young Adult",J690&lt;=50,"Middle Aged Adult",J690&gt;50,"Senior")</f>
        <v>Young Adult</v>
      </c>
      <c r="L690">
        <v>1</v>
      </c>
      <c r="M690">
        <v>0</v>
      </c>
      <c r="N690" s="1">
        <f t="shared" si="42"/>
        <v>2</v>
      </c>
      <c r="O690" s="1" t="str">
        <f t="shared" si="43"/>
        <v>With Family</v>
      </c>
      <c r="P690">
        <v>7.0457999999999998</v>
      </c>
      <c r="Q690" s="1" t="str" cm="1">
        <f t="array" ref="Q690">_xlfn.IFS(P690&lt;=50,"Low",P690&lt;=100,"Medium",P690&gt;100,"High")</f>
        <v>Low</v>
      </c>
      <c r="R690" t="s">
        <v>17</v>
      </c>
      <c r="S690" s="1" t="str" cm="1">
        <f t="array" ref="S690">_xlfn.IFS(R690="S","Southampton",R690="C","Cherbourg",R690="Q","Queenstown")</f>
        <v>Southampton</v>
      </c>
    </row>
    <row r="691" spans="1:19" x14ac:dyDescent="0.3">
      <c r="A691">
        <v>690</v>
      </c>
      <c r="B691">
        <v>3</v>
      </c>
      <c r="C691" s="1" t="str" cm="1">
        <f t="array" ref="C691">_xlfn.IFS(B691=1,"First Class",B691=2,"Second Class",B691=3,"Third Class")</f>
        <v>Third Class</v>
      </c>
      <c r="D691">
        <v>0</v>
      </c>
      <c r="E691" s="1" t="str">
        <f t="shared" si="40"/>
        <v>Dead</v>
      </c>
      <c r="F691" t="s">
        <v>1325</v>
      </c>
      <c r="G691" s="1" t="s">
        <v>2999</v>
      </c>
      <c r="H691" t="s">
        <v>20</v>
      </c>
      <c r="I691" s="1" t="str">
        <f t="shared" si="41"/>
        <v>Male</v>
      </c>
      <c r="J691" s="3">
        <v>22</v>
      </c>
      <c r="K691" s="3" t="str" cm="1">
        <f t="array" ref="K691">_xlfn.IFS(J691&lt;=13,"Child",J691&lt;=18,"Teenager",J691&lt;=30,"Young Adult",J691&lt;=50,"Middle Aged Adult",J691&gt;50,"Senior")</f>
        <v>Young Adult</v>
      </c>
      <c r="L691">
        <v>1</v>
      </c>
      <c r="M691">
        <v>0</v>
      </c>
      <c r="N691" s="1">
        <f t="shared" si="42"/>
        <v>2</v>
      </c>
      <c r="O691" s="1" t="str">
        <f t="shared" si="43"/>
        <v>With Family</v>
      </c>
      <c r="P691">
        <v>7.25</v>
      </c>
      <c r="Q691" s="1" t="str" cm="1">
        <f t="array" ref="Q691">_xlfn.IFS(P691&lt;=50,"Low",P691&lt;=100,"Medium",P691&gt;100,"High")</f>
        <v>Low</v>
      </c>
      <c r="R691" t="s">
        <v>17</v>
      </c>
      <c r="S691" s="1" t="str" cm="1">
        <f t="array" ref="S691">_xlfn.IFS(R691="S","Southampton",R691="C","Cherbourg",R691="Q","Queenstown")</f>
        <v>Southampton</v>
      </c>
    </row>
    <row r="692" spans="1:19" x14ac:dyDescent="0.3">
      <c r="A692">
        <v>691</v>
      </c>
      <c r="B692">
        <v>3</v>
      </c>
      <c r="C692" s="1" t="str" cm="1">
        <f t="array" ref="C692">_xlfn.IFS(B692=1,"First Class",B692=2,"Second Class",B692=3,"Third Class")</f>
        <v>Third Class</v>
      </c>
      <c r="D692">
        <v>0</v>
      </c>
      <c r="E692" s="1" t="str">
        <f t="shared" si="40"/>
        <v>Dead</v>
      </c>
      <c r="F692" t="s">
        <v>1327</v>
      </c>
      <c r="G692" s="1" t="s">
        <v>2999</v>
      </c>
      <c r="H692" t="s">
        <v>20</v>
      </c>
      <c r="I692" s="1" t="str">
        <f t="shared" si="41"/>
        <v>Male</v>
      </c>
      <c r="J692" s="3">
        <v>22</v>
      </c>
      <c r="K692" s="3" t="str" cm="1">
        <f t="array" ref="K692">_xlfn.IFS(J692&lt;=13,"Child",J692&lt;=18,"Teenager",J692&lt;=30,"Young Adult",J692&lt;=50,"Middle Aged Adult",J692&gt;50,"Senior")</f>
        <v>Young Adult</v>
      </c>
      <c r="L692">
        <v>0</v>
      </c>
      <c r="M692">
        <v>0</v>
      </c>
      <c r="N692" s="1">
        <f t="shared" si="42"/>
        <v>1</v>
      </c>
      <c r="O692" s="1" t="str">
        <f t="shared" si="43"/>
        <v>Single</v>
      </c>
      <c r="P692">
        <v>7.7957999999999998</v>
      </c>
      <c r="Q692" s="1" t="str" cm="1">
        <f t="array" ref="Q692">_xlfn.IFS(P692&lt;=50,"Low",P692&lt;=100,"Medium",P692&gt;100,"High")</f>
        <v>Low</v>
      </c>
      <c r="R692" t="s">
        <v>17</v>
      </c>
      <c r="S692" s="1" t="str" cm="1">
        <f t="array" ref="S692">_xlfn.IFS(R692="S","Southampton",R692="C","Cherbourg",R692="Q","Queenstown")</f>
        <v>Southampton</v>
      </c>
    </row>
    <row r="693" spans="1:19" x14ac:dyDescent="0.3">
      <c r="A693">
        <v>692</v>
      </c>
      <c r="B693">
        <v>3</v>
      </c>
      <c r="C693" s="1" t="str" cm="1">
        <f t="array" ref="C693">_xlfn.IFS(B693=1,"First Class",B693=2,"Second Class",B693=3,"Third Class")</f>
        <v>Third Class</v>
      </c>
      <c r="D693">
        <v>0</v>
      </c>
      <c r="E693" s="1" t="str">
        <f t="shared" si="40"/>
        <v>Dead</v>
      </c>
      <c r="F693" t="s">
        <v>1328</v>
      </c>
      <c r="G693" s="1" t="s">
        <v>2999</v>
      </c>
      <c r="H693" t="s">
        <v>20</v>
      </c>
      <c r="I693" s="1" t="str">
        <f t="shared" si="41"/>
        <v>Male</v>
      </c>
      <c r="J693" s="3">
        <v>35</v>
      </c>
      <c r="K693" s="3" t="str" cm="1">
        <f t="array" ref="K693">_xlfn.IFS(J693&lt;=13,"Child",J693&lt;=18,"Teenager",J693&lt;=30,"Young Adult",J693&lt;=50,"Middle Aged Adult",J693&gt;50,"Senior")</f>
        <v>Middle Aged Adult</v>
      </c>
      <c r="L693">
        <v>0</v>
      </c>
      <c r="M693">
        <v>0</v>
      </c>
      <c r="N693" s="1">
        <f t="shared" si="42"/>
        <v>1</v>
      </c>
      <c r="O693" s="1" t="str">
        <f t="shared" si="43"/>
        <v>Single</v>
      </c>
      <c r="P693">
        <v>8.0500000000000007</v>
      </c>
      <c r="Q693" s="1" t="str" cm="1">
        <f t="array" ref="Q693">_xlfn.IFS(P693&lt;=50,"Low",P693&lt;=100,"Medium",P693&gt;100,"High")</f>
        <v>Low</v>
      </c>
      <c r="R693" t="s">
        <v>17</v>
      </c>
      <c r="S693" s="1" t="str" cm="1">
        <f t="array" ref="S693">_xlfn.IFS(R693="S","Southampton",R693="C","Cherbourg",R693="Q","Queenstown")</f>
        <v>Southampton</v>
      </c>
    </row>
    <row r="694" spans="1:19" x14ac:dyDescent="0.3">
      <c r="A694">
        <v>693</v>
      </c>
      <c r="B694">
        <v>3</v>
      </c>
      <c r="C694" s="1" t="str" cm="1">
        <f t="array" ref="C694">_xlfn.IFS(B694=1,"First Class",B694=2,"Second Class",B694=3,"Third Class")</f>
        <v>Third Class</v>
      </c>
      <c r="D694">
        <v>0</v>
      </c>
      <c r="E694" s="1" t="str">
        <f t="shared" si="40"/>
        <v>Dead</v>
      </c>
      <c r="F694" t="s">
        <v>1330</v>
      </c>
      <c r="G694" s="1" t="s">
        <v>2994</v>
      </c>
      <c r="H694" t="s">
        <v>15</v>
      </c>
      <c r="I694" s="1" t="str">
        <f t="shared" si="41"/>
        <v>Female</v>
      </c>
      <c r="J694" s="3">
        <v>18.5</v>
      </c>
      <c r="K694" s="3" t="str" cm="1">
        <f t="array" ref="K694">_xlfn.IFS(J694&lt;=13,"Child",J694&lt;=18,"Teenager",J694&lt;=30,"Young Adult",J694&lt;=50,"Middle Aged Adult",J694&gt;50,"Senior")</f>
        <v>Young Adult</v>
      </c>
      <c r="L694">
        <v>0</v>
      </c>
      <c r="M694">
        <v>0</v>
      </c>
      <c r="N694" s="1">
        <f t="shared" si="42"/>
        <v>1</v>
      </c>
      <c r="O694" s="1" t="str">
        <f t="shared" si="43"/>
        <v>Single</v>
      </c>
      <c r="P694">
        <v>7.2832999999999997</v>
      </c>
      <c r="Q694" s="1" t="str" cm="1">
        <f t="array" ref="Q694">_xlfn.IFS(P694&lt;=50,"Low",P694&lt;=100,"Medium",P694&gt;100,"High")</f>
        <v>Low</v>
      </c>
      <c r="R694" t="s">
        <v>463</v>
      </c>
      <c r="S694" s="1" t="str" cm="1">
        <f t="array" ref="S694">_xlfn.IFS(R694="S","Southampton",R694="C","Cherbourg",R694="Q","Queenstown")</f>
        <v>Queenstown</v>
      </c>
    </row>
    <row r="695" spans="1:19" x14ac:dyDescent="0.3">
      <c r="A695">
        <v>694</v>
      </c>
      <c r="B695">
        <v>3</v>
      </c>
      <c r="C695" s="1" t="str" cm="1">
        <f t="array" ref="C695">_xlfn.IFS(B695=1,"First Class",B695=2,"Second Class",B695=3,"Third Class")</f>
        <v>Third Class</v>
      </c>
      <c r="D695">
        <v>1</v>
      </c>
      <c r="E695" s="1" t="str">
        <f t="shared" si="40"/>
        <v>Alive</v>
      </c>
      <c r="F695" t="s">
        <v>1332</v>
      </c>
      <c r="G695" s="1" t="s">
        <v>2999</v>
      </c>
      <c r="H695" t="s">
        <v>20</v>
      </c>
      <c r="I695" s="1" t="str">
        <f t="shared" si="41"/>
        <v>Male</v>
      </c>
      <c r="J695" s="3">
        <v>21</v>
      </c>
      <c r="K695" s="3" t="str" cm="1">
        <f t="array" ref="K695">_xlfn.IFS(J695&lt;=13,"Child",J695&lt;=18,"Teenager",J695&lt;=30,"Young Adult",J695&lt;=50,"Middle Aged Adult",J695&gt;50,"Senior")</f>
        <v>Young Adult</v>
      </c>
      <c r="L695">
        <v>0</v>
      </c>
      <c r="M695">
        <v>0</v>
      </c>
      <c r="N695" s="1">
        <f t="shared" si="42"/>
        <v>1</v>
      </c>
      <c r="O695" s="1" t="str">
        <f t="shared" si="43"/>
        <v>Single</v>
      </c>
      <c r="P695">
        <v>7.8208000000000002</v>
      </c>
      <c r="Q695" s="1" t="str" cm="1">
        <f t="array" ref="Q695">_xlfn.IFS(P695&lt;=50,"Low",P695&lt;=100,"Medium",P695&gt;100,"High")</f>
        <v>Low</v>
      </c>
      <c r="R695" t="s">
        <v>463</v>
      </c>
      <c r="S695" s="1" t="str" cm="1">
        <f t="array" ref="S695">_xlfn.IFS(R695="S","Southampton",R695="C","Cherbourg",R695="Q","Queenstown")</f>
        <v>Queenstown</v>
      </c>
    </row>
    <row r="696" spans="1:19" x14ac:dyDescent="0.3">
      <c r="A696">
        <v>695</v>
      </c>
      <c r="B696">
        <v>3</v>
      </c>
      <c r="C696" s="1" t="str" cm="1">
        <f t="array" ref="C696">_xlfn.IFS(B696=1,"First Class",B696=2,"Second Class",B696=3,"Third Class")</f>
        <v>Third Class</v>
      </c>
      <c r="D696">
        <v>0</v>
      </c>
      <c r="E696" s="1" t="str">
        <f t="shared" si="40"/>
        <v>Dead</v>
      </c>
      <c r="F696" t="s">
        <v>1334</v>
      </c>
      <c r="G696" s="1" t="s">
        <v>2999</v>
      </c>
      <c r="H696" t="s">
        <v>20</v>
      </c>
      <c r="I696" s="1" t="str">
        <f t="shared" si="41"/>
        <v>Male</v>
      </c>
      <c r="J696" s="3">
        <v>19</v>
      </c>
      <c r="K696" s="3" t="str" cm="1">
        <f t="array" ref="K696">_xlfn.IFS(J696&lt;=13,"Child",J696&lt;=18,"Teenager",J696&lt;=30,"Young Adult",J696&lt;=50,"Middle Aged Adult",J696&gt;50,"Senior")</f>
        <v>Young Adult</v>
      </c>
      <c r="L696">
        <v>0</v>
      </c>
      <c r="M696">
        <v>0</v>
      </c>
      <c r="N696" s="1">
        <f t="shared" si="42"/>
        <v>1</v>
      </c>
      <c r="O696" s="1" t="str">
        <f t="shared" si="43"/>
        <v>Single</v>
      </c>
      <c r="P696">
        <v>6.75</v>
      </c>
      <c r="Q696" s="1" t="str" cm="1">
        <f t="array" ref="Q696">_xlfn.IFS(P696&lt;=50,"Low",P696&lt;=100,"Medium",P696&gt;100,"High")</f>
        <v>Low</v>
      </c>
      <c r="R696" t="s">
        <v>463</v>
      </c>
      <c r="S696" s="1" t="str" cm="1">
        <f t="array" ref="S696">_xlfn.IFS(R696="S","Southampton",R696="C","Cherbourg",R696="Q","Queenstown")</f>
        <v>Queenstown</v>
      </c>
    </row>
    <row r="697" spans="1:19" x14ac:dyDescent="0.3">
      <c r="A697">
        <v>696</v>
      </c>
      <c r="B697">
        <v>3</v>
      </c>
      <c r="C697" s="1" t="str" cm="1">
        <f t="array" ref="C697">_xlfn.IFS(B697=1,"First Class",B697=2,"Second Class",B697=3,"Third Class")</f>
        <v>Third Class</v>
      </c>
      <c r="D697">
        <v>0</v>
      </c>
      <c r="E697" s="1" t="str">
        <f t="shared" si="40"/>
        <v>Dead</v>
      </c>
      <c r="F697" t="s">
        <v>1336</v>
      </c>
      <c r="G697" s="1" t="s">
        <v>2994</v>
      </c>
      <c r="H697" t="s">
        <v>15</v>
      </c>
      <c r="I697" s="1" t="str">
        <f t="shared" si="41"/>
        <v>Female</v>
      </c>
      <c r="J697" s="3">
        <v>18</v>
      </c>
      <c r="K697" s="3" t="str" cm="1">
        <f t="array" ref="K697">_xlfn.IFS(J697&lt;=13,"Child",J697&lt;=18,"Teenager",J697&lt;=30,"Young Adult",J697&lt;=50,"Middle Aged Adult",J697&gt;50,"Senior")</f>
        <v>Teenager</v>
      </c>
      <c r="L697">
        <v>0</v>
      </c>
      <c r="M697">
        <v>0</v>
      </c>
      <c r="N697" s="1">
        <f t="shared" si="42"/>
        <v>1</v>
      </c>
      <c r="O697" s="1" t="str">
        <f t="shared" si="43"/>
        <v>Single</v>
      </c>
      <c r="P697">
        <v>7.8792</v>
      </c>
      <c r="Q697" s="1" t="str" cm="1">
        <f t="array" ref="Q697">_xlfn.IFS(P697&lt;=50,"Low",P697&lt;=100,"Medium",P697&gt;100,"High")</f>
        <v>Low</v>
      </c>
      <c r="R697" t="s">
        <v>463</v>
      </c>
      <c r="S697" s="1" t="str" cm="1">
        <f t="array" ref="S697">_xlfn.IFS(R697="S","Southampton",R697="C","Cherbourg",R697="Q","Queenstown")</f>
        <v>Queenstown</v>
      </c>
    </row>
    <row r="698" spans="1:19" x14ac:dyDescent="0.3">
      <c r="A698">
        <v>697</v>
      </c>
      <c r="B698">
        <v>3</v>
      </c>
      <c r="C698" s="1" t="str" cm="1">
        <f t="array" ref="C698">_xlfn.IFS(B698=1,"First Class",B698=2,"Second Class",B698=3,"Third Class")</f>
        <v>Third Class</v>
      </c>
      <c r="D698">
        <v>0</v>
      </c>
      <c r="E698" s="1" t="str">
        <f t="shared" si="40"/>
        <v>Dead</v>
      </c>
      <c r="F698" t="s">
        <v>1338</v>
      </c>
      <c r="G698" s="1" t="s">
        <v>2994</v>
      </c>
      <c r="H698" t="s">
        <v>15</v>
      </c>
      <c r="I698" s="1" t="str">
        <f t="shared" si="41"/>
        <v>Female</v>
      </c>
      <c r="J698" s="3">
        <v>21</v>
      </c>
      <c r="K698" s="3" t="str" cm="1">
        <f t="array" ref="K698">_xlfn.IFS(J698&lt;=13,"Child",J698&lt;=18,"Teenager",J698&lt;=30,"Young Adult",J698&lt;=50,"Middle Aged Adult",J698&gt;50,"Senior")</f>
        <v>Young Adult</v>
      </c>
      <c r="L698">
        <v>0</v>
      </c>
      <c r="M698">
        <v>0</v>
      </c>
      <c r="N698" s="1">
        <f t="shared" si="42"/>
        <v>1</v>
      </c>
      <c r="O698" s="1" t="str">
        <f t="shared" si="43"/>
        <v>Single</v>
      </c>
      <c r="P698">
        <v>8.6624999999999996</v>
      </c>
      <c r="Q698" s="1" t="str" cm="1">
        <f t="array" ref="Q698">_xlfn.IFS(P698&lt;=50,"Low",P698&lt;=100,"Medium",P698&gt;100,"High")</f>
        <v>Low</v>
      </c>
      <c r="R698" t="s">
        <v>17</v>
      </c>
      <c r="S698" s="1" t="str" cm="1">
        <f t="array" ref="S698">_xlfn.IFS(R698="S","Southampton",R698="C","Cherbourg",R698="Q","Queenstown")</f>
        <v>Southampton</v>
      </c>
    </row>
    <row r="699" spans="1:19" x14ac:dyDescent="0.3">
      <c r="A699">
        <v>698</v>
      </c>
      <c r="B699">
        <v>3</v>
      </c>
      <c r="C699" s="1" t="str" cm="1">
        <f t="array" ref="C699">_xlfn.IFS(B699=1,"First Class",B699=2,"Second Class",B699=3,"Third Class")</f>
        <v>Third Class</v>
      </c>
      <c r="D699">
        <v>0</v>
      </c>
      <c r="E699" s="1" t="str">
        <f t="shared" si="40"/>
        <v>Dead</v>
      </c>
      <c r="F699" t="s">
        <v>1339</v>
      </c>
      <c r="G699" s="1" t="s">
        <v>2994</v>
      </c>
      <c r="H699" t="s">
        <v>15</v>
      </c>
      <c r="I699" s="1" t="str">
        <f t="shared" si="41"/>
        <v>Female</v>
      </c>
      <c r="J699" s="3">
        <v>30</v>
      </c>
      <c r="K699" s="3" t="str" cm="1">
        <f t="array" ref="K699">_xlfn.IFS(J699&lt;=13,"Child",J699&lt;=18,"Teenager",J699&lt;=30,"Young Adult",J699&lt;=50,"Middle Aged Adult",J699&gt;50,"Senior")</f>
        <v>Young Adult</v>
      </c>
      <c r="L699">
        <v>0</v>
      </c>
      <c r="M699">
        <v>0</v>
      </c>
      <c r="N699" s="1">
        <f t="shared" si="42"/>
        <v>1</v>
      </c>
      <c r="O699" s="1" t="str">
        <f t="shared" si="43"/>
        <v>Single</v>
      </c>
      <c r="P699">
        <v>8.6624999999999996</v>
      </c>
      <c r="Q699" s="1" t="str" cm="1">
        <f t="array" ref="Q699">_xlfn.IFS(P699&lt;=50,"Low",P699&lt;=100,"Medium",P699&gt;100,"High")</f>
        <v>Low</v>
      </c>
      <c r="R699" t="s">
        <v>17</v>
      </c>
      <c r="S699" s="1" t="str" cm="1">
        <f t="array" ref="S699">_xlfn.IFS(R699="S","Southampton",R699="C","Cherbourg",R699="Q","Queenstown")</f>
        <v>Southampton</v>
      </c>
    </row>
    <row r="700" spans="1:19" x14ac:dyDescent="0.3">
      <c r="A700">
        <v>699</v>
      </c>
      <c r="B700">
        <v>3</v>
      </c>
      <c r="C700" s="1" t="str" cm="1">
        <f t="array" ref="C700">_xlfn.IFS(B700=1,"First Class",B700=2,"Second Class",B700=3,"Third Class")</f>
        <v>Third Class</v>
      </c>
      <c r="D700">
        <v>0</v>
      </c>
      <c r="E700" s="1" t="str">
        <f t="shared" si="40"/>
        <v>Dead</v>
      </c>
      <c r="F700" t="s">
        <v>1340</v>
      </c>
      <c r="G700" s="1" t="s">
        <v>2999</v>
      </c>
      <c r="H700" t="s">
        <v>20</v>
      </c>
      <c r="I700" s="1" t="str">
        <f t="shared" si="41"/>
        <v>Male</v>
      </c>
      <c r="J700" s="3">
        <v>18</v>
      </c>
      <c r="K700" s="3" t="str" cm="1">
        <f t="array" ref="K700">_xlfn.IFS(J700&lt;=13,"Child",J700&lt;=18,"Teenager",J700&lt;=30,"Young Adult",J700&lt;=50,"Middle Aged Adult",J700&gt;50,"Senior")</f>
        <v>Teenager</v>
      </c>
      <c r="L700">
        <v>0</v>
      </c>
      <c r="M700">
        <v>0</v>
      </c>
      <c r="N700" s="1">
        <f t="shared" si="42"/>
        <v>1</v>
      </c>
      <c r="O700" s="1" t="str">
        <f t="shared" si="43"/>
        <v>Single</v>
      </c>
      <c r="P700">
        <v>8.6624999999999996</v>
      </c>
      <c r="Q700" s="1" t="str" cm="1">
        <f t="array" ref="Q700">_xlfn.IFS(P700&lt;=50,"Low",P700&lt;=100,"Medium",P700&gt;100,"High")</f>
        <v>Low</v>
      </c>
      <c r="R700" t="s">
        <v>17</v>
      </c>
      <c r="S700" s="1" t="str" cm="1">
        <f t="array" ref="S700">_xlfn.IFS(R700="S","Southampton",R700="C","Cherbourg",R700="Q","Queenstown")</f>
        <v>Southampton</v>
      </c>
    </row>
    <row r="701" spans="1:19" x14ac:dyDescent="0.3">
      <c r="A701">
        <v>700</v>
      </c>
      <c r="B701">
        <v>3</v>
      </c>
      <c r="C701" s="1" t="str" cm="1">
        <f t="array" ref="C701">_xlfn.IFS(B701=1,"First Class",B701=2,"Second Class",B701=3,"Third Class")</f>
        <v>Third Class</v>
      </c>
      <c r="D701">
        <v>0</v>
      </c>
      <c r="E701" s="1" t="str">
        <f t="shared" si="40"/>
        <v>Dead</v>
      </c>
      <c r="F701" t="s">
        <v>1341</v>
      </c>
      <c r="G701" s="1" t="s">
        <v>2999</v>
      </c>
      <c r="H701" t="s">
        <v>20</v>
      </c>
      <c r="I701" s="1" t="str">
        <f t="shared" si="41"/>
        <v>Male</v>
      </c>
      <c r="J701" s="3">
        <v>38</v>
      </c>
      <c r="K701" s="3" t="str" cm="1">
        <f t="array" ref="K701">_xlfn.IFS(J701&lt;=13,"Child",J701&lt;=18,"Teenager",J701&lt;=30,"Young Adult",J701&lt;=50,"Middle Aged Adult",J701&gt;50,"Senior")</f>
        <v>Middle Aged Adult</v>
      </c>
      <c r="L701">
        <v>0</v>
      </c>
      <c r="M701">
        <v>0</v>
      </c>
      <c r="N701" s="1">
        <f t="shared" si="42"/>
        <v>1</v>
      </c>
      <c r="O701" s="1" t="str">
        <f t="shared" si="43"/>
        <v>Single</v>
      </c>
      <c r="P701">
        <v>8.6624999999999996</v>
      </c>
      <c r="Q701" s="1" t="str" cm="1">
        <f t="array" ref="Q701">_xlfn.IFS(P701&lt;=50,"Low",P701&lt;=100,"Medium",P701&gt;100,"High")</f>
        <v>Low</v>
      </c>
      <c r="R701" t="s">
        <v>17</v>
      </c>
      <c r="S701" s="1" t="str" cm="1">
        <f t="array" ref="S701">_xlfn.IFS(R701="S","Southampton",R701="C","Cherbourg",R701="Q","Queenstown")</f>
        <v>Southampton</v>
      </c>
    </row>
    <row r="702" spans="1:19" x14ac:dyDescent="0.3">
      <c r="A702">
        <v>701</v>
      </c>
      <c r="B702">
        <v>3</v>
      </c>
      <c r="C702" s="1" t="str" cm="1">
        <f t="array" ref="C702">_xlfn.IFS(B702=1,"First Class",B702=2,"Second Class",B702=3,"Third Class")</f>
        <v>Third Class</v>
      </c>
      <c r="D702">
        <v>0</v>
      </c>
      <c r="E702" s="1" t="str">
        <f t="shared" si="40"/>
        <v>Dead</v>
      </c>
      <c r="F702" t="s">
        <v>1343</v>
      </c>
      <c r="G702" s="1" t="s">
        <v>2999</v>
      </c>
      <c r="H702" t="s">
        <v>20</v>
      </c>
      <c r="I702" s="1" t="str">
        <f t="shared" si="41"/>
        <v>Male</v>
      </c>
      <c r="J702" s="3">
        <v>17</v>
      </c>
      <c r="K702" s="3" t="str" cm="1">
        <f t="array" ref="K702">_xlfn.IFS(J702&lt;=13,"Child",J702&lt;=18,"Teenager",J702&lt;=30,"Young Adult",J702&lt;=50,"Middle Aged Adult",J702&gt;50,"Senior")</f>
        <v>Teenager</v>
      </c>
      <c r="L702">
        <v>0</v>
      </c>
      <c r="M702">
        <v>0</v>
      </c>
      <c r="N702" s="1">
        <f t="shared" si="42"/>
        <v>1</v>
      </c>
      <c r="O702" s="1" t="str">
        <f t="shared" si="43"/>
        <v>Single</v>
      </c>
      <c r="P702">
        <v>8.6624999999999996</v>
      </c>
      <c r="Q702" s="1" t="str" cm="1">
        <f t="array" ref="Q702">_xlfn.IFS(P702&lt;=50,"Low",P702&lt;=100,"Medium",P702&gt;100,"High")</f>
        <v>Low</v>
      </c>
      <c r="R702" t="s">
        <v>17</v>
      </c>
      <c r="S702" s="1" t="str" cm="1">
        <f t="array" ref="S702">_xlfn.IFS(R702="S","Southampton",R702="C","Cherbourg",R702="Q","Queenstown")</f>
        <v>Southampton</v>
      </c>
    </row>
    <row r="703" spans="1:19" x14ac:dyDescent="0.3">
      <c r="A703">
        <v>702</v>
      </c>
      <c r="B703">
        <v>3</v>
      </c>
      <c r="C703" s="1" t="str" cm="1">
        <f t="array" ref="C703">_xlfn.IFS(B703=1,"First Class",B703=2,"Second Class",B703=3,"Third Class")</f>
        <v>Third Class</v>
      </c>
      <c r="D703">
        <v>0</v>
      </c>
      <c r="E703" s="1" t="str">
        <f t="shared" si="40"/>
        <v>Dead</v>
      </c>
      <c r="F703" t="s">
        <v>1344</v>
      </c>
      <c r="G703" s="1" t="s">
        <v>2999</v>
      </c>
      <c r="H703" t="s">
        <v>20</v>
      </c>
      <c r="I703" s="1" t="str">
        <f t="shared" si="41"/>
        <v>Male</v>
      </c>
      <c r="J703" s="3">
        <v>17</v>
      </c>
      <c r="K703" s="3" t="str" cm="1">
        <f t="array" ref="K703">_xlfn.IFS(J703&lt;=13,"Child",J703&lt;=18,"Teenager",J703&lt;=30,"Young Adult",J703&lt;=50,"Middle Aged Adult",J703&gt;50,"Senior")</f>
        <v>Teenager</v>
      </c>
      <c r="L703">
        <v>0</v>
      </c>
      <c r="M703">
        <v>0</v>
      </c>
      <c r="N703" s="1">
        <f t="shared" si="42"/>
        <v>1</v>
      </c>
      <c r="O703" s="1" t="str">
        <f t="shared" si="43"/>
        <v>Single</v>
      </c>
      <c r="P703">
        <v>8.6624999999999996</v>
      </c>
      <c r="Q703" s="1" t="str" cm="1">
        <f t="array" ref="Q703">_xlfn.IFS(P703&lt;=50,"Low",P703&lt;=100,"Medium",P703&gt;100,"High")</f>
        <v>Low</v>
      </c>
      <c r="R703" t="s">
        <v>17</v>
      </c>
      <c r="S703" s="1" t="str" cm="1">
        <f t="array" ref="S703">_xlfn.IFS(R703="S","Southampton",R703="C","Cherbourg",R703="Q","Queenstown")</f>
        <v>Southampton</v>
      </c>
    </row>
    <row r="704" spans="1:19" x14ac:dyDescent="0.3">
      <c r="A704">
        <v>703</v>
      </c>
      <c r="B704">
        <v>3</v>
      </c>
      <c r="C704" s="1" t="str" cm="1">
        <f t="array" ref="C704">_xlfn.IFS(B704=1,"First Class",B704=2,"Second Class",B704=3,"Third Class")</f>
        <v>Third Class</v>
      </c>
      <c r="D704">
        <v>0</v>
      </c>
      <c r="E704" s="1" t="str">
        <f t="shared" si="40"/>
        <v>Dead</v>
      </c>
      <c r="F704" t="s">
        <v>1345</v>
      </c>
      <c r="G704" s="1" t="s">
        <v>2994</v>
      </c>
      <c r="H704" t="s">
        <v>15</v>
      </c>
      <c r="I704" s="1" t="str">
        <f t="shared" si="41"/>
        <v>Female</v>
      </c>
      <c r="J704" s="3">
        <v>21</v>
      </c>
      <c r="K704" s="3" t="str" cm="1">
        <f t="array" ref="K704">_xlfn.IFS(J704&lt;=13,"Child",J704&lt;=18,"Teenager",J704&lt;=30,"Young Adult",J704&lt;=50,"Middle Aged Adult",J704&gt;50,"Senior")</f>
        <v>Young Adult</v>
      </c>
      <c r="L704">
        <v>0</v>
      </c>
      <c r="M704">
        <v>0</v>
      </c>
      <c r="N704" s="1">
        <f t="shared" si="42"/>
        <v>1</v>
      </c>
      <c r="O704" s="1" t="str">
        <f t="shared" si="43"/>
        <v>Single</v>
      </c>
      <c r="P704">
        <v>7.75</v>
      </c>
      <c r="Q704" s="1" t="str" cm="1">
        <f t="array" ref="Q704">_xlfn.IFS(P704&lt;=50,"Low",P704&lt;=100,"Medium",P704&gt;100,"High")</f>
        <v>Low</v>
      </c>
      <c r="R704" t="s">
        <v>463</v>
      </c>
      <c r="S704" s="1" t="str" cm="1">
        <f t="array" ref="S704">_xlfn.IFS(R704="S","Southampton",R704="C","Cherbourg",R704="Q","Queenstown")</f>
        <v>Queenstown</v>
      </c>
    </row>
    <row r="705" spans="1:19" x14ac:dyDescent="0.3">
      <c r="A705">
        <v>704</v>
      </c>
      <c r="B705">
        <v>3</v>
      </c>
      <c r="C705" s="1" t="str" cm="1">
        <f t="array" ref="C705">_xlfn.IFS(B705=1,"First Class",B705=2,"Second Class",B705=3,"Third Class")</f>
        <v>Third Class</v>
      </c>
      <c r="D705">
        <v>0</v>
      </c>
      <c r="E705" s="1" t="str">
        <f t="shared" si="40"/>
        <v>Dead</v>
      </c>
      <c r="F705" t="s">
        <v>1346</v>
      </c>
      <c r="G705" s="1" t="s">
        <v>2999</v>
      </c>
      <c r="H705" t="s">
        <v>20</v>
      </c>
      <c r="I705" s="1" t="str">
        <f t="shared" si="41"/>
        <v>Male</v>
      </c>
      <c r="J705" s="3">
        <v>21</v>
      </c>
      <c r="K705" s="3" t="str" cm="1">
        <f t="array" ref="K705">_xlfn.IFS(J705&lt;=13,"Child",J705&lt;=18,"Teenager",J705&lt;=30,"Young Adult",J705&lt;=50,"Middle Aged Adult",J705&gt;50,"Senior")</f>
        <v>Young Adult</v>
      </c>
      <c r="L705">
        <v>0</v>
      </c>
      <c r="M705">
        <v>0</v>
      </c>
      <c r="N705" s="1">
        <f t="shared" si="42"/>
        <v>1</v>
      </c>
      <c r="O705" s="1" t="str">
        <f t="shared" si="43"/>
        <v>Single</v>
      </c>
      <c r="P705">
        <v>7.75</v>
      </c>
      <c r="Q705" s="1" t="str" cm="1">
        <f t="array" ref="Q705">_xlfn.IFS(P705&lt;=50,"Low",P705&lt;=100,"Medium",P705&gt;100,"High")</f>
        <v>Low</v>
      </c>
      <c r="R705" t="s">
        <v>463</v>
      </c>
      <c r="S705" s="1" t="str" cm="1">
        <f t="array" ref="S705">_xlfn.IFS(R705="S","Southampton",R705="C","Cherbourg",R705="Q","Queenstown")</f>
        <v>Queenstown</v>
      </c>
    </row>
    <row r="706" spans="1:19" x14ac:dyDescent="0.3">
      <c r="A706">
        <v>705</v>
      </c>
      <c r="B706">
        <v>3</v>
      </c>
      <c r="C706" s="1" t="str" cm="1">
        <f t="array" ref="C706">_xlfn.IFS(B706=1,"First Class",B706=2,"Second Class",B706=3,"Third Class")</f>
        <v>Third Class</v>
      </c>
      <c r="D706">
        <v>0</v>
      </c>
      <c r="E706" s="1" t="str">
        <f t="shared" si="40"/>
        <v>Dead</v>
      </c>
      <c r="F706" t="s">
        <v>1348</v>
      </c>
      <c r="G706" s="1" t="s">
        <v>2999</v>
      </c>
      <c r="H706" t="s">
        <v>20</v>
      </c>
      <c r="I706" s="1" t="str">
        <f t="shared" si="41"/>
        <v>Male</v>
      </c>
      <c r="J706" s="3">
        <v>21</v>
      </c>
      <c r="K706" s="3" t="str" cm="1">
        <f t="array" ref="K706">_xlfn.IFS(J706&lt;=13,"Child",J706&lt;=18,"Teenager",J706&lt;=30,"Young Adult",J706&lt;=50,"Middle Aged Adult",J706&gt;50,"Senior")</f>
        <v>Young Adult</v>
      </c>
      <c r="L706">
        <v>0</v>
      </c>
      <c r="M706">
        <v>0</v>
      </c>
      <c r="N706" s="1">
        <f t="shared" si="42"/>
        <v>1</v>
      </c>
      <c r="O706" s="1" t="str">
        <f t="shared" si="43"/>
        <v>Single</v>
      </c>
      <c r="P706">
        <v>8.0500000000000007</v>
      </c>
      <c r="Q706" s="1" t="str" cm="1">
        <f t="array" ref="Q706">_xlfn.IFS(P706&lt;=50,"Low",P706&lt;=100,"Medium",P706&gt;100,"High")</f>
        <v>Low</v>
      </c>
      <c r="R706" t="s">
        <v>17</v>
      </c>
      <c r="S706" s="1" t="str" cm="1">
        <f t="array" ref="S706">_xlfn.IFS(R706="S","Southampton",R706="C","Cherbourg",R706="Q","Queenstown")</f>
        <v>Southampton</v>
      </c>
    </row>
    <row r="707" spans="1:19" x14ac:dyDescent="0.3">
      <c r="A707">
        <v>706</v>
      </c>
      <c r="B707">
        <v>3</v>
      </c>
      <c r="C707" s="1" t="str" cm="1">
        <f t="array" ref="C707">_xlfn.IFS(B707=1,"First Class",B707=2,"Second Class",B707=3,"Third Class")</f>
        <v>Third Class</v>
      </c>
      <c r="D707">
        <v>0</v>
      </c>
      <c r="E707" s="1" t="str">
        <f t="shared" ref="E707:E770" si="44">IF(D707=0,"Dead","Alive")</f>
        <v>Dead</v>
      </c>
      <c r="F707" t="s">
        <v>1350</v>
      </c>
      <c r="G707" s="1" t="s">
        <v>2999</v>
      </c>
      <c r="H707" t="s">
        <v>20</v>
      </c>
      <c r="I707" s="1" t="str">
        <f t="shared" ref="I707:I770" si="45">PROPER(H707)</f>
        <v>Male</v>
      </c>
      <c r="J707" s="3">
        <v>29.881137667304014</v>
      </c>
      <c r="K707" s="3" t="str" cm="1">
        <f t="array" ref="K707">_xlfn.IFS(J707&lt;=13,"Child",J707&lt;=18,"Teenager",J707&lt;=30,"Young Adult",J707&lt;=50,"Middle Aged Adult",J707&gt;50,"Senior")</f>
        <v>Young Adult</v>
      </c>
      <c r="L707">
        <v>1</v>
      </c>
      <c r="M707">
        <v>0</v>
      </c>
      <c r="N707" s="1">
        <f t="shared" ref="N707:N770" si="46">L707+M707+1</f>
        <v>2</v>
      </c>
      <c r="O707" s="1" t="str">
        <f t="shared" ref="O707:O770" si="47">IF(N707=1,"Single","With Family")</f>
        <v>With Family</v>
      </c>
      <c r="P707">
        <v>14.458299999999999</v>
      </c>
      <c r="Q707" s="1" t="str" cm="1">
        <f t="array" ref="Q707">_xlfn.IFS(P707&lt;=50,"Low",P707&lt;=100,"Medium",P707&gt;100,"High")</f>
        <v>Low</v>
      </c>
      <c r="R707" t="s">
        <v>41</v>
      </c>
      <c r="S707" s="1" t="str" cm="1">
        <f t="array" ref="S707">_xlfn.IFS(R707="S","Southampton",R707="C","Cherbourg",R707="Q","Queenstown")</f>
        <v>Cherbourg</v>
      </c>
    </row>
    <row r="708" spans="1:19" x14ac:dyDescent="0.3">
      <c r="A708">
        <v>707</v>
      </c>
      <c r="B708">
        <v>3</v>
      </c>
      <c r="C708" s="1" t="str" cm="1">
        <f t="array" ref="C708">_xlfn.IFS(B708=1,"First Class",B708=2,"Second Class",B708=3,"Third Class")</f>
        <v>Third Class</v>
      </c>
      <c r="D708">
        <v>0</v>
      </c>
      <c r="E708" s="1" t="str">
        <f t="shared" si="44"/>
        <v>Dead</v>
      </c>
      <c r="F708" t="s">
        <v>1351</v>
      </c>
      <c r="G708" s="1" t="s">
        <v>3001</v>
      </c>
      <c r="H708" t="s">
        <v>15</v>
      </c>
      <c r="I708" s="1" t="str">
        <f t="shared" si="45"/>
        <v>Female</v>
      </c>
      <c r="J708" s="3">
        <v>29.881137667304014</v>
      </c>
      <c r="K708" s="3" t="str" cm="1">
        <f t="array" ref="K708">_xlfn.IFS(J708&lt;=13,"Child",J708&lt;=18,"Teenager",J708&lt;=30,"Young Adult",J708&lt;=50,"Middle Aged Adult",J708&gt;50,"Senior")</f>
        <v>Young Adult</v>
      </c>
      <c r="L708">
        <v>1</v>
      </c>
      <c r="M708">
        <v>0</v>
      </c>
      <c r="N708" s="1">
        <f t="shared" si="46"/>
        <v>2</v>
      </c>
      <c r="O708" s="1" t="str">
        <f t="shared" si="47"/>
        <v>With Family</v>
      </c>
      <c r="P708">
        <v>14.458299999999999</v>
      </c>
      <c r="Q708" s="1" t="str" cm="1">
        <f t="array" ref="Q708">_xlfn.IFS(P708&lt;=50,"Low",P708&lt;=100,"Medium",P708&gt;100,"High")</f>
        <v>Low</v>
      </c>
      <c r="R708" t="s">
        <v>41</v>
      </c>
      <c r="S708" s="1" t="str" cm="1">
        <f t="array" ref="S708">_xlfn.IFS(R708="S","Southampton",R708="C","Cherbourg",R708="Q","Queenstown")</f>
        <v>Cherbourg</v>
      </c>
    </row>
    <row r="709" spans="1:19" x14ac:dyDescent="0.3">
      <c r="A709">
        <v>708</v>
      </c>
      <c r="B709">
        <v>3</v>
      </c>
      <c r="C709" s="1" t="str" cm="1">
        <f t="array" ref="C709">_xlfn.IFS(B709=1,"First Class",B709=2,"Second Class",B709=3,"Third Class")</f>
        <v>Third Class</v>
      </c>
      <c r="D709">
        <v>0</v>
      </c>
      <c r="E709" s="1" t="str">
        <f t="shared" si="44"/>
        <v>Dead</v>
      </c>
      <c r="F709" t="s">
        <v>1352</v>
      </c>
      <c r="G709" s="1" t="s">
        <v>2999</v>
      </c>
      <c r="H709" t="s">
        <v>20</v>
      </c>
      <c r="I709" s="1" t="str">
        <f t="shared" si="45"/>
        <v>Male</v>
      </c>
      <c r="J709" s="3">
        <v>28</v>
      </c>
      <c r="K709" s="3" t="str" cm="1">
        <f t="array" ref="K709">_xlfn.IFS(J709&lt;=13,"Child",J709&lt;=18,"Teenager",J709&lt;=30,"Young Adult",J709&lt;=50,"Middle Aged Adult",J709&gt;50,"Senior")</f>
        <v>Young Adult</v>
      </c>
      <c r="L709">
        <v>0</v>
      </c>
      <c r="M709">
        <v>0</v>
      </c>
      <c r="N709" s="1">
        <f t="shared" si="46"/>
        <v>1</v>
      </c>
      <c r="O709" s="1" t="str">
        <f t="shared" si="47"/>
        <v>Single</v>
      </c>
      <c r="P709">
        <v>7.7957999999999998</v>
      </c>
      <c r="Q709" s="1" t="str" cm="1">
        <f t="array" ref="Q709">_xlfn.IFS(P709&lt;=50,"Low",P709&lt;=100,"Medium",P709&gt;100,"High")</f>
        <v>Low</v>
      </c>
      <c r="R709" t="s">
        <v>17</v>
      </c>
      <c r="S709" s="1" t="str" cm="1">
        <f t="array" ref="S709">_xlfn.IFS(R709="S","Southampton",R709="C","Cherbourg",R709="Q","Queenstown")</f>
        <v>Southampton</v>
      </c>
    </row>
    <row r="710" spans="1:19" x14ac:dyDescent="0.3">
      <c r="A710">
        <v>709</v>
      </c>
      <c r="B710">
        <v>3</v>
      </c>
      <c r="C710" s="1" t="str" cm="1">
        <f t="array" ref="C710">_xlfn.IFS(B710=1,"First Class",B710=2,"Second Class",B710=3,"Third Class")</f>
        <v>Third Class</v>
      </c>
      <c r="D710">
        <v>0</v>
      </c>
      <c r="E710" s="1" t="str">
        <f t="shared" si="44"/>
        <v>Dead</v>
      </c>
      <c r="F710" t="s">
        <v>1354</v>
      </c>
      <c r="G710" s="1" t="s">
        <v>2999</v>
      </c>
      <c r="H710" t="s">
        <v>20</v>
      </c>
      <c r="I710" s="1" t="str">
        <f t="shared" si="45"/>
        <v>Male</v>
      </c>
      <c r="J710" s="3">
        <v>24</v>
      </c>
      <c r="K710" s="3" t="str" cm="1">
        <f t="array" ref="K710">_xlfn.IFS(J710&lt;=13,"Child",J710&lt;=18,"Teenager",J710&lt;=30,"Young Adult",J710&lt;=50,"Middle Aged Adult",J710&gt;50,"Senior")</f>
        <v>Young Adult</v>
      </c>
      <c r="L710">
        <v>0</v>
      </c>
      <c r="M710">
        <v>0</v>
      </c>
      <c r="N710" s="1">
        <f t="shared" si="46"/>
        <v>1</v>
      </c>
      <c r="O710" s="1" t="str">
        <f t="shared" si="47"/>
        <v>Single</v>
      </c>
      <c r="P710">
        <v>7.8541999999999996</v>
      </c>
      <c r="Q710" s="1" t="str" cm="1">
        <f t="array" ref="Q710">_xlfn.IFS(P710&lt;=50,"Low",P710&lt;=100,"Medium",P710&gt;100,"High")</f>
        <v>Low</v>
      </c>
      <c r="R710" t="s">
        <v>17</v>
      </c>
      <c r="S710" s="1" t="str" cm="1">
        <f t="array" ref="S710">_xlfn.IFS(R710="S","Southampton",R710="C","Cherbourg",R710="Q","Queenstown")</f>
        <v>Southampton</v>
      </c>
    </row>
    <row r="711" spans="1:19" x14ac:dyDescent="0.3">
      <c r="A711">
        <v>710</v>
      </c>
      <c r="B711">
        <v>3</v>
      </c>
      <c r="C711" s="1" t="str" cm="1">
        <f t="array" ref="C711">_xlfn.IFS(B711=1,"First Class",B711=2,"Second Class",B711=3,"Third Class")</f>
        <v>Third Class</v>
      </c>
      <c r="D711">
        <v>1</v>
      </c>
      <c r="E711" s="1" t="str">
        <f t="shared" si="44"/>
        <v>Alive</v>
      </c>
      <c r="F711" t="s">
        <v>1356</v>
      </c>
      <c r="G711" s="1" t="s">
        <v>2994</v>
      </c>
      <c r="H711" t="s">
        <v>15</v>
      </c>
      <c r="I711" s="1" t="str">
        <f t="shared" si="45"/>
        <v>Female</v>
      </c>
      <c r="J711" s="3">
        <v>16</v>
      </c>
      <c r="K711" s="3" t="str" cm="1">
        <f t="array" ref="K711">_xlfn.IFS(J711&lt;=13,"Child",J711&lt;=18,"Teenager",J711&lt;=30,"Young Adult",J711&lt;=50,"Middle Aged Adult",J711&gt;50,"Senior")</f>
        <v>Teenager</v>
      </c>
      <c r="L711">
        <v>0</v>
      </c>
      <c r="M711">
        <v>0</v>
      </c>
      <c r="N711" s="1">
        <f t="shared" si="46"/>
        <v>1</v>
      </c>
      <c r="O711" s="1" t="str">
        <f t="shared" si="47"/>
        <v>Single</v>
      </c>
      <c r="P711">
        <v>7.75</v>
      </c>
      <c r="Q711" s="1" t="str" cm="1">
        <f t="array" ref="Q711">_xlfn.IFS(P711&lt;=50,"Low",P711&lt;=100,"Medium",P711&gt;100,"High")</f>
        <v>Low</v>
      </c>
      <c r="R711" t="s">
        <v>463</v>
      </c>
      <c r="S711" s="1" t="str" cm="1">
        <f t="array" ref="S711">_xlfn.IFS(R711="S","Southampton",R711="C","Cherbourg",R711="Q","Queenstown")</f>
        <v>Queenstown</v>
      </c>
    </row>
    <row r="712" spans="1:19" x14ac:dyDescent="0.3">
      <c r="A712">
        <v>711</v>
      </c>
      <c r="B712">
        <v>3</v>
      </c>
      <c r="C712" s="1" t="str" cm="1">
        <f t="array" ref="C712">_xlfn.IFS(B712=1,"First Class",B712=2,"Second Class",B712=3,"Third Class")</f>
        <v>Third Class</v>
      </c>
      <c r="D712">
        <v>0</v>
      </c>
      <c r="E712" s="1" t="str">
        <f t="shared" si="44"/>
        <v>Dead</v>
      </c>
      <c r="F712" t="s">
        <v>1358</v>
      </c>
      <c r="G712" s="1" t="s">
        <v>2994</v>
      </c>
      <c r="H712" t="s">
        <v>15</v>
      </c>
      <c r="I712" s="1" t="str">
        <f t="shared" si="45"/>
        <v>Female</v>
      </c>
      <c r="J712" s="3">
        <v>37</v>
      </c>
      <c r="K712" s="3" t="str" cm="1">
        <f t="array" ref="K712">_xlfn.IFS(J712&lt;=13,"Child",J712&lt;=18,"Teenager",J712&lt;=30,"Young Adult",J712&lt;=50,"Middle Aged Adult",J712&gt;50,"Senior")</f>
        <v>Middle Aged Adult</v>
      </c>
      <c r="L712">
        <v>0</v>
      </c>
      <c r="M712">
        <v>0</v>
      </c>
      <c r="N712" s="1">
        <f t="shared" si="46"/>
        <v>1</v>
      </c>
      <c r="O712" s="1" t="str">
        <f t="shared" si="47"/>
        <v>Single</v>
      </c>
      <c r="P712">
        <v>7.75</v>
      </c>
      <c r="Q712" s="1" t="str" cm="1">
        <f t="array" ref="Q712">_xlfn.IFS(P712&lt;=50,"Low",P712&lt;=100,"Medium",P712&gt;100,"High")</f>
        <v>Low</v>
      </c>
      <c r="R712" t="s">
        <v>463</v>
      </c>
      <c r="S712" s="1" t="str" cm="1">
        <f t="array" ref="S712">_xlfn.IFS(R712="S","Southampton",R712="C","Cherbourg",R712="Q","Queenstown")</f>
        <v>Queenstown</v>
      </c>
    </row>
    <row r="713" spans="1:19" x14ac:dyDescent="0.3">
      <c r="A713">
        <v>712</v>
      </c>
      <c r="B713">
        <v>3</v>
      </c>
      <c r="C713" s="1" t="str" cm="1">
        <f t="array" ref="C713">_xlfn.IFS(B713=1,"First Class",B713=2,"Second Class",B713=3,"Third Class")</f>
        <v>Third Class</v>
      </c>
      <c r="D713">
        <v>0</v>
      </c>
      <c r="E713" s="1" t="str">
        <f t="shared" si="44"/>
        <v>Dead</v>
      </c>
      <c r="F713" t="s">
        <v>1360</v>
      </c>
      <c r="G713" s="1" t="s">
        <v>2999</v>
      </c>
      <c r="H713" t="s">
        <v>20</v>
      </c>
      <c r="I713" s="1" t="str">
        <f t="shared" si="45"/>
        <v>Male</v>
      </c>
      <c r="J713" s="3">
        <v>28</v>
      </c>
      <c r="K713" s="3" t="str" cm="1">
        <f t="array" ref="K713">_xlfn.IFS(J713&lt;=13,"Child",J713&lt;=18,"Teenager",J713&lt;=30,"Young Adult",J713&lt;=50,"Middle Aged Adult",J713&gt;50,"Senior")</f>
        <v>Young Adult</v>
      </c>
      <c r="L713">
        <v>0</v>
      </c>
      <c r="M713">
        <v>0</v>
      </c>
      <c r="N713" s="1">
        <f t="shared" si="46"/>
        <v>1</v>
      </c>
      <c r="O713" s="1" t="str">
        <f t="shared" si="47"/>
        <v>Single</v>
      </c>
      <c r="P713">
        <v>7.25</v>
      </c>
      <c r="Q713" s="1" t="str" cm="1">
        <f t="array" ref="Q713">_xlfn.IFS(P713&lt;=50,"Low",P713&lt;=100,"Medium",P713&gt;100,"High")</f>
        <v>Low</v>
      </c>
      <c r="R713" t="s">
        <v>17</v>
      </c>
      <c r="S713" s="1" t="str" cm="1">
        <f t="array" ref="S713">_xlfn.IFS(R713="S","Southampton",R713="C","Cherbourg",R713="Q","Queenstown")</f>
        <v>Southampton</v>
      </c>
    </row>
    <row r="714" spans="1:19" x14ac:dyDescent="0.3">
      <c r="A714">
        <v>713</v>
      </c>
      <c r="B714">
        <v>3</v>
      </c>
      <c r="C714" s="1" t="str" cm="1">
        <f t="array" ref="C714">_xlfn.IFS(B714=1,"First Class",B714=2,"Second Class",B714=3,"Third Class")</f>
        <v>Third Class</v>
      </c>
      <c r="D714">
        <v>0</v>
      </c>
      <c r="E714" s="1" t="str">
        <f t="shared" si="44"/>
        <v>Dead</v>
      </c>
      <c r="F714" t="s">
        <v>1362</v>
      </c>
      <c r="G714" s="1" t="s">
        <v>2999</v>
      </c>
      <c r="H714" t="s">
        <v>20</v>
      </c>
      <c r="I714" s="1" t="str">
        <f t="shared" si="45"/>
        <v>Male</v>
      </c>
      <c r="J714" s="3">
        <v>24</v>
      </c>
      <c r="K714" s="3" t="str" cm="1">
        <f t="array" ref="K714">_xlfn.IFS(J714&lt;=13,"Child",J714&lt;=18,"Teenager",J714&lt;=30,"Young Adult",J714&lt;=50,"Middle Aged Adult",J714&gt;50,"Senior")</f>
        <v>Young Adult</v>
      </c>
      <c r="L714">
        <v>0</v>
      </c>
      <c r="M714">
        <v>0</v>
      </c>
      <c r="N714" s="1">
        <f t="shared" si="46"/>
        <v>1</v>
      </c>
      <c r="O714" s="1" t="str">
        <f t="shared" si="47"/>
        <v>Single</v>
      </c>
      <c r="P714">
        <v>8.0500000000000007</v>
      </c>
      <c r="Q714" s="1" t="str" cm="1">
        <f t="array" ref="Q714">_xlfn.IFS(P714&lt;=50,"Low",P714&lt;=100,"Medium",P714&gt;100,"High")</f>
        <v>Low</v>
      </c>
      <c r="R714" t="s">
        <v>17</v>
      </c>
      <c r="S714" s="1" t="str" cm="1">
        <f t="array" ref="S714">_xlfn.IFS(R714="S","Southampton",R714="C","Cherbourg",R714="Q","Queenstown")</f>
        <v>Southampton</v>
      </c>
    </row>
    <row r="715" spans="1:19" x14ac:dyDescent="0.3">
      <c r="A715">
        <v>714</v>
      </c>
      <c r="B715">
        <v>3</v>
      </c>
      <c r="C715" s="1" t="str" cm="1">
        <f t="array" ref="C715">_xlfn.IFS(B715=1,"First Class",B715=2,"Second Class",B715=3,"Third Class")</f>
        <v>Third Class</v>
      </c>
      <c r="D715">
        <v>0</v>
      </c>
      <c r="E715" s="1" t="str">
        <f t="shared" si="44"/>
        <v>Dead</v>
      </c>
      <c r="F715" t="s">
        <v>1363</v>
      </c>
      <c r="G715" s="1" t="s">
        <v>2999</v>
      </c>
      <c r="H715" t="s">
        <v>20</v>
      </c>
      <c r="I715" s="1" t="str">
        <f t="shared" si="45"/>
        <v>Male</v>
      </c>
      <c r="J715" s="3">
        <v>21</v>
      </c>
      <c r="K715" s="3" t="str" cm="1">
        <f t="array" ref="K715">_xlfn.IFS(J715&lt;=13,"Child",J715&lt;=18,"Teenager",J715&lt;=30,"Young Adult",J715&lt;=50,"Middle Aged Adult",J715&gt;50,"Senior")</f>
        <v>Young Adult</v>
      </c>
      <c r="L715">
        <v>0</v>
      </c>
      <c r="M715">
        <v>0</v>
      </c>
      <c r="N715" s="1">
        <f t="shared" si="46"/>
        <v>1</v>
      </c>
      <c r="O715" s="1" t="str">
        <f t="shared" si="47"/>
        <v>Single</v>
      </c>
      <c r="P715">
        <v>7.7332999999999998</v>
      </c>
      <c r="Q715" s="1" t="str" cm="1">
        <f t="array" ref="Q715">_xlfn.IFS(P715&lt;=50,"Low",P715&lt;=100,"Medium",P715&gt;100,"High")</f>
        <v>Low</v>
      </c>
      <c r="R715" t="s">
        <v>463</v>
      </c>
      <c r="S715" s="1" t="str" cm="1">
        <f t="array" ref="S715">_xlfn.IFS(R715="S","Southampton",R715="C","Cherbourg",R715="Q","Queenstown")</f>
        <v>Queenstown</v>
      </c>
    </row>
    <row r="716" spans="1:19" x14ac:dyDescent="0.3">
      <c r="A716">
        <v>715</v>
      </c>
      <c r="B716">
        <v>3</v>
      </c>
      <c r="C716" s="1" t="str" cm="1">
        <f t="array" ref="C716">_xlfn.IFS(B716=1,"First Class",B716=2,"Second Class",B716=3,"Third Class")</f>
        <v>Third Class</v>
      </c>
      <c r="D716">
        <v>1</v>
      </c>
      <c r="E716" s="1" t="str">
        <f t="shared" si="44"/>
        <v>Alive</v>
      </c>
      <c r="F716" t="s">
        <v>1366</v>
      </c>
      <c r="G716" s="1" t="s">
        <v>2999</v>
      </c>
      <c r="H716" t="s">
        <v>20</v>
      </c>
      <c r="I716" s="1" t="str">
        <f t="shared" si="45"/>
        <v>Male</v>
      </c>
      <c r="J716" s="3">
        <v>32</v>
      </c>
      <c r="K716" s="3" t="str" cm="1">
        <f t="array" ref="K716">_xlfn.IFS(J716&lt;=13,"Child",J716&lt;=18,"Teenager",J716&lt;=30,"Young Adult",J716&lt;=50,"Middle Aged Adult",J716&gt;50,"Senior")</f>
        <v>Middle Aged Adult</v>
      </c>
      <c r="L716">
        <v>0</v>
      </c>
      <c r="M716">
        <v>0</v>
      </c>
      <c r="N716" s="1">
        <f t="shared" si="46"/>
        <v>1</v>
      </c>
      <c r="O716" s="1" t="str">
        <f t="shared" si="47"/>
        <v>Single</v>
      </c>
      <c r="P716">
        <v>56.495800000000003</v>
      </c>
      <c r="Q716" s="1" t="str" cm="1">
        <f t="array" ref="Q716">_xlfn.IFS(P716&lt;=50,"Low",P716&lt;=100,"Medium",P716&gt;100,"High")</f>
        <v>Medium</v>
      </c>
      <c r="R716" t="s">
        <v>17</v>
      </c>
      <c r="S716" s="1" t="str" cm="1">
        <f t="array" ref="S716">_xlfn.IFS(R716="S","Southampton",R716="C","Cherbourg",R716="Q","Queenstown")</f>
        <v>Southampton</v>
      </c>
    </row>
    <row r="717" spans="1:19" x14ac:dyDescent="0.3">
      <c r="A717">
        <v>716</v>
      </c>
      <c r="B717">
        <v>3</v>
      </c>
      <c r="C717" s="1" t="str" cm="1">
        <f t="array" ref="C717">_xlfn.IFS(B717=1,"First Class",B717=2,"Second Class",B717=3,"Third Class")</f>
        <v>Third Class</v>
      </c>
      <c r="D717">
        <v>0</v>
      </c>
      <c r="E717" s="1" t="str">
        <f t="shared" si="44"/>
        <v>Dead</v>
      </c>
      <c r="F717" t="s">
        <v>1367</v>
      </c>
      <c r="G717" s="1" t="s">
        <v>2999</v>
      </c>
      <c r="H717" t="s">
        <v>20</v>
      </c>
      <c r="I717" s="1" t="str">
        <f t="shared" si="45"/>
        <v>Male</v>
      </c>
      <c r="J717" s="3">
        <v>29</v>
      </c>
      <c r="K717" s="3" t="str" cm="1">
        <f t="array" ref="K717">_xlfn.IFS(J717&lt;=13,"Child",J717&lt;=18,"Teenager",J717&lt;=30,"Young Adult",J717&lt;=50,"Middle Aged Adult",J717&gt;50,"Senior")</f>
        <v>Young Adult</v>
      </c>
      <c r="L717">
        <v>0</v>
      </c>
      <c r="M717">
        <v>0</v>
      </c>
      <c r="N717" s="1">
        <f t="shared" si="46"/>
        <v>1</v>
      </c>
      <c r="O717" s="1" t="str">
        <f t="shared" si="47"/>
        <v>Single</v>
      </c>
      <c r="P717">
        <v>8.0500000000000007</v>
      </c>
      <c r="Q717" s="1" t="str" cm="1">
        <f t="array" ref="Q717">_xlfn.IFS(P717&lt;=50,"Low",P717&lt;=100,"Medium",P717&gt;100,"High")</f>
        <v>Low</v>
      </c>
      <c r="R717" t="s">
        <v>17</v>
      </c>
      <c r="S717" s="1" t="str" cm="1">
        <f t="array" ref="S717">_xlfn.IFS(R717="S","Southampton",R717="C","Cherbourg",R717="Q","Queenstown")</f>
        <v>Southampton</v>
      </c>
    </row>
    <row r="718" spans="1:19" x14ac:dyDescent="0.3">
      <c r="A718">
        <v>717</v>
      </c>
      <c r="B718">
        <v>3</v>
      </c>
      <c r="C718" s="1" t="str" cm="1">
        <f t="array" ref="C718">_xlfn.IFS(B718=1,"First Class",B718=2,"Second Class",B718=3,"Third Class")</f>
        <v>Third Class</v>
      </c>
      <c r="D718">
        <v>0</v>
      </c>
      <c r="E718" s="1" t="str">
        <f t="shared" si="44"/>
        <v>Dead</v>
      </c>
      <c r="F718" t="s">
        <v>1368</v>
      </c>
      <c r="G718" s="1" t="s">
        <v>2999</v>
      </c>
      <c r="H718" t="s">
        <v>20</v>
      </c>
      <c r="I718" s="1" t="str">
        <f t="shared" si="45"/>
        <v>Male</v>
      </c>
      <c r="J718" s="3">
        <v>26</v>
      </c>
      <c r="K718" s="3" t="str" cm="1">
        <f t="array" ref="K718">_xlfn.IFS(J718&lt;=13,"Child",J718&lt;=18,"Teenager",J718&lt;=30,"Young Adult",J718&lt;=50,"Middle Aged Adult",J718&gt;50,"Senior")</f>
        <v>Young Adult</v>
      </c>
      <c r="L718">
        <v>1</v>
      </c>
      <c r="M718">
        <v>0</v>
      </c>
      <c r="N718" s="1">
        <f t="shared" si="46"/>
        <v>2</v>
      </c>
      <c r="O718" s="1" t="str">
        <f t="shared" si="47"/>
        <v>With Family</v>
      </c>
      <c r="P718">
        <v>14.4542</v>
      </c>
      <c r="Q718" s="1" t="str" cm="1">
        <f t="array" ref="Q718">_xlfn.IFS(P718&lt;=50,"Low",P718&lt;=100,"Medium",P718&gt;100,"High")</f>
        <v>Low</v>
      </c>
      <c r="R718" t="s">
        <v>41</v>
      </c>
      <c r="S718" s="1" t="str" cm="1">
        <f t="array" ref="S718">_xlfn.IFS(R718="S","Southampton",R718="C","Cherbourg",R718="Q","Queenstown")</f>
        <v>Cherbourg</v>
      </c>
    </row>
    <row r="719" spans="1:19" x14ac:dyDescent="0.3">
      <c r="A719">
        <v>718</v>
      </c>
      <c r="B719">
        <v>3</v>
      </c>
      <c r="C719" s="1" t="str" cm="1">
        <f t="array" ref="C719">_xlfn.IFS(B719=1,"First Class",B719=2,"Second Class",B719=3,"Third Class")</f>
        <v>Third Class</v>
      </c>
      <c r="D719">
        <v>0</v>
      </c>
      <c r="E719" s="1" t="str">
        <f t="shared" si="44"/>
        <v>Dead</v>
      </c>
      <c r="F719" t="s">
        <v>1370</v>
      </c>
      <c r="G719" s="1" t="s">
        <v>2999</v>
      </c>
      <c r="H719" t="s">
        <v>20</v>
      </c>
      <c r="I719" s="1" t="str">
        <f t="shared" si="45"/>
        <v>Male</v>
      </c>
      <c r="J719" s="3">
        <v>18</v>
      </c>
      <c r="K719" s="3" t="str" cm="1">
        <f t="array" ref="K719">_xlfn.IFS(J719&lt;=13,"Child",J719&lt;=18,"Teenager",J719&lt;=30,"Young Adult",J719&lt;=50,"Middle Aged Adult",J719&gt;50,"Senior")</f>
        <v>Teenager</v>
      </c>
      <c r="L719">
        <v>1</v>
      </c>
      <c r="M719">
        <v>0</v>
      </c>
      <c r="N719" s="1">
        <f t="shared" si="46"/>
        <v>2</v>
      </c>
      <c r="O719" s="1" t="str">
        <f t="shared" si="47"/>
        <v>With Family</v>
      </c>
      <c r="P719">
        <v>14.4542</v>
      </c>
      <c r="Q719" s="1" t="str" cm="1">
        <f t="array" ref="Q719">_xlfn.IFS(P719&lt;=50,"Low",P719&lt;=100,"Medium",P719&gt;100,"High")</f>
        <v>Low</v>
      </c>
      <c r="R719" t="s">
        <v>41</v>
      </c>
      <c r="S719" s="1" t="str" cm="1">
        <f t="array" ref="S719">_xlfn.IFS(R719="S","Southampton",R719="C","Cherbourg",R719="Q","Queenstown")</f>
        <v>Cherbourg</v>
      </c>
    </row>
    <row r="720" spans="1:19" x14ac:dyDescent="0.3">
      <c r="A720">
        <v>719</v>
      </c>
      <c r="B720">
        <v>3</v>
      </c>
      <c r="C720" s="1" t="str" cm="1">
        <f t="array" ref="C720">_xlfn.IFS(B720=1,"First Class",B720=2,"Second Class",B720=3,"Third Class")</f>
        <v>Third Class</v>
      </c>
      <c r="D720">
        <v>0</v>
      </c>
      <c r="E720" s="1" t="str">
        <f t="shared" si="44"/>
        <v>Dead</v>
      </c>
      <c r="F720" t="s">
        <v>1371</v>
      </c>
      <c r="G720" s="1" t="s">
        <v>2999</v>
      </c>
      <c r="H720" t="s">
        <v>20</v>
      </c>
      <c r="I720" s="1" t="str">
        <f t="shared" si="45"/>
        <v>Male</v>
      </c>
      <c r="J720" s="3">
        <v>20</v>
      </c>
      <c r="K720" s="3" t="str" cm="1">
        <f t="array" ref="K720">_xlfn.IFS(J720&lt;=13,"Child",J720&lt;=18,"Teenager",J720&lt;=30,"Young Adult",J720&lt;=50,"Middle Aged Adult",J720&gt;50,"Senior")</f>
        <v>Young Adult</v>
      </c>
      <c r="L720">
        <v>0</v>
      </c>
      <c r="M720">
        <v>0</v>
      </c>
      <c r="N720" s="1">
        <f t="shared" si="46"/>
        <v>1</v>
      </c>
      <c r="O720" s="1" t="str">
        <f t="shared" si="47"/>
        <v>Single</v>
      </c>
      <c r="P720">
        <v>7.05</v>
      </c>
      <c r="Q720" s="1" t="str" cm="1">
        <f t="array" ref="Q720">_xlfn.IFS(P720&lt;=50,"Low",P720&lt;=100,"Medium",P720&gt;100,"High")</f>
        <v>Low</v>
      </c>
      <c r="R720" t="s">
        <v>17</v>
      </c>
      <c r="S720" s="1" t="str" cm="1">
        <f t="array" ref="S720">_xlfn.IFS(R720="S","Southampton",R720="C","Cherbourg",R720="Q","Queenstown")</f>
        <v>Southampton</v>
      </c>
    </row>
    <row r="721" spans="1:19" x14ac:dyDescent="0.3">
      <c r="A721">
        <v>720</v>
      </c>
      <c r="B721">
        <v>3</v>
      </c>
      <c r="C721" s="1" t="str" cm="1">
        <f t="array" ref="C721">_xlfn.IFS(B721=1,"First Class",B721=2,"Second Class",B721=3,"Third Class")</f>
        <v>Third Class</v>
      </c>
      <c r="D721">
        <v>1</v>
      </c>
      <c r="E721" s="1" t="str">
        <f t="shared" si="44"/>
        <v>Alive</v>
      </c>
      <c r="F721" t="s">
        <v>1374</v>
      </c>
      <c r="G721" s="1" t="s">
        <v>2999</v>
      </c>
      <c r="H721" t="s">
        <v>20</v>
      </c>
      <c r="I721" s="1" t="str">
        <f t="shared" si="45"/>
        <v>Male</v>
      </c>
      <c r="J721" s="3">
        <v>18</v>
      </c>
      <c r="K721" s="3" t="str" cm="1">
        <f t="array" ref="K721">_xlfn.IFS(J721&lt;=13,"Child",J721&lt;=18,"Teenager",J721&lt;=30,"Young Adult",J721&lt;=50,"Middle Aged Adult",J721&gt;50,"Senior")</f>
        <v>Teenager</v>
      </c>
      <c r="L721">
        <v>0</v>
      </c>
      <c r="M721">
        <v>0</v>
      </c>
      <c r="N721" s="1">
        <f t="shared" si="46"/>
        <v>1</v>
      </c>
      <c r="O721" s="1" t="str">
        <f t="shared" si="47"/>
        <v>Single</v>
      </c>
      <c r="P721">
        <v>8.0500000000000007</v>
      </c>
      <c r="Q721" s="1" t="str" cm="1">
        <f t="array" ref="Q721">_xlfn.IFS(P721&lt;=50,"Low",P721&lt;=100,"Medium",P721&gt;100,"High")</f>
        <v>Low</v>
      </c>
      <c r="R721" t="s">
        <v>17</v>
      </c>
      <c r="S721" s="1" t="str" cm="1">
        <f t="array" ref="S721">_xlfn.IFS(R721="S","Southampton",R721="C","Cherbourg",R721="Q","Queenstown")</f>
        <v>Southampton</v>
      </c>
    </row>
    <row r="722" spans="1:19" x14ac:dyDescent="0.3">
      <c r="A722">
        <v>721</v>
      </c>
      <c r="B722">
        <v>3</v>
      </c>
      <c r="C722" s="1" t="str" cm="1">
        <f t="array" ref="C722">_xlfn.IFS(B722=1,"First Class",B722=2,"Second Class",B722=3,"Third Class")</f>
        <v>Third Class</v>
      </c>
      <c r="D722">
        <v>0</v>
      </c>
      <c r="E722" s="1" t="str">
        <f t="shared" si="44"/>
        <v>Dead</v>
      </c>
      <c r="F722" t="s">
        <v>1377</v>
      </c>
      <c r="G722" s="1" t="s">
        <v>2999</v>
      </c>
      <c r="H722" t="s">
        <v>20</v>
      </c>
      <c r="I722" s="1" t="str">
        <f t="shared" si="45"/>
        <v>Male</v>
      </c>
      <c r="J722" s="3">
        <v>24</v>
      </c>
      <c r="K722" s="3" t="str" cm="1">
        <f t="array" ref="K722">_xlfn.IFS(J722&lt;=13,"Child",J722&lt;=18,"Teenager",J722&lt;=30,"Young Adult",J722&lt;=50,"Middle Aged Adult",J722&gt;50,"Senior")</f>
        <v>Young Adult</v>
      </c>
      <c r="L722">
        <v>0</v>
      </c>
      <c r="M722">
        <v>0</v>
      </c>
      <c r="N722" s="1">
        <f t="shared" si="46"/>
        <v>1</v>
      </c>
      <c r="O722" s="1" t="str">
        <f t="shared" si="47"/>
        <v>Single</v>
      </c>
      <c r="P722">
        <v>7.25</v>
      </c>
      <c r="Q722" s="1" t="str" cm="1">
        <f t="array" ref="Q722">_xlfn.IFS(P722&lt;=50,"Low",P722&lt;=100,"Medium",P722&gt;100,"High")</f>
        <v>Low</v>
      </c>
      <c r="R722" t="s">
        <v>463</v>
      </c>
      <c r="S722" s="1" t="str" cm="1">
        <f t="array" ref="S722">_xlfn.IFS(R722="S","Southampton",R722="C","Cherbourg",R722="Q","Queenstown")</f>
        <v>Queenstown</v>
      </c>
    </row>
    <row r="723" spans="1:19" x14ac:dyDescent="0.3">
      <c r="A723">
        <v>722</v>
      </c>
      <c r="B723">
        <v>3</v>
      </c>
      <c r="C723" s="1" t="str" cm="1">
        <f t="array" ref="C723">_xlfn.IFS(B723=1,"First Class",B723=2,"Second Class",B723=3,"Third Class")</f>
        <v>Third Class</v>
      </c>
      <c r="D723">
        <v>0</v>
      </c>
      <c r="E723" s="1" t="str">
        <f t="shared" si="44"/>
        <v>Dead</v>
      </c>
      <c r="F723" t="s">
        <v>1379</v>
      </c>
      <c r="G723" s="1" t="s">
        <v>2999</v>
      </c>
      <c r="H723" t="s">
        <v>20</v>
      </c>
      <c r="I723" s="1" t="str">
        <f t="shared" si="45"/>
        <v>Male</v>
      </c>
      <c r="J723" s="3">
        <v>36</v>
      </c>
      <c r="K723" s="3" t="str" cm="1">
        <f t="array" ref="K723">_xlfn.IFS(J723&lt;=13,"Child",J723&lt;=18,"Teenager",J723&lt;=30,"Young Adult",J723&lt;=50,"Middle Aged Adult",J723&gt;50,"Senior")</f>
        <v>Middle Aged Adult</v>
      </c>
      <c r="L723">
        <v>0</v>
      </c>
      <c r="M723">
        <v>0</v>
      </c>
      <c r="N723" s="1">
        <f t="shared" si="46"/>
        <v>1</v>
      </c>
      <c r="O723" s="1" t="str">
        <f t="shared" si="47"/>
        <v>Single</v>
      </c>
      <c r="P723">
        <v>7.4958</v>
      </c>
      <c r="Q723" s="1" t="str" cm="1">
        <f t="array" ref="Q723">_xlfn.IFS(P723&lt;=50,"Low",P723&lt;=100,"Medium",P723&gt;100,"High")</f>
        <v>Low</v>
      </c>
      <c r="R723" t="s">
        <v>17</v>
      </c>
      <c r="S723" s="1" t="str" cm="1">
        <f t="array" ref="S723">_xlfn.IFS(R723="S","Southampton",R723="C","Cherbourg",R723="Q","Queenstown")</f>
        <v>Southampton</v>
      </c>
    </row>
    <row r="724" spans="1:19" x14ac:dyDescent="0.3">
      <c r="A724">
        <v>723</v>
      </c>
      <c r="B724">
        <v>3</v>
      </c>
      <c r="C724" s="1" t="str" cm="1">
        <f t="array" ref="C724">_xlfn.IFS(B724=1,"First Class",B724=2,"Second Class",B724=3,"Third Class")</f>
        <v>Third Class</v>
      </c>
      <c r="D724">
        <v>0</v>
      </c>
      <c r="E724" s="1" t="str">
        <f t="shared" si="44"/>
        <v>Dead</v>
      </c>
      <c r="F724" t="s">
        <v>1380</v>
      </c>
      <c r="G724" s="1" t="s">
        <v>2999</v>
      </c>
      <c r="H724" t="s">
        <v>20</v>
      </c>
      <c r="I724" s="1" t="str">
        <f t="shared" si="45"/>
        <v>Male</v>
      </c>
      <c r="J724" s="3">
        <v>24</v>
      </c>
      <c r="K724" s="3" t="str" cm="1">
        <f t="array" ref="K724">_xlfn.IFS(J724&lt;=13,"Child",J724&lt;=18,"Teenager",J724&lt;=30,"Young Adult",J724&lt;=50,"Middle Aged Adult",J724&gt;50,"Senior")</f>
        <v>Young Adult</v>
      </c>
      <c r="L724">
        <v>0</v>
      </c>
      <c r="M724">
        <v>0</v>
      </c>
      <c r="N724" s="1">
        <f t="shared" si="46"/>
        <v>1</v>
      </c>
      <c r="O724" s="1" t="str">
        <f t="shared" si="47"/>
        <v>Single</v>
      </c>
      <c r="P724">
        <v>7.4958</v>
      </c>
      <c r="Q724" s="1" t="str" cm="1">
        <f t="array" ref="Q724">_xlfn.IFS(P724&lt;=50,"Low",P724&lt;=100,"Medium",P724&gt;100,"High")</f>
        <v>Low</v>
      </c>
      <c r="R724" t="s">
        <v>17</v>
      </c>
      <c r="S724" s="1" t="str" cm="1">
        <f t="array" ref="S724">_xlfn.IFS(R724="S","Southampton",R724="C","Cherbourg",R724="Q","Queenstown")</f>
        <v>Southampton</v>
      </c>
    </row>
    <row r="725" spans="1:19" x14ac:dyDescent="0.3">
      <c r="A725">
        <v>724</v>
      </c>
      <c r="B725">
        <v>3</v>
      </c>
      <c r="C725" s="1" t="str" cm="1">
        <f t="array" ref="C725">_xlfn.IFS(B725=1,"First Class",B725=2,"Second Class",B725=3,"Third Class")</f>
        <v>Third Class</v>
      </c>
      <c r="D725">
        <v>0</v>
      </c>
      <c r="E725" s="1" t="str">
        <f t="shared" si="44"/>
        <v>Dead</v>
      </c>
      <c r="F725" t="s">
        <v>1381</v>
      </c>
      <c r="G725" s="1" t="s">
        <v>2999</v>
      </c>
      <c r="H725" t="s">
        <v>20</v>
      </c>
      <c r="I725" s="1" t="str">
        <f t="shared" si="45"/>
        <v>Male</v>
      </c>
      <c r="J725" s="3">
        <v>31</v>
      </c>
      <c r="K725" s="3" t="str" cm="1">
        <f t="array" ref="K725">_xlfn.IFS(J725&lt;=13,"Child",J725&lt;=18,"Teenager",J725&lt;=30,"Young Adult",J725&lt;=50,"Middle Aged Adult",J725&gt;50,"Senior")</f>
        <v>Middle Aged Adult</v>
      </c>
      <c r="L725">
        <v>0</v>
      </c>
      <c r="M725">
        <v>0</v>
      </c>
      <c r="N725" s="1">
        <f t="shared" si="46"/>
        <v>1</v>
      </c>
      <c r="O725" s="1" t="str">
        <f t="shared" si="47"/>
        <v>Single</v>
      </c>
      <c r="P725">
        <v>7.7332999999999998</v>
      </c>
      <c r="Q725" s="1" t="str" cm="1">
        <f t="array" ref="Q725">_xlfn.IFS(P725&lt;=50,"Low",P725&lt;=100,"Medium",P725&gt;100,"High")</f>
        <v>Low</v>
      </c>
      <c r="R725" t="s">
        <v>463</v>
      </c>
      <c r="S725" s="1" t="str" cm="1">
        <f t="array" ref="S725">_xlfn.IFS(R725="S","Southampton",R725="C","Cherbourg",R725="Q","Queenstown")</f>
        <v>Queenstown</v>
      </c>
    </row>
    <row r="726" spans="1:19" x14ac:dyDescent="0.3">
      <c r="A726">
        <v>725</v>
      </c>
      <c r="B726">
        <v>3</v>
      </c>
      <c r="C726" s="1" t="str" cm="1">
        <f t="array" ref="C726">_xlfn.IFS(B726=1,"First Class",B726=2,"Second Class",B726=3,"Third Class")</f>
        <v>Third Class</v>
      </c>
      <c r="D726">
        <v>0</v>
      </c>
      <c r="E726" s="1" t="str">
        <f t="shared" si="44"/>
        <v>Dead</v>
      </c>
      <c r="F726" t="s">
        <v>1382</v>
      </c>
      <c r="G726" s="1" t="s">
        <v>2999</v>
      </c>
      <c r="H726" t="s">
        <v>20</v>
      </c>
      <c r="I726" s="1" t="str">
        <f t="shared" si="45"/>
        <v>Male</v>
      </c>
      <c r="J726" s="3">
        <v>31</v>
      </c>
      <c r="K726" s="3" t="str" cm="1">
        <f t="array" ref="K726">_xlfn.IFS(J726&lt;=13,"Child",J726&lt;=18,"Teenager",J726&lt;=30,"Young Adult",J726&lt;=50,"Middle Aged Adult",J726&gt;50,"Senior")</f>
        <v>Middle Aged Adult</v>
      </c>
      <c r="L726">
        <v>0</v>
      </c>
      <c r="M726">
        <v>0</v>
      </c>
      <c r="N726" s="1">
        <f t="shared" si="46"/>
        <v>1</v>
      </c>
      <c r="O726" s="1" t="str">
        <f t="shared" si="47"/>
        <v>Single</v>
      </c>
      <c r="P726">
        <v>7.75</v>
      </c>
      <c r="Q726" s="1" t="str" cm="1">
        <f t="array" ref="Q726">_xlfn.IFS(P726&lt;=50,"Low",P726&lt;=100,"Medium",P726&gt;100,"High")</f>
        <v>Low</v>
      </c>
      <c r="R726" t="s">
        <v>463</v>
      </c>
      <c r="S726" s="1" t="str" cm="1">
        <f t="array" ref="S726">_xlfn.IFS(R726="S","Southampton",R726="C","Cherbourg",R726="Q","Queenstown")</f>
        <v>Queenstown</v>
      </c>
    </row>
    <row r="727" spans="1:19" x14ac:dyDescent="0.3">
      <c r="A727">
        <v>726</v>
      </c>
      <c r="B727">
        <v>3</v>
      </c>
      <c r="C727" s="1" t="str" cm="1">
        <f t="array" ref="C727">_xlfn.IFS(B727=1,"First Class",B727=2,"Second Class",B727=3,"Third Class")</f>
        <v>Third Class</v>
      </c>
      <c r="D727">
        <v>1</v>
      </c>
      <c r="E727" s="1" t="str">
        <f t="shared" si="44"/>
        <v>Alive</v>
      </c>
      <c r="F727" t="s">
        <v>1384</v>
      </c>
      <c r="G727" s="1" t="s">
        <v>2994</v>
      </c>
      <c r="H727" t="s">
        <v>15</v>
      </c>
      <c r="I727" s="1" t="str">
        <f t="shared" si="45"/>
        <v>Female</v>
      </c>
      <c r="J727" s="3">
        <v>22</v>
      </c>
      <c r="K727" s="3" t="str" cm="1">
        <f t="array" ref="K727">_xlfn.IFS(J727&lt;=13,"Child",J727&lt;=18,"Teenager",J727&lt;=30,"Young Adult",J727&lt;=50,"Middle Aged Adult",J727&gt;50,"Senior")</f>
        <v>Young Adult</v>
      </c>
      <c r="L727">
        <v>0</v>
      </c>
      <c r="M727">
        <v>0</v>
      </c>
      <c r="N727" s="1">
        <f t="shared" si="46"/>
        <v>1</v>
      </c>
      <c r="O727" s="1" t="str">
        <f t="shared" si="47"/>
        <v>Single</v>
      </c>
      <c r="P727">
        <v>7.75</v>
      </c>
      <c r="Q727" s="1" t="str" cm="1">
        <f t="array" ref="Q727">_xlfn.IFS(P727&lt;=50,"Low",P727&lt;=100,"Medium",P727&gt;100,"High")</f>
        <v>Low</v>
      </c>
      <c r="R727" t="s">
        <v>463</v>
      </c>
      <c r="S727" s="1" t="str" cm="1">
        <f t="array" ref="S727">_xlfn.IFS(R727="S","Southampton",R727="C","Cherbourg",R727="Q","Queenstown")</f>
        <v>Queenstown</v>
      </c>
    </row>
    <row r="728" spans="1:19" x14ac:dyDescent="0.3">
      <c r="A728">
        <v>727</v>
      </c>
      <c r="B728">
        <v>3</v>
      </c>
      <c r="C728" s="1" t="str" cm="1">
        <f t="array" ref="C728">_xlfn.IFS(B728=1,"First Class",B728=2,"Second Class",B728=3,"Third Class")</f>
        <v>Third Class</v>
      </c>
      <c r="D728">
        <v>0</v>
      </c>
      <c r="E728" s="1" t="str">
        <f t="shared" si="44"/>
        <v>Dead</v>
      </c>
      <c r="F728" t="s">
        <v>1384</v>
      </c>
      <c r="G728" s="1" t="s">
        <v>2994</v>
      </c>
      <c r="H728" t="s">
        <v>15</v>
      </c>
      <c r="I728" s="1" t="str">
        <f t="shared" si="45"/>
        <v>Female</v>
      </c>
      <c r="J728" s="3">
        <v>30</v>
      </c>
      <c r="K728" s="3" t="str" cm="1">
        <f t="array" ref="K728">_xlfn.IFS(J728&lt;=13,"Child",J728&lt;=18,"Teenager",J728&lt;=30,"Young Adult",J728&lt;=50,"Middle Aged Adult",J728&gt;50,"Senior")</f>
        <v>Young Adult</v>
      </c>
      <c r="L728">
        <v>0</v>
      </c>
      <c r="M728">
        <v>0</v>
      </c>
      <c r="N728" s="1">
        <f t="shared" si="46"/>
        <v>1</v>
      </c>
      <c r="O728" s="1" t="str">
        <f t="shared" si="47"/>
        <v>Single</v>
      </c>
      <c r="P728">
        <v>7.6292</v>
      </c>
      <c r="Q728" s="1" t="str" cm="1">
        <f t="array" ref="Q728">_xlfn.IFS(P728&lt;=50,"Low",P728&lt;=100,"Medium",P728&gt;100,"High")</f>
        <v>Low</v>
      </c>
      <c r="R728" t="s">
        <v>463</v>
      </c>
      <c r="S728" s="1" t="str" cm="1">
        <f t="array" ref="S728">_xlfn.IFS(R728="S","Southampton",R728="C","Cherbourg",R728="Q","Queenstown")</f>
        <v>Queenstown</v>
      </c>
    </row>
    <row r="729" spans="1:19" x14ac:dyDescent="0.3">
      <c r="A729">
        <v>728</v>
      </c>
      <c r="B729">
        <v>3</v>
      </c>
      <c r="C729" s="1" t="str" cm="1">
        <f t="array" ref="C729">_xlfn.IFS(B729=1,"First Class",B729=2,"Second Class",B729=3,"Third Class")</f>
        <v>Third Class</v>
      </c>
      <c r="D729">
        <v>0</v>
      </c>
      <c r="E729" s="1" t="str">
        <f t="shared" si="44"/>
        <v>Dead</v>
      </c>
      <c r="F729" t="s">
        <v>1386</v>
      </c>
      <c r="G729" s="1" t="s">
        <v>2999</v>
      </c>
      <c r="H729" t="s">
        <v>20</v>
      </c>
      <c r="I729" s="1" t="str">
        <f t="shared" si="45"/>
        <v>Male</v>
      </c>
      <c r="J729" s="3">
        <v>70.5</v>
      </c>
      <c r="K729" s="3" t="str" cm="1">
        <f t="array" ref="K729">_xlfn.IFS(J729&lt;=13,"Child",J729&lt;=18,"Teenager",J729&lt;=30,"Young Adult",J729&lt;=50,"Middle Aged Adult",J729&gt;50,"Senior")</f>
        <v>Senior</v>
      </c>
      <c r="L729">
        <v>0</v>
      </c>
      <c r="M729">
        <v>0</v>
      </c>
      <c r="N729" s="1">
        <f t="shared" si="46"/>
        <v>1</v>
      </c>
      <c r="O729" s="1" t="str">
        <f t="shared" si="47"/>
        <v>Single</v>
      </c>
      <c r="P729">
        <v>7.75</v>
      </c>
      <c r="Q729" s="1" t="str" cm="1">
        <f t="array" ref="Q729">_xlfn.IFS(P729&lt;=50,"Low",P729&lt;=100,"Medium",P729&gt;100,"High")</f>
        <v>Low</v>
      </c>
      <c r="R729" t="s">
        <v>463</v>
      </c>
      <c r="S729" s="1" t="str" cm="1">
        <f t="array" ref="S729">_xlfn.IFS(R729="S","Southampton",R729="C","Cherbourg",R729="Q","Queenstown")</f>
        <v>Queenstown</v>
      </c>
    </row>
    <row r="730" spans="1:19" x14ac:dyDescent="0.3">
      <c r="A730">
        <v>729</v>
      </c>
      <c r="B730">
        <v>3</v>
      </c>
      <c r="C730" s="1" t="str" cm="1">
        <f t="array" ref="C730">_xlfn.IFS(B730=1,"First Class",B730=2,"Second Class",B730=3,"Third Class")</f>
        <v>Third Class</v>
      </c>
      <c r="D730">
        <v>0</v>
      </c>
      <c r="E730" s="1" t="str">
        <f t="shared" si="44"/>
        <v>Dead</v>
      </c>
      <c r="F730" t="s">
        <v>1387</v>
      </c>
      <c r="G730" s="1" t="s">
        <v>2999</v>
      </c>
      <c r="H730" t="s">
        <v>20</v>
      </c>
      <c r="I730" s="1" t="str">
        <f t="shared" si="45"/>
        <v>Male</v>
      </c>
      <c r="J730" s="3">
        <v>43</v>
      </c>
      <c r="K730" s="3" t="str" cm="1">
        <f t="array" ref="K730">_xlfn.IFS(J730&lt;=13,"Child",J730&lt;=18,"Teenager",J730&lt;=30,"Young Adult",J730&lt;=50,"Middle Aged Adult",J730&gt;50,"Senior")</f>
        <v>Middle Aged Adult</v>
      </c>
      <c r="L730">
        <v>0</v>
      </c>
      <c r="M730">
        <v>0</v>
      </c>
      <c r="N730" s="1">
        <f t="shared" si="46"/>
        <v>1</v>
      </c>
      <c r="O730" s="1" t="str">
        <f t="shared" si="47"/>
        <v>Single</v>
      </c>
      <c r="P730">
        <v>8.0500000000000007</v>
      </c>
      <c r="Q730" s="1" t="str" cm="1">
        <f t="array" ref="Q730">_xlfn.IFS(P730&lt;=50,"Low",P730&lt;=100,"Medium",P730&gt;100,"High")</f>
        <v>Low</v>
      </c>
      <c r="R730" t="s">
        <v>17</v>
      </c>
      <c r="S730" s="1" t="str" cm="1">
        <f t="array" ref="S730">_xlfn.IFS(R730="S","Southampton",R730="C","Cherbourg",R730="Q","Queenstown")</f>
        <v>Southampton</v>
      </c>
    </row>
    <row r="731" spans="1:19" x14ac:dyDescent="0.3">
      <c r="A731">
        <v>730</v>
      </c>
      <c r="B731">
        <v>3</v>
      </c>
      <c r="C731" s="1" t="str" cm="1">
        <f t="array" ref="C731">_xlfn.IFS(B731=1,"First Class",B731=2,"Second Class",B731=3,"Third Class")</f>
        <v>Third Class</v>
      </c>
      <c r="D731">
        <v>0</v>
      </c>
      <c r="E731" s="1" t="str">
        <f t="shared" si="44"/>
        <v>Dead</v>
      </c>
      <c r="F731" t="s">
        <v>1389</v>
      </c>
      <c r="G731" s="1" t="s">
        <v>2999</v>
      </c>
      <c r="H731" t="s">
        <v>20</v>
      </c>
      <c r="I731" s="1" t="str">
        <f t="shared" si="45"/>
        <v>Male</v>
      </c>
      <c r="J731" s="3">
        <v>35</v>
      </c>
      <c r="K731" s="3" t="str" cm="1">
        <f t="array" ref="K731">_xlfn.IFS(J731&lt;=13,"Child",J731&lt;=18,"Teenager",J731&lt;=30,"Young Adult",J731&lt;=50,"Middle Aged Adult",J731&gt;50,"Senior")</f>
        <v>Middle Aged Adult</v>
      </c>
      <c r="L731">
        <v>0</v>
      </c>
      <c r="M731">
        <v>0</v>
      </c>
      <c r="N731" s="1">
        <f t="shared" si="46"/>
        <v>1</v>
      </c>
      <c r="O731" s="1" t="str">
        <f t="shared" si="47"/>
        <v>Single</v>
      </c>
      <c r="P731">
        <v>7.8958000000000004</v>
      </c>
      <c r="Q731" s="1" t="str" cm="1">
        <f t="array" ref="Q731">_xlfn.IFS(P731&lt;=50,"Low",P731&lt;=100,"Medium",P731&gt;100,"High")</f>
        <v>Low</v>
      </c>
      <c r="R731" t="s">
        <v>17</v>
      </c>
      <c r="S731" s="1" t="str" cm="1">
        <f t="array" ref="S731">_xlfn.IFS(R731="S","Southampton",R731="C","Cherbourg",R731="Q","Queenstown")</f>
        <v>Southampton</v>
      </c>
    </row>
    <row r="732" spans="1:19" x14ac:dyDescent="0.3">
      <c r="A732">
        <v>731</v>
      </c>
      <c r="B732">
        <v>3</v>
      </c>
      <c r="C732" s="1" t="str" cm="1">
        <f t="array" ref="C732">_xlfn.IFS(B732=1,"First Class",B732=2,"Second Class",B732=3,"Third Class")</f>
        <v>Third Class</v>
      </c>
      <c r="D732">
        <v>0</v>
      </c>
      <c r="E732" s="1" t="str">
        <f t="shared" si="44"/>
        <v>Dead</v>
      </c>
      <c r="F732" t="s">
        <v>1391</v>
      </c>
      <c r="G732" s="1" t="s">
        <v>2999</v>
      </c>
      <c r="H732" t="s">
        <v>20</v>
      </c>
      <c r="I732" s="1" t="str">
        <f t="shared" si="45"/>
        <v>Male</v>
      </c>
      <c r="J732" s="3">
        <v>27</v>
      </c>
      <c r="K732" s="3" t="str" cm="1">
        <f t="array" ref="K732">_xlfn.IFS(J732&lt;=13,"Child",J732&lt;=18,"Teenager",J732&lt;=30,"Young Adult",J732&lt;=50,"Middle Aged Adult",J732&gt;50,"Senior")</f>
        <v>Young Adult</v>
      </c>
      <c r="L732">
        <v>0</v>
      </c>
      <c r="M732">
        <v>0</v>
      </c>
      <c r="N732" s="1">
        <f t="shared" si="46"/>
        <v>1</v>
      </c>
      <c r="O732" s="1" t="str">
        <f t="shared" si="47"/>
        <v>Single</v>
      </c>
      <c r="P732">
        <v>7.8958000000000004</v>
      </c>
      <c r="Q732" s="1" t="str" cm="1">
        <f t="array" ref="Q732">_xlfn.IFS(P732&lt;=50,"Low",P732&lt;=100,"Medium",P732&gt;100,"High")</f>
        <v>Low</v>
      </c>
      <c r="R732" t="s">
        <v>17</v>
      </c>
      <c r="S732" s="1" t="str" cm="1">
        <f t="array" ref="S732">_xlfn.IFS(R732="S","Southampton",R732="C","Cherbourg",R732="Q","Queenstown")</f>
        <v>Southampton</v>
      </c>
    </row>
    <row r="733" spans="1:19" x14ac:dyDescent="0.3">
      <c r="A733">
        <v>732</v>
      </c>
      <c r="B733">
        <v>3</v>
      </c>
      <c r="C733" s="1" t="str" cm="1">
        <f t="array" ref="C733">_xlfn.IFS(B733=1,"First Class",B733=2,"Second Class",B733=3,"Third Class")</f>
        <v>Third Class</v>
      </c>
      <c r="D733">
        <v>0</v>
      </c>
      <c r="E733" s="1" t="str">
        <f t="shared" si="44"/>
        <v>Dead</v>
      </c>
      <c r="F733" t="s">
        <v>1392</v>
      </c>
      <c r="G733" s="1" t="s">
        <v>2999</v>
      </c>
      <c r="H733" t="s">
        <v>20</v>
      </c>
      <c r="I733" s="1" t="str">
        <f t="shared" si="45"/>
        <v>Male</v>
      </c>
      <c r="J733" s="3">
        <v>19</v>
      </c>
      <c r="K733" s="3" t="str" cm="1">
        <f t="array" ref="K733">_xlfn.IFS(J733&lt;=13,"Child",J733&lt;=18,"Teenager",J733&lt;=30,"Young Adult",J733&lt;=50,"Middle Aged Adult",J733&gt;50,"Senior")</f>
        <v>Young Adult</v>
      </c>
      <c r="L733">
        <v>0</v>
      </c>
      <c r="M733">
        <v>0</v>
      </c>
      <c r="N733" s="1">
        <f t="shared" si="46"/>
        <v>1</v>
      </c>
      <c r="O733" s="1" t="str">
        <f t="shared" si="47"/>
        <v>Single</v>
      </c>
      <c r="P733">
        <v>7.8958000000000004</v>
      </c>
      <c r="Q733" s="1" t="str" cm="1">
        <f t="array" ref="Q733">_xlfn.IFS(P733&lt;=50,"Low",P733&lt;=100,"Medium",P733&gt;100,"High")</f>
        <v>Low</v>
      </c>
      <c r="R733" t="s">
        <v>17</v>
      </c>
      <c r="S733" s="1" t="str" cm="1">
        <f t="array" ref="S733">_xlfn.IFS(R733="S","Southampton",R733="C","Cherbourg",R733="Q","Queenstown")</f>
        <v>Southampton</v>
      </c>
    </row>
    <row r="734" spans="1:19" x14ac:dyDescent="0.3">
      <c r="A734">
        <v>733</v>
      </c>
      <c r="B734">
        <v>3</v>
      </c>
      <c r="C734" s="1" t="str" cm="1">
        <f t="array" ref="C734">_xlfn.IFS(B734=1,"First Class",B734=2,"Second Class",B734=3,"Third Class")</f>
        <v>Third Class</v>
      </c>
      <c r="D734">
        <v>0</v>
      </c>
      <c r="E734" s="1" t="str">
        <f t="shared" si="44"/>
        <v>Dead</v>
      </c>
      <c r="F734" t="s">
        <v>1393</v>
      </c>
      <c r="G734" s="1" t="s">
        <v>2999</v>
      </c>
      <c r="H734" t="s">
        <v>20</v>
      </c>
      <c r="I734" s="1" t="str">
        <f t="shared" si="45"/>
        <v>Male</v>
      </c>
      <c r="J734" s="3">
        <v>30</v>
      </c>
      <c r="K734" s="3" t="str" cm="1">
        <f t="array" ref="K734">_xlfn.IFS(J734&lt;=13,"Child",J734&lt;=18,"Teenager",J734&lt;=30,"Young Adult",J734&lt;=50,"Middle Aged Adult",J734&gt;50,"Senior")</f>
        <v>Young Adult</v>
      </c>
      <c r="L734">
        <v>0</v>
      </c>
      <c r="M734">
        <v>0</v>
      </c>
      <c r="N734" s="1">
        <f t="shared" si="46"/>
        <v>1</v>
      </c>
      <c r="O734" s="1" t="str">
        <f t="shared" si="47"/>
        <v>Single</v>
      </c>
      <c r="P734">
        <v>8.0500000000000007</v>
      </c>
      <c r="Q734" s="1" t="str" cm="1">
        <f t="array" ref="Q734">_xlfn.IFS(P734&lt;=50,"Low",P734&lt;=100,"Medium",P734&gt;100,"High")</f>
        <v>Low</v>
      </c>
      <c r="R734" t="s">
        <v>17</v>
      </c>
      <c r="S734" s="1" t="str" cm="1">
        <f t="array" ref="S734">_xlfn.IFS(R734="S","Southampton",R734="C","Cherbourg",R734="Q","Queenstown")</f>
        <v>Southampton</v>
      </c>
    </row>
    <row r="735" spans="1:19" x14ac:dyDescent="0.3">
      <c r="A735">
        <v>734</v>
      </c>
      <c r="B735">
        <v>3</v>
      </c>
      <c r="C735" s="1" t="str" cm="1">
        <f t="array" ref="C735">_xlfn.IFS(B735=1,"First Class",B735=2,"Second Class",B735=3,"Third Class")</f>
        <v>Third Class</v>
      </c>
      <c r="D735">
        <v>1</v>
      </c>
      <c r="E735" s="1" t="str">
        <f t="shared" si="44"/>
        <v>Alive</v>
      </c>
      <c r="F735" t="s">
        <v>1395</v>
      </c>
      <c r="G735" s="1" t="s">
        <v>2996</v>
      </c>
      <c r="H735" t="s">
        <v>20</v>
      </c>
      <c r="I735" s="1" t="str">
        <f t="shared" si="45"/>
        <v>Male</v>
      </c>
      <c r="J735" s="3">
        <v>9</v>
      </c>
      <c r="K735" s="3" t="str" cm="1">
        <f t="array" ref="K735">_xlfn.IFS(J735&lt;=13,"Child",J735&lt;=18,"Teenager",J735&lt;=30,"Young Adult",J735&lt;=50,"Middle Aged Adult",J735&gt;50,"Senior")</f>
        <v>Child</v>
      </c>
      <c r="L735">
        <v>1</v>
      </c>
      <c r="M735">
        <v>1</v>
      </c>
      <c r="N735" s="1">
        <f t="shared" si="46"/>
        <v>3</v>
      </c>
      <c r="O735" s="1" t="str">
        <f t="shared" si="47"/>
        <v>With Family</v>
      </c>
      <c r="P735">
        <v>15.9</v>
      </c>
      <c r="Q735" s="1" t="str" cm="1">
        <f t="array" ref="Q735">_xlfn.IFS(P735&lt;=50,"Low",P735&lt;=100,"Medium",P735&gt;100,"High")</f>
        <v>Low</v>
      </c>
      <c r="R735" t="s">
        <v>17</v>
      </c>
      <c r="S735" s="1" t="str" cm="1">
        <f t="array" ref="S735">_xlfn.IFS(R735="S","Southampton",R735="C","Cherbourg",R735="Q","Queenstown")</f>
        <v>Southampton</v>
      </c>
    </row>
    <row r="736" spans="1:19" x14ac:dyDescent="0.3">
      <c r="A736">
        <v>735</v>
      </c>
      <c r="B736">
        <v>3</v>
      </c>
      <c r="C736" s="1" t="str" cm="1">
        <f t="array" ref="C736">_xlfn.IFS(B736=1,"First Class",B736=2,"Second Class",B736=3,"Third Class")</f>
        <v>Third Class</v>
      </c>
      <c r="D736">
        <v>1</v>
      </c>
      <c r="E736" s="1" t="str">
        <f t="shared" si="44"/>
        <v>Alive</v>
      </c>
      <c r="F736" t="s">
        <v>1398</v>
      </c>
      <c r="G736" s="1" t="s">
        <v>2996</v>
      </c>
      <c r="H736" t="s">
        <v>20</v>
      </c>
      <c r="I736" s="1" t="str">
        <f t="shared" si="45"/>
        <v>Male</v>
      </c>
      <c r="J736" s="3">
        <v>3</v>
      </c>
      <c r="K736" s="3" t="str" cm="1">
        <f t="array" ref="K736">_xlfn.IFS(J736&lt;=13,"Child",J736&lt;=18,"Teenager",J736&lt;=30,"Young Adult",J736&lt;=50,"Middle Aged Adult",J736&gt;50,"Senior")</f>
        <v>Child</v>
      </c>
      <c r="L736">
        <v>1</v>
      </c>
      <c r="M736">
        <v>1</v>
      </c>
      <c r="N736" s="1">
        <f t="shared" si="46"/>
        <v>3</v>
      </c>
      <c r="O736" s="1" t="str">
        <f t="shared" si="47"/>
        <v>With Family</v>
      </c>
      <c r="P736">
        <v>15.9</v>
      </c>
      <c r="Q736" s="1" t="str" cm="1">
        <f t="array" ref="Q736">_xlfn.IFS(P736&lt;=50,"Low",P736&lt;=100,"Medium",P736&gt;100,"High")</f>
        <v>Low</v>
      </c>
      <c r="R736" t="s">
        <v>17</v>
      </c>
      <c r="S736" s="1" t="str" cm="1">
        <f t="array" ref="S736">_xlfn.IFS(R736="S","Southampton",R736="C","Cherbourg",R736="Q","Queenstown")</f>
        <v>Southampton</v>
      </c>
    </row>
    <row r="737" spans="1:19" x14ac:dyDescent="0.3">
      <c r="A737">
        <v>736</v>
      </c>
      <c r="B737">
        <v>3</v>
      </c>
      <c r="C737" s="1" t="str" cm="1">
        <f t="array" ref="C737">_xlfn.IFS(B737=1,"First Class",B737=2,"Second Class",B737=3,"Third Class")</f>
        <v>Third Class</v>
      </c>
      <c r="D737">
        <v>1</v>
      </c>
      <c r="E737" s="1" t="str">
        <f t="shared" si="44"/>
        <v>Alive</v>
      </c>
      <c r="F737" t="s">
        <v>1399</v>
      </c>
      <c r="G737" s="1" t="s">
        <v>3001</v>
      </c>
      <c r="H737" t="s">
        <v>15</v>
      </c>
      <c r="I737" s="1" t="str">
        <f t="shared" si="45"/>
        <v>Female</v>
      </c>
      <c r="J737" s="3">
        <v>36</v>
      </c>
      <c r="K737" s="3" t="str" cm="1">
        <f t="array" ref="K737">_xlfn.IFS(J737&lt;=13,"Child",J737&lt;=18,"Teenager",J737&lt;=30,"Young Adult",J737&lt;=50,"Middle Aged Adult",J737&gt;50,"Senior")</f>
        <v>Middle Aged Adult</v>
      </c>
      <c r="L737">
        <v>0</v>
      </c>
      <c r="M737">
        <v>2</v>
      </c>
      <c r="N737" s="1">
        <f t="shared" si="46"/>
        <v>3</v>
      </c>
      <c r="O737" s="1" t="str">
        <f t="shared" si="47"/>
        <v>With Family</v>
      </c>
      <c r="P737">
        <v>15.9</v>
      </c>
      <c r="Q737" s="1" t="str" cm="1">
        <f t="array" ref="Q737">_xlfn.IFS(P737&lt;=50,"Low",P737&lt;=100,"Medium",P737&gt;100,"High")</f>
        <v>Low</v>
      </c>
      <c r="R737" t="s">
        <v>17</v>
      </c>
      <c r="S737" s="1" t="str" cm="1">
        <f t="array" ref="S737">_xlfn.IFS(R737="S","Southampton",R737="C","Cherbourg",R737="Q","Queenstown")</f>
        <v>Southampton</v>
      </c>
    </row>
    <row r="738" spans="1:19" x14ac:dyDescent="0.3">
      <c r="A738">
        <v>737</v>
      </c>
      <c r="B738">
        <v>3</v>
      </c>
      <c r="C738" s="1" t="str" cm="1">
        <f t="array" ref="C738">_xlfn.IFS(B738=1,"First Class",B738=2,"Second Class",B738=3,"Third Class")</f>
        <v>Third Class</v>
      </c>
      <c r="D738">
        <v>0</v>
      </c>
      <c r="E738" s="1" t="str">
        <f t="shared" si="44"/>
        <v>Dead</v>
      </c>
      <c r="F738" t="s">
        <v>1400</v>
      </c>
      <c r="G738" s="1" t="s">
        <v>2999</v>
      </c>
      <c r="H738" t="s">
        <v>20</v>
      </c>
      <c r="I738" s="1" t="str">
        <f t="shared" si="45"/>
        <v>Male</v>
      </c>
      <c r="J738" s="3">
        <v>59</v>
      </c>
      <c r="K738" s="3" t="str" cm="1">
        <f t="array" ref="K738">_xlfn.IFS(J738&lt;=13,"Child",J738&lt;=18,"Teenager",J738&lt;=30,"Young Adult",J738&lt;=50,"Middle Aged Adult",J738&gt;50,"Senior")</f>
        <v>Senior</v>
      </c>
      <c r="L738">
        <v>0</v>
      </c>
      <c r="M738">
        <v>0</v>
      </c>
      <c r="N738" s="1">
        <f t="shared" si="46"/>
        <v>1</v>
      </c>
      <c r="O738" s="1" t="str">
        <f t="shared" si="47"/>
        <v>Single</v>
      </c>
      <c r="P738">
        <v>7.25</v>
      </c>
      <c r="Q738" s="1" t="str" cm="1">
        <f t="array" ref="Q738">_xlfn.IFS(P738&lt;=50,"Low",P738&lt;=100,"Medium",P738&gt;100,"High")</f>
        <v>Low</v>
      </c>
      <c r="R738" t="s">
        <v>17</v>
      </c>
      <c r="S738" s="1" t="str" cm="1">
        <f t="array" ref="S738">_xlfn.IFS(R738="S","Southampton",R738="C","Cherbourg",R738="Q","Queenstown")</f>
        <v>Southampton</v>
      </c>
    </row>
    <row r="739" spans="1:19" x14ac:dyDescent="0.3">
      <c r="A739">
        <v>738</v>
      </c>
      <c r="B739">
        <v>3</v>
      </c>
      <c r="C739" s="1" t="str" cm="1">
        <f t="array" ref="C739">_xlfn.IFS(B739=1,"First Class",B739=2,"Second Class",B739=3,"Third Class")</f>
        <v>Third Class</v>
      </c>
      <c r="D739">
        <v>0</v>
      </c>
      <c r="E739" s="1" t="str">
        <f t="shared" si="44"/>
        <v>Dead</v>
      </c>
      <c r="F739" t="s">
        <v>1402</v>
      </c>
      <c r="G739" s="1" t="s">
        <v>2999</v>
      </c>
      <c r="H739" t="s">
        <v>20</v>
      </c>
      <c r="I739" s="1" t="str">
        <f t="shared" si="45"/>
        <v>Male</v>
      </c>
      <c r="J739" s="3">
        <v>19</v>
      </c>
      <c r="K739" s="3" t="str" cm="1">
        <f t="array" ref="K739">_xlfn.IFS(J739&lt;=13,"Child",J739&lt;=18,"Teenager",J739&lt;=30,"Young Adult",J739&lt;=50,"Middle Aged Adult",J739&gt;50,"Senior")</f>
        <v>Young Adult</v>
      </c>
      <c r="L739">
        <v>0</v>
      </c>
      <c r="M739">
        <v>0</v>
      </c>
      <c r="N739" s="1">
        <f t="shared" si="46"/>
        <v>1</v>
      </c>
      <c r="O739" s="1" t="str">
        <f t="shared" si="47"/>
        <v>Single</v>
      </c>
      <c r="P739">
        <v>8.1583000000000006</v>
      </c>
      <c r="Q739" s="1" t="str" cm="1">
        <f t="array" ref="Q739">_xlfn.IFS(P739&lt;=50,"Low",P739&lt;=100,"Medium",P739&gt;100,"High")</f>
        <v>Low</v>
      </c>
      <c r="R739" t="s">
        <v>17</v>
      </c>
      <c r="S739" s="1" t="str" cm="1">
        <f t="array" ref="S739">_xlfn.IFS(R739="S","Southampton",R739="C","Cherbourg",R739="Q","Queenstown")</f>
        <v>Southampton</v>
      </c>
    </row>
    <row r="740" spans="1:19" x14ac:dyDescent="0.3">
      <c r="A740">
        <v>739</v>
      </c>
      <c r="B740">
        <v>3</v>
      </c>
      <c r="C740" s="1" t="str" cm="1">
        <f t="array" ref="C740">_xlfn.IFS(B740=1,"First Class",B740=2,"Second Class",B740=3,"Third Class")</f>
        <v>Third Class</v>
      </c>
      <c r="D740">
        <v>1</v>
      </c>
      <c r="E740" s="1" t="str">
        <f t="shared" si="44"/>
        <v>Alive</v>
      </c>
      <c r="F740" t="s">
        <v>1405</v>
      </c>
      <c r="G740" s="1" t="s">
        <v>2994</v>
      </c>
      <c r="H740" t="s">
        <v>15</v>
      </c>
      <c r="I740" s="1" t="str">
        <f t="shared" si="45"/>
        <v>Female</v>
      </c>
      <c r="J740" s="3">
        <v>17</v>
      </c>
      <c r="K740" s="3" t="str" cm="1">
        <f t="array" ref="K740">_xlfn.IFS(J740&lt;=13,"Child",J740&lt;=18,"Teenager",J740&lt;=30,"Young Adult",J740&lt;=50,"Middle Aged Adult",J740&gt;50,"Senior")</f>
        <v>Teenager</v>
      </c>
      <c r="L740">
        <v>0</v>
      </c>
      <c r="M740">
        <v>1</v>
      </c>
      <c r="N740" s="1">
        <f t="shared" si="46"/>
        <v>2</v>
      </c>
      <c r="O740" s="1" t="str">
        <f t="shared" si="47"/>
        <v>With Family</v>
      </c>
      <c r="P740">
        <v>16.100000000000001</v>
      </c>
      <c r="Q740" s="1" t="str" cm="1">
        <f t="array" ref="Q740">_xlfn.IFS(P740&lt;=50,"Low",P740&lt;=100,"Medium",P740&gt;100,"High")</f>
        <v>Low</v>
      </c>
      <c r="R740" t="s">
        <v>17</v>
      </c>
      <c r="S740" s="1" t="str" cm="1">
        <f t="array" ref="S740">_xlfn.IFS(R740="S","Southampton",R740="C","Cherbourg",R740="Q","Queenstown")</f>
        <v>Southampton</v>
      </c>
    </row>
    <row r="741" spans="1:19" x14ac:dyDescent="0.3">
      <c r="A741">
        <v>740</v>
      </c>
      <c r="B741">
        <v>3</v>
      </c>
      <c r="C741" s="1" t="str" cm="1">
        <f t="array" ref="C741">_xlfn.IFS(B741=1,"First Class",B741=2,"Second Class",B741=3,"Third Class")</f>
        <v>Third Class</v>
      </c>
      <c r="D741">
        <v>0</v>
      </c>
      <c r="E741" s="1" t="str">
        <f t="shared" si="44"/>
        <v>Dead</v>
      </c>
      <c r="F741" t="s">
        <v>1407</v>
      </c>
      <c r="G741" s="1" t="s">
        <v>2999</v>
      </c>
      <c r="H741" t="s">
        <v>20</v>
      </c>
      <c r="I741" s="1" t="str">
        <f t="shared" si="45"/>
        <v>Male</v>
      </c>
      <c r="J741" s="3">
        <v>44</v>
      </c>
      <c r="K741" s="3" t="str" cm="1">
        <f t="array" ref="K741">_xlfn.IFS(J741&lt;=13,"Child",J741&lt;=18,"Teenager",J741&lt;=30,"Young Adult",J741&lt;=50,"Middle Aged Adult",J741&gt;50,"Senior")</f>
        <v>Middle Aged Adult</v>
      </c>
      <c r="L741">
        <v>0</v>
      </c>
      <c r="M741">
        <v>1</v>
      </c>
      <c r="N741" s="1">
        <f t="shared" si="46"/>
        <v>2</v>
      </c>
      <c r="O741" s="1" t="str">
        <f t="shared" si="47"/>
        <v>With Family</v>
      </c>
      <c r="P741">
        <v>16.100000000000001</v>
      </c>
      <c r="Q741" s="1" t="str" cm="1">
        <f t="array" ref="Q741">_xlfn.IFS(P741&lt;=50,"Low",P741&lt;=100,"Medium",P741&gt;100,"High")</f>
        <v>Low</v>
      </c>
      <c r="R741" t="s">
        <v>17</v>
      </c>
      <c r="S741" s="1" t="str" cm="1">
        <f t="array" ref="S741">_xlfn.IFS(R741="S","Southampton",R741="C","Cherbourg",R741="Q","Queenstown")</f>
        <v>Southampton</v>
      </c>
    </row>
    <row r="742" spans="1:19" x14ac:dyDescent="0.3">
      <c r="A742">
        <v>741</v>
      </c>
      <c r="B742">
        <v>3</v>
      </c>
      <c r="C742" s="1" t="str" cm="1">
        <f t="array" ref="C742">_xlfn.IFS(B742=1,"First Class",B742=2,"Second Class",B742=3,"Third Class")</f>
        <v>Third Class</v>
      </c>
      <c r="D742">
        <v>0</v>
      </c>
      <c r="E742" s="1" t="str">
        <f t="shared" si="44"/>
        <v>Dead</v>
      </c>
      <c r="F742" t="s">
        <v>1408</v>
      </c>
      <c r="G742" s="1" t="s">
        <v>2999</v>
      </c>
      <c r="H742" t="s">
        <v>20</v>
      </c>
      <c r="I742" s="1" t="str">
        <f t="shared" si="45"/>
        <v>Male</v>
      </c>
      <c r="J742" s="3">
        <v>17</v>
      </c>
      <c r="K742" s="3" t="str" cm="1">
        <f t="array" ref="K742">_xlfn.IFS(J742&lt;=13,"Child",J742&lt;=18,"Teenager",J742&lt;=30,"Young Adult",J742&lt;=50,"Middle Aged Adult",J742&gt;50,"Senior")</f>
        <v>Teenager</v>
      </c>
      <c r="L742">
        <v>0</v>
      </c>
      <c r="M742">
        <v>0</v>
      </c>
      <c r="N742" s="1">
        <f t="shared" si="46"/>
        <v>1</v>
      </c>
      <c r="O742" s="1" t="str">
        <f t="shared" si="47"/>
        <v>Single</v>
      </c>
      <c r="P742">
        <v>8.6624999999999996</v>
      </c>
      <c r="Q742" s="1" t="str" cm="1">
        <f t="array" ref="Q742">_xlfn.IFS(P742&lt;=50,"Low",P742&lt;=100,"Medium",P742&gt;100,"High")</f>
        <v>Low</v>
      </c>
      <c r="R742" t="s">
        <v>17</v>
      </c>
      <c r="S742" s="1" t="str" cm="1">
        <f t="array" ref="S742">_xlfn.IFS(R742="S","Southampton",R742="C","Cherbourg",R742="Q","Queenstown")</f>
        <v>Southampton</v>
      </c>
    </row>
    <row r="743" spans="1:19" x14ac:dyDescent="0.3">
      <c r="A743">
        <v>742</v>
      </c>
      <c r="B743">
        <v>3</v>
      </c>
      <c r="C743" s="1" t="str" cm="1">
        <f t="array" ref="C743">_xlfn.IFS(B743=1,"First Class",B743=2,"Second Class",B743=3,"Third Class")</f>
        <v>Third Class</v>
      </c>
      <c r="D743">
        <v>0</v>
      </c>
      <c r="E743" s="1" t="str">
        <f t="shared" si="44"/>
        <v>Dead</v>
      </c>
      <c r="F743" t="s">
        <v>1410</v>
      </c>
      <c r="G743" s="1" t="s">
        <v>2999</v>
      </c>
      <c r="H743" t="s">
        <v>20</v>
      </c>
      <c r="I743" s="1" t="str">
        <f t="shared" si="45"/>
        <v>Male</v>
      </c>
      <c r="J743" s="3">
        <v>22.5</v>
      </c>
      <c r="K743" s="3" t="str" cm="1">
        <f t="array" ref="K743">_xlfn.IFS(J743&lt;=13,"Child",J743&lt;=18,"Teenager",J743&lt;=30,"Young Adult",J743&lt;=50,"Middle Aged Adult",J743&gt;50,"Senior")</f>
        <v>Young Adult</v>
      </c>
      <c r="L743">
        <v>0</v>
      </c>
      <c r="M743">
        <v>0</v>
      </c>
      <c r="N743" s="1">
        <f t="shared" si="46"/>
        <v>1</v>
      </c>
      <c r="O743" s="1" t="str">
        <f t="shared" si="47"/>
        <v>Single</v>
      </c>
      <c r="P743">
        <v>7.2249999999999996</v>
      </c>
      <c r="Q743" s="1" t="str" cm="1">
        <f t="array" ref="Q743">_xlfn.IFS(P743&lt;=50,"Low",P743&lt;=100,"Medium",P743&gt;100,"High")</f>
        <v>Low</v>
      </c>
      <c r="R743" t="s">
        <v>41</v>
      </c>
      <c r="S743" s="1" t="str" cm="1">
        <f t="array" ref="S743">_xlfn.IFS(R743="S","Southampton",R743="C","Cherbourg",R743="Q","Queenstown")</f>
        <v>Cherbourg</v>
      </c>
    </row>
    <row r="744" spans="1:19" x14ac:dyDescent="0.3">
      <c r="A744">
        <v>743</v>
      </c>
      <c r="B744">
        <v>3</v>
      </c>
      <c r="C744" s="1" t="str" cm="1">
        <f t="array" ref="C744">_xlfn.IFS(B744=1,"First Class",B744=2,"Second Class",B744=3,"Third Class")</f>
        <v>Third Class</v>
      </c>
      <c r="D744">
        <v>1</v>
      </c>
      <c r="E744" s="1" t="str">
        <f t="shared" si="44"/>
        <v>Alive</v>
      </c>
      <c r="F744" t="s">
        <v>1411</v>
      </c>
      <c r="G744" s="1" t="s">
        <v>2999</v>
      </c>
      <c r="H744" t="s">
        <v>20</v>
      </c>
      <c r="I744" s="1" t="str">
        <f t="shared" si="45"/>
        <v>Male</v>
      </c>
      <c r="J744" s="3">
        <v>45</v>
      </c>
      <c r="K744" s="3" t="str" cm="1">
        <f t="array" ref="K744">_xlfn.IFS(J744&lt;=13,"Child",J744&lt;=18,"Teenager",J744&lt;=30,"Young Adult",J744&lt;=50,"Middle Aged Adult",J744&gt;50,"Senior")</f>
        <v>Middle Aged Adult</v>
      </c>
      <c r="L744">
        <v>0</v>
      </c>
      <c r="M744">
        <v>0</v>
      </c>
      <c r="N744" s="1">
        <f t="shared" si="46"/>
        <v>1</v>
      </c>
      <c r="O744" s="1" t="str">
        <f t="shared" si="47"/>
        <v>Single</v>
      </c>
      <c r="P744">
        <v>8.0500000000000007</v>
      </c>
      <c r="Q744" s="1" t="str" cm="1">
        <f t="array" ref="Q744">_xlfn.IFS(P744&lt;=50,"Low",P744&lt;=100,"Medium",P744&gt;100,"High")</f>
        <v>Low</v>
      </c>
      <c r="R744" t="s">
        <v>17</v>
      </c>
      <c r="S744" s="1" t="str" cm="1">
        <f t="array" ref="S744">_xlfn.IFS(R744="S","Southampton",R744="C","Cherbourg",R744="Q","Queenstown")</f>
        <v>Southampton</v>
      </c>
    </row>
    <row r="745" spans="1:19" x14ac:dyDescent="0.3">
      <c r="A745">
        <v>744</v>
      </c>
      <c r="B745">
        <v>3</v>
      </c>
      <c r="C745" s="1" t="str" cm="1">
        <f t="array" ref="C745">_xlfn.IFS(B745=1,"First Class",B745=2,"Second Class",B745=3,"Third Class")</f>
        <v>Third Class</v>
      </c>
      <c r="D745">
        <v>0</v>
      </c>
      <c r="E745" s="1" t="str">
        <f t="shared" si="44"/>
        <v>Dead</v>
      </c>
      <c r="F745" t="s">
        <v>1413</v>
      </c>
      <c r="G745" s="1" t="s">
        <v>2994</v>
      </c>
      <c r="H745" t="s">
        <v>15</v>
      </c>
      <c r="I745" s="1" t="str">
        <f t="shared" si="45"/>
        <v>Female</v>
      </c>
      <c r="J745" s="3">
        <v>22</v>
      </c>
      <c r="K745" s="3" t="str" cm="1">
        <f t="array" ref="K745">_xlfn.IFS(J745&lt;=13,"Child",J745&lt;=18,"Teenager",J745&lt;=30,"Young Adult",J745&lt;=50,"Middle Aged Adult",J745&gt;50,"Senior")</f>
        <v>Young Adult</v>
      </c>
      <c r="L745">
        <v>0</v>
      </c>
      <c r="M745">
        <v>0</v>
      </c>
      <c r="N745" s="1">
        <f t="shared" si="46"/>
        <v>1</v>
      </c>
      <c r="O745" s="1" t="str">
        <f t="shared" si="47"/>
        <v>Single</v>
      </c>
      <c r="P745">
        <v>10.5167</v>
      </c>
      <c r="Q745" s="1" t="str" cm="1">
        <f t="array" ref="Q745">_xlfn.IFS(P745&lt;=50,"Low",P745&lt;=100,"Medium",P745&gt;100,"High")</f>
        <v>Low</v>
      </c>
      <c r="R745" t="s">
        <v>17</v>
      </c>
      <c r="S745" s="1" t="str" cm="1">
        <f t="array" ref="S745">_xlfn.IFS(R745="S","Southampton",R745="C","Cherbourg",R745="Q","Queenstown")</f>
        <v>Southampton</v>
      </c>
    </row>
    <row r="746" spans="1:19" x14ac:dyDescent="0.3">
      <c r="A746">
        <v>745</v>
      </c>
      <c r="B746">
        <v>3</v>
      </c>
      <c r="C746" s="1" t="str" cm="1">
        <f t="array" ref="C746">_xlfn.IFS(B746=1,"First Class",B746=2,"Second Class",B746=3,"Third Class")</f>
        <v>Third Class</v>
      </c>
      <c r="D746">
        <v>0</v>
      </c>
      <c r="E746" s="1" t="str">
        <f t="shared" si="44"/>
        <v>Dead</v>
      </c>
      <c r="F746" t="s">
        <v>1415</v>
      </c>
      <c r="G746" s="1" t="s">
        <v>2999</v>
      </c>
      <c r="H746" t="s">
        <v>20</v>
      </c>
      <c r="I746" s="1" t="str">
        <f t="shared" si="45"/>
        <v>Male</v>
      </c>
      <c r="J746" s="3">
        <v>19</v>
      </c>
      <c r="K746" s="3" t="str" cm="1">
        <f t="array" ref="K746">_xlfn.IFS(J746&lt;=13,"Child",J746&lt;=18,"Teenager",J746&lt;=30,"Young Adult",J746&lt;=50,"Middle Aged Adult",J746&gt;50,"Senior")</f>
        <v>Young Adult</v>
      </c>
      <c r="L746">
        <v>0</v>
      </c>
      <c r="M746">
        <v>0</v>
      </c>
      <c r="N746" s="1">
        <f t="shared" si="46"/>
        <v>1</v>
      </c>
      <c r="O746" s="1" t="str">
        <f t="shared" si="47"/>
        <v>Single</v>
      </c>
      <c r="P746">
        <v>10.1708</v>
      </c>
      <c r="Q746" s="1" t="str" cm="1">
        <f t="array" ref="Q746">_xlfn.IFS(P746&lt;=50,"Low",P746&lt;=100,"Medium",P746&gt;100,"High")</f>
        <v>Low</v>
      </c>
      <c r="R746" t="s">
        <v>17</v>
      </c>
      <c r="S746" s="1" t="str" cm="1">
        <f t="array" ref="S746">_xlfn.IFS(R746="S","Southampton",R746="C","Cherbourg",R746="Q","Queenstown")</f>
        <v>Southampton</v>
      </c>
    </row>
    <row r="747" spans="1:19" x14ac:dyDescent="0.3">
      <c r="A747">
        <v>746</v>
      </c>
      <c r="B747">
        <v>3</v>
      </c>
      <c r="C747" s="1" t="str" cm="1">
        <f t="array" ref="C747">_xlfn.IFS(B747=1,"First Class",B747=2,"Second Class",B747=3,"Third Class")</f>
        <v>Third Class</v>
      </c>
      <c r="D747">
        <v>1</v>
      </c>
      <c r="E747" s="1" t="str">
        <f t="shared" si="44"/>
        <v>Alive</v>
      </c>
      <c r="F747" t="s">
        <v>1416</v>
      </c>
      <c r="G747" s="1" t="s">
        <v>2994</v>
      </c>
      <c r="H747" t="s">
        <v>15</v>
      </c>
      <c r="I747" s="1" t="str">
        <f t="shared" si="45"/>
        <v>Female</v>
      </c>
      <c r="J747" s="3">
        <v>30</v>
      </c>
      <c r="K747" s="3" t="str" cm="1">
        <f t="array" ref="K747">_xlfn.IFS(J747&lt;=13,"Child",J747&lt;=18,"Teenager",J747&lt;=30,"Young Adult",J747&lt;=50,"Middle Aged Adult",J747&gt;50,"Senior")</f>
        <v>Young Adult</v>
      </c>
      <c r="L747">
        <v>0</v>
      </c>
      <c r="M747">
        <v>0</v>
      </c>
      <c r="N747" s="1">
        <f t="shared" si="46"/>
        <v>1</v>
      </c>
      <c r="O747" s="1" t="str">
        <f t="shared" si="47"/>
        <v>Single</v>
      </c>
      <c r="P747">
        <v>6.95</v>
      </c>
      <c r="Q747" s="1" t="str" cm="1">
        <f t="array" ref="Q747">_xlfn.IFS(P747&lt;=50,"Low",P747&lt;=100,"Medium",P747&gt;100,"High")</f>
        <v>Low</v>
      </c>
      <c r="R747" t="s">
        <v>463</v>
      </c>
      <c r="S747" s="1" t="str" cm="1">
        <f t="array" ref="S747">_xlfn.IFS(R747="S","Southampton",R747="C","Cherbourg",R747="Q","Queenstown")</f>
        <v>Queenstown</v>
      </c>
    </row>
    <row r="748" spans="1:19" x14ac:dyDescent="0.3">
      <c r="A748">
        <v>747</v>
      </c>
      <c r="B748">
        <v>3</v>
      </c>
      <c r="C748" s="1" t="str" cm="1">
        <f t="array" ref="C748">_xlfn.IFS(B748=1,"First Class",B748=2,"Second Class",B748=3,"Third Class")</f>
        <v>Third Class</v>
      </c>
      <c r="D748">
        <v>1</v>
      </c>
      <c r="E748" s="1" t="str">
        <f t="shared" si="44"/>
        <v>Alive</v>
      </c>
      <c r="F748" t="s">
        <v>1418</v>
      </c>
      <c r="G748" s="1" t="s">
        <v>2999</v>
      </c>
      <c r="H748" t="s">
        <v>20</v>
      </c>
      <c r="I748" s="1" t="str">
        <f t="shared" si="45"/>
        <v>Male</v>
      </c>
      <c r="J748" s="3">
        <v>29</v>
      </c>
      <c r="K748" s="3" t="str" cm="1">
        <f t="array" ref="K748">_xlfn.IFS(J748&lt;=13,"Child",J748&lt;=18,"Teenager",J748&lt;=30,"Young Adult",J748&lt;=50,"Middle Aged Adult",J748&gt;50,"Senior")</f>
        <v>Young Adult</v>
      </c>
      <c r="L748">
        <v>0</v>
      </c>
      <c r="M748">
        <v>0</v>
      </c>
      <c r="N748" s="1">
        <f t="shared" si="46"/>
        <v>1</v>
      </c>
      <c r="O748" s="1" t="str">
        <f t="shared" si="47"/>
        <v>Single</v>
      </c>
      <c r="P748">
        <v>7.75</v>
      </c>
      <c r="Q748" s="1" t="str" cm="1">
        <f t="array" ref="Q748">_xlfn.IFS(P748&lt;=50,"Low",P748&lt;=100,"Medium",P748&gt;100,"High")</f>
        <v>Low</v>
      </c>
      <c r="R748" t="s">
        <v>463</v>
      </c>
      <c r="S748" s="1" t="str" cm="1">
        <f t="array" ref="S748">_xlfn.IFS(R748="S","Southampton",R748="C","Cherbourg",R748="Q","Queenstown")</f>
        <v>Queenstown</v>
      </c>
    </row>
    <row r="749" spans="1:19" x14ac:dyDescent="0.3">
      <c r="A749">
        <v>748</v>
      </c>
      <c r="B749">
        <v>3</v>
      </c>
      <c r="C749" s="1" t="str" cm="1">
        <f t="array" ref="C749">_xlfn.IFS(B749=1,"First Class",B749=2,"Second Class",B749=3,"Third Class")</f>
        <v>Third Class</v>
      </c>
      <c r="D749">
        <v>0</v>
      </c>
      <c r="E749" s="1" t="str">
        <f t="shared" si="44"/>
        <v>Dead</v>
      </c>
      <c r="F749" t="s">
        <v>1420</v>
      </c>
      <c r="G749" s="1" t="s">
        <v>2996</v>
      </c>
      <c r="H749" t="s">
        <v>20</v>
      </c>
      <c r="I749" s="1" t="str">
        <f t="shared" si="45"/>
        <v>Male</v>
      </c>
      <c r="J749" s="3">
        <v>0.33</v>
      </c>
      <c r="K749" s="3" t="str" cm="1">
        <f t="array" ref="K749">_xlfn.IFS(J749&lt;=13,"Child",J749&lt;=18,"Teenager",J749&lt;=30,"Young Adult",J749&lt;=50,"Middle Aged Adult",J749&gt;50,"Senior")</f>
        <v>Child</v>
      </c>
      <c r="L749">
        <v>0</v>
      </c>
      <c r="M749">
        <v>2</v>
      </c>
      <c r="N749" s="1">
        <f t="shared" si="46"/>
        <v>3</v>
      </c>
      <c r="O749" s="1" t="str">
        <f t="shared" si="47"/>
        <v>With Family</v>
      </c>
      <c r="P749">
        <v>14.4</v>
      </c>
      <c r="Q749" s="1" t="str" cm="1">
        <f t="array" ref="Q749">_xlfn.IFS(P749&lt;=50,"Low",P749&lt;=100,"Medium",P749&gt;100,"High")</f>
        <v>Low</v>
      </c>
      <c r="R749" t="s">
        <v>17</v>
      </c>
      <c r="S749" s="1" t="str" cm="1">
        <f t="array" ref="S749">_xlfn.IFS(R749="S","Southampton",R749="C","Cherbourg",R749="Q","Queenstown")</f>
        <v>Southampton</v>
      </c>
    </row>
    <row r="750" spans="1:19" x14ac:dyDescent="0.3">
      <c r="A750">
        <v>749</v>
      </c>
      <c r="B750">
        <v>3</v>
      </c>
      <c r="C750" s="1" t="str" cm="1">
        <f t="array" ref="C750">_xlfn.IFS(B750=1,"First Class",B750=2,"Second Class",B750=3,"Third Class")</f>
        <v>Third Class</v>
      </c>
      <c r="D750">
        <v>0</v>
      </c>
      <c r="E750" s="1" t="str">
        <f t="shared" si="44"/>
        <v>Dead</v>
      </c>
      <c r="F750" t="s">
        <v>1422</v>
      </c>
      <c r="G750" s="1" t="s">
        <v>2999</v>
      </c>
      <c r="H750" t="s">
        <v>20</v>
      </c>
      <c r="I750" s="1" t="str">
        <f t="shared" si="45"/>
        <v>Male</v>
      </c>
      <c r="J750" s="3">
        <v>34</v>
      </c>
      <c r="K750" s="3" t="str" cm="1">
        <f t="array" ref="K750">_xlfn.IFS(J750&lt;=13,"Child",J750&lt;=18,"Teenager",J750&lt;=30,"Young Adult",J750&lt;=50,"Middle Aged Adult",J750&gt;50,"Senior")</f>
        <v>Middle Aged Adult</v>
      </c>
      <c r="L750">
        <v>1</v>
      </c>
      <c r="M750">
        <v>1</v>
      </c>
      <c r="N750" s="1">
        <f t="shared" si="46"/>
        <v>3</v>
      </c>
      <c r="O750" s="1" t="str">
        <f t="shared" si="47"/>
        <v>With Family</v>
      </c>
      <c r="P750">
        <v>14.4</v>
      </c>
      <c r="Q750" s="1" t="str" cm="1">
        <f t="array" ref="Q750">_xlfn.IFS(P750&lt;=50,"Low",P750&lt;=100,"Medium",P750&gt;100,"High")</f>
        <v>Low</v>
      </c>
      <c r="R750" t="s">
        <v>17</v>
      </c>
      <c r="S750" s="1" t="str" cm="1">
        <f t="array" ref="S750">_xlfn.IFS(R750="S","Southampton",R750="C","Cherbourg",R750="Q","Queenstown")</f>
        <v>Southampton</v>
      </c>
    </row>
    <row r="751" spans="1:19" x14ac:dyDescent="0.3">
      <c r="A751">
        <v>750</v>
      </c>
      <c r="B751">
        <v>3</v>
      </c>
      <c r="C751" s="1" t="str" cm="1">
        <f t="array" ref="C751">_xlfn.IFS(B751=1,"First Class",B751=2,"Second Class",B751=3,"Third Class")</f>
        <v>Third Class</v>
      </c>
      <c r="D751">
        <v>0</v>
      </c>
      <c r="E751" s="1" t="str">
        <f t="shared" si="44"/>
        <v>Dead</v>
      </c>
      <c r="F751" t="s">
        <v>1423</v>
      </c>
      <c r="G751" s="1" t="s">
        <v>3001</v>
      </c>
      <c r="H751" t="s">
        <v>15</v>
      </c>
      <c r="I751" s="1" t="str">
        <f t="shared" si="45"/>
        <v>Female</v>
      </c>
      <c r="J751" s="3">
        <v>28</v>
      </c>
      <c r="K751" s="3" t="str" cm="1">
        <f t="array" ref="K751">_xlfn.IFS(J751&lt;=13,"Child",J751&lt;=18,"Teenager",J751&lt;=30,"Young Adult",J751&lt;=50,"Middle Aged Adult",J751&gt;50,"Senior")</f>
        <v>Young Adult</v>
      </c>
      <c r="L751">
        <v>1</v>
      </c>
      <c r="M751">
        <v>1</v>
      </c>
      <c r="N751" s="1">
        <f t="shared" si="46"/>
        <v>3</v>
      </c>
      <c r="O751" s="1" t="str">
        <f t="shared" si="47"/>
        <v>With Family</v>
      </c>
      <c r="P751">
        <v>14.4</v>
      </c>
      <c r="Q751" s="1" t="str" cm="1">
        <f t="array" ref="Q751">_xlfn.IFS(P751&lt;=50,"Low",P751&lt;=100,"Medium",P751&gt;100,"High")</f>
        <v>Low</v>
      </c>
      <c r="R751" t="s">
        <v>17</v>
      </c>
      <c r="S751" s="1" t="str" cm="1">
        <f t="array" ref="S751">_xlfn.IFS(R751="S","Southampton",R751="C","Cherbourg",R751="Q","Queenstown")</f>
        <v>Southampton</v>
      </c>
    </row>
    <row r="752" spans="1:19" x14ac:dyDescent="0.3">
      <c r="A752">
        <v>751</v>
      </c>
      <c r="B752">
        <v>3</v>
      </c>
      <c r="C752" s="1" t="str" cm="1">
        <f t="array" ref="C752">_xlfn.IFS(B752=1,"First Class",B752=2,"Second Class",B752=3,"Third Class")</f>
        <v>Third Class</v>
      </c>
      <c r="D752">
        <v>0</v>
      </c>
      <c r="E752" s="1" t="str">
        <f t="shared" si="44"/>
        <v>Dead</v>
      </c>
      <c r="F752" t="s">
        <v>1424</v>
      </c>
      <c r="G752" s="1" t="s">
        <v>2999</v>
      </c>
      <c r="H752" t="s">
        <v>20</v>
      </c>
      <c r="I752" s="1" t="str">
        <f t="shared" si="45"/>
        <v>Male</v>
      </c>
      <c r="J752" s="3">
        <v>27</v>
      </c>
      <c r="K752" s="3" t="str" cm="1">
        <f t="array" ref="K752">_xlfn.IFS(J752&lt;=13,"Child",J752&lt;=18,"Teenager",J752&lt;=30,"Young Adult",J752&lt;=50,"Middle Aged Adult",J752&gt;50,"Senior")</f>
        <v>Young Adult</v>
      </c>
      <c r="L752">
        <v>0</v>
      </c>
      <c r="M752">
        <v>0</v>
      </c>
      <c r="N752" s="1">
        <f t="shared" si="46"/>
        <v>1</v>
      </c>
      <c r="O752" s="1" t="str">
        <f t="shared" si="47"/>
        <v>Single</v>
      </c>
      <c r="P752">
        <v>7.8958000000000004</v>
      </c>
      <c r="Q752" s="1" t="str" cm="1">
        <f t="array" ref="Q752">_xlfn.IFS(P752&lt;=50,"Low",P752&lt;=100,"Medium",P752&gt;100,"High")</f>
        <v>Low</v>
      </c>
      <c r="R752" t="s">
        <v>17</v>
      </c>
      <c r="S752" s="1" t="str" cm="1">
        <f t="array" ref="S752">_xlfn.IFS(R752="S","Southampton",R752="C","Cherbourg",R752="Q","Queenstown")</f>
        <v>Southampton</v>
      </c>
    </row>
    <row r="753" spans="1:19" x14ac:dyDescent="0.3">
      <c r="A753">
        <v>752</v>
      </c>
      <c r="B753">
        <v>3</v>
      </c>
      <c r="C753" s="1" t="str" cm="1">
        <f t="array" ref="C753">_xlfn.IFS(B753=1,"First Class",B753=2,"Second Class",B753=3,"Third Class")</f>
        <v>Third Class</v>
      </c>
      <c r="D753">
        <v>0</v>
      </c>
      <c r="E753" s="1" t="str">
        <f t="shared" si="44"/>
        <v>Dead</v>
      </c>
      <c r="F753" t="s">
        <v>1425</v>
      </c>
      <c r="G753" s="1" t="s">
        <v>2999</v>
      </c>
      <c r="H753" t="s">
        <v>20</v>
      </c>
      <c r="I753" s="1" t="str">
        <f t="shared" si="45"/>
        <v>Male</v>
      </c>
      <c r="J753" s="3">
        <v>25</v>
      </c>
      <c r="K753" s="3" t="str" cm="1">
        <f t="array" ref="K753">_xlfn.IFS(J753&lt;=13,"Child",J753&lt;=18,"Teenager",J753&lt;=30,"Young Adult",J753&lt;=50,"Middle Aged Adult",J753&gt;50,"Senior")</f>
        <v>Young Adult</v>
      </c>
      <c r="L753">
        <v>0</v>
      </c>
      <c r="M753">
        <v>0</v>
      </c>
      <c r="N753" s="1">
        <f t="shared" si="46"/>
        <v>1</v>
      </c>
      <c r="O753" s="1" t="str">
        <f t="shared" si="47"/>
        <v>Single</v>
      </c>
      <c r="P753">
        <v>7.8958000000000004</v>
      </c>
      <c r="Q753" s="1" t="str" cm="1">
        <f t="array" ref="Q753">_xlfn.IFS(P753&lt;=50,"Low",P753&lt;=100,"Medium",P753&gt;100,"High")</f>
        <v>Low</v>
      </c>
      <c r="R753" t="s">
        <v>17</v>
      </c>
      <c r="S753" s="1" t="str" cm="1">
        <f t="array" ref="S753">_xlfn.IFS(R753="S","Southampton",R753="C","Cherbourg",R753="Q","Queenstown")</f>
        <v>Southampton</v>
      </c>
    </row>
    <row r="754" spans="1:19" x14ac:dyDescent="0.3">
      <c r="A754">
        <v>753</v>
      </c>
      <c r="B754">
        <v>3</v>
      </c>
      <c r="C754" s="1" t="str" cm="1">
        <f t="array" ref="C754">_xlfn.IFS(B754=1,"First Class",B754=2,"Second Class",B754=3,"Third Class")</f>
        <v>Third Class</v>
      </c>
      <c r="D754">
        <v>0</v>
      </c>
      <c r="E754" s="1" t="str">
        <f t="shared" si="44"/>
        <v>Dead</v>
      </c>
      <c r="F754" t="s">
        <v>1426</v>
      </c>
      <c r="G754" s="1" t="s">
        <v>2999</v>
      </c>
      <c r="H754" t="s">
        <v>20</v>
      </c>
      <c r="I754" s="1" t="str">
        <f t="shared" si="45"/>
        <v>Male</v>
      </c>
      <c r="J754" s="3">
        <v>24</v>
      </c>
      <c r="K754" s="3" t="str" cm="1">
        <f t="array" ref="K754">_xlfn.IFS(J754&lt;=13,"Child",J754&lt;=18,"Teenager",J754&lt;=30,"Young Adult",J754&lt;=50,"Middle Aged Adult",J754&gt;50,"Senior")</f>
        <v>Young Adult</v>
      </c>
      <c r="L754">
        <v>2</v>
      </c>
      <c r="M754">
        <v>0</v>
      </c>
      <c r="N754" s="1">
        <f t="shared" si="46"/>
        <v>3</v>
      </c>
      <c r="O754" s="1" t="str">
        <f t="shared" si="47"/>
        <v>With Family</v>
      </c>
      <c r="P754">
        <v>24.15</v>
      </c>
      <c r="Q754" s="1" t="str" cm="1">
        <f t="array" ref="Q754">_xlfn.IFS(P754&lt;=50,"Low",P754&lt;=100,"Medium",P754&gt;100,"High")</f>
        <v>Low</v>
      </c>
      <c r="R754" t="s">
        <v>17</v>
      </c>
      <c r="S754" s="1" t="str" cm="1">
        <f t="array" ref="S754">_xlfn.IFS(R754="S","Southampton",R754="C","Cherbourg",R754="Q","Queenstown")</f>
        <v>Southampton</v>
      </c>
    </row>
    <row r="755" spans="1:19" x14ac:dyDescent="0.3">
      <c r="A755">
        <v>754</v>
      </c>
      <c r="B755">
        <v>3</v>
      </c>
      <c r="C755" s="1" t="str" cm="1">
        <f t="array" ref="C755">_xlfn.IFS(B755=1,"First Class",B755=2,"Second Class",B755=3,"Third Class")</f>
        <v>Third Class</v>
      </c>
      <c r="D755">
        <v>0</v>
      </c>
      <c r="E755" s="1" t="str">
        <f t="shared" si="44"/>
        <v>Dead</v>
      </c>
      <c r="F755" t="s">
        <v>1429</v>
      </c>
      <c r="G755" s="1" t="s">
        <v>2999</v>
      </c>
      <c r="H755" t="s">
        <v>20</v>
      </c>
      <c r="I755" s="1" t="str">
        <f t="shared" si="45"/>
        <v>Male</v>
      </c>
      <c r="J755" s="3">
        <v>22</v>
      </c>
      <c r="K755" s="3" t="str" cm="1">
        <f t="array" ref="K755">_xlfn.IFS(J755&lt;=13,"Child",J755&lt;=18,"Teenager",J755&lt;=30,"Young Adult",J755&lt;=50,"Middle Aged Adult",J755&gt;50,"Senior")</f>
        <v>Young Adult</v>
      </c>
      <c r="L755">
        <v>0</v>
      </c>
      <c r="M755">
        <v>0</v>
      </c>
      <c r="N755" s="1">
        <f t="shared" si="46"/>
        <v>1</v>
      </c>
      <c r="O755" s="1" t="str">
        <f t="shared" si="47"/>
        <v>Single</v>
      </c>
      <c r="P755">
        <v>8.0500000000000007</v>
      </c>
      <c r="Q755" s="1" t="str" cm="1">
        <f t="array" ref="Q755">_xlfn.IFS(P755&lt;=50,"Low",P755&lt;=100,"Medium",P755&gt;100,"High")</f>
        <v>Low</v>
      </c>
      <c r="R755" t="s">
        <v>17</v>
      </c>
      <c r="S755" s="1" t="str" cm="1">
        <f t="array" ref="S755">_xlfn.IFS(R755="S","Southampton",R755="C","Cherbourg",R755="Q","Queenstown")</f>
        <v>Southampton</v>
      </c>
    </row>
    <row r="756" spans="1:19" x14ac:dyDescent="0.3">
      <c r="A756">
        <v>755</v>
      </c>
      <c r="B756">
        <v>3</v>
      </c>
      <c r="C756" s="1" t="str" cm="1">
        <f t="array" ref="C756">_xlfn.IFS(B756=1,"First Class",B756=2,"Second Class",B756=3,"Third Class")</f>
        <v>Third Class</v>
      </c>
      <c r="D756">
        <v>0</v>
      </c>
      <c r="E756" s="1" t="str">
        <f t="shared" si="44"/>
        <v>Dead</v>
      </c>
      <c r="F756" t="s">
        <v>1431</v>
      </c>
      <c r="G756" s="1" t="s">
        <v>2999</v>
      </c>
      <c r="H756" t="s">
        <v>20</v>
      </c>
      <c r="I756" s="1" t="str">
        <f t="shared" si="45"/>
        <v>Male</v>
      </c>
      <c r="J756" s="3">
        <v>21</v>
      </c>
      <c r="K756" s="3" t="str" cm="1">
        <f t="array" ref="K756">_xlfn.IFS(J756&lt;=13,"Child",J756&lt;=18,"Teenager",J756&lt;=30,"Young Adult",J756&lt;=50,"Middle Aged Adult",J756&gt;50,"Senior")</f>
        <v>Young Adult</v>
      </c>
      <c r="L756">
        <v>2</v>
      </c>
      <c r="M756">
        <v>0</v>
      </c>
      <c r="N756" s="1">
        <f t="shared" si="46"/>
        <v>3</v>
      </c>
      <c r="O756" s="1" t="str">
        <f t="shared" si="47"/>
        <v>With Family</v>
      </c>
      <c r="P756">
        <v>24.15</v>
      </c>
      <c r="Q756" s="1" t="str" cm="1">
        <f t="array" ref="Q756">_xlfn.IFS(P756&lt;=50,"Low",P756&lt;=100,"Medium",P756&gt;100,"High")</f>
        <v>Low</v>
      </c>
      <c r="R756" t="s">
        <v>17</v>
      </c>
      <c r="S756" s="1" t="str" cm="1">
        <f t="array" ref="S756">_xlfn.IFS(R756="S","Southampton",R756="C","Cherbourg",R756="Q","Queenstown")</f>
        <v>Southampton</v>
      </c>
    </row>
    <row r="757" spans="1:19" x14ac:dyDescent="0.3">
      <c r="A757">
        <v>756</v>
      </c>
      <c r="B757">
        <v>3</v>
      </c>
      <c r="C757" s="1" t="str" cm="1">
        <f t="array" ref="C757">_xlfn.IFS(B757=1,"First Class",B757=2,"Second Class",B757=3,"Third Class")</f>
        <v>Third Class</v>
      </c>
      <c r="D757">
        <v>0</v>
      </c>
      <c r="E757" s="1" t="str">
        <f t="shared" si="44"/>
        <v>Dead</v>
      </c>
      <c r="F757" t="s">
        <v>1432</v>
      </c>
      <c r="G757" s="1" t="s">
        <v>2999</v>
      </c>
      <c r="H757" t="s">
        <v>20</v>
      </c>
      <c r="I757" s="1" t="str">
        <f t="shared" si="45"/>
        <v>Male</v>
      </c>
      <c r="J757" s="3">
        <v>17</v>
      </c>
      <c r="K757" s="3" t="str" cm="1">
        <f t="array" ref="K757">_xlfn.IFS(J757&lt;=13,"Child",J757&lt;=18,"Teenager",J757&lt;=30,"Young Adult",J757&lt;=50,"Middle Aged Adult",J757&gt;50,"Senior")</f>
        <v>Teenager</v>
      </c>
      <c r="L757">
        <v>2</v>
      </c>
      <c r="M757">
        <v>0</v>
      </c>
      <c r="N757" s="1">
        <f t="shared" si="46"/>
        <v>3</v>
      </c>
      <c r="O757" s="1" t="str">
        <f t="shared" si="47"/>
        <v>With Family</v>
      </c>
      <c r="P757">
        <v>8.0500000000000007</v>
      </c>
      <c r="Q757" s="1" t="str" cm="1">
        <f t="array" ref="Q757">_xlfn.IFS(P757&lt;=50,"Low",P757&lt;=100,"Medium",P757&gt;100,"High")</f>
        <v>Low</v>
      </c>
      <c r="R757" t="s">
        <v>17</v>
      </c>
      <c r="S757" s="1" t="str" cm="1">
        <f t="array" ref="S757">_xlfn.IFS(R757="S","Southampton",R757="C","Cherbourg",R757="Q","Queenstown")</f>
        <v>Southampton</v>
      </c>
    </row>
    <row r="758" spans="1:19" x14ac:dyDescent="0.3">
      <c r="A758">
        <v>757</v>
      </c>
      <c r="B758">
        <v>3</v>
      </c>
      <c r="C758" s="1" t="str" cm="1">
        <f t="array" ref="C758">_xlfn.IFS(B758=1,"First Class",B758=2,"Second Class",B758=3,"Third Class")</f>
        <v>Third Class</v>
      </c>
      <c r="D758">
        <v>0</v>
      </c>
      <c r="E758" s="1" t="str">
        <f t="shared" si="44"/>
        <v>Dead</v>
      </c>
      <c r="F758" t="s">
        <v>1434</v>
      </c>
      <c r="G758" s="1" t="s">
        <v>2999</v>
      </c>
      <c r="H758" t="s">
        <v>20</v>
      </c>
      <c r="I758" s="1" t="str">
        <f t="shared" si="45"/>
        <v>Male</v>
      </c>
      <c r="J758" s="3">
        <v>29.881137667304014</v>
      </c>
      <c r="K758" s="3" t="str" cm="1">
        <f t="array" ref="K758">_xlfn.IFS(J758&lt;=13,"Child",J758&lt;=18,"Teenager",J758&lt;=30,"Young Adult",J758&lt;=50,"Middle Aged Adult",J758&gt;50,"Senior")</f>
        <v>Young Adult</v>
      </c>
      <c r="L758">
        <v>1</v>
      </c>
      <c r="M758">
        <v>0</v>
      </c>
      <c r="N758" s="1">
        <f t="shared" si="46"/>
        <v>2</v>
      </c>
      <c r="O758" s="1" t="str">
        <f t="shared" si="47"/>
        <v>With Family</v>
      </c>
      <c r="P758">
        <v>16.100000000000001</v>
      </c>
      <c r="Q758" s="1" t="str" cm="1">
        <f t="array" ref="Q758">_xlfn.IFS(P758&lt;=50,"Low",P758&lt;=100,"Medium",P758&gt;100,"High")</f>
        <v>Low</v>
      </c>
      <c r="R758" t="s">
        <v>17</v>
      </c>
      <c r="S758" s="1" t="str" cm="1">
        <f t="array" ref="S758">_xlfn.IFS(R758="S","Southampton",R758="C","Cherbourg",R758="Q","Queenstown")</f>
        <v>Southampton</v>
      </c>
    </row>
    <row r="759" spans="1:19" x14ac:dyDescent="0.3">
      <c r="A759">
        <v>758</v>
      </c>
      <c r="B759">
        <v>3</v>
      </c>
      <c r="C759" s="1" t="str" cm="1">
        <f t="array" ref="C759">_xlfn.IFS(B759=1,"First Class",B759=2,"Second Class",B759=3,"Third Class")</f>
        <v>Third Class</v>
      </c>
      <c r="D759">
        <v>1</v>
      </c>
      <c r="E759" s="1" t="str">
        <f t="shared" si="44"/>
        <v>Alive</v>
      </c>
      <c r="F759" t="s">
        <v>1436</v>
      </c>
      <c r="G759" s="1" t="s">
        <v>3001</v>
      </c>
      <c r="H759" t="s">
        <v>15</v>
      </c>
      <c r="I759" s="1" t="str">
        <f t="shared" si="45"/>
        <v>Female</v>
      </c>
      <c r="J759" s="3">
        <v>29.881137667304014</v>
      </c>
      <c r="K759" s="3" t="str" cm="1">
        <f t="array" ref="K759">_xlfn.IFS(J759&lt;=13,"Child",J759&lt;=18,"Teenager",J759&lt;=30,"Young Adult",J759&lt;=50,"Middle Aged Adult",J759&gt;50,"Senior")</f>
        <v>Young Adult</v>
      </c>
      <c r="L759">
        <v>1</v>
      </c>
      <c r="M759">
        <v>0</v>
      </c>
      <c r="N759" s="1">
        <f t="shared" si="46"/>
        <v>2</v>
      </c>
      <c r="O759" s="1" t="str">
        <f t="shared" si="47"/>
        <v>With Family</v>
      </c>
      <c r="P759">
        <v>16.100000000000001</v>
      </c>
      <c r="Q759" s="1" t="str" cm="1">
        <f t="array" ref="Q759">_xlfn.IFS(P759&lt;=50,"Low",P759&lt;=100,"Medium",P759&gt;100,"High")</f>
        <v>Low</v>
      </c>
      <c r="R759" t="s">
        <v>17</v>
      </c>
      <c r="S759" s="1" t="str" cm="1">
        <f t="array" ref="S759">_xlfn.IFS(R759="S","Southampton",R759="C","Cherbourg",R759="Q","Queenstown")</f>
        <v>Southampton</v>
      </c>
    </row>
    <row r="760" spans="1:19" x14ac:dyDescent="0.3">
      <c r="A760">
        <v>759</v>
      </c>
      <c r="B760">
        <v>3</v>
      </c>
      <c r="C760" s="1" t="str" cm="1">
        <f t="array" ref="C760">_xlfn.IFS(B760=1,"First Class",B760=2,"Second Class",B760=3,"Third Class")</f>
        <v>Third Class</v>
      </c>
      <c r="D760">
        <v>1</v>
      </c>
      <c r="E760" s="1" t="str">
        <f t="shared" si="44"/>
        <v>Alive</v>
      </c>
      <c r="F760" t="s">
        <v>1437</v>
      </c>
      <c r="G760" s="1" t="s">
        <v>2999</v>
      </c>
      <c r="H760" t="s">
        <v>20</v>
      </c>
      <c r="I760" s="1" t="str">
        <f t="shared" si="45"/>
        <v>Male</v>
      </c>
      <c r="J760" s="3">
        <v>36.5</v>
      </c>
      <c r="K760" s="3" t="str" cm="1">
        <f t="array" ref="K760">_xlfn.IFS(J760&lt;=13,"Child",J760&lt;=18,"Teenager",J760&lt;=30,"Young Adult",J760&lt;=50,"Middle Aged Adult",J760&gt;50,"Senior")</f>
        <v>Middle Aged Adult</v>
      </c>
      <c r="L760">
        <v>1</v>
      </c>
      <c r="M760">
        <v>0</v>
      </c>
      <c r="N760" s="1">
        <f t="shared" si="46"/>
        <v>2</v>
      </c>
      <c r="O760" s="1" t="str">
        <f t="shared" si="47"/>
        <v>With Family</v>
      </c>
      <c r="P760">
        <v>17.399999999999999</v>
      </c>
      <c r="Q760" s="1" t="str" cm="1">
        <f t="array" ref="Q760">_xlfn.IFS(P760&lt;=50,"Low",P760&lt;=100,"Medium",P760&gt;100,"High")</f>
        <v>Low</v>
      </c>
      <c r="R760" t="s">
        <v>17</v>
      </c>
      <c r="S760" s="1" t="str" cm="1">
        <f t="array" ref="S760">_xlfn.IFS(R760="S","Southampton",R760="C","Cherbourg",R760="Q","Queenstown")</f>
        <v>Southampton</v>
      </c>
    </row>
    <row r="761" spans="1:19" x14ac:dyDescent="0.3">
      <c r="A761">
        <v>760</v>
      </c>
      <c r="B761">
        <v>3</v>
      </c>
      <c r="C761" s="1" t="str" cm="1">
        <f t="array" ref="C761">_xlfn.IFS(B761=1,"First Class",B761=2,"Second Class",B761=3,"Third Class")</f>
        <v>Third Class</v>
      </c>
      <c r="D761">
        <v>1</v>
      </c>
      <c r="E761" s="1" t="str">
        <f t="shared" si="44"/>
        <v>Alive</v>
      </c>
      <c r="F761" t="s">
        <v>1439</v>
      </c>
      <c r="G761" s="1" t="s">
        <v>3001</v>
      </c>
      <c r="H761" t="s">
        <v>15</v>
      </c>
      <c r="I761" s="1" t="str">
        <f t="shared" si="45"/>
        <v>Female</v>
      </c>
      <c r="J761" s="3">
        <v>36</v>
      </c>
      <c r="K761" s="3" t="str" cm="1">
        <f t="array" ref="K761">_xlfn.IFS(J761&lt;=13,"Child",J761&lt;=18,"Teenager",J761&lt;=30,"Young Adult",J761&lt;=50,"Middle Aged Adult",J761&gt;50,"Senior")</f>
        <v>Middle Aged Adult</v>
      </c>
      <c r="L761">
        <v>1</v>
      </c>
      <c r="M761">
        <v>0</v>
      </c>
      <c r="N761" s="1">
        <f t="shared" si="46"/>
        <v>2</v>
      </c>
      <c r="O761" s="1" t="str">
        <f t="shared" si="47"/>
        <v>With Family</v>
      </c>
      <c r="P761">
        <v>17.399999999999999</v>
      </c>
      <c r="Q761" s="1" t="str" cm="1">
        <f t="array" ref="Q761">_xlfn.IFS(P761&lt;=50,"Low",P761&lt;=100,"Medium",P761&gt;100,"High")</f>
        <v>Low</v>
      </c>
      <c r="R761" t="s">
        <v>17</v>
      </c>
      <c r="S761" s="1" t="str" cm="1">
        <f t="array" ref="S761">_xlfn.IFS(R761="S","Southampton",R761="C","Cherbourg",R761="Q","Queenstown")</f>
        <v>Southampton</v>
      </c>
    </row>
    <row r="762" spans="1:19" x14ac:dyDescent="0.3">
      <c r="A762">
        <v>761</v>
      </c>
      <c r="B762">
        <v>3</v>
      </c>
      <c r="C762" s="1" t="str" cm="1">
        <f t="array" ref="C762">_xlfn.IFS(B762=1,"First Class",B762=2,"Second Class",B762=3,"Third Class")</f>
        <v>Third Class</v>
      </c>
      <c r="D762">
        <v>1</v>
      </c>
      <c r="E762" s="1" t="str">
        <f t="shared" si="44"/>
        <v>Alive</v>
      </c>
      <c r="F762" t="s">
        <v>1440</v>
      </c>
      <c r="G762" s="1" t="s">
        <v>2999</v>
      </c>
      <c r="H762" t="s">
        <v>20</v>
      </c>
      <c r="I762" s="1" t="str">
        <f t="shared" si="45"/>
        <v>Male</v>
      </c>
      <c r="J762" s="3">
        <v>30</v>
      </c>
      <c r="K762" s="3" t="str" cm="1">
        <f t="array" ref="K762">_xlfn.IFS(J762&lt;=13,"Child",J762&lt;=18,"Teenager",J762&lt;=30,"Young Adult",J762&lt;=50,"Middle Aged Adult",J762&gt;50,"Senior")</f>
        <v>Young Adult</v>
      </c>
      <c r="L762">
        <v>0</v>
      </c>
      <c r="M762">
        <v>0</v>
      </c>
      <c r="N762" s="1">
        <f t="shared" si="46"/>
        <v>1</v>
      </c>
      <c r="O762" s="1" t="str">
        <f t="shared" si="47"/>
        <v>Single</v>
      </c>
      <c r="P762">
        <v>9.5</v>
      </c>
      <c r="Q762" s="1" t="str" cm="1">
        <f t="array" ref="Q762">_xlfn.IFS(P762&lt;=50,"Low",P762&lt;=100,"Medium",P762&gt;100,"High")</f>
        <v>Low</v>
      </c>
      <c r="R762" t="s">
        <v>17</v>
      </c>
      <c r="S762" s="1" t="str" cm="1">
        <f t="array" ref="S762">_xlfn.IFS(R762="S","Southampton",R762="C","Cherbourg",R762="Q","Queenstown")</f>
        <v>Southampton</v>
      </c>
    </row>
    <row r="763" spans="1:19" x14ac:dyDescent="0.3">
      <c r="A763">
        <v>762</v>
      </c>
      <c r="B763">
        <v>3</v>
      </c>
      <c r="C763" s="1" t="str" cm="1">
        <f t="array" ref="C763">_xlfn.IFS(B763=1,"First Class",B763=2,"Second Class",B763=3,"Third Class")</f>
        <v>Third Class</v>
      </c>
      <c r="D763">
        <v>0</v>
      </c>
      <c r="E763" s="1" t="str">
        <f t="shared" si="44"/>
        <v>Dead</v>
      </c>
      <c r="F763" t="s">
        <v>1442</v>
      </c>
      <c r="G763" s="1" t="s">
        <v>2999</v>
      </c>
      <c r="H763" t="s">
        <v>20</v>
      </c>
      <c r="I763" s="1" t="str">
        <f t="shared" si="45"/>
        <v>Male</v>
      </c>
      <c r="J763" s="3">
        <v>16</v>
      </c>
      <c r="K763" s="3" t="str" cm="1">
        <f t="array" ref="K763">_xlfn.IFS(J763&lt;=13,"Child",J763&lt;=18,"Teenager",J763&lt;=30,"Young Adult",J763&lt;=50,"Middle Aged Adult",J763&gt;50,"Senior")</f>
        <v>Teenager</v>
      </c>
      <c r="L763">
        <v>0</v>
      </c>
      <c r="M763">
        <v>0</v>
      </c>
      <c r="N763" s="1">
        <f t="shared" si="46"/>
        <v>1</v>
      </c>
      <c r="O763" s="1" t="str">
        <f t="shared" si="47"/>
        <v>Single</v>
      </c>
      <c r="P763">
        <v>9.5</v>
      </c>
      <c r="Q763" s="1" t="str" cm="1">
        <f t="array" ref="Q763">_xlfn.IFS(P763&lt;=50,"Low",P763&lt;=100,"Medium",P763&gt;100,"High")</f>
        <v>Low</v>
      </c>
      <c r="R763" t="s">
        <v>17</v>
      </c>
      <c r="S763" s="1" t="str" cm="1">
        <f t="array" ref="S763">_xlfn.IFS(R763="S","Southampton",R763="C","Cherbourg",R763="Q","Queenstown")</f>
        <v>Southampton</v>
      </c>
    </row>
    <row r="764" spans="1:19" x14ac:dyDescent="0.3">
      <c r="A764">
        <v>763</v>
      </c>
      <c r="B764">
        <v>3</v>
      </c>
      <c r="C764" s="1" t="str" cm="1">
        <f t="array" ref="C764">_xlfn.IFS(B764=1,"First Class",B764=2,"Second Class",B764=3,"Third Class")</f>
        <v>Third Class</v>
      </c>
      <c r="D764">
        <v>1</v>
      </c>
      <c r="E764" s="1" t="str">
        <f t="shared" si="44"/>
        <v>Alive</v>
      </c>
      <c r="F764" t="s">
        <v>1443</v>
      </c>
      <c r="G764" s="1" t="s">
        <v>2996</v>
      </c>
      <c r="H764" t="s">
        <v>20</v>
      </c>
      <c r="I764" s="1" t="str">
        <f t="shared" si="45"/>
        <v>Male</v>
      </c>
      <c r="J764" s="3">
        <v>1</v>
      </c>
      <c r="K764" s="3" t="str" cm="1">
        <f t="array" ref="K764">_xlfn.IFS(J764&lt;=13,"Child",J764&lt;=18,"Teenager",J764&lt;=30,"Young Adult",J764&lt;=50,"Middle Aged Adult",J764&gt;50,"Senior")</f>
        <v>Child</v>
      </c>
      <c r="L764">
        <v>1</v>
      </c>
      <c r="M764">
        <v>2</v>
      </c>
      <c r="N764" s="1">
        <f t="shared" si="46"/>
        <v>4</v>
      </c>
      <c r="O764" s="1" t="str">
        <f t="shared" si="47"/>
        <v>With Family</v>
      </c>
      <c r="P764">
        <v>20.574999999999999</v>
      </c>
      <c r="Q764" s="1" t="str" cm="1">
        <f t="array" ref="Q764">_xlfn.IFS(P764&lt;=50,"Low",P764&lt;=100,"Medium",P764&gt;100,"High")</f>
        <v>Low</v>
      </c>
      <c r="R764" t="s">
        <v>17</v>
      </c>
      <c r="S764" s="1" t="str" cm="1">
        <f t="array" ref="S764">_xlfn.IFS(R764="S","Southampton",R764="C","Cherbourg",R764="Q","Queenstown")</f>
        <v>Southampton</v>
      </c>
    </row>
    <row r="765" spans="1:19" x14ac:dyDescent="0.3">
      <c r="A765">
        <v>764</v>
      </c>
      <c r="B765">
        <v>3</v>
      </c>
      <c r="C765" s="1" t="str" cm="1">
        <f t="array" ref="C765">_xlfn.IFS(B765=1,"First Class",B765=2,"Second Class",B765=3,"Third Class")</f>
        <v>Third Class</v>
      </c>
      <c r="D765">
        <v>1</v>
      </c>
      <c r="E765" s="1" t="str">
        <f t="shared" si="44"/>
        <v>Alive</v>
      </c>
      <c r="F765" t="s">
        <v>1446</v>
      </c>
      <c r="G765" s="1" t="s">
        <v>2994</v>
      </c>
      <c r="H765" t="s">
        <v>15</v>
      </c>
      <c r="I765" s="1" t="str">
        <f t="shared" si="45"/>
        <v>Female</v>
      </c>
      <c r="J765" s="3">
        <v>0.17</v>
      </c>
      <c r="K765" s="3" t="str" cm="1">
        <f t="array" ref="K765">_xlfn.IFS(J765&lt;=13,"Child",J765&lt;=18,"Teenager",J765&lt;=30,"Young Adult",J765&lt;=50,"Middle Aged Adult",J765&gt;50,"Senior")</f>
        <v>Child</v>
      </c>
      <c r="L765">
        <v>1</v>
      </c>
      <c r="M765">
        <v>2</v>
      </c>
      <c r="N765" s="1">
        <f t="shared" si="46"/>
        <v>4</v>
      </c>
      <c r="O765" s="1" t="str">
        <f t="shared" si="47"/>
        <v>With Family</v>
      </c>
      <c r="P765">
        <v>20.574999999999999</v>
      </c>
      <c r="Q765" s="1" t="str" cm="1">
        <f t="array" ref="Q765">_xlfn.IFS(P765&lt;=50,"Low",P765&lt;=100,"Medium",P765&gt;100,"High")</f>
        <v>Low</v>
      </c>
      <c r="R765" t="s">
        <v>17</v>
      </c>
      <c r="S765" s="1" t="str" cm="1">
        <f t="array" ref="S765">_xlfn.IFS(R765="S","Southampton",R765="C","Cherbourg",R765="Q","Queenstown")</f>
        <v>Southampton</v>
      </c>
    </row>
    <row r="766" spans="1:19" x14ac:dyDescent="0.3">
      <c r="A766">
        <v>765</v>
      </c>
      <c r="B766">
        <v>3</v>
      </c>
      <c r="C766" s="1" t="str" cm="1">
        <f t="array" ref="C766">_xlfn.IFS(B766=1,"First Class",B766=2,"Second Class",B766=3,"Third Class")</f>
        <v>Third Class</v>
      </c>
      <c r="D766">
        <v>0</v>
      </c>
      <c r="E766" s="1" t="str">
        <f t="shared" si="44"/>
        <v>Dead</v>
      </c>
      <c r="F766" t="s">
        <v>1447</v>
      </c>
      <c r="G766" s="1" t="s">
        <v>2999</v>
      </c>
      <c r="H766" t="s">
        <v>20</v>
      </c>
      <c r="I766" s="1" t="str">
        <f t="shared" si="45"/>
        <v>Male</v>
      </c>
      <c r="J766" s="3">
        <v>26</v>
      </c>
      <c r="K766" s="3" t="str" cm="1">
        <f t="array" ref="K766">_xlfn.IFS(J766&lt;=13,"Child",J766&lt;=18,"Teenager",J766&lt;=30,"Young Adult",J766&lt;=50,"Middle Aged Adult",J766&gt;50,"Senior")</f>
        <v>Young Adult</v>
      </c>
      <c r="L766">
        <v>1</v>
      </c>
      <c r="M766">
        <v>2</v>
      </c>
      <c r="N766" s="1">
        <f t="shared" si="46"/>
        <v>4</v>
      </c>
      <c r="O766" s="1" t="str">
        <f t="shared" si="47"/>
        <v>With Family</v>
      </c>
      <c r="P766">
        <v>20.574999999999999</v>
      </c>
      <c r="Q766" s="1" t="str" cm="1">
        <f t="array" ref="Q766">_xlfn.IFS(P766&lt;=50,"Low",P766&lt;=100,"Medium",P766&gt;100,"High")</f>
        <v>Low</v>
      </c>
      <c r="R766" t="s">
        <v>17</v>
      </c>
      <c r="S766" s="1" t="str" cm="1">
        <f t="array" ref="S766">_xlfn.IFS(R766="S","Southampton",R766="C","Cherbourg",R766="Q","Queenstown")</f>
        <v>Southampton</v>
      </c>
    </row>
    <row r="767" spans="1:19" x14ac:dyDescent="0.3">
      <c r="A767">
        <v>766</v>
      </c>
      <c r="B767">
        <v>3</v>
      </c>
      <c r="C767" s="1" t="str" cm="1">
        <f t="array" ref="C767">_xlfn.IFS(B767=1,"First Class",B767=2,"Second Class",B767=3,"Third Class")</f>
        <v>Third Class</v>
      </c>
      <c r="D767">
        <v>1</v>
      </c>
      <c r="E767" s="1" t="str">
        <f t="shared" si="44"/>
        <v>Alive</v>
      </c>
      <c r="F767" t="s">
        <v>1448</v>
      </c>
      <c r="G767" s="1" t="s">
        <v>3001</v>
      </c>
      <c r="H767" t="s">
        <v>15</v>
      </c>
      <c r="I767" s="1" t="str">
        <f t="shared" si="45"/>
        <v>Female</v>
      </c>
      <c r="J767" s="3">
        <v>33</v>
      </c>
      <c r="K767" s="3" t="str" cm="1">
        <f t="array" ref="K767">_xlfn.IFS(J767&lt;=13,"Child",J767&lt;=18,"Teenager",J767&lt;=30,"Young Adult",J767&lt;=50,"Middle Aged Adult",J767&gt;50,"Senior")</f>
        <v>Middle Aged Adult</v>
      </c>
      <c r="L767">
        <v>1</v>
      </c>
      <c r="M767">
        <v>2</v>
      </c>
      <c r="N767" s="1">
        <f t="shared" si="46"/>
        <v>4</v>
      </c>
      <c r="O767" s="1" t="str">
        <f t="shared" si="47"/>
        <v>With Family</v>
      </c>
      <c r="P767">
        <v>20.574999999999999</v>
      </c>
      <c r="Q767" s="1" t="str" cm="1">
        <f t="array" ref="Q767">_xlfn.IFS(P767&lt;=50,"Low",P767&lt;=100,"Medium",P767&gt;100,"High")</f>
        <v>Low</v>
      </c>
      <c r="R767" t="s">
        <v>17</v>
      </c>
      <c r="S767" s="1" t="str" cm="1">
        <f t="array" ref="S767">_xlfn.IFS(R767="S","Southampton",R767="C","Cherbourg",R767="Q","Queenstown")</f>
        <v>Southampton</v>
      </c>
    </row>
    <row r="768" spans="1:19" x14ac:dyDescent="0.3">
      <c r="A768">
        <v>767</v>
      </c>
      <c r="B768">
        <v>3</v>
      </c>
      <c r="C768" s="1" t="str" cm="1">
        <f t="array" ref="C768">_xlfn.IFS(B768=1,"First Class",B768=2,"Second Class",B768=3,"Third Class")</f>
        <v>Third Class</v>
      </c>
      <c r="D768">
        <v>0</v>
      </c>
      <c r="E768" s="1" t="str">
        <f t="shared" si="44"/>
        <v>Dead</v>
      </c>
      <c r="F768" t="s">
        <v>1449</v>
      </c>
      <c r="G768" s="1" t="s">
        <v>2999</v>
      </c>
      <c r="H768" t="s">
        <v>20</v>
      </c>
      <c r="I768" s="1" t="str">
        <f t="shared" si="45"/>
        <v>Male</v>
      </c>
      <c r="J768" s="3">
        <v>25</v>
      </c>
      <c r="K768" s="3" t="str" cm="1">
        <f t="array" ref="K768">_xlfn.IFS(J768&lt;=13,"Child",J768&lt;=18,"Teenager",J768&lt;=30,"Young Adult",J768&lt;=50,"Middle Aged Adult",J768&gt;50,"Senior")</f>
        <v>Young Adult</v>
      </c>
      <c r="L768">
        <v>0</v>
      </c>
      <c r="M768">
        <v>0</v>
      </c>
      <c r="N768" s="1">
        <f t="shared" si="46"/>
        <v>1</v>
      </c>
      <c r="O768" s="1" t="str">
        <f t="shared" si="47"/>
        <v>Single</v>
      </c>
      <c r="P768">
        <v>7.8958000000000004</v>
      </c>
      <c r="Q768" s="1" t="str" cm="1">
        <f t="array" ref="Q768">_xlfn.IFS(P768&lt;=50,"Low",P768&lt;=100,"Medium",P768&gt;100,"High")</f>
        <v>Low</v>
      </c>
      <c r="R768" t="s">
        <v>17</v>
      </c>
      <c r="S768" s="1" t="str" cm="1">
        <f t="array" ref="S768">_xlfn.IFS(R768="S","Southampton",R768="C","Cherbourg",R768="Q","Queenstown")</f>
        <v>Southampton</v>
      </c>
    </row>
    <row r="769" spans="1:19" x14ac:dyDescent="0.3">
      <c r="A769">
        <v>768</v>
      </c>
      <c r="B769">
        <v>3</v>
      </c>
      <c r="C769" s="1" t="str" cm="1">
        <f t="array" ref="C769">_xlfn.IFS(B769=1,"First Class",B769=2,"Second Class",B769=3,"Third Class")</f>
        <v>Third Class</v>
      </c>
      <c r="D769">
        <v>0</v>
      </c>
      <c r="E769" s="1" t="str">
        <f t="shared" si="44"/>
        <v>Dead</v>
      </c>
      <c r="F769" t="s">
        <v>1450</v>
      </c>
      <c r="G769" s="1" t="s">
        <v>2999</v>
      </c>
      <c r="H769" t="s">
        <v>20</v>
      </c>
      <c r="I769" s="1" t="str">
        <f t="shared" si="45"/>
        <v>Male</v>
      </c>
      <c r="J769" s="3">
        <v>29.881137667304014</v>
      </c>
      <c r="K769" s="3" t="str" cm="1">
        <f t="array" ref="K769">_xlfn.IFS(J769&lt;=13,"Child",J769&lt;=18,"Teenager",J769&lt;=30,"Young Adult",J769&lt;=50,"Middle Aged Adult",J769&gt;50,"Senior")</f>
        <v>Young Adult</v>
      </c>
      <c r="L769">
        <v>0</v>
      </c>
      <c r="M769">
        <v>0</v>
      </c>
      <c r="N769" s="1">
        <f t="shared" si="46"/>
        <v>1</v>
      </c>
      <c r="O769" s="1" t="str">
        <f t="shared" si="47"/>
        <v>Single</v>
      </c>
      <c r="P769">
        <v>7.8958000000000004</v>
      </c>
      <c r="Q769" s="1" t="str" cm="1">
        <f t="array" ref="Q769">_xlfn.IFS(P769&lt;=50,"Low",P769&lt;=100,"Medium",P769&gt;100,"High")</f>
        <v>Low</v>
      </c>
      <c r="R769" t="s">
        <v>17</v>
      </c>
      <c r="S769" s="1" t="str" cm="1">
        <f t="array" ref="S769">_xlfn.IFS(R769="S","Southampton",R769="C","Cherbourg",R769="Q","Queenstown")</f>
        <v>Southampton</v>
      </c>
    </row>
    <row r="770" spans="1:19" x14ac:dyDescent="0.3">
      <c r="A770">
        <v>769</v>
      </c>
      <c r="B770">
        <v>3</v>
      </c>
      <c r="C770" s="1" t="str" cm="1">
        <f t="array" ref="C770">_xlfn.IFS(B770=1,"First Class",B770=2,"Second Class",B770=3,"Third Class")</f>
        <v>Third Class</v>
      </c>
      <c r="D770">
        <v>0</v>
      </c>
      <c r="E770" s="1" t="str">
        <f t="shared" si="44"/>
        <v>Dead</v>
      </c>
      <c r="F770" t="s">
        <v>1451</v>
      </c>
      <c r="G770" s="1" t="s">
        <v>2999</v>
      </c>
      <c r="H770" t="s">
        <v>20</v>
      </c>
      <c r="I770" s="1" t="str">
        <f t="shared" si="45"/>
        <v>Male</v>
      </c>
      <c r="J770" s="3">
        <v>29.881137667304014</v>
      </c>
      <c r="K770" s="3" t="str" cm="1">
        <f t="array" ref="K770">_xlfn.IFS(J770&lt;=13,"Child",J770&lt;=18,"Teenager",J770&lt;=30,"Young Adult",J770&lt;=50,"Middle Aged Adult",J770&gt;50,"Senior")</f>
        <v>Young Adult</v>
      </c>
      <c r="L770">
        <v>0</v>
      </c>
      <c r="M770">
        <v>0</v>
      </c>
      <c r="N770" s="1">
        <f t="shared" si="46"/>
        <v>1</v>
      </c>
      <c r="O770" s="1" t="str">
        <f t="shared" si="47"/>
        <v>Single</v>
      </c>
      <c r="P770">
        <v>7.8958000000000004</v>
      </c>
      <c r="Q770" s="1" t="str" cm="1">
        <f t="array" ref="Q770">_xlfn.IFS(P770&lt;=50,"Low",P770&lt;=100,"Medium",P770&gt;100,"High")</f>
        <v>Low</v>
      </c>
      <c r="R770" t="s">
        <v>17</v>
      </c>
      <c r="S770" s="1" t="str" cm="1">
        <f t="array" ref="S770">_xlfn.IFS(R770="S","Southampton",R770="C","Cherbourg",R770="Q","Queenstown")</f>
        <v>Southampton</v>
      </c>
    </row>
    <row r="771" spans="1:19" x14ac:dyDescent="0.3">
      <c r="A771">
        <v>770</v>
      </c>
      <c r="B771">
        <v>3</v>
      </c>
      <c r="C771" s="1" t="str" cm="1">
        <f t="array" ref="C771">_xlfn.IFS(B771=1,"First Class",B771=2,"Second Class",B771=3,"Third Class")</f>
        <v>Third Class</v>
      </c>
      <c r="D771">
        <v>0</v>
      </c>
      <c r="E771" s="1" t="str">
        <f t="shared" ref="E771:E834" si="48">IF(D771=0,"Dead","Alive")</f>
        <v>Dead</v>
      </c>
      <c r="F771" t="s">
        <v>1453</v>
      </c>
      <c r="G771" s="1" t="s">
        <v>2999</v>
      </c>
      <c r="H771" t="s">
        <v>20</v>
      </c>
      <c r="I771" s="1" t="str">
        <f t="shared" ref="I771:I834" si="49">PROPER(H771)</f>
        <v>Male</v>
      </c>
      <c r="J771" s="3">
        <v>22</v>
      </c>
      <c r="K771" s="3" t="str" cm="1">
        <f t="array" ref="K771">_xlfn.IFS(J771&lt;=13,"Child",J771&lt;=18,"Teenager",J771&lt;=30,"Young Adult",J771&lt;=50,"Middle Aged Adult",J771&gt;50,"Senior")</f>
        <v>Young Adult</v>
      </c>
      <c r="L771">
        <v>0</v>
      </c>
      <c r="M771">
        <v>0</v>
      </c>
      <c r="N771" s="1">
        <f t="shared" ref="N771:N834" si="50">L771+M771+1</f>
        <v>1</v>
      </c>
      <c r="O771" s="1" t="str">
        <f t="shared" ref="O771:O834" si="51">IF(N771=1,"Single","With Family")</f>
        <v>Single</v>
      </c>
      <c r="P771">
        <v>7.25</v>
      </c>
      <c r="Q771" s="1" t="str" cm="1">
        <f t="array" ref="Q771">_xlfn.IFS(P771&lt;=50,"Low",P771&lt;=100,"Medium",P771&gt;100,"High")</f>
        <v>Low</v>
      </c>
      <c r="R771" t="s">
        <v>17</v>
      </c>
      <c r="S771" s="1" t="str" cm="1">
        <f t="array" ref="S771">_xlfn.IFS(R771="S","Southampton",R771="C","Cherbourg",R771="Q","Queenstown")</f>
        <v>Southampton</v>
      </c>
    </row>
    <row r="772" spans="1:19" x14ac:dyDescent="0.3">
      <c r="A772">
        <v>771</v>
      </c>
      <c r="B772">
        <v>3</v>
      </c>
      <c r="C772" s="1" t="str" cm="1">
        <f t="array" ref="C772">_xlfn.IFS(B772=1,"First Class",B772=2,"Second Class",B772=3,"Third Class")</f>
        <v>Third Class</v>
      </c>
      <c r="D772">
        <v>0</v>
      </c>
      <c r="E772" s="1" t="str">
        <f t="shared" si="48"/>
        <v>Dead</v>
      </c>
      <c r="F772" t="s">
        <v>1455</v>
      </c>
      <c r="G772" s="1" t="s">
        <v>2999</v>
      </c>
      <c r="H772" t="s">
        <v>20</v>
      </c>
      <c r="I772" s="1" t="str">
        <f t="shared" si="49"/>
        <v>Male</v>
      </c>
      <c r="J772" s="3">
        <v>36</v>
      </c>
      <c r="K772" s="3" t="str" cm="1">
        <f t="array" ref="K772">_xlfn.IFS(J772&lt;=13,"Child",J772&lt;=18,"Teenager",J772&lt;=30,"Young Adult",J772&lt;=50,"Middle Aged Adult",J772&gt;50,"Senior")</f>
        <v>Middle Aged Adult</v>
      </c>
      <c r="L772">
        <v>0</v>
      </c>
      <c r="M772">
        <v>0</v>
      </c>
      <c r="N772" s="1">
        <f t="shared" si="50"/>
        <v>1</v>
      </c>
      <c r="O772" s="1" t="str">
        <f t="shared" si="51"/>
        <v>Single</v>
      </c>
      <c r="P772">
        <v>7.25</v>
      </c>
      <c r="Q772" s="1" t="str" cm="1">
        <f t="array" ref="Q772">_xlfn.IFS(P772&lt;=50,"Low",P772&lt;=100,"Medium",P772&gt;100,"High")</f>
        <v>Low</v>
      </c>
      <c r="R772" t="s">
        <v>17</v>
      </c>
      <c r="S772" s="1" t="str" cm="1">
        <f t="array" ref="S772">_xlfn.IFS(R772="S","Southampton",R772="C","Cherbourg",R772="Q","Queenstown")</f>
        <v>Southampton</v>
      </c>
    </row>
    <row r="773" spans="1:19" x14ac:dyDescent="0.3">
      <c r="A773">
        <v>772</v>
      </c>
      <c r="B773">
        <v>3</v>
      </c>
      <c r="C773" s="1" t="str" cm="1">
        <f t="array" ref="C773">_xlfn.IFS(B773=1,"First Class",B773=2,"Second Class",B773=3,"Third Class")</f>
        <v>Third Class</v>
      </c>
      <c r="D773">
        <v>1</v>
      </c>
      <c r="E773" s="1" t="str">
        <f t="shared" si="48"/>
        <v>Alive</v>
      </c>
      <c r="F773" t="s">
        <v>1457</v>
      </c>
      <c r="G773" s="1" t="s">
        <v>2994</v>
      </c>
      <c r="H773" t="s">
        <v>15</v>
      </c>
      <c r="I773" s="1" t="str">
        <f t="shared" si="49"/>
        <v>Female</v>
      </c>
      <c r="J773" s="3">
        <v>19</v>
      </c>
      <c r="K773" s="3" t="str" cm="1">
        <f t="array" ref="K773">_xlfn.IFS(J773&lt;=13,"Child",J773&lt;=18,"Teenager",J773&lt;=30,"Young Adult",J773&lt;=50,"Middle Aged Adult",J773&gt;50,"Senior")</f>
        <v>Young Adult</v>
      </c>
      <c r="L773">
        <v>0</v>
      </c>
      <c r="M773">
        <v>0</v>
      </c>
      <c r="N773" s="1">
        <f t="shared" si="50"/>
        <v>1</v>
      </c>
      <c r="O773" s="1" t="str">
        <f t="shared" si="51"/>
        <v>Single</v>
      </c>
      <c r="P773">
        <v>7.8792</v>
      </c>
      <c r="Q773" s="1" t="str" cm="1">
        <f t="array" ref="Q773">_xlfn.IFS(P773&lt;=50,"Low",P773&lt;=100,"Medium",P773&gt;100,"High")</f>
        <v>Low</v>
      </c>
      <c r="R773" t="s">
        <v>463</v>
      </c>
      <c r="S773" s="1" t="str" cm="1">
        <f t="array" ref="S773">_xlfn.IFS(R773="S","Southampton",R773="C","Cherbourg",R773="Q","Queenstown")</f>
        <v>Queenstown</v>
      </c>
    </row>
    <row r="774" spans="1:19" x14ac:dyDescent="0.3">
      <c r="A774">
        <v>773</v>
      </c>
      <c r="B774">
        <v>3</v>
      </c>
      <c r="C774" s="1" t="str" cm="1">
        <f t="array" ref="C774">_xlfn.IFS(B774=1,"First Class",B774=2,"Second Class",B774=3,"Third Class")</f>
        <v>Third Class</v>
      </c>
      <c r="D774">
        <v>0</v>
      </c>
      <c r="E774" s="1" t="str">
        <f t="shared" si="48"/>
        <v>Dead</v>
      </c>
      <c r="F774" t="s">
        <v>1459</v>
      </c>
      <c r="G774" s="1" t="s">
        <v>2999</v>
      </c>
      <c r="H774" t="s">
        <v>20</v>
      </c>
      <c r="I774" s="1" t="str">
        <f t="shared" si="49"/>
        <v>Male</v>
      </c>
      <c r="J774" s="3">
        <v>17</v>
      </c>
      <c r="K774" s="3" t="str" cm="1">
        <f t="array" ref="K774">_xlfn.IFS(J774&lt;=13,"Child",J774&lt;=18,"Teenager",J774&lt;=30,"Young Adult",J774&lt;=50,"Middle Aged Adult",J774&gt;50,"Senior")</f>
        <v>Teenager</v>
      </c>
      <c r="L774">
        <v>0</v>
      </c>
      <c r="M774">
        <v>0</v>
      </c>
      <c r="N774" s="1">
        <f t="shared" si="50"/>
        <v>1</v>
      </c>
      <c r="O774" s="1" t="str">
        <f t="shared" si="51"/>
        <v>Single</v>
      </c>
      <c r="P774">
        <v>7.8958000000000004</v>
      </c>
      <c r="Q774" s="1" t="str" cm="1">
        <f t="array" ref="Q774">_xlfn.IFS(P774&lt;=50,"Low",P774&lt;=100,"Medium",P774&gt;100,"High")</f>
        <v>Low</v>
      </c>
      <c r="R774" t="s">
        <v>17</v>
      </c>
      <c r="S774" s="1" t="str" cm="1">
        <f t="array" ref="S774">_xlfn.IFS(R774="S","Southampton",R774="C","Cherbourg",R774="Q","Queenstown")</f>
        <v>Southampton</v>
      </c>
    </row>
    <row r="775" spans="1:19" x14ac:dyDescent="0.3">
      <c r="A775">
        <v>774</v>
      </c>
      <c r="B775">
        <v>3</v>
      </c>
      <c r="C775" s="1" t="str" cm="1">
        <f t="array" ref="C775">_xlfn.IFS(B775=1,"First Class",B775=2,"Second Class",B775=3,"Third Class")</f>
        <v>Third Class</v>
      </c>
      <c r="D775">
        <v>0</v>
      </c>
      <c r="E775" s="1" t="str">
        <f t="shared" si="48"/>
        <v>Dead</v>
      </c>
      <c r="F775" t="s">
        <v>1460</v>
      </c>
      <c r="G775" s="1" t="s">
        <v>2999</v>
      </c>
      <c r="H775" t="s">
        <v>20</v>
      </c>
      <c r="I775" s="1" t="str">
        <f t="shared" si="49"/>
        <v>Male</v>
      </c>
      <c r="J775" s="3">
        <v>42</v>
      </c>
      <c r="K775" s="3" t="str" cm="1">
        <f t="array" ref="K775">_xlfn.IFS(J775&lt;=13,"Child",J775&lt;=18,"Teenager",J775&lt;=30,"Young Adult",J775&lt;=50,"Middle Aged Adult",J775&gt;50,"Senior")</f>
        <v>Middle Aged Adult</v>
      </c>
      <c r="L775">
        <v>0</v>
      </c>
      <c r="M775">
        <v>0</v>
      </c>
      <c r="N775" s="1">
        <f t="shared" si="50"/>
        <v>1</v>
      </c>
      <c r="O775" s="1" t="str">
        <f t="shared" si="51"/>
        <v>Single</v>
      </c>
      <c r="P775">
        <v>8.6624999999999996</v>
      </c>
      <c r="Q775" s="1" t="str" cm="1">
        <f t="array" ref="Q775">_xlfn.IFS(P775&lt;=50,"Low",P775&lt;=100,"Medium",P775&gt;100,"High")</f>
        <v>Low</v>
      </c>
      <c r="R775" t="s">
        <v>17</v>
      </c>
      <c r="S775" s="1" t="str" cm="1">
        <f t="array" ref="S775">_xlfn.IFS(R775="S","Southampton",R775="C","Cherbourg",R775="Q","Queenstown")</f>
        <v>Southampton</v>
      </c>
    </row>
    <row r="776" spans="1:19" x14ac:dyDescent="0.3">
      <c r="A776">
        <v>775</v>
      </c>
      <c r="B776">
        <v>3</v>
      </c>
      <c r="C776" s="1" t="str" cm="1">
        <f t="array" ref="C776">_xlfn.IFS(B776=1,"First Class",B776=2,"Second Class",B776=3,"Third Class")</f>
        <v>Third Class</v>
      </c>
      <c r="D776">
        <v>0</v>
      </c>
      <c r="E776" s="1" t="str">
        <f t="shared" si="48"/>
        <v>Dead</v>
      </c>
      <c r="F776" t="s">
        <v>1461</v>
      </c>
      <c r="G776" s="1" t="s">
        <v>2999</v>
      </c>
      <c r="H776" t="s">
        <v>20</v>
      </c>
      <c r="I776" s="1" t="str">
        <f t="shared" si="49"/>
        <v>Male</v>
      </c>
      <c r="J776" s="3">
        <v>43</v>
      </c>
      <c r="K776" s="3" t="str" cm="1">
        <f t="array" ref="K776">_xlfn.IFS(J776&lt;=13,"Child",J776&lt;=18,"Teenager",J776&lt;=30,"Young Adult",J776&lt;=50,"Middle Aged Adult",J776&gt;50,"Senior")</f>
        <v>Middle Aged Adult</v>
      </c>
      <c r="L776">
        <v>0</v>
      </c>
      <c r="M776">
        <v>0</v>
      </c>
      <c r="N776" s="1">
        <f t="shared" si="50"/>
        <v>1</v>
      </c>
      <c r="O776" s="1" t="str">
        <f t="shared" si="51"/>
        <v>Single</v>
      </c>
      <c r="P776">
        <v>7.8958000000000004</v>
      </c>
      <c r="Q776" s="1" t="str" cm="1">
        <f t="array" ref="Q776">_xlfn.IFS(P776&lt;=50,"Low",P776&lt;=100,"Medium",P776&gt;100,"High")</f>
        <v>Low</v>
      </c>
      <c r="R776" t="s">
        <v>17</v>
      </c>
      <c r="S776" s="1" t="str" cm="1">
        <f t="array" ref="S776">_xlfn.IFS(R776="S","Southampton",R776="C","Cherbourg",R776="Q","Queenstown")</f>
        <v>Southampton</v>
      </c>
    </row>
    <row r="777" spans="1:19" x14ac:dyDescent="0.3">
      <c r="A777">
        <v>776</v>
      </c>
      <c r="B777">
        <v>3</v>
      </c>
      <c r="C777" s="1" t="str" cm="1">
        <f t="array" ref="C777">_xlfn.IFS(B777=1,"First Class",B777=2,"Second Class",B777=3,"Third Class")</f>
        <v>Third Class</v>
      </c>
      <c r="D777">
        <v>0</v>
      </c>
      <c r="E777" s="1" t="str">
        <f t="shared" si="48"/>
        <v>Dead</v>
      </c>
      <c r="F777" t="s">
        <v>1462</v>
      </c>
      <c r="G777" s="1" t="s">
        <v>2999</v>
      </c>
      <c r="H777" t="s">
        <v>20</v>
      </c>
      <c r="I777" s="1" t="str">
        <f t="shared" si="49"/>
        <v>Male</v>
      </c>
      <c r="J777" s="3">
        <v>29.881137667304014</v>
      </c>
      <c r="K777" s="3" t="str" cm="1">
        <f t="array" ref="K777">_xlfn.IFS(J777&lt;=13,"Child",J777&lt;=18,"Teenager",J777&lt;=30,"Young Adult",J777&lt;=50,"Middle Aged Adult",J777&gt;50,"Senior")</f>
        <v>Young Adult</v>
      </c>
      <c r="L777">
        <v>0</v>
      </c>
      <c r="M777">
        <v>0</v>
      </c>
      <c r="N777" s="1">
        <f t="shared" si="50"/>
        <v>1</v>
      </c>
      <c r="O777" s="1" t="str">
        <f t="shared" si="51"/>
        <v>Single</v>
      </c>
      <c r="P777">
        <v>7.2291999999999996</v>
      </c>
      <c r="Q777" s="1" t="str" cm="1">
        <f t="array" ref="Q777">_xlfn.IFS(P777&lt;=50,"Low",P777&lt;=100,"Medium",P777&gt;100,"High")</f>
        <v>Low</v>
      </c>
      <c r="R777" t="s">
        <v>41</v>
      </c>
      <c r="S777" s="1" t="str" cm="1">
        <f t="array" ref="S777">_xlfn.IFS(R777="S","Southampton",R777="C","Cherbourg",R777="Q","Queenstown")</f>
        <v>Cherbourg</v>
      </c>
    </row>
    <row r="778" spans="1:19" x14ac:dyDescent="0.3">
      <c r="A778">
        <v>777</v>
      </c>
      <c r="B778">
        <v>3</v>
      </c>
      <c r="C778" s="1" t="str" cm="1">
        <f t="array" ref="C778">_xlfn.IFS(B778=1,"First Class",B778=2,"Second Class",B778=3,"Third Class")</f>
        <v>Third Class</v>
      </c>
      <c r="D778">
        <v>0</v>
      </c>
      <c r="E778" s="1" t="str">
        <f t="shared" si="48"/>
        <v>Dead</v>
      </c>
      <c r="F778" t="s">
        <v>1463</v>
      </c>
      <c r="G778" s="1" t="s">
        <v>2999</v>
      </c>
      <c r="H778" t="s">
        <v>20</v>
      </c>
      <c r="I778" s="1" t="str">
        <f t="shared" si="49"/>
        <v>Male</v>
      </c>
      <c r="J778" s="3">
        <v>32</v>
      </c>
      <c r="K778" s="3" t="str" cm="1">
        <f t="array" ref="K778">_xlfn.IFS(J778&lt;=13,"Child",J778&lt;=18,"Teenager",J778&lt;=30,"Young Adult",J778&lt;=50,"Middle Aged Adult",J778&gt;50,"Senior")</f>
        <v>Middle Aged Adult</v>
      </c>
      <c r="L778">
        <v>0</v>
      </c>
      <c r="M778">
        <v>0</v>
      </c>
      <c r="N778" s="1">
        <f t="shared" si="50"/>
        <v>1</v>
      </c>
      <c r="O778" s="1" t="str">
        <f t="shared" si="51"/>
        <v>Single</v>
      </c>
      <c r="P778">
        <v>7.75</v>
      </c>
      <c r="Q778" s="1" t="str" cm="1">
        <f t="array" ref="Q778">_xlfn.IFS(P778&lt;=50,"Low",P778&lt;=100,"Medium",P778&gt;100,"High")</f>
        <v>Low</v>
      </c>
      <c r="R778" t="s">
        <v>463</v>
      </c>
      <c r="S778" s="1" t="str" cm="1">
        <f t="array" ref="S778">_xlfn.IFS(R778="S","Southampton",R778="C","Cherbourg",R778="Q","Queenstown")</f>
        <v>Queenstown</v>
      </c>
    </row>
    <row r="779" spans="1:19" x14ac:dyDescent="0.3">
      <c r="A779">
        <v>778</v>
      </c>
      <c r="B779">
        <v>3</v>
      </c>
      <c r="C779" s="1" t="str" cm="1">
        <f t="array" ref="C779">_xlfn.IFS(B779=1,"First Class",B779=2,"Second Class",B779=3,"Third Class")</f>
        <v>Third Class</v>
      </c>
      <c r="D779">
        <v>1</v>
      </c>
      <c r="E779" s="1" t="str">
        <f t="shared" si="48"/>
        <v>Alive</v>
      </c>
      <c r="F779" t="s">
        <v>1464</v>
      </c>
      <c r="G779" s="1" t="s">
        <v>2999</v>
      </c>
      <c r="H779" t="s">
        <v>20</v>
      </c>
      <c r="I779" s="1" t="str">
        <f t="shared" si="49"/>
        <v>Male</v>
      </c>
      <c r="J779" s="3">
        <v>19</v>
      </c>
      <c r="K779" s="3" t="str" cm="1">
        <f t="array" ref="K779">_xlfn.IFS(J779&lt;=13,"Child",J779&lt;=18,"Teenager",J779&lt;=30,"Young Adult",J779&lt;=50,"Middle Aged Adult",J779&gt;50,"Senior")</f>
        <v>Young Adult</v>
      </c>
      <c r="L779">
        <v>0</v>
      </c>
      <c r="M779">
        <v>0</v>
      </c>
      <c r="N779" s="1">
        <f t="shared" si="50"/>
        <v>1</v>
      </c>
      <c r="O779" s="1" t="str">
        <f t="shared" si="51"/>
        <v>Single</v>
      </c>
      <c r="P779">
        <v>8.0500000000000007</v>
      </c>
      <c r="Q779" s="1" t="str" cm="1">
        <f t="array" ref="Q779">_xlfn.IFS(P779&lt;=50,"Low",P779&lt;=100,"Medium",P779&gt;100,"High")</f>
        <v>Low</v>
      </c>
      <c r="R779" t="s">
        <v>17</v>
      </c>
      <c r="S779" s="1" t="str" cm="1">
        <f t="array" ref="S779">_xlfn.IFS(R779="S","Southampton",R779="C","Cherbourg",R779="Q","Queenstown")</f>
        <v>Southampton</v>
      </c>
    </row>
    <row r="780" spans="1:19" x14ac:dyDescent="0.3">
      <c r="A780">
        <v>779</v>
      </c>
      <c r="B780">
        <v>3</v>
      </c>
      <c r="C780" s="1" t="str" cm="1">
        <f t="array" ref="C780">_xlfn.IFS(B780=1,"First Class",B780=2,"Second Class",B780=3,"Third Class")</f>
        <v>Third Class</v>
      </c>
      <c r="D780">
        <v>1</v>
      </c>
      <c r="E780" s="1" t="str">
        <f t="shared" si="48"/>
        <v>Alive</v>
      </c>
      <c r="F780" t="s">
        <v>1467</v>
      </c>
      <c r="G780" s="1" t="s">
        <v>2994</v>
      </c>
      <c r="H780" t="s">
        <v>15</v>
      </c>
      <c r="I780" s="1" t="str">
        <f t="shared" si="49"/>
        <v>Female</v>
      </c>
      <c r="J780" s="3">
        <v>30</v>
      </c>
      <c r="K780" s="3" t="str" cm="1">
        <f t="array" ref="K780">_xlfn.IFS(J780&lt;=13,"Child",J780&lt;=18,"Teenager",J780&lt;=30,"Young Adult",J780&lt;=50,"Middle Aged Adult",J780&gt;50,"Senior")</f>
        <v>Young Adult</v>
      </c>
      <c r="L780">
        <v>0</v>
      </c>
      <c r="M780">
        <v>0</v>
      </c>
      <c r="N780" s="1">
        <f t="shared" si="50"/>
        <v>1</v>
      </c>
      <c r="O780" s="1" t="str">
        <f t="shared" si="51"/>
        <v>Single</v>
      </c>
      <c r="P780">
        <v>12.475</v>
      </c>
      <c r="Q780" s="1" t="str" cm="1">
        <f t="array" ref="Q780">_xlfn.IFS(P780&lt;=50,"Low",P780&lt;=100,"Medium",P780&gt;100,"High")</f>
        <v>Low</v>
      </c>
      <c r="R780" t="s">
        <v>17</v>
      </c>
      <c r="S780" s="1" t="str" cm="1">
        <f t="array" ref="S780">_xlfn.IFS(R780="S","Southampton",R780="C","Cherbourg",R780="Q","Queenstown")</f>
        <v>Southampton</v>
      </c>
    </row>
    <row r="781" spans="1:19" x14ac:dyDescent="0.3">
      <c r="A781">
        <v>780</v>
      </c>
      <c r="B781">
        <v>3</v>
      </c>
      <c r="C781" s="1" t="str" cm="1">
        <f t="array" ref="C781">_xlfn.IFS(B781=1,"First Class",B781=2,"Second Class",B781=3,"Third Class")</f>
        <v>Third Class</v>
      </c>
      <c r="D781">
        <v>0</v>
      </c>
      <c r="E781" s="1" t="str">
        <f t="shared" si="48"/>
        <v>Dead</v>
      </c>
      <c r="F781" t="s">
        <v>1469</v>
      </c>
      <c r="G781" s="1" t="s">
        <v>2994</v>
      </c>
      <c r="H781" t="s">
        <v>15</v>
      </c>
      <c r="I781" s="1" t="str">
        <f t="shared" si="49"/>
        <v>Female</v>
      </c>
      <c r="J781" s="3">
        <v>24</v>
      </c>
      <c r="K781" s="3" t="str" cm="1">
        <f t="array" ref="K781">_xlfn.IFS(J781&lt;=13,"Child",J781&lt;=18,"Teenager",J781&lt;=30,"Young Adult",J781&lt;=50,"Middle Aged Adult",J781&gt;50,"Senior")</f>
        <v>Young Adult</v>
      </c>
      <c r="L781">
        <v>0</v>
      </c>
      <c r="M781">
        <v>0</v>
      </c>
      <c r="N781" s="1">
        <f t="shared" si="50"/>
        <v>1</v>
      </c>
      <c r="O781" s="1" t="str">
        <f t="shared" si="51"/>
        <v>Single</v>
      </c>
      <c r="P781">
        <v>7.75</v>
      </c>
      <c r="Q781" s="1" t="str" cm="1">
        <f t="array" ref="Q781">_xlfn.IFS(P781&lt;=50,"Low",P781&lt;=100,"Medium",P781&gt;100,"High")</f>
        <v>Low</v>
      </c>
      <c r="R781" t="s">
        <v>463</v>
      </c>
      <c r="S781" s="1" t="str" cm="1">
        <f t="array" ref="S781">_xlfn.IFS(R781="S","Southampton",R781="C","Cherbourg",R781="Q","Queenstown")</f>
        <v>Queenstown</v>
      </c>
    </row>
    <row r="782" spans="1:19" x14ac:dyDescent="0.3">
      <c r="A782">
        <v>781</v>
      </c>
      <c r="B782">
        <v>3</v>
      </c>
      <c r="C782" s="1" t="str" cm="1">
        <f t="array" ref="C782">_xlfn.IFS(B782=1,"First Class",B782=2,"Second Class",B782=3,"Third Class")</f>
        <v>Third Class</v>
      </c>
      <c r="D782">
        <v>1</v>
      </c>
      <c r="E782" s="1" t="str">
        <f t="shared" si="48"/>
        <v>Alive</v>
      </c>
      <c r="F782" t="s">
        <v>1470</v>
      </c>
      <c r="G782" s="1" t="s">
        <v>2994</v>
      </c>
      <c r="H782" t="s">
        <v>15</v>
      </c>
      <c r="I782" s="1" t="str">
        <f t="shared" si="49"/>
        <v>Female</v>
      </c>
      <c r="J782" s="3">
        <v>23</v>
      </c>
      <c r="K782" s="3" t="str" cm="1">
        <f t="array" ref="K782">_xlfn.IFS(J782&lt;=13,"Child",J782&lt;=18,"Teenager",J782&lt;=30,"Young Adult",J782&lt;=50,"Middle Aged Adult",J782&gt;50,"Senior")</f>
        <v>Young Adult</v>
      </c>
      <c r="L782">
        <v>0</v>
      </c>
      <c r="M782">
        <v>0</v>
      </c>
      <c r="N782" s="1">
        <f t="shared" si="50"/>
        <v>1</v>
      </c>
      <c r="O782" s="1" t="str">
        <f t="shared" si="51"/>
        <v>Single</v>
      </c>
      <c r="P782">
        <v>8.0500000000000007</v>
      </c>
      <c r="Q782" s="1" t="str" cm="1">
        <f t="array" ref="Q782">_xlfn.IFS(P782&lt;=50,"Low",P782&lt;=100,"Medium",P782&gt;100,"High")</f>
        <v>Low</v>
      </c>
      <c r="R782" t="s">
        <v>17</v>
      </c>
      <c r="S782" s="1" t="str" cm="1">
        <f t="array" ref="S782">_xlfn.IFS(R782="S","Southampton",R782="C","Cherbourg",R782="Q","Queenstown")</f>
        <v>Southampton</v>
      </c>
    </row>
    <row r="783" spans="1:19" x14ac:dyDescent="0.3">
      <c r="A783">
        <v>782</v>
      </c>
      <c r="B783">
        <v>3</v>
      </c>
      <c r="C783" s="1" t="str" cm="1">
        <f t="array" ref="C783">_xlfn.IFS(B783=1,"First Class",B783=2,"Second Class",B783=3,"Third Class")</f>
        <v>Third Class</v>
      </c>
      <c r="D783">
        <v>0</v>
      </c>
      <c r="E783" s="1" t="str">
        <f t="shared" si="48"/>
        <v>Dead</v>
      </c>
      <c r="F783" t="s">
        <v>1473</v>
      </c>
      <c r="G783" s="1" t="s">
        <v>2999</v>
      </c>
      <c r="H783" t="s">
        <v>20</v>
      </c>
      <c r="I783" s="1" t="str">
        <f t="shared" si="49"/>
        <v>Male</v>
      </c>
      <c r="J783" s="3">
        <v>33</v>
      </c>
      <c r="K783" s="3" t="str" cm="1">
        <f t="array" ref="K783">_xlfn.IFS(J783&lt;=13,"Child",J783&lt;=18,"Teenager",J783&lt;=30,"Young Adult",J783&lt;=50,"Middle Aged Adult",J783&gt;50,"Senior")</f>
        <v>Middle Aged Adult</v>
      </c>
      <c r="L783">
        <v>0</v>
      </c>
      <c r="M783">
        <v>0</v>
      </c>
      <c r="N783" s="1">
        <f t="shared" si="50"/>
        <v>1</v>
      </c>
      <c r="O783" s="1" t="str">
        <f t="shared" si="51"/>
        <v>Single</v>
      </c>
      <c r="P783">
        <v>7.8958000000000004</v>
      </c>
      <c r="Q783" s="1" t="str" cm="1">
        <f t="array" ref="Q783">_xlfn.IFS(P783&lt;=50,"Low",P783&lt;=100,"Medium",P783&gt;100,"High")</f>
        <v>Low</v>
      </c>
      <c r="R783" t="s">
        <v>41</v>
      </c>
      <c r="S783" s="1" t="str" cm="1">
        <f t="array" ref="S783">_xlfn.IFS(R783="S","Southampton",R783="C","Cherbourg",R783="Q","Queenstown")</f>
        <v>Cherbourg</v>
      </c>
    </row>
    <row r="784" spans="1:19" x14ac:dyDescent="0.3">
      <c r="A784">
        <v>783</v>
      </c>
      <c r="B784">
        <v>3</v>
      </c>
      <c r="C784" s="1" t="str" cm="1">
        <f t="array" ref="C784">_xlfn.IFS(B784=1,"First Class",B784=2,"Second Class",B784=3,"Third Class")</f>
        <v>Third Class</v>
      </c>
      <c r="D784">
        <v>0</v>
      </c>
      <c r="E784" s="1" t="str">
        <f t="shared" si="48"/>
        <v>Dead</v>
      </c>
      <c r="F784" t="s">
        <v>1475</v>
      </c>
      <c r="G784" s="1" t="s">
        <v>2999</v>
      </c>
      <c r="H784" t="s">
        <v>20</v>
      </c>
      <c r="I784" s="1" t="str">
        <f t="shared" si="49"/>
        <v>Male</v>
      </c>
      <c r="J784" s="3">
        <v>65</v>
      </c>
      <c r="K784" s="3" t="str" cm="1">
        <f t="array" ref="K784">_xlfn.IFS(J784&lt;=13,"Child",J784&lt;=18,"Teenager",J784&lt;=30,"Young Adult",J784&lt;=50,"Middle Aged Adult",J784&gt;50,"Senior")</f>
        <v>Senior</v>
      </c>
      <c r="L784">
        <v>0</v>
      </c>
      <c r="M784">
        <v>0</v>
      </c>
      <c r="N784" s="1">
        <f t="shared" si="50"/>
        <v>1</v>
      </c>
      <c r="O784" s="1" t="str">
        <f t="shared" si="51"/>
        <v>Single</v>
      </c>
      <c r="P784">
        <v>7.75</v>
      </c>
      <c r="Q784" s="1" t="str" cm="1">
        <f t="array" ref="Q784">_xlfn.IFS(P784&lt;=50,"Low",P784&lt;=100,"Medium",P784&gt;100,"High")</f>
        <v>Low</v>
      </c>
      <c r="R784" t="s">
        <v>463</v>
      </c>
      <c r="S784" s="1" t="str" cm="1">
        <f t="array" ref="S784">_xlfn.IFS(R784="S","Southampton",R784="C","Cherbourg",R784="Q","Queenstown")</f>
        <v>Queenstown</v>
      </c>
    </row>
    <row r="785" spans="1:19" x14ac:dyDescent="0.3">
      <c r="A785">
        <v>784</v>
      </c>
      <c r="B785">
        <v>3</v>
      </c>
      <c r="C785" s="1" t="str" cm="1">
        <f t="array" ref="C785">_xlfn.IFS(B785=1,"First Class",B785=2,"Second Class",B785=3,"Third Class")</f>
        <v>Third Class</v>
      </c>
      <c r="D785">
        <v>1</v>
      </c>
      <c r="E785" s="1" t="str">
        <f t="shared" si="48"/>
        <v>Alive</v>
      </c>
      <c r="F785" t="s">
        <v>1476</v>
      </c>
      <c r="G785" s="1" t="s">
        <v>2999</v>
      </c>
      <c r="H785" t="s">
        <v>20</v>
      </c>
      <c r="I785" s="1" t="str">
        <f t="shared" si="49"/>
        <v>Male</v>
      </c>
      <c r="J785" s="3">
        <v>24</v>
      </c>
      <c r="K785" s="3" t="str" cm="1">
        <f t="array" ref="K785">_xlfn.IFS(J785&lt;=13,"Child",J785&lt;=18,"Teenager",J785&lt;=30,"Young Adult",J785&lt;=50,"Middle Aged Adult",J785&gt;50,"Senior")</f>
        <v>Young Adult</v>
      </c>
      <c r="L785">
        <v>0</v>
      </c>
      <c r="M785">
        <v>0</v>
      </c>
      <c r="N785" s="1">
        <f t="shared" si="50"/>
        <v>1</v>
      </c>
      <c r="O785" s="1" t="str">
        <f t="shared" si="51"/>
        <v>Single</v>
      </c>
      <c r="P785">
        <v>7.55</v>
      </c>
      <c r="Q785" s="1" t="str" cm="1">
        <f t="array" ref="Q785">_xlfn.IFS(P785&lt;=50,"Low",P785&lt;=100,"Medium",P785&gt;100,"High")</f>
        <v>Low</v>
      </c>
      <c r="R785" t="s">
        <v>17</v>
      </c>
      <c r="S785" s="1" t="str" cm="1">
        <f t="array" ref="S785">_xlfn.IFS(R785="S","Southampton",R785="C","Cherbourg",R785="Q","Queenstown")</f>
        <v>Southampton</v>
      </c>
    </row>
    <row r="786" spans="1:19" x14ac:dyDescent="0.3">
      <c r="A786">
        <v>785</v>
      </c>
      <c r="B786">
        <v>3</v>
      </c>
      <c r="C786" s="1" t="str" cm="1">
        <f t="array" ref="C786">_xlfn.IFS(B786=1,"First Class",B786=2,"Second Class",B786=3,"Third Class")</f>
        <v>Third Class</v>
      </c>
      <c r="D786">
        <v>0</v>
      </c>
      <c r="E786" s="1" t="str">
        <f t="shared" si="48"/>
        <v>Dead</v>
      </c>
      <c r="F786" t="s">
        <v>1478</v>
      </c>
      <c r="G786" s="1" t="s">
        <v>2999</v>
      </c>
      <c r="H786" t="s">
        <v>20</v>
      </c>
      <c r="I786" s="1" t="str">
        <f t="shared" si="49"/>
        <v>Male</v>
      </c>
      <c r="J786" s="3">
        <v>23</v>
      </c>
      <c r="K786" s="3" t="str" cm="1">
        <f t="array" ref="K786">_xlfn.IFS(J786&lt;=13,"Child",J786&lt;=18,"Teenager",J786&lt;=30,"Young Adult",J786&lt;=50,"Middle Aged Adult",J786&gt;50,"Senior")</f>
        <v>Young Adult</v>
      </c>
      <c r="L786">
        <v>1</v>
      </c>
      <c r="M786">
        <v>0</v>
      </c>
      <c r="N786" s="1">
        <f t="shared" si="50"/>
        <v>2</v>
      </c>
      <c r="O786" s="1" t="str">
        <f t="shared" si="51"/>
        <v>With Family</v>
      </c>
      <c r="P786">
        <v>13.9</v>
      </c>
      <c r="Q786" s="1" t="str" cm="1">
        <f t="array" ref="Q786">_xlfn.IFS(P786&lt;=50,"Low",P786&lt;=100,"Medium",P786&gt;100,"High")</f>
        <v>Low</v>
      </c>
      <c r="R786" t="s">
        <v>17</v>
      </c>
      <c r="S786" s="1" t="str" cm="1">
        <f t="array" ref="S786">_xlfn.IFS(R786="S","Southampton",R786="C","Cherbourg",R786="Q","Queenstown")</f>
        <v>Southampton</v>
      </c>
    </row>
    <row r="787" spans="1:19" x14ac:dyDescent="0.3">
      <c r="A787">
        <v>786</v>
      </c>
      <c r="B787">
        <v>3</v>
      </c>
      <c r="C787" s="1" t="str" cm="1">
        <f t="array" ref="C787">_xlfn.IFS(B787=1,"First Class",B787=2,"Second Class",B787=3,"Third Class")</f>
        <v>Third Class</v>
      </c>
      <c r="D787">
        <v>1</v>
      </c>
      <c r="E787" s="1" t="str">
        <f t="shared" si="48"/>
        <v>Alive</v>
      </c>
      <c r="F787" t="s">
        <v>1480</v>
      </c>
      <c r="G787" s="1" t="s">
        <v>3001</v>
      </c>
      <c r="H787" t="s">
        <v>15</v>
      </c>
      <c r="I787" s="1" t="str">
        <f t="shared" si="49"/>
        <v>Female</v>
      </c>
      <c r="J787" s="3">
        <v>22</v>
      </c>
      <c r="K787" s="3" t="str" cm="1">
        <f t="array" ref="K787">_xlfn.IFS(J787&lt;=13,"Child",J787&lt;=18,"Teenager",J787&lt;=30,"Young Adult",J787&lt;=50,"Middle Aged Adult",J787&gt;50,"Senior")</f>
        <v>Young Adult</v>
      </c>
      <c r="L787">
        <v>1</v>
      </c>
      <c r="M787">
        <v>0</v>
      </c>
      <c r="N787" s="1">
        <f t="shared" si="50"/>
        <v>2</v>
      </c>
      <c r="O787" s="1" t="str">
        <f t="shared" si="51"/>
        <v>With Family</v>
      </c>
      <c r="P787">
        <v>13.9</v>
      </c>
      <c r="Q787" s="1" t="str" cm="1">
        <f t="array" ref="Q787">_xlfn.IFS(P787&lt;=50,"Low",P787&lt;=100,"Medium",P787&gt;100,"High")</f>
        <v>Low</v>
      </c>
      <c r="R787" t="s">
        <v>17</v>
      </c>
      <c r="S787" s="1" t="str" cm="1">
        <f t="array" ref="S787">_xlfn.IFS(R787="S","Southampton",R787="C","Cherbourg",R787="Q","Queenstown")</f>
        <v>Southampton</v>
      </c>
    </row>
    <row r="788" spans="1:19" x14ac:dyDescent="0.3">
      <c r="A788">
        <v>787</v>
      </c>
      <c r="B788">
        <v>3</v>
      </c>
      <c r="C788" s="1" t="str" cm="1">
        <f t="array" ref="C788">_xlfn.IFS(B788=1,"First Class",B788=2,"Second Class",B788=3,"Third Class")</f>
        <v>Third Class</v>
      </c>
      <c r="D788">
        <v>0</v>
      </c>
      <c r="E788" s="1" t="str">
        <f t="shared" si="48"/>
        <v>Dead</v>
      </c>
      <c r="F788" t="s">
        <v>1481</v>
      </c>
      <c r="G788" s="1" t="s">
        <v>2999</v>
      </c>
      <c r="H788" t="s">
        <v>20</v>
      </c>
      <c r="I788" s="1" t="str">
        <f t="shared" si="49"/>
        <v>Male</v>
      </c>
      <c r="J788" s="3">
        <v>18</v>
      </c>
      <c r="K788" s="3" t="str" cm="1">
        <f t="array" ref="K788">_xlfn.IFS(J788&lt;=13,"Child",J788&lt;=18,"Teenager",J788&lt;=30,"Young Adult",J788&lt;=50,"Middle Aged Adult",J788&gt;50,"Senior")</f>
        <v>Teenager</v>
      </c>
      <c r="L788">
        <v>0</v>
      </c>
      <c r="M788">
        <v>0</v>
      </c>
      <c r="N788" s="1">
        <f t="shared" si="50"/>
        <v>1</v>
      </c>
      <c r="O788" s="1" t="str">
        <f t="shared" si="51"/>
        <v>Single</v>
      </c>
      <c r="P788">
        <v>7.7750000000000004</v>
      </c>
      <c r="Q788" s="1" t="str" cm="1">
        <f t="array" ref="Q788">_xlfn.IFS(P788&lt;=50,"Low",P788&lt;=100,"Medium",P788&gt;100,"High")</f>
        <v>Low</v>
      </c>
      <c r="R788" t="s">
        <v>17</v>
      </c>
      <c r="S788" s="1" t="str" cm="1">
        <f t="array" ref="S788">_xlfn.IFS(R788="S","Southampton",R788="C","Cherbourg",R788="Q","Queenstown")</f>
        <v>Southampton</v>
      </c>
    </row>
    <row r="789" spans="1:19" x14ac:dyDescent="0.3">
      <c r="A789">
        <v>788</v>
      </c>
      <c r="B789">
        <v>3</v>
      </c>
      <c r="C789" s="1" t="str" cm="1">
        <f t="array" ref="C789">_xlfn.IFS(B789=1,"First Class",B789=2,"Second Class",B789=3,"Third Class")</f>
        <v>Third Class</v>
      </c>
      <c r="D789">
        <v>0</v>
      </c>
      <c r="E789" s="1" t="str">
        <f t="shared" si="48"/>
        <v>Dead</v>
      </c>
      <c r="F789" t="s">
        <v>1483</v>
      </c>
      <c r="G789" s="1" t="s">
        <v>2999</v>
      </c>
      <c r="H789" t="s">
        <v>20</v>
      </c>
      <c r="I789" s="1" t="str">
        <f t="shared" si="49"/>
        <v>Male</v>
      </c>
      <c r="J789" s="3">
        <v>16</v>
      </c>
      <c r="K789" s="3" t="str" cm="1">
        <f t="array" ref="K789">_xlfn.IFS(J789&lt;=13,"Child",J789&lt;=18,"Teenager",J789&lt;=30,"Young Adult",J789&lt;=50,"Middle Aged Adult",J789&gt;50,"Senior")</f>
        <v>Teenager</v>
      </c>
      <c r="L789">
        <v>0</v>
      </c>
      <c r="M789">
        <v>0</v>
      </c>
      <c r="N789" s="1">
        <f t="shared" si="50"/>
        <v>1</v>
      </c>
      <c r="O789" s="1" t="str">
        <f t="shared" si="51"/>
        <v>Single</v>
      </c>
      <c r="P789">
        <v>7.7750000000000004</v>
      </c>
      <c r="Q789" s="1" t="str" cm="1">
        <f t="array" ref="Q789">_xlfn.IFS(P789&lt;=50,"Low",P789&lt;=100,"Medium",P789&gt;100,"High")</f>
        <v>Low</v>
      </c>
      <c r="R789" t="s">
        <v>17</v>
      </c>
      <c r="S789" s="1" t="str" cm="1">
        <f t="array" ref="S789">_xlfn.IFS(R789="S","Southampton",R789="C","Cherbourg",R789="Q","Queenstown")</f>
        <v>Southampton</v>
      </c>
    </row>
    <row r="790" spans="1:19" x14ac:dyDescent="0.3">
      <c r="A790">
        <v>789</v>
      </c>
      <c r="B790">
        <v>3</v>
      </c>
      <c r="C790" s="1" t="str" cm="1">
        <f t="array" ref="C790">_xlfn.IFS(B790=1,"First Class",B790=2,"Second Class",B790=3,"Third Class")</f>
        <v>Third Class</v>
      </c>
      <c r="D790">
        <v>0</v>
      </c>
      <c r="E790" s="1" t="str">
        <f t="shared" si="48"/>
        <v>Dead</v>
      </c>
      <c r="F790" t="s">
        <v>1485</v>
      </c>
      <c r="G790" s="1" t="s">
        <v>2999</v>
      </c>
      <c r="H790" t="s">
        <v>20</v>
      </c>
      <c r="I790" s="1" t="str">
        <f t="shared" si="49"/>
        <v>Male</v>
      </c>
      <c r="J790" s="3">
        <v>45</v>
      </c>
      <c r="K790" s="3" t="str" cm="1">
        <f t="array" ref="K790">_xlfn.IFS(J790&lt;=13,"Child",J790&lt;=18,"Teenager",J790&lt;=30,"Young Adult",J790&lt;=50,"Middle Aged Adult",J790&gt;50,"Senior")</f>
        <v>Middle Aged Adult</v>
      </c>
      <c r="L790">
        <v>0</v>
      </c>
      <c r="M790">
        <v>0</v>
      </c>
      <c r="N790" s="1">
        <f t="shared" si="50"/>
        <v>1</v>
      </c>
      <c r="O790" s="1" t="str">
        <f t="shared" si="51"/>
        <v>Single</v>
      </c>
      <c r="P790">
        <v>6.9749999999999996</v>
      </c>
      <c r="Q790" s="1" t="str" cm="1">
        <f t="array" ref="Q790">_xlfn.IFS(P790&lt;=50,"Low",P790&lt;=100,"Medium",P790&gt;100,"High")</f>
        <v>Low</v>
      </c>
      <c r="R790" t="s">
        <v>17</v>
      </c>
      <c r="S790" s="1" t="str" cm="1">
        <f t="array" ref="S790">_xlfn.IFS(R790="S","Southampton",R790="C","Cherbourg",R790="Q","Queenstown")</f>
        <v>Southampton</v>
      </c>
    </row>
    <row r="791" spans="1:19" x14ac:dyDescent="0.3">
      <c r="A791">
        <v>790</v>
      </c>
      <c r="B791">
        <v>3</v>
      </c>
      <c r="C791" s="1" t="str" cm="1">
        <f t="array" ref="C791">_xlfn.IFS(B791=1,"First Class",B791=2,"Second Class",B791=3,"Third Class")</f>
        <v>Third Class</v>
      </c>
      <c r="D791">
        <v>0</v>
      </c>
      <c r="E791" s="1" t="str">
        <f t="shared" si="48"/>
        <v>Dead</v>
      </c>
      <c r="F791" t="s">
        <v>1487</v>
      </c>
      <c r="G791" s="1" t="s">
        <v>2999</v>
      </c>
      <c r="H791" t="s">
        <v>20</v>
      </c>
      <c r="I791" s="1" t="str">
        <f t="shared" si="49"/>
        <v>Male</v>
      </c>
      <c r="J791" s="3">
        <v>29.881137667304014</v>
      </c>
      <c r="K791" s="3" t="str" cm="1">
        <f t="array" ref="K791">_xlfn.IFS(J791&lt;=13,"Child",J791&lt;=18,"Teenager",J791&lt;=30,"Young Adult",J791&lt;=50,"Middle Aged Adult",J791&gt;50,"Senior")</f>
        <v>Young Adult</v>
      </c>
      <c r="L791">
        <v>0</v>
      </c>
      <c r="M791">
        <v>0</v>
      </c>
      <c r="N791" s="1">
        <f t="shared" si="50"/>
        <v>1</v>
      </c>
      <c r="O791" s="1" t="str">
        <f t="shared" si="51"/>
        <v>Single</v>
      </c>
      <c r="P791">
        <v>7.2249999999999996</v>
      </c>
      <c r="Q791" s="1" t="str" cm="1">
        <f t="array" ref="Q791">_xlfn.IFS(P791&lt;=50,"Low",P791&lt;=100,"Medium",P791&gt;100,"High")</f>
        <v>Low</v>
      </c>
      <c r="R791" t="s">
        <v>41</v>
      </c>
      <c r="S791" s="1" t="str" cm="1">
        <f t="array" ref="S791">_xlfn.IFS(R791="S","Southampton",R791="C","Cherbourg",R791="Q","Queenstown")</f>
        <v>Cherbourg</v>
      </c>
    </row>
    <row r="792" spans="1:19" x14ac:dyDescent="0.3">
      <c r="A792">
        <v>791</v>
      </c>
      <c r="B792">
        <v>3</v>
      </c>
      <c r="C792" s="1" t="str" cm="1">
        <f t="array" ref="C792">_xlfn.IFS(B792=1,"First Class",B792=2,"Second Class",B792=3,"Third Class")</f>
        <v>Third Class</v>
      </c>
      <c r="D792">
        <v>0</v>
      </c>
      <c r="E792" s="1" t="str">
        <f t="shared" si="48"/>
        <v>Dead</v>
      </c>
      <c r="F792" t="s">
        <v>1488</v>
      </c>
      <c r="G792" s="1" t="s">
        <v>2999</v>
      </c>
      <c r="H792" t="s">
        <v>20</v>
      </c>
      <c r="I792" s="1" t="str">
        <f t="shared" si="49"/>
        <v>Male</v>
      </c>
      <c r="J792" s="3">
        <v>39</v>
      </c>
      <c r="K792" s="3" t="str" cm="1">
        <f t="array" ref="K792">_xlfn.IFS(J792&lt;=13,"Child",J792&lt;=18,"Teenager",J792&lt;=30,"Young Adult",J792&lt;=50,"Middle Aged Adult",J792&gt;50,"Senior")</f>
        <v>Middle Aged Adult</v>
      </c>
      <c r="L792">
        <v>0</v>
      </c>
      <c r="M792">
        <v>2</v>
      </c>
      <c r="N792" s="1">
        <f t="shared" si="50"/>
        <v>3</v>
      </c>
      <c r="O792" s="1" t="str">
        <f t="shared" si="51"/>
        <v>With Family</v>
      </c>
      <c r="P792">
        <v>7.2291999999999996</v>
      </c>
      <c r="Q792" s="1" t="str" cm="1">
        <f t="array" ref="Q792">_xlfn.IFS(P792&lt;=50,"Low",P792&lt;=100,"Medium",P792&gt;100,"High")</f>
        <v>Low</v>
      </c>
      <c r="R792" t="s">
        <v>41</v>
      </c>
      <c r="S792" s="1" t="str" cm="1">
        <f t="array" ref="S792">_xlfn.IFS(R792="S","Southampton",R792="C","Cherbourg",R792="Q","Queenstown")</f>
        <v>Cherbourg</v>
      </c>
    </row>
    <row r="793" spans="1:19" x14ac:dyDescent="0.3">
      <c r="A793">
        <v>792</v>
      </c>
      <c r="B793">
        <v>3</v>
      </c>
      <c r="C793" s="1" t="str" cm="1">
        <f t="array" ref="C793">_xlfn.IFS(B793=1,"First Class",B793=2,"Second Class",B793=3,"Third Class")</f>
        <v>Third Class</v>
      </c>
      <c r="D793">
        <v>0</v>
      </c>
      <c r="E793" s="1" t="str">
        <f t="shared" si="48"/>
        <v>Dead</v>
      </c>
      <c r="F793" t="s">
        <v>1489</v>
      </c>
      <c r="G793" s="1" t="s">
        <v>2999</v>
      </c>
      <c r="H793" t="s">
        <v>20</v>
      </c>
      <c r="I793" s="1" t="str">
        <f t="shared" si="49"/>
        <v>Male</v>
      </c>
      <c r="J793" s="3">
        <v>17</v>
      </c>
      <c r="K793" s="3" t="str" cm="1">
        <f t="array" ref="K793">_xlfn.IFS(J793&lt;=13,"Child",J793&lt;=18,"Teenager",J793&lt;=30,"Young Adult",J793&lt;=50,"Middle Aged Adult",J793&gt;50,"Senior")</f>
        <v>Teenager</v>
      </c>
      <c r="L793">
        <v>1</v>
      </c>
      <c r="M793">
        <v>1</v>
      </c>
      <c r="N793" s="1">
        <f t="shared" si="50"/>
        <v>3</v>
      </c>
      <c r="O793" s="1" t="str">
        <f t="shared" si="51"/>
        <v>With Family</v>
      </c>
      <c r="P793">
        <v>7.2291999999999996</v>
      </c>
      <c r="Q793" s="1" t="str" cm="1">
        <f t="array" ref="Q793">_xlfn.IFS(P793&lt;=50,"Low",P793&lt;=100,"Medium",P793&gt;100,"High")</f>
        <v>Low</v>
      </c>
      <c r="R793" t="s">
        <v>41</v>
      </c>
      <c r="S793" s="1" t="str" cm="1">
        <f t="array" ref="S793">_xlfn.IFS(R793="S","Southampton",R793="C","Cherbourg",R793="Q","Queenstown")</f>
        <v>Cherbourg</v>
      </c>
    </row>
    <row r="794" spans="1:19" x14ac:dyDescent="0.3">
      <c r="A794">
        <v>793</v>
      </c>
      <c r="B794">
        <v>3</v>
      </c>
      <c r="C794" s="1" t="str" cm="1">
        <f t="array" ref="C794">_xlfn.IFS(B794=1,"First Class",B794=2,"Second Class",B794=3,"Third Class")</f>
        <v>Third Class</v>
      </c>
      <c r="D794">
        <v>0</v>
      </c>
      <c r="E794" s="1" t="str">
        <f t="shared" si="48"/>
        <v>Dead</v>
      </c>
      <c r="F794" t="s">
        <v>1490</v>
      </c>
      <c r="G794" s="1" t="s">
        <v>2999</v>
      </c>
      <c r="H794" t="s">
        <v>20</v>
      </c>
      <c r="I794" s="1" t="str">
        <f t="shared" si="49"/>
        <v>Male</v>
      </c>
      <c r="J794" s="3">
        <v>15</v>
      </c>
      <c r="K794" s="3" t="str" cm="1">
        <f t="array" ref="K794">_xlfn.IFS(J794&lt;=13,"Child",J794&lt;=18,"Teenager",J794&lt;=30,"Young Adult",J794&lt;=50,"Middle Aged Adult",J794&gt;50,"Senior")</f>
        <v>Teenager</v>
      </c>
      <c r="L794">
        <v>1</v>
      </c>
      <c r="M794">
        <v>1</v>
      </c>
      <c r="N794" s="1">
        <f t="shared" si="50"/>
        <v>3</v>
      </c>
      <c r="O794" s="1" t="str">
        <f t="shared" si="51"/>
        <v>With Family</v>
      </c>
      <c r="P794">
        <v>7.2291999999999996</v>
      </c>
      <c r="Q794" s="1" t="str" cm="1">
        <f t="array" ref="Q794">_xlfn.IFS(P794&lt;=50,"Low",P794&lt;=100,"Medium",P794&gt;100,"High")</f>
        <v>Low</v>
      </c>
      <c r="R794" t="s">
        <v>41</v>
      </c>
      <c r="S794" s="1" t="str" cm="1">
        <f t="array" ref="S794">_xlfn.IFS(R794="S","Southampton",R794="C","Cherbourg",R794="Q","Queenstown")</f>
        <v>Cherbourg</v>
      </c>
    </row>
    <row r="795" spans="1:19" x14ac:dyDescent="0.3">
      <c r="A795">
        <v>794</v>
      </c>
      <c r="B795">
        <v>3</v>
      </c>
      <c r="C795" s="1" t="str" cm="1">
        <f t="array" ref="C795">_xlfn.IFS(B795=1,"First Class",B795=2,"Second Class",B795=3,"Third Class")</f>
        <v>Third Class</v>
      </c>
      <c r="D795">
        <v>0</v>
      </c>
      <c r="E795" s="1" t="str">
        <f t="shared" si="48"/>
        <v>Dead</v>
      </c>
      <c r="F795" t="s">
        <v>1491</v>
      </c>
      <c r="G795" s="1" t="s">
        <v>2999</v>
      </c>
      <c r="H795" t="s">
        <v>20</v>
      </c>
      <c r="I795" s="1" t="str">
        <f t="shared" si="49"/>
        <v>Male</v>
      </c>
      <c r="J795" s="3">
        <v>47</v>
      </c>
      <c r="K795" s="3" t="str" cm="1">
        <f t="array" ref="K795">_xlfn.IFS(J795&lt;=13,"Child",J795&lt;=18,"Teenager",J795&lt;=30,"Young Adult",J795&lt;=50,"Middle Aged Adult",J795&gt;50,"Senior")</f>
        <v>Middle Aged Adult</v>
      </c>
      <c r="L795">
        <v>0</v>
      </c>
      <c r="M795">
        <v>0</v>
      </c>
      <c r="N795" s="1">
        <f t="shared" si="50"/>
        <v>1</v>
      </c>
      <c r="O795" s="1" t="str">
        <f t="shared" si="51"/>
        <v>Single</v>
      </c>
      <c r="P795">
        <v>7.25</v>
      </c>
      <c r="Q795" s="1" t="str" cm="1">
        <f t="array" ref="Q795">_xlfn.IFS(P795&lt;=50,"Low",P795&lt;=100,"Medium",P795&gt;100,"High")</f>
        <v>Low</v>
      </c>
      <c r="R795" t="s">
        <v>17</v>
      </c>
      <c r="S795" s="1" t="str" cm="1">
        <f t="array" ref="S795">_xlfn.IFS(R795="S","Southampton",R795="C","Cherbourg",R795="Q","Queenstown")</f>
        <v>Southampton</v>
      </c>
    </row>
    <row r="796" spans="1:19" x14ac:dyDescent="0.3">
      <c r="A796">
        <v>795</v>
      </c>
      <c r="B796">
        <v>3</v>
      </c>
      <c r="C796" s="1" t="str" cm="1">
        <f t="array" ref="C796">_xlfn.IFS(B796=1,"First Class",B796=2,"Second Class",B796=3,"Third Class")</f>
        <v>Third Class</v>
      </c>
      <c r="D796">
        <v>1</v>
      </c>
      <c r="E796" s="1" t="str">
        <f t="shared" si="48"/>
        <v>Alive</v>
      </c>
      <c r="F796" t="s">
        <v>1494</v>
      </c>
      <c r="G796" s="1" t="s">
        <v>2994</v>
      </c>
      <c r="H796" t="s">
        <v>15</v>
      </c>
      <c r="I796" s="1" t="str">
        <f t="shared" si="49"/>
        <v>Female</v>
      </c>
      <c r="J796" s="3">
        <v>5</v>
      </c>
      <c r="K796" s="3" t="str" cm="1">
        <f t="array" ref="K796">_xlfn.IFS(J796&lt;=13,"Child",J796&lt;=18,"Teenager",J796&lt;=30,"Young Adult",J796&lt;=50,"Middle Aged Adult",J796&gt;50,"Senior")</f>
        <v>Child</v>
      </c>
      <c r="L796">
        <v>0</v>
      </c>
      <c r="M796">
        <v>0</v>
      </c>
      <c r="N796" s="1">
        <f t="shared" si="50"/>
        <v>1</v>
      </c>
      <c r="O796" s="1" t="str">
        <f t="shared" si="51"/>
        <v>Single</v>
      </c>
      <c r="P796">
        <v>12.475</v>
      </c>
      <c r="Q796" s="1" t="str" cm="1">
        <f t="array" ref="Q796">_xlfn.IFS(P796&lt;=50,"Low",P796&lt;=100,"Medium",P796&gt;100,"High")</f>
        <v>Low</v>
      </c>
      <c r="R796" t="s">
        <v>17</v>
      </c>
      <c r="S796" s="1" t="str" cm="1">
        <f t="array" ref="S796">_xlfn.IFS(R796="S","Southampton",R796="C","Cherbourg",R796="Q","Queenstown")</f>
        <v>Southampton</v>
      </c>
    </row>
    <row r="797" spans="1:19" x14ac:dyDescent="0.3">
      <c r="A797">
        <v>796</v>
      </c>
      <c r="B797">
        <v>3</v>
      </c>
      <c r="C797" s="1" t="str" cm="1">
        <f t="array" ref="C797">_xlfn.IFS(B797=1,"First Class",B797=2,"Second Class",B797=3,"Third Class")</f>
        <v>Third Class</v>
      </c>
      <c r="D797">
        <v>0</v>
      </c>
      <c r="E797" s="1" t="str">
        <f t="shared" si="48"/>
        <v>Dead</v>
      </c>
      <c r="F797" t="s">
        <v>1495</v>
      </c>
      <c r="G797" s="1" t="s">
        <v>2999</v>
      </c>
      <c r="H797" t="s">
        <v>20</v>
      </c>
      <c r="I797" s="1" t="str">
        <f t="shared" si="49"/>
        <v>Male</v>
      </c>
      <c r="J797" s="3">
        <v>29.881137667304014</v>
      </c>
      <c r="K797" s="3" t="str" cm="1">
        <f t="array" ref="K797">_xlfn.IFS(J797&lt;=13,"Child",J797&lt;=18,"Teenager",J797&lt;=30,"Young Adult",J797&lt;=50,"Middle Aged Adult",J797&gt;50,"Senior")</f>
        <v>Young Adult</v>
      </c>
      <c r="L797">
        <v>0</v>
      </c>
      <c r="M797">
        <v>0</v>
      </c>
      <c r="N797" s="1">
        <f t="shared" si="50"/>
        <v>1</v>
      </c>
      <c r="O797" s="1" t="str">
        <f t="shared" si="51"/>
        <v>Single</v>
      </c>
      <c r="P797">
        <v>7.2249999999999996</v>
      </c>
      <c r="Q797" s="1" t="str" cm="1">
        <f t="array" ref="Q797">_xlfn.IFS(P797&lt;=50,"Low",P797&lt;=100,"Medium",P797&gt;100,"High")</f>
        <v>Low</v>
      </c>
      <c r="R797" t="s">
        <v>41</v>
      </c>
      <c r="S797" s="1" t="str" cm="1">
        <f t="array" ref="S797">_xlfn.IFS(R797="S","Southampton",R797="C","Cherbourg",R797="Q","Queenstown")</f>
        <v>Cherbourg</v>
      </c>
    </row>
    <row r="798" spans="1:19" x14ac:dyDescent="0.3">
      <c r="A798">
        <v>797</v>
      </c>
      <c r="B798">
        <v>3</v>
      </c>
      <c r="C798" s="1" t="str" cm="1">
        <f t="array" ref="C798">_xlfn.IFS(B798=1,"First Class",B798=2,"Second Class",B798=3,"Third Class")</f>
        <v>Third Class</v>
      </c>
      <c r="D798">
        <v>0</v>
      </c>
      <c r="E798" s="1" t="str">
        <f t="shared" si="48"/>
        <v>Dead</v>
      </c>
      <c r="F798" t="s">
        <v>1496</v>
      </c>
      <c r="G798" s="1" t="s">
        <v>2999</v>
      </c>
      <c r="H798" t="s">
        <v>20</v>
      </c>
      <c r="I798" s="1" t="str">
        <f t="shared" si="49"/>
        <v>Male</v>
      </c>
      <c r="J798" s="3">
        <v>40.5</v>
      </c>
      <c r="K798" s="3" t="str" cm="1">
        <f t="array" ref="K798">_xlfn.IFS(J798&lt;=13,"Child",J798&lt;=18,"Teenager",J798&lt;=30,"Young Adult",J798&lt;=50,"Middle Aged Adult",J798&gt;50,"Senior")</f>
        <v>Middle Aged Adult</v>
      </c>
      <c r="L798">
        <v>0</v>
      </c>
      <c r="M798">
        <v>0</v>
      </c>
      <c r="N798" s="1">
        <f t="shared" si="50"/>
        <v>1</v>
      </c>
      <c r="O798" s="1" t="str">
        <f t="shared" si="51"/>
        <v>Single</v>
      </c>
      <c r="P798">
        <v>15.1</v>
      </c>
      <c r="Q798" s="1" t="str" cm="1">
        <f t="array" ref="Q798">_xlfn.IFS(P798&lt;=50,"Low",P798&lt;=100,"Medium",P798&gt;100,"High")</f>
        <v>Low</v>
      </c>
      <c r="R798" t="s">
        <v>17</v>
      </c>
      <c r="S798" s="1" t="str" cm="1">
        <f t="array" ref="S798">_xlfn.IFS(R798="S","Southampton",R798="C","Cherbourg",R798="Q","Queenstown")</f>
        <v>Southampton</v>
      </c>
    </row>
    <row r="799" spans="1:19" x14ac:dyDescent="0.3">
      <c r="A799">
        <v>798</v>
      </c>
      <c r="B799">
        <v>3</v>
      </c>
      <c r="C799" s="1" t="str" cm="1">
        <f t="array" ref="C799">_xlfn.IFS(B799=1,"First Class",B799=2,"Second Class",B799=3,"Third Class")</f>
        <v>Third Class</v>
      </c>
      <c r="D799">
        <v>0</v>
      </c>
      <c r="E799" s="1" t="str">
        <f t="shared" si="48"/>
        <v>Dead</v>
      </c>
      <c r="F799" t="s">
        <v>1498</v>
      </c>
      <c r="G799" s="1" t="s">
        <v>2999</v>
      </c>
      <c r="H799" t="s">
        <v>20</v>
      </c>
      <c r="I799" s="1" t="str">
        <f t="shared" si="49"/>
        <v>Male</v>
      </c>
      <c r="J799" s="3">
        <v>40.5</v>
      </c>
      <c r="K799" s="3" t="str" cm="1">
        <f t="array" ref="K799">_xlfn.IFS(J799&lt;=13,"Child",J799&lt;=18,"Teenager",J799&lt;=30,"Young Adult",J799&lt;=50,"Middle Aged Adult",J799&gt;50,"Senior")</f>
        <v>Middle Aged Adult</v>
      </c>
      <c r="L799">
        <v>0</v>
      </c>
      <c r="M799">
        <v>0</v>
      </c>
      <c r="N799" s="1">
        <f t="shared" si="50"/>
        <v>1</v>
      </c>
      <c r="O799" s="1" t="str">
        <f t="shared" si="51"/>
        <v>Single</v>
      </c>
      <c r="P799">
        <v>7.75</v>
      </c>
      <c r="Q799" s="1" t="str" cm="1">
        <f t="array" ref="Q799">_xlfn.IFS(P799&lt;=50,"Low",P799&lt;=100,"Medium",P799&gt;100,"High")</f>
        <v>Low</v>
      </c>
      <c r="R799" t="s">
        <v>463</v>
      </c>
      <c r="S799" s="1" t="str" cm="1">
        <f t="array" ref="S799">_xlfn.IFS(R799="S","Southampton",R799="C","Cherbourg",R799="Q","Queenstown")</f>
        <v>Queenstown</v>
      </c>
    </row>
    <row r="800" spans="1:19" x14ac:dyDescent="0.3">
      <c r="A800">
        <v>799</v>
      </c>
      <c r="B800">
        <v>3</v>
      </c>
      <c r="C800" s="1" t="str" cm="1">
        <f t="array" ref="C800">_xlfn.IFS(B800=1,"First Class",B800=2,"Second Class",B800=3,"Third Class")</f>
        <v>Third Class</v>
      </c>
      <c r="D800">
        <v>1</v>
      </c>
      <c r="E800" s="1" t="str">
        <f t="shared" si="48"/>
        <v>Alive</v>
      </c>
      <c r="F800" t="s">
        <v>1500</v>
      </c>
      <c r="G800" s="1" t="s">
        <v>2999</v>
      </c>
      <c r="H800" t="s">
        <v>20</v>
      </c>
      <c r="I800" s="1" t="str">
        <f t="shared" si="49"/>
        <v>Male</v>
      </c>
      <c r="J800" s="3">
        <v>29.881137667304014</v>
      </c>
      <c r="K800" s="3" t="str" cm="1">
        <f t="array" ref="K800">_xlfn.IFS(J800&lt;=13,"Child",J800&lt;=18,"Teenager",J800&lt;=30,"Young Adult",J800&lt;=50,"Middle Aged Adult",J800&gt;50,"Senior")</f>
        <v>Young Adult</v>
      </c>
      <c r="L800">
        <v>0</v>
      </c>
      <c r="M800">
        <v>0</v>
      </c>
      <c r="N800" s="1">
        <f t="shared" si="50"/>
        <v>1</v>
      </c>
      <c r="O800" s="1" t="str">
        <f t="shared" si="51"/>
        <v>Single</v>
      </c>
      <c r="P800">
        <v>7.05</v>
      </c>
      <c r="Q800" s="1" t="str" cm="1">
        <f t="array" ref="Q800">_xlfn.IFS(P800&lt;=50,"Low",P800&lt;=100,"Medium",P800&gt;100,"High")</f>
        <v>Low</v>
      </c>
      <c r="R800" t="s">
        <v>17</v>
      </c>
      <c r="S800" s="1" t="str" cm="1">
        <f t="array" ref="S800">_xlfn.IFS(R800="S","Southampton",R800="C","Cherbourg",R800="Q","Queenstown")</f>
        <v>Southampton</v>
      </c>
    </row>
    <row r="801" spans="1:19" x14ac:dyDescent="0.3">
      <c r="A801">
        <v>800</v>
      </c>
      <c r="B801">
        <v>3</v>
      </c>
      <c r="C801" s="1" t="str" cm="1">
        <f t="array" ref="C801">_xlfn.IFS(B801=1,"First Class",B801=2,"Second Class",B801=3,"Third Class")</f>
        <v>Third Class</v>
      </c>
      <c r="D801">
        <v>0</v>
      </c>
      <c r="E801" s="1" t="str">
        <f t="shared" si="48"/>
        <v>Dead</v>
      </c>
      <c r="F801" t="s">
        <v>1503</v>
      </c>
      <c r="G801" s="1" t="s">
        <v>2999</v>
      </c>
      <c r="H801" t="s">
        <v>20</v>
      </c>
      <c r="I801" s="1" t="str">
        <f t="shared" si="49"/>
        <v>Male</v>
      </c>
      <c r="J801" s="3">
        <v>18</v>
      </c>
      <c r="K801" s="3" t="str" cm="1">
        <f t="array" ref="K801">_xlfn.IFS(J801&lt;=13,"Child",J801&lt;=18,"Teenager",J801&lt;=30,"Young Adult",J801&lt;=50,"Middle Aged Adult",J801&gt;50,"Senior")</f>
        <v>Teenager</v>
      </c>
      <c r="L801">
        <v>0</v>
      </c>
      <c r="M801">
        <v>0</v>
      </c>
      <c r="N801" s="1">
        <f t="shared" si="50"/>
        <v>1</v>
      </c>
      <c r="O801" s="1" t="str">
        <f t="shared" si="51"/>
        <v>Single</v>
      </c>
      <c r="P801">
        <v>7.7957999999999998</v>
      </c>
      <c r="Q801" s="1" t="str" cm="1">
        <f t="array" ref="Q801">_xlfn.IFS(P801&lt;=50,"Low",P801&lt;=100,"Medium",P801&gt;100,"High")</f>
        <v>Low</v>
      </c>
      <c r="R801" t="s">
        <v>17</v>
      </c>
      <c r="S801" s="1" t="str" cm="1">
        <f t="array" ref="S801">_xlfn.IFS(R801="S","Southampton",R801="C","Cherbourg",R801="Q","Queenstown")</f>
        <v>Southampton</v>
      </c>
    </row>
    <row r="802" spans="1:19" x14ac:dyDescent="0.3">
      <c r="A802">
        <v>801</v>
      </c>
      <c r="B802">
        <v>3</v>
      </c>
      <c r="C802" s="1" t="str" cm="1">
        <f t="array" ref="C802">_xlfn.IFS(B802=1,"First Class",B802=2,"Second Class",B802=3,"Third Class")</f>
        <v>Third Class</v>
      </c>
      <c r="D802">
        <v>0</v>
      </c>
      <c r="E802" s="1" t="str">
        <f t="shared" si="48"/>
        <v>Dead</v>
      </c>
      <c r="F802" t="s">
        <v>1504</v>
      </c>
      <c r="G802" s="1" t="s">
        <v>2994</v>
      </c>
      <c r="H802" t="s">
        <v>15</v>
      </c>
      <c r="I802" s="1" t="str">
        <f t="shared" si="49"/>
        <v>Female</v>
      </c>
      <c r="J802" s="3">
        <v>29.881137667304014</v>
      </c>
      <c r="K802" s="3" t="str" cm="1">
        <f t="array" ref="K802">_xlfn.IFS(J802&lt;=13,"Child",J802&lt;=18,"Teenager",J802&lt;=30,"Young Adult",J802&lt;=50,"Middle Aged Adult",J802&gt;50,"Senior")</f>
        <v>Young Adult</v>
      </c>
      <c r="L802">
        <v>0</v>
      </c>
      <c r="M802">
        <v>0</v>
      </c>
      <c r="N802" s="1">
        <f t="shared" si="50"/>
        <v>1</v>
      </c>
      <c r="O802" s="1" t="str">
        <f t="shared" si="51"/>
        <v>Single</v>
      </c>
      <c r="P802">
        <v>7.75</v>
      </c>
      <c r="Q802" s="1" t="str" cm="1">
        <f t="array" ref="Q802">_xlfn.IFS(P802&lt;=50,"Low",P802&lt;=100,"Medium",P802&gt;100,"High")</f>
        <v>Low</v>
      </c>
      <c r="R802" t="s">
        <v>463</v>
      </c>
      <c r="S802" s="1" t="str" cm="1">
        <f t="array" ref="S802">_xlfn.IFS(R802="S","Southampton",R802="C","Cherbourg",R802="Q","Queenstown")</f>
        <v>Queenstown</v>
      </c>
    </row>
    <row r="803" spans="1:19" x14ac:dyDescent="0.3">
      <c r="A803">
        <v>802</v>
      </c>
      <c r="B803">
        <v>3</v>
      </c>
      <c r="C803" s="1" t="str" cm="1">
        <f t="array" ref="C803">_xlfn.IFS(B803=1,"First Class",B803=2,"Second Class",B803=3,"Third Class")</f>
        <v>Third Class</v>
      </c>
      <c r="D803">
        <v>0</v>
      </c>
      <c r="E803" s="1" t="str">
        <f t="shared" si="48"/>
        <v>Dead</v>
      </c>
      <c r="F803" t="s">
        <v>1505</v>
      </c>
      <c r="G803" s="1" t="s">
        <v>2999</v>
      </c>
      <c r="H803" t="s">
        <v>20</v>
      </c>
      <c r="I803" s="1" t="str">
        <f t="shared" si="49"/>
        <v>Male</v>
      </c>
      <c r="J803" s="3">
        <v>29.881137667304014</v>
      </c>
      <c r="K803" s="3" t="str" cm="1">
        <f t="array" ref="K803">_xlfn.IFS(J803&lt;=13,"Child",J803&lt;=18,"Teenager",J803&lt;=30,"Young Adult",J803&lt;=50,"Middle Aged Adult",J803&gt;50,"Senior")</f>
        <v>Young Adult</v>
      </c>
      <c r="L803">
        <v>0</v>
      </c>
      <c r="M803">
        <v>0</v>
      </c>
      <c r="N803" s="1">
        <f t="shared" si="50"/>
        <v>1</v>
      </c>
      <c r="O803" s="1" t="str">
        <f t="shared" si="51"/>
        <v>Single</v>
      </c>
      <c r="P803">
        <v>7.75</v>
      </c>
      <c r="Q803" s="1" t="str" cm="1">
        <f t="array" ref="Q803">_xlfn.IFS(P803&lt;=50,"Low",P803&lt;=100,"Medium",P803&gt;100,"High")</f>
        <v>Low</v>
      </c>
      <c r="R803" t="s">
        <v>463</v>
      </c>
      <c r="S803" s="1" t="str" cm="1">
        <f t="array" ref="S803">_xlfn.IFS(R803="S","Southampton",R803="C","Cherbourg",R803="Q","Queenstown")</f>
        <v>Queenstown</v>
      </c>
    </row>
    <row r="804" spans="1:19" x14ac:dyDescent="0.3">
      <c r="A804">
        <v>803</v>
      </c>
      <c r="B804">
        <v>3</v>
      </c>
      <c r="C804" s="1" t="str" cm="1">
        <f t="array" ref="C804">_xlfn.IFS(B804=1,"First Class",B804=2,"Second Class",B804=3,"Third Class")</f>
        <v>Third Class</v>
      </c>
      <c r="D804">
        <v>0</v>
      </c>
      <c r="E804" s="1" t="str">
        <f t="shared" si="48"/>
        <v>Dead</v>
      </c>
      <c r="F804" t="s">
        <v>1506</v>
      </c>
      <c r="G804" s="1" t="s">
        <v>2999</v>
      </c>
      <c r="H804" t="s">
        <v>20</v>
      </c>
      <c r="I804" s="1" t="str">
        <f t="shared" si="49"/>
        <v>Male</v>
      </c>
      <c r="J804" s="3">
        <v>29.881137667304014</v>
      </c>
      <c r="K804" s="3" t="str" cm="1">
        <f t="array" ref="K804">_xlfn.IFS(J804&lt;=13,"Child",J804&lt;=18,"Teenager",J804&lt;=30,"Young Adult",J804&lt;=50,"Middle Aged Adult",J804&gt;50,"Senior")</f>
        <v>Young Adult</v>
      </c>
      <c r="L804">
        <v>0</v>
      </c>
      <c r="M804">
        <v>0</v>
      </c>
      <c r="N804" s="1">
        <f t="shared" si="50"/>
        <v>1</v>
      </c>
      <c r="O804" s="1" t="str">
        <f t="shared" si="51"/>
        <v>Single</v>
      </c>
      <c r="P804">
        <v>6.95</v>
      </c>
      <c r="Q804" s="1" t="str" cm="1">
        <f t="array" ref="Q804">_xlfn.IFS(P804&lt;=50,"Low",P804&lt;=100,"Medium",P804&gt;100,"High")</f>
        <v>Low</v>
      </c>
      <c r="R804" t="s">
        <v>463</v>
      </c>
      <c r="S804" s="1" t="str" cm="1">
        <f t="array" ref="S804">_xlfn.IFS(R804="S","Southampton",R804="C","Cherbourg",R804="Q","Queenstown")</f>
        <v>Queenstown</v>
      </c>
    </row>
    <row r="805" spans="1:19" x14ac:dyDescent="0.3">
      <c r="A805">
        <v>804</v>
      </c>
      <c r="B805">
        <v>3</v>
      </c>
      <c r="C805" s="1" t="str" cm="1">
        <f t="array" ref="C805">_xlfn.IFS(B805=1,"First Class",B805=2,"Second Class",B805=3,"Third Class")</f>
        <v>Third Class</v>
      </c>
      <c r="D805">
        <v>0</v>
      </c>
      <c r="E805" s="1" t="str">
        <f t="shared" si="48"/>
        <v>Dead</v>
      </c>
      <c r="F805" t="s">
        <v>1507</v>
      </c>
      <c r="G805" s="1" t="s">
        <v>2999</v>
      </c>
      <c r="H805" t="s">
        <v>20</v>
      </c>
      <c r="I805" s="1" t="str">
        <f t="shared" si="49"/>
        <v>Male</v>
      </c>
      <c r="J805" s="3">
        <v>26</v>
      </c>
      <c r="K805" s="3" t="str" cm="1">
        <f t="array" ref="K805">_xlfn.IFS(J805&lt;=13,"Child",J805&lt;=18,"Teenager",J805&lt;=30,"Young Adult",J805&lt;=50,"Middle Aged Adult",J805&gt;50,"Senior")</f>
        <v>Young Adult</v>
      </c>
      <c r="L805">
        <v>0</v>
      </c>
      <c r="M805">
        <v>0</v>
      </c>
      <c r="N805" s="1">
        <f t="shared" si="50"/>
        <v>1</v>
      </c>
      <c r="O805" s="1" t="str">
        <f t="shared" si="51"/>
        <v>Single</v>
      </c>
      <c r="P805">
        <v>7.8792</v>
      </c>
      <c r="Q805" s="1" t="str" cm="1">
        <f t="array" ref="Q805">_xlfn.IFS(P805&lt;=50,"Low",P805&lt;=100,"Medium",P805&gt;100,"High")</f>
        <v>Low</v>
      </c>
      <c r="R805" t="s">
        <v>463</v>
      </c>
      <c r="S805" s="1" t="str" cm="1">
        <f t="array" ref="S805">_xlfn.IFS(R805="S","Southampton",R805="C","Cherbourg",R805="Q","Queenstown")</f>
        <v>Queenstown</v>
      </c>
    </row>
    <row r="806" spans="1:19" x14ac:dyDescent="0.3">
      <c r="A806">
        <v>805</v>
      </c>
      <c r="B806">
        <v>3</v>
      </c>
      <c r="C806" s="1" t="str" cm="1">
        <f t="array" ref="C806">_xlfn.IFS(B806=1,"First Class",B806=2,"Second Class",B806=3,"Third Class")</f>
        <v>Third Class</v>
      </c>
      <c r="D806">
        <v>0</v>
      </c>
      <c r="E806" s="1" t="str">
        <f t="shared" si="48"/>
        <v>Dead</v>
      </c>
      <c r="F806" t="s">
        <v>1508</v>
      </c>
      <c r="G806" s="1" t="s">
        <v>2999</v>
      </c>
      <c r="H806" t="s">
        <v>20</v>
      </c>
      <c r="I806" s="1" t="str">
        <f t="shared" si="49"/>
        <v>Male</v>
      </c>
      <c r="J806" s="3">
        <v>29.881137667304014</v>
      </c>
      <c r="K806" s="3" t="str" cm="1">
        <f t="array" ref="K806">_xlfn.IFS(J806&lt;=13,"Child",J806&lt;=18,"Teenager",J806&lt;=30,"Young Adult",J806&lt;=50,"Middle Aged Adult",J806&gt;50,"Senior")</f>
        <v>Young Adult</v>
      </c>
      <c r="L806">
        <v>0</v>
      </c>
      <c r="M806">
        <v>0</v>
      </c>
      <c r="N806" s="1">
        <f t="shared" si="50"/>
        <v>1</v>
      </c>
      <c r="O806" s="1" t="str">
        <f t="shared" si="51"/>
        <v>Single</v>
      </c>
      <c r="P806">
        <v>7.75</v>
      </c>
      <c r="Q806" s="1" t="str" cm="1">
        <f t="array" ref="Q806">_xlfn.IFS(P806&lt;=50,"Low",P806&lt;=100,"Medium",P806&gt;100,"High")</f>
        <v>Low</v>
      </c>
      <c r="R806" t="s">
        <v>463</v>
      </c>
      <c r="S806" s="1" t="str" cm="1">
        <f t="array" ref="S806">_xlfn.IFS(R806="S","Southampton",R806="C","Cherbourg",R806="Q","Queenstown")</f>
        <v>Queenstown</v>
      </c>
    </row>
    <row r="807" spans="1:19" x14ac:dyDescent="0.3">
      <c r="A807">
        <v>806</v>
      </c>
      <c r="B807">
        <v>3</v>
      </c>
      <c r="C807" s="1" t="str" cm="1">
        <f t="array" ref="C807">_xlfn.IFS(B807=1,"First Class",B807=2,"Second Class",B807=3,"Third Class")</f>
        <v>Third Class</v>
      </c>
      <c r="D807">
        <v>1</v>
      </c>
      <c r="E807" s="1" t="str">
        <f t="shared" si="48"/>
        <v>Alive</v>
      </c>
      <c r="F807" t="s">
        <v>1509</v>
      </c>
      <c r="G807" s="1" t="s">
        <v>2999</v>
      </c>
      <c r="H807" t="s">
        <v>20</v>
      </c>
      <c r="I807" s="1" t="str">
        <f t="shared" si="49"/>
        <v>Male</v>
      </c>
      <c r="J807" s="3">
        <v>29.881137667304014</v>
      </c>
      <c r="K807" s="3" t="str" cm="1">
        <f t="array" ref="K807">_xlfn.IFS(J807&lt;=13,"Child",J807&lt;=18,"Teenager",J807&lt;=30,"Young Adult",J807&lt;=50,"Middle Aged Adult",J807&gt;50,"Senior")</f>
        <v>Young Adult</v>
      </c>
      <c r="L807">
        <v>0</v>
      </c>
      <c r="M807">
        <v>0</v>
      </c>
      <c r="N807" s="1">
        <f t="shared" si="50"/>
        <v>1</v>
      </c>
      <c r="O807" s="1" t="str">
        <f t="shared" si="51"/>
        <v>Single</v>
      </c>
      <c r="P807">
        <v>56.495800000000003</v>
      </c>
      <c r="Q807" s="1" t="str" cm="1">
        <f t="array" ref="Q807">_xlfn.IFS(P807&lt;=50,"Low",P807&lt;=100,"Medium",P807&gt;100,"High")</f>
        <v>Medium</v>
      </c>
      <c r="R807" t="s">
        <v>17</v>
      </c>
      <c r="S807" s="1" t="str" cm="1">
        <f t="array" ref="S807">_xlfn.IFS(R807="S","Southampton",R807="C","Cherbourg",R807="Q","Queenstown")</f>
        <v>Southampton</v>
      </c>
    </row>
    <row r="808" spans="1:19" x14ac:dyDescent="0.3">
      <c r="A808">
        <v>807</v>
      </c>
      <c r="B808">
        <v>3</v>
      </c>
      <c r="C808" s="1" t="str" cm="1">
        <f t="array" ref="C808">_xlfn.IFS(B808=1,"First Class",B808=2,"Second Class",B808=3,"Third Class")</f>
        <v>Third Class</v>
      </c>
      <c r="D808">
        <v>0</v>
      </c>
      <c r="E808" s="1" t="str">
        <f t="shared" si="48"/>
        <v>Dead</v>
      </c>
      <c r="F808" t="s">
        <v>1510</v>
      </c>
      <c r="G808" s="1" t="s">
        <v>2994</v>
      </c>
      <c r="H808" t="s">
        <v>15</v>
      </c>
      <c r="I808" s="1" t="str">
        <f t="shared" si="49"/>
        <v>Female</v>
      </c>
      <c r="J808" s="3">
        <v>21</v>
      </c>
      <c r="K808" s="3" t="str" cm="1">
        <f t="array" ref="K808">_xlfn.IFS(J808&lt;=13,"Child",J808&lt;=18,"Teenager",J808&lt;=30,"Young Adult",J808&lt;=50,"Middle Aged Adult",J808&gt;50,"Senior")</f>
        <v>Young Adult</v>
      </c>
      <c r="L808">
        <v>2</v>
      </c>
      <c r="M808">
        <v>2</v>
      </c>
      <c r="N808" s="1">
        <f t="shared" si="50"/>
        <v>5</v>
      </c>
      <c r="O808" s="1" t="str">
        <f t="shared" si="51"/>
        <v>With Family</v>
      </c>
      <c r="P808">
        <v>34.375</v>
      </c>
      <c r="Q808" s="1" t="str" cm="1">
        <f t="array" ref="Q808">_xlfn.IFS(P808&lt;=50,"Low",P808&lt;=100,"Medium",P808&gt;100,"High")</f>
        <v>Low</v>
      </c>
      <c r="R808" t="s">
        <v>17</v>
      </c>
      <c r="S808" s="1" t="str" cm="1">
        <f t="array" ref="S808">_xlfn.IFS(R808="S","Southampton",R808="C","Cherbourg",R808="Q","Queenstown")</f>
        <v>Southampton</v>
      </c>
    </row>
    <row r="809" spans="1:19" x14ac:dyDescent="0.3">
      <c r="A809">
        <v>808</v>
      </c>
      <c r="B809">
        <v>3</v>
      </c>
      <c r="C809" s="1" t="str" cm="1">
        <f t="array" ref="C809">_xlfn.IFS(B809=1,"First Class",B809=2,"Second Class",B809=3,"Third Class")</f>
        <v>Third Class</v>
      </c>
      <c r="D809">
        <v>0</v>
      </c>
      <c r="E809" s="1" t="str">
        <f t="shared" si="48"/>
        <v>Dead</v>
      </c>
      <c r="F809" t="s">
        <v>1513</v>
      </c>
      <c r="G809" s="1" t="s">
        <v>2994</v>
      </c>
      <c r="H809" t="s">
        <v>15</v>
      </c>
      <c r="I809" s="1" t="str">
        <f t="shared" si="49"/>
        <v>Female</v>
      </c>
      <c r="J809" s="3">
        <v>9</v>
      </c>
      <c r="K809" s="3" t="str" cm="1">
        <f t="array" ref="K809">_xlfn.IFS(J809&lt;=13,"Child",J809&lt;=18,"Teenager",J809&lt;=30,"Young Adult",J809&lt;=50,"Middle Aged Adult",J809&gt;50,"Senior")</f>
        <v>Child</v>
      </c>
      <c r="L809">
        <v>2</v>
      </c>
      <c r="M809">
        <v>2</v>
      </c>
      <c r="N809" s="1">
        <f t="shared" si="50"/>
        <v>5</v>
      </c>
      <c r="O809" s="1" t="str">
        <f t="shared" si="51"/>
        <v>With Family</v>
      </c>
      <c r="P809">
        <v>34.375</v>
      </c>
      <c r="Q809" s="1" t="str" cm="1">
        <f t="array" ref="Q809">_xlfn.IFS(P809&lt;=50,"Low",P809&lt;=100,"Medium",P809&gt;100,"High")</f>
        <v>Low</v>
      </c>
      <c r="R809" t="s">
        <v>17</v>
      </c>
      <c r="S809" s="1" t="str" cm="1">
        <f t="array" ref="S809">_xlfn.IFS(R809="S","Southampton",R809="C","Cherbourg",R809="Q","Queenstown")</f>
        <v>Southampton</v>
      </c>
    </row>
    <row r="810" spans="1:19" x14ac:dyDescent="0.3">
      <c r="A810">
        <v>809</v>
      </c>
      <c r="B810">
        <v>3</v>
      </c>
      <c r="C810" s="1" t="str" cm="1">
        <f t="array" ref="C810">_xlfn.IFS(B810=1,"First Class",B810=2,"Second Class",B810=3,"Third Class")</f>
        <v>Third Class</v>
      </c>
      <c r="D810">
        <v>0</v>
      </c>
      <c r="E810" s="1" t="str">
        <f t="shared" si="48"/>
        <v>Dead</v>
      </c>
      <c r="F810" t="s">
        <v>1514</v>
      </c>
      <c r="G810" s="1" t="s">
        <v>2999</v>
      </c>
      <c r="H810" t="s">
        <v>20</v>
      </c>
      <c r="I810" s="1" t="str">
        <f t="shared" si="49"/>
        <v>Male</v>
      </c>
      <c r="J810" s="3">
        <v>29.881137667304014</v>
      </c>
      <c r="K810" s="3" t="str" cm="1">
        <f t="array" ref="K810">_xlfn.IFS(J810&lt;=13,"Child",J810&lt;=18,"Teenager",J810&lt;=30,"Young Adult",J810&lt;=50,"Middle Aged Adult",J810&gt;50,"Senior")</f>
        <v>Young Adult</v>
      </c>
      <c r="L810">
        <v>0</v>
      </c>
      <c r="M810">
        <v>0</v>
      </c>
      <c r="N810" s="1">
        <f t="shared" si="50"/>
        <v>1</v>
      </c>
      <c r="O810" s="1" t="str">
        <f t="shared" si="51"/>
        <v>Single</v>
      </c>
      <c r="P810">
        <v>8.0500000000000007</v>
      </c>
      <c r="Q810" s="1" t="str" cm="1">
        <f t="array" ref="Q810">_xlfn.IFS(P810&lt;=50,"Low",P810&lt;=100,"Medium",P810&gt;100,"High")</f>
        <v>Low</v>
      </c>
      <c r="R810" t="s">
        <v>17</v>
      </c>
      <c r="S810" s="1" t="str" cm="1">
        <f t="array" ref="S810">_xlfn.IFS(R810="S","Southampton",R810="C","Cherbourg",R810="Q","Queenstown")</f>
        <v>Southampton</v>
      </c>
    </row>
    <row r="811" spans="1:19" x14ac:dyDescent="0.3">
      <c r="A811">
        <v>810</v>
      </c>
      <c r="B811">
        <v>3</v>
      </c>
      <c r="C811" s="1" t="str" cm="1">
        <f t="array" ref="C811">_xlfn.IFS(B811=1,"First Class",B811=2,"Second Class",B811=3,"Third Class")</f>
        <v>Third Class</v>
      </c>
      <c r="D811">
        <v>0</v>
      </c>
      <c r="E811" s="1" t="str">
        <f t="shared" si="48"/>
        <v>Dead</v>
      </c>
      <c r="F811" t="s">
        <v>1517</v>
      </c>
      <c r="G811" s="1" t="s">
        <v>2999</v>
      </c>
      <c r="H811" t="s">
        <v>20</v>
      </c>
      <c r="I811" s="1" t="str">
        <f t="shared" si="49"/>
        <v>Male</v>
      </c>
      <c r="J811" s="3">
        <v>18</v>
      </c>
      <c r="K811" s="3" t="str" cm="1">
        <f t="array" ref="K811">_xlfn.IFS(J811&lt;=13,"Child",J811&lt;=18,"Teenager",J811&lt;=30,"Young Adult",J811&lt;=50,"Middle Aged Adult",J811&gt;50,"Senior")</f>
        <v>Teenager</v>
      </c>
      <c r="L811">
        <v>2</v>
      </c>
      <c r="M811">
        <v>2</v>
      </c>
      <c r="N811" s="1">
        <f t="shared" si="50"/>
        <v>5</v>
      </c>
      <c r="O811" s="1" t="str">
        <f t="shared" si="51"/>
        <v>With Family</v>
      </c>
      <c r="P811">
        <v>34.375</v>
      </c>
      <c r="Q811" s="1" t="str" cm="1">
        <f t="array" ref="Q811">_xlfn.IFS(P811&lt;=50,"Low",P811&lt;=100,"Medium",P811&gt;100,"High")</f>
        <v>Low</v>
      </c>
      <c r="R811" t="s">
        <v>17</v>
      </c>
      <c r="S811" s="1" t="str" cm="1">
        <f t="array" ref="S811">_xlfn.IFS(R811="S","Southampton",R811="C","Cherbourg",R811="Q","Queenstown")</f>
        <v>Southampton</v>
      </c>
    </row>
    <row r="812" spans="1:19" x14ac:dyDescent="0.3">
      <c r="A812">
        <v>811</v>
      </c>
      <c r="B812">
        <v>3</v>
      </c>
      <c r="C812" s="1" t="str" cm="1">
        <f t="array" ref="C812">_xlfn.IFS(B812=1,"First Class",B812=2,"Second Class",B812=3,"Third Class")</f>
        <v>Third Class</v>
      </c>
      <c r="D812">
        <v>0</v>
      </c>
      <c r="E812" s="1" t="str">
        <f t="shared" si="48"/>
        <v>Dead</v>
      </c>
      <c r="F812" t="s">
        <v>1518</v>
      </c>
      <c r="G812" s="1" t="s">
        <v>2999</v>
      </c>
      <c r="H812" t="s">
        <v>20</v>
      </c>
      <c r="I812" s="1" t="str">
        <f t="shared" si="49"/>
        <v>Male</v>
      </c>
      <c r="J812" s="3">
        <v>16</v>
      </c>
      <c r="K812" s="3" t="str" cm="1">
        <f t="array" ref="K812">_xlfn.IFS(J812&lt;=13,"Child",J812&lt;=18,"Teenager",J812&lt;=30,"Young Adult",J812&lt;=50,"Middle Aged Adult",J812&gt;50,"Senior")</f>
        <v>Teenager</v>
      </c>
      <c r="L812">
        <v>1</v>
      </c>
      <c r="M812">
        <v>3</v>
      </c>
      <c r="N812" s="1">
        <f t="shared" si="50"/>
        <v>5</v>
      </c>
      <c r="O812" s="1" t="str">
        <f t="shared" si="51"/>
        <v>With Family</v>
      </c>
      <c r="P812">
        <v>34.375</v>
      </c>
      <c r="Q812" s="1" t="str" cm="1">
        <f t="array" ref="Q812">_xlfn.IFS(P812&lt;=50,"Low",P812&lt;=100,"Medium",P812&gt;100,"High")</f>
        <v>Low</v>
      </c>
      <c r="R812" t="s">
        <v>17</v>
      </c>
      <c r="S812" s="1" t="str" cm="1">
        <f t="array" ref="S812">_xlfn.IFS(R812="S","Southampton",R812="C","Cherbourg",R812="Q","Queenstown")</f>
        <v>Southampton</v>
      </c>
    </row>
    <row r="813" spans="1:19" x14ac:dyDescent="0.3">
      <c r="A813">
        <v>812</v>
      </c>
      <c r="B813">
        <v>3</v>
      </c>
      <c r="C813" s="1" t="str" cm="1">
        <f t="array" ref="C813">_xlfn.IFS(B813=1,"First Class",B813=2,"Second Class",B813=3,"Third Class")</f>
        <v>Third Class</v>
      </c>
      <c r="D813">
        <v>0</v>
      </c>
      <c r="E813" s="1" t="str">
        <f t="shared" si="48"/>
        <v>Dead</v>
      </c>
      <c r="F813" t="s">
        <v>1519</v>
      </c>
      <c r="G813" s="1" t="s">
        <v>3001</v>
      </c>
      <c r="H813" t="s">
        <v>15</v>
      </c>
      <c r="I813" s="1" t="str">
        <f t="shared" si="49"/>
        <v>Female</v>
      </c>
      <c r="J813" s="3">
        <v>48</v>
      </c>
      <c r="K813" s="3" t="str" cm="1">
        <f t="array" ref="K813">_xlfn.IFS(J813&lt;=13,"Child",J813&lt;=18,"Teenager",J813&lt;=30,"Young Adult",J813&lt;=50,"Middle Aged Adult",J813&gt;50,"Senior")</f>
        <v>Middle Aged Adult</v>
      </c>
      <c r="L813">
        <v>1</v>
      </c>
      <c r="M813">
        <v>3</v>
      </c>
      <c r="N813" s="1">
        <f t="shared" si="50"/>
        <v>5</v>
      </c>
      <c r="O813" s="1" t="str">
        <f t="shared" si="51"/>
        <v>With Family</v>
      </c>
      <c r="P813">
        <v>34.375</v>
      </c>
      <c r="Q813" s="1" t="str" cm="1">
        <f t="array" ref="Q813">_xlfn.IFS(P813&lt;=50,"Low",P813&lt;=100,"Medium",P813&gt;100,"High")</f>
        <v>Low</v>
      </c>
      <c r="R813" t="s">
        <v>17</v>
      </c>
      <c r="S813" s="1" t="str" cm="1">
        <f t="array" ref="S813">_xlfn.IFS(R813="S","Southampton",R813="C","Cherbourg",R813="Q","Queenstown")</f>
        <v>Southampton</v>
      </c>
    </row>
    <row r="814" spans="1:19" x14ac:dyDescent="0.3">
      <c r="A814">
        <v>813</v>
      </c>
      <c r="B814">
        <v>3</v>
      </c>
      <c r="C814" s="1" t="str" cm="1">
        <f t="array" ref="C814">_xlfn.IFS(B814=1,"First Class",B814=2,"Second Class",B814=3,"Third Class")</f>
        <v>Third Class</v>
      </c>
      <c r="D814">
        <v>0</v>
      </c>
      <c r="E814" s="1" t="str">
        <f t="shared" si="48"/>
        <v>Dead</v>
      </c>
      <c r="F814" t="s">
        <v>1520</v>
      </c>
      <c r="G814" s="1" t="s">
        <v>2999</v>
      </c>
      <c r="H814" t="s">
        <v>20</v>
      </c>
      <c r="I814" s="1" t="str">
        <f t="shared" si="49"/>
        <v>Male</v>
      </c>
      <c r="J814" s="3">
        <v>29.881137667304014</v>
      </c>
      <c r="K814" s="3" t="str" cm="1">
        <f t="array" ref="K814">_xlfn.IFS(J814&lt;=13,"Child",J814&lt;=18,"Teenager",J814&lt;=30,"Young Adult",J814&lt;=50,"Middle Aged Adult",J814&gt;50,"Senior")</f>
        <v>Young Adult</v>
      </c>
      <c r="L814">
        <v>0</v>
      </c>
      <c r="M814">
        <v>0</v>
      </c>
      <c r="N814" s="1">
        <f t="shared" si="50"/>
        <v>1</v>
      </c>
      <c r="O814" s="1" t="str">
        <f t="shared" si="51"/>
        <v>Single</v>
      </c>
      <c r="P814">
        <v>7.75</v>
      </c>
      <c r="Q814" s="1" t="str" cm="1">
        <f t="array" ref="Q814">_xlfn.IFS(P814&lt;=50,"Low",P814&lt;=100,"Medium",P814&gt;100,"High")</f>
        <v>Low</v>
      </c>
      <c r="R814" t="s">
        <v>463</v>
      </c>
      <c r="S814" s="1" t="str" cm="1">
        <f t="array" ref="S814">_xlfn.IFS(R814="S","Southampton",R814="C","Cherbourg",R814="Q","Queenstown")</f>
        <v>Queenstown</v>
      </c>
    </row>
    <row r="815" spans="1:19" x14ac:dyDescent="0.3">
      <c r="A815">
        <v>814</v>
      </c>
      <c r="B815">
        <v>3</v>
      </c>
      <c r="C815" s="1" t="str" cm="1">
        <f t="array" ref="C815">_xlfn.IFS(B815=1,"First Class",B815=2,"Second Class",B815=3,"Third Class")</f>
        <v>Third Class</v>
      </c>
      <c r="D815">
        <v>0</v>
      </c>
      <c r="E815" s="1" t="str">
        <f t="shared" si="48"/>
        <v>Dead</v>
      </c>
      <c r="F815" t="s">
        <v>1521</v>
      </c>
      <c r="G815" s="1" t="s">
        <v>2999</v>
      </c>
      <c r="H815" t="s">
        <v>20</v>
      </c>
      <c r="I815" s="1" t="str">
        <f t="shared" si="49"/>
        <v>Male</v>
      </c>
      <c r="J815" s="3">
        <v>29.881137667304014</v>
      </c>
      <c r="K815" s="3" t="str" cm="1">
        <f t="array" ref="K815">_xlfn.IFS(J815&lt;=13,"Child",J815&lt;=18,"Teenager",J815&lt;=30,"Young Adult",J815&lt;=50,"Middle Aged Adult",J815&gt;50,"Senior")</f>
        <v>Young Adult</v>
      </c>
      <c r="L815">
        <v>0</v>
      </c>
      <c r="M815">
        <v>0</v>
      </c>
      <c r="N815" s="1">
        <f t="shared" si="50"/>
        <v>1</v>
      </c>
      <c r="O815" s="1" t="str">
        <f t="shared" si="51"/>
        <v>Single</v>
      </c>
      <c r="P815">
        <v>7.25</v>
      </c>
      <c r="Q815" s="1" t="str" cm="1">
        <f t="array" ref="Q815">_xlfn.IFS(P815&lt;=50,"Low",P815&lt;=100,"Medium",P815&gt;100,"High")</f>
        <v>Low</v>
      </c>
      <c r="R815" t="s">
        <v>17</v>
      </c>
      <c r="S815" s="1" t="str" cm="1">
        <f t="array" ref="S815">_xlfn.IFS(R815="S","Southampton",R815="C","Cherbourg",R815="Q","Queenstown")</f>
        <v>Southampton</v>
      </c>
    </row>
    <row r="816" spans="1:19" x14ac:dyDescent="0.3">
      <c r="A816">
        <v>815</v>
      </c>
      <c r="B816">
        <v>3</v>
      </c>
      <c r="C816" s="1" t="str" cm="1">
        <f t="array" ref="C816">_xlfn.IFS(B816=1,"First Class",B816=2,"Second Class",B816=3,"Third Class")</f>
        <v>Third Class</v>
      </c>
      <c r="D816">
        <v>0</v>
      </c>
      <c r="E816" s="1" t="str">
        <f t="shared" si="48"/>
        <v>Dead</v>
      </c>
      <c r="F816" t="s">
        <v>1523</v>
      </c>
      <c r="G816" s="1" t="s">
        <v>2999</v>
      </c>
      <c r="H816" t="s">
        <v>20</v>
      </c>
      <c r="I816" s="1" t="str">
        <f t="shared" si="49"/>
        <v>Male</v>
      </c>
      <c r="J816" s="3">
        <v>25</v>
      </c>
      <c r="K816" s="3" t="str" cm="1">
        <f t="array" ref="K816">_xlfn.IFS(J816&lt;=13,"Child",J816&lt;=18,"Teenager",J816&lt;=30,"Young Adult",J816&lt;=50,"Middle Aged Adult",J816&gt;50,"Senior")</f>
        <v>Young Adult</v>
      </c>
      <c r="L816">
        <v>0</v>
      </c>
      <c r="M816">
        <v>0</v>
      </c>
      <c r="N816" s="1">
        <f t="shared" si="50"/>
        <v>1</v>
      </c>
      <c r="O816" s="1" t="str">
        <f t="shared" si="51"/>
        <v>Single</v>
      </c>
      <c r="P816">
        <v>7.7416999999999998</v>
      </c>
      <c r="Q816" s="1" t="str" cm="1">
        <f t="array" ref="Q816">_xlfn.IFS(P816&lt;=50,"Low",P816&lt;=100,"Medium",P816&gt;100,"High")</f>
        <v>Low</v>
      </c>
      <c r="R816" t="s">
        <v>463</v>
      </c>
      <c r="S816" s="1" t="str" cm="1">
        <f t="array" ref="S816">_xlfn.IFS(R816="S","Southampton",R816="C","Cherbourg",R816="Q","Queenstown")</f>
        <v>Queenstown</v>
      </c>
    </row>
    <row r="817" spans="1:19" x14ac:dyDescent="0.3">
      <c r="A817">
        <v>816</v>
      </c>
      <c r="B817">
        <v>3</v>
      </c>
      <c r="C817" s="1" t="str" cm="1">
        <f t="array" ref="C817">_xlfn.IFS(B817=1,"First Class",B817=2,"Second Class",B817=3,"Third Class")</f>
        <v>Third Class</v>
      </c>
      <c r="D817">
        <v>0</v>
      </c>
      <c r="E817" s="1" t="str">
        <f t="shared" si="48"/>
        <v>Dead</v>
      </c>
      <c r="F817" t="s">
        <v>1524</v>
      </c>
      <c r="G817" s="1" t="s">
        <v>2999</v>
      </c>
      <c r="H817" t="s">
        <v>20</v>
      </c>
      <c r="I817" s="1" t="str">
        <f t="shared" si="49"/>
        <v>Male</v>
      </c>
      <c r="J817" s="3">
        <v>29.881137667304014</v>
      </c>
      <c r="K817" s="3" t="str" cm="1">
        <f t="array" ref="K817">_xlfn.IFS(J817&lt;=13,"Child",J817&lt;=18,"Teenager",J817&lt;=30,"Young Adult",J817&lt;=50,"Middle Aged Adult",J817&gt;50,"Senior")</f>
        <v>Young Adult</v>
      </c>
      <c r="L817">
        <v>0</v>
      </c>
      <c r="M817">
        <v>0</v>
      </c>
      <c r="N817" s="1">
        <f t="shared" si="50"/>
        <v>1</v>
      </c>
      <c r="O817" s="1" t="str">
        <f t="shared" si="51"/>
        <v>Single</v>
      </c>
      <c r="P817">
        <v>14.5</v>
      </c>
      <c r="Q817" s="1" t="str" cm="1">
        <f t="array" ref="Q817">_xlfn.IFS(P817&lt;=50,"Low",P817&lt;=100,"Medium",P817&gt;100,"High")</f>
        <v>Low</v>
      </c>
      <c r="R817" t="s">
        <v>17</v>
      </c>
      <c r="S817" s="1" t="str" cm="1">
        <f t="array" ref="S817">_xlfn.IFS(R817="S","Southampton",R817="C","Cherbourg",R817="Q","Queenstown")</f>
        <v>Southampton</v>
      </c>
    </row>
    <row r="818" spans="1:19" x14ac:dyDescent="0.3">
      <c r="A818">
        <v>817</v>
      </c>
      <c r="B818">
        <v>3</v>
      </c>
      <c r="C818" s="1" t="str" cm="1">
        <f t="array" ref="C818">_xlfn.IFS(B818=1,"First Class",B818=2,"Second Class",B818=3,"Third Class")</f>
        <v>Third Class</v>
      </c>
      <c r="D818">
        <v>0</v>
      </c>
      <c r="E818" s="1" t="str">
        <f t="shared" si="48"/>
        <v>Dead</v>
      </c>
      <c r="F818" t="s">
        <v>1525</v>
      </c>
      <c r="G818" s="1" t="s">
        <v>2999</v>
      </c>
      <c r="H818" t="s">
        <v>20</v>
      </c>
      <c r="I818" s="1" t="str">
        <f t="shared" si="49"/>
        <v>Male</v>
      </c>
      <c r="J818" s="3">
        <v>29.881137667304014</v>
      </c>
      <c r="K818" s="3" t="str" cm="1">
        <f t="array" ref="K818">_xlfn.IFS(J818&lt;=13,"Child",J818&lt;=18,"Teenager",J818&lt;=30,"Young Adult",J818&lt;=50,"Middle Aged Adult",J818&gt;50,"Senior")</f>
        <v>Young Adult</v>
      </c>
      <c r="L818">
        <v>0</v>
      </c>
      <c r="M818">
        <v>0</v>
      </c>
      <c r="N818" s="1">
        <f t="shared" si="50"/>
        <v>1</v>
      </c>
      <c r="O818" s="1" t="str">
        <f t="shared" si="51"/>
        <v>Single</v>
      </c>
      <c r="P818">
        <v>7.8958000000000004</v>
      </c>
      <c r="Q818" s="1" t="str" cm="1">
        <f t="array" ref="Q818">_xlfn.IFS(P818&lt;=50,"Low",P818&lt;=100,"Medium",P818&gt;100,"High")</f>
        <v>Low</v>
      </c>
      <c r="R818" t="s">
        <v>41</v>
      </c>
      <c r="S818" s="1" t="str" cm="1">
        <f t="array" ref="S818">_xlfn.IFS(R818="S","Southampton",R818="C","Cherbourg",R818="Q","Queenstown")</f>
        <v>Cherbourg</v>
      </c>
    </row>
    <row r="819" spans="1:19" x14ac:dyDescent="0.3">
      <c r="A819">
        <v>818</v>
      </c>
      <c r="B819">
        <v>3</v>
      </c>
      <c r="C819" s="1" t="str" cm="1">
        <f t="array" ref="C819">_xlfn.IFS(B819=1,"First Class",B819=2,"Second Class",B819=3,"Third Class")</f>
        <v>Third Class</v>
      </c>
      <c r="D819">
        <v>0</v>
      </c>
      <c r="E819" s="1" t="str">
        <f t="shared" si="48"/>
        <v>Dead</v>
      </c>
      <c r="F819" t="s">
        <v>1526</v>
      </c>
      <c r="G819" s="1" t="s">
        <v>2999</v>
      </c>
      <c r="H819" t="s">
        <v>20</v>
      </c>
      <c r="I819" s="1" t="str">
        <f t="shared" si="49"/>
        <v>Male</v>
      </c>
      <c r="J819" s="3">
        <v>22</v>
      </c>
      <c r="K819" s="3" t="str" cm="1">
        <f t="array" ref="K819">_xlfn.IFS(J819&lt;=13,"Child",J819&lt;=18,"Teenager",J819&lt;=30,"Young Adult",J819&lt;=50,"Middle Aged Adult",J819&gt;50,"Senior")</f>
        <v>Young Adult</v>
      </c>
      <c r="L819">
        <v>0</v>
      </c>
      <c r="M819">
        <v>0</v>
      </c>
      <c r="N819" s="1">
        <f t="shared" si="50"/>
        <v>1</v>
      </c>
      <c r="O819" s="1" t="str">
        <f t="shared" si="51"/>
        <v>Single</v>
      </c>
      <c r="P819">
        <v>8.0500000000000007</v>
      </c>
      <c r="Q819" s="1" t="str" cm="1">
        <f t="array" ref="Q819">_xlfn.IFS(P819&lt;=50,"Low",P819&lt;=100,"Medium",P819&gt;100,"High")</f>
        <v>Low</v>
      </c>
      <c r="R819" t="s">
        <v>17</v>
      </c>
      <c r="S819" s="1" t="str" cm="1">
        <f t="array" ref="S819">_xlfn.IFS(R819="S","Southampton",R819="C","Cherbourg",R819="Q","Queenstown")</f>
        <v>Southampton</v>
      </c>
    </row>
    <row r="820" spans="1:19" x14ac:dyDescent="0.3">
      <c r="A820">
        <v>819</v>
      </c>
      <c r="B820">
        <v>3</v>
      </c>
      <c r="C820" s="1" t="str" cm="1">
        <f t="array" ref="C820">_xlfn.IFS(B820=1,"First Class",B820=2,"Second Class",B820=3,"Third Class")</f>
        <v>Third Class</v>
      </c>
      <c r="D820">
        <v>1</v>
      </c>
      <c r="E820" s="1" t="str">
        <f t="shared" si="48"/>
        <v>Alive</v>
      </c>
      <c r="F820" t="s">
        <v>1527</v>
      </c>
      <c r="G820" s="1" t="s">
        <v>2994</v>
      </c>
      <c r="H820" t="s">
        <v>15</v>
      </c>
      <c r="I820" s="1" t="str">
        <f t="shared" si="49"/>
        <v>Female</v>
      </c>
      <c r="J820" s="3">
        <v>16</v>
      </c>
      <c r="K820" s="3" t="str" cm="1">
        <f t="array" ref="K820">_xlfn.IFS(J820&lt;=13,"Child",J820&lt;=18,"Teenager",J820&lt;=30,"Young Adult",J820&lt;=50,"Middle Aged Adult",J820&gt;50,"Senior")</f>
        <v>Teenager</v>
      </c>
      <c r="L820">
        <v>0</v>
      </c>
      <c r="M820">
        <v>0</v>
      </c>
      <c r="N820" s="1">
        <f t="shared" si="50"/>
        <v>1</v>
      </c>
      <c r="O820" s="1" t="str">
        <f t="shared" si="51"/>
        <v>Single</v>
      </c>
      <c r="P820">
        <v>7.7332999999999998</v>
      </c>
      <c r="Q820" s="1" t="str" cm="1">
        <f t="array" ref="Q820">_xlfn.IFS(P820&lt;=50,"Low",P820&lt;=100,"Medium",P820&gt;100,"High")</f>
        <v>Low</v>
      </c>
      <c r="R820" t="s">
        <v>463</v>
      </c>
      <c r="S820" s="1" t="str" cm="1">
        <f t="array" ref="S820">_xlfn.IFS(R820="S","Southampton",R820="C","Cherbourg",R820="Q","Queenstown")</f>
        <v>Queenstown</v>
      </c>
    </row>
    <row r="821" spans="1:19" x14ac:dyDescent="0.3">
      <c r="A821">
        <v>820</v>
      </c>
      <c r="B821">
        <v>3</v>
      </c>
      <c r="C821" s="1" t="str" cm="1">
        <f t="array" ref="C821">_xlfn.IFS(B821=1,"First Class",B821=2,"Second Class",B821=3,"Third Class")</f>
        <v>Third Class</v>
      </c>
      <c r="D821">
        <v>1</v>
      </c>
      <c r="E821" s="1" t="str">
        <f t="shared" si="48"/>
        <v>Alive</v>
      </c>
      <c r="F821" t="s">
        <v>1528</v>
      </c>
      <c r="G821" s="1" t="s">
        <v>2994</v>
      </c>
      <c r="H821" t="s">
        <v>15</v>
      </c>
      <c r="I821" s="1" t="str">
        <f t="shared" si="49"/>
        <v>Female</v>
      </c>
      <c r="J821" s="3">
        <v>29.881137667304014</v>
      </c>
      <c r="K821" s="3" t="str" cm="1">
        <f t="array" ref="K821">_xlfn.IFS(J821&lt;=13,"Child",J821&lt;=18,"Teenager",J821&lt;=30,"Young Adult",J821&lt;=50,"Middle Aged Adult",J821&gt;50,"Senior")</f>
        <v>Young Adult</v>
      </c>
      <c r="L821">
        <v>0</v>
      </c>
      <c r="M821">
        <v>0</v>
      </c>
      <c r="N821" s="1">
        <f t="shared" si="50"/>
        <v>1</v>
      </c>
      <c r="O821" s="1" t="str">
        <f t="shared" si="51"/>
        <v>Single</v>
      </c>
      <c r="P821">
        <v>7.75</v>
      </c>
      <c r="Q821" s="1" t="str" cm="1">
        <f t="array" ref="Q821">_xlfn.IFS(P821&lt;=50,"Low",P821&lt;=100,"Medium",P821&gt;100,"High")</f>
        <v>Low</v>
      </c>
      <c r="R821" t="s">
        <v>463</v>
      </c>
      <c r="S821" s="1" t="str" cm="1">
        <f t="array" ref="S821">_xlfn.IFS(R821="S","Southampton",R821="C","Cherbourg",R821="Q","Queenstown")</f>
        <v>Queenstown</v>
      </c>
    </row>
    <row r="822" spans="1:19" x14ac:dyDescent="0.3">
      <c r="A822">
        <v>821</v>
      </c>
      <c r="B822">
        <v>3</v>
      </c>
      <c r="C822" s="1" t="str" cm="1">
        <f t="array" ref="C822">_xlfn.IFS(B822=1,"First Class",B822=2,"Second Class",B822=3,"Third Class")</f>
        <v>Third Class</v>
      </c>
      <c r="D822">
        <v>1</v>
      </c>
      <c r="E822" s="1" t="str">
        <f t="shared" si="48"/>
        <v>Alive</v>
      </c>
      <c r="F822" t="s">
        <v>1530</v>
      </c>
      <c r="G822" s="1" t="s">
        <v>2996</v>
      </c>
      <c r="H822" t="s">
        <v>20</v>
      </c>
      <c r="I822" s="1" t="str">
        <f t="shared" si="49"/>
        <v>Male</v>
      </c>
      <c r="J822" s="3">
        <v>9</v>
      </c>
      <c r="K822" s="3" t="str" cm="1">
        <f t="array" ref="K822">_xlfn.IFS(J822&lt;=13,"Child",J822&lt;=18,"Teenager",J822&lt;=30,"Young Adult",J822&lt;=50,"Middle Aged Adult",J822&gt;50,"Senior")</f>
        <v>Child</v>
      </c>
      <c r="L822">
        <v>0</v>
      </c>
      <c r="M822">
        <v>2</v>
      </c>
      <c r="N822" s="1">
        <f t="shared" si="50"/>
        <v>3</v>
      </c>
      <c r="O822" s="1" t="str">
        <f t="shared" si="51"/>
        <v>With Family</v>
      </c>
      <c r="P822">
        <v>20.524999999999999</v>
      </c>
      <c r="Q822" s="1" t="str" cm="1">
        <f t="array" ref="Q822">_xlfn.IFS(P822&lt;=50,"Low",P822&lt;=100,"Medium",P822&gt;100,"High")</f>
        <v>Low</v>
      </c>
      <c r="R822" t="s">
        <v>17</v>
      </c>
      <c r="S822" s="1" t="str" cm="1">
        <f t="array" ref="S822">_xlfn.IFS(R822="S","Southampton",R822="C","Cherbourg",R822="Q","Queenstown")</f>
        <v>Southampton</v>
      </c>
    </row>
    <row r="823" spans="1:19" x14ac:dyDescent="0.3">
      <c r="A823">
        <v>822</v>
      </c>
      <c r="B823">
        <v>3</v>
      </c>
      <c r="C823" s="1" t="str" cm="1">
        <f t="array" ref="C823">_xlfn.IFS(B823=1,"First Class",B823=2,"Second Class",B823=3,"Third Class")</f>
        <v>Third Class</v>
      </c>
      <c r="D823">
        <v>0</v>
      </c>
      <c r="E823" s="1" t="str">
        <f t="shared" si="48"/>
        <v>Dead</v>
      </c>
      <c r="F823" t="s">
        <v>1533</v>
      </c>
      <c r="G823" s="1" t="s">
        <v>2999</v>
      </c>
      <c r="H823" t="s">
        <v>20</v>
      </c>
      <c r="I823" s="1" t="str">
        <f t="shared" si="49"/>
        <v>Male</v>
      </c>
      <c r="J823" s="3">
        <v>33</v>
      </c>
      <c r="K823" s="3" t="str" cm="1">
        <f t="array" ref="K823">_xlfn.IFS(J823&lt;=13,"Child",J823&lt;=18,"Teenager",J823&lt;=30,"Young Adult",J823&lt;=50,"Middle Aged Adult",J823&gt;50,"Senior")</f>
        <v>Middle Aged Adult</v>
      </c>
      <c r="L823">
        <v>1</v>
      </c>
      <c r="M823">
        <v>1</v>
      </c>
      <c r="N823" s="1">
        <f t="shared" si="50"/>
        <v>3</v>
      </c>
      <c r="O823" s="1" t="str">
        <f t="shared" si="51"/>
        <v>With Family</v>
      </c>
      <c r="P823">
        <v>20.524999999999999</v>
      </c>
      <c r="Q823" s="1" t="str" cm="1">
        <f t="array" ref="Q823">_xlfn.IFS(P823&lt;=50,"Low",P823&lt;=100,"Medium",P823&gt;100,"High")</f>
        <v>Low</v>
      </c>
      <c r="R823" t="s">
        <v>17</v>
      </c>
      <c r="S823" s="1" t="str" cm="1">
        <f t="array" ref="S823">_xlfn.IFS(R823="S","Southampton",R823="C","Cherbourg",R823="Q","Queenstown")</f>
        <v>Southampton</v>
      </c>
    </row>
    <row r="824" spans="1:19" x14ac:dyDescent="0.3">
      <c r="A824">
        <v>823</v>
      </c>
      <c r="B824">
        <v>3</v>
      </c>
      <c r="C824" s="1" t="str" cm="1">
        <f t="array" ref="C824">_xlfn.IFS(B824=1,"First Class",B824=2,"Second Class",B824=3,"Third Class")</f>
        <v>Third Class</v>
      </c>
      <c r="D824">
        <v>0</v>
      </c>
      <c r="E824" s="1" t="str">
        <f t="shared" si="48"/>
        <v>Dead</v>
      </c>
      <c r="F824" t="s">
        <v>1534</v>
      </c>
      <c r="G824" s="1" t="s">
        <v>2999</v>
      </c>
      <c r="H824" t="s">
        <v>20</v>
      </c>
      <c r="I824" s="1" t="str">
        <f t="shared" si="49"/>
        <v>Male</v>
      </c>
      <c r="J824" s="3">
        <v>41</v>
      </c>
      <c r="K824" s="3" t="str" cm="1">
        <f t="array" ref="K824">_xlfn.IFS(J824&lt;=13,"Child",J824&lt;=18,"Teenager",J824&lt;=30,"Young Adult",J824&lt;=50,"Middle Aged Adult",J824&gt;50,"Senior")</f>
        <v>Middle Aged Adult</v>
      </c>
      <c r="L824">
        <v>0</v>
      </c>
      <c r="M824">
        <v>0</v>
      </c>
      <c r="N824" s="1">
        <f t="shared" si="50"/>
        <v>1</v>
      </c>
      <c r="O824" s="1" t="str">
        <f t="shared" si="51"/>
        <v>Single</v>
      </c>
      <c r="P824">
        <v>7.85</v>
      </c>
      <c r="Q824" s="1" t="str" cm="1">
        <f t="array" ref="Q824">_xlfn.IFS(P824&lt;=50,"Low",P824&lt;=100,"Medium",P824&gt;100,"High")</f>
        <v>Low</v>
      </c>
      <c r="R824" t="s">
        <v>17</v>
      </c>
      <c r="S824" s="1" t="str" cm="1">
        <f t="array" ref="S824">_xlfn.IFS(R824="S","Southampton",R824="C","Cherbourg",R824="Q","Queenstown")</f>
        <v>Southampton</v>
      </c>
    </row>
    <row r="825" spans="1:19" x14ac:dyDescent="0.3">
      <c r="A825">
        <v>824</v>
      </c>
      <c r="B825">
        <v>3</v>
      </c>
      <c r="C825" s="1" t="str" cm="1">
        <f t="array" ref="C825">_xlfn.IFS(B825=1,"First Class",B825=2,"Second Class",B825=3,"Third Class")</f>
        <v>Third Class</v>
      </c>
      <c r="D825">
        <v>1</v>
      </c>
      <c r="E825" s="1" t="str">
        <f t="shared" si="48"/>
        <v>Alive</v>
      </c>
      <c r="F825" t="s">
        <v>1536</v>
      </c>
      <c r="G825" s="1" t="s">
        <v>3001</v>
      </c>
      <c r="H825" t="s">
        <v>15</v>
      </c>
      <c r="I825" s="1" t="str">
        <f t="shared" si="49"/>
        <v>Female</v>
      </c>
      <c r="J825" s="3">
        <v>31</v>
      </c>
      <c r="K825" s="3" t="str" cm="1">
        <f t="array" ref="K825">_xlfn.IFS(J825&lt;=13,"Child",J825&lt;=18,"Teenager",J825&lt;=30,"Young Adult",J825&lt;=50,"Middle Aged Adult",J825&gt;50,"Senior")</f>
        <v>Middle Aged Adult</v>
      </c>
      <c r="L825">
        <v>1</v>
      </c>
      <c r="M825">
        <v>1</v>
      </c>
      <c r="N825" s="1">
        <f t="shared" si="50"/>
        <v>3</v>
      </c>
      <c r="O825" s="1" t="str">
        <f t="shared" si="51"/>
        <v>With Family</v>
      </c>
      <c r="P825">
        <v>20.524999999999999</v>
      </c>
      <c r="Q825" s="1" t="str" cm="1">
        <f t="array" ref="Q825">_xlfn.IFS(P825&lt;=50,"Low",P825&lt;=100,"Medium",P825&gt;100,"High")</f>
        <v>Low</v>
      </c>
      <c r="R825" t="s">
        <v>17</v>
      </c>
      <c r="S825" s="1" t="str" cm="1">
        <f t="array" ref="S825">_xlfn.IFS(R825="S","Southampton",R825="C","Cherbourg",R825="Q","Queenstown")</f>
        <v>Southampton</v>
      </c>
    </row>
    <row r="826" spans="1:19" x14ac:dyDescent="0.3">
      <c r="A826">
        <v>825</v>
      </c>
      <c r="B826">
        <v>3</v>
      </c>
      <c r="C826" s="1" t="str" cm="1">
        <f t="array" ref="C826">_xlfn.IFS(B826=1,"First Class",B826=2,"Second Class",B826=3,"Third Class")</f>
        <v>Third Class</v>
      </c>
      <c r="D826">
        <v>0</v>
      </c>
      <c r="E826" s="1" t="str">
        <f t="shared" si="48"/>
        <v>Dead</v>
      </c>
      <c r="F826" t="s">
        <v>1537</v>
      </c>
      <c r="G826" s="1" t="s">
        <v>2999</v>
      </c>
      <c r="H826" t="s">
        <v>20</v>
      </c>
      <c r="I826" s="1" t="str">
        <f t="shared" si="49"/>
        <v>Male</v>
      </c>
      <c r="J826" s="3">
        <v>38</v>
      </c>
      <c r="K826" s="3" t="str" cm="1">
        <f t="array" ref="K826">_xlfn.IFS(J826&lt;=13,"Child",J826&lt;=18,"Teenager",J826&lt;=30,"Young Adult",J826&lt;=50,"Middle Aged Adult",J826&gt;50,"Senior")</f>
        <v>Middle Aged Adult</v>
      </c>
      <c r="L826">
        <v>0</v>
      </c>
      <c r="M826">
        <v>0</v>
      </c>
      <c r="N826" s="1">
        <f t="shared" si="50"/>
        <v>1</v>
      </c>
      <c r="O826" s="1" t="str">
        <f t="shared" si="51"/>
        <v>Single</v>
      </c>
      <c r="P826">
        <v>7.05</v>
      </c>
      <c r="Q826" s="1" t="str" cm="1">
        <f t="array" ref="Q826">_xlfn.IFS(P826&lt;=50,"Low",P826&lt;=100,"Medium",P826&gt;100,"High")</f>
        <v>Low</v>
      </c>
      <c r="R826" t="s">
        <v>17</v>
      </c>
      <c r="S826" s="1" t="str" cm="1">
        <f t="array" ref="S826">_xlfn.IFS(R826="S","Southampton",R826="C","Cherbourg",R826="Q","Queenstown")</f>
        <v>Southampton</v>
      </c>
    </row>
    <row r="827" spans="1:19" x14ac:dyDescent="0.3">
      <c r="A827">
        <v>826</v>
      </c>
      <c r="B827">
        <v>3</v>
      </c>
      <c r="C827" s="1" t="str" cm="1">
        <f t="array" ref="C827">_xlfn.IFS(B827=1,"First Class",B827=2,"Second Class",B827=3,"Third Class")</f>
        <v>Third Class</v>
      </c>
      <c r="D827">
        <v>0</v>
      </c>
      <c r="E827" s="1" t="str">
        <f t="shared" si="48"/>
        <v>Dead</v>
      </c>
      <c r="F827" t="s">
        <v>1539</v>
      </c>
      <c r="G827" s="1" t="s">
        <v>2996</v>
      </c>
      <c r="H827" t="s">
        <v>20</v>
      </c>
      <c r="I827" s="1" t="str">
        <f t="shared" si="49"/>
        <v>Male</v>
      </c>
      <c r="J827" s="3">
        <v>9</v>
      </c>
      <c r="K827" s="3" t="str" cm="1">
        <f t="array" ref="K827">_xlfn.IFS(J827&lt;=13,"Child",J827&lt;=18,"Teenager",J827&lt;=30,"Young Adult",J827&lt;=50,"Middle Aged Adult",J827&gt;50,"Senior")</f>
        <v>Child</v>
      </c>
      <c r="L827">
        <v>5</v>
      </c>
      <c r="M827">
        <v>2</v>
      </c>
      <c r="N827" s="1">
        <f t="shared" si="50"/>
        <v>8</v>
      </c>
      <c r="O827" s="1" t="str">
        <f t="shared" si="51"/>
        <v>With Family</v>
      </c>
      <c r="P827">
        <v>46.9</v>
      </c>
      <c r="Q827" s="1" t="str" cm="1">
        <f t="array" ref="Q827">_xlfn.IFS(P827&lt;=50,"Low",P827&lt;=100,"Medium",P827&gt;100,"High")</f>
        <v>Low</v>
      </c>
      <c r="R827" t="s">
        <v>17</v>
      </c>
      <c r="S827" s="1" t="str" cm="1">
        <f t="array" ref="S827">_xlfn.IFS(R827="S","Southampton",R827="C","Cherbourg",R827="Q","Queenstown")</f>
        <v>Southampton</v>
      </c>
    </row>
    <row r="828" spans="1:19" x14ac:dyDescent="0.3">
      <c r="A828">
        <v>827</v>
      </c>
      <c r="B828">
        <v>3</v>
      </c>
      <c r="C828" s="1" t="str" cm="1">
        <f t="array" ref="C828">_xlfn.IFS(B828=1,"First Class",B828=2,"Second Class",B828=3,"Third Class")</f>
        <v>Third Class</v>
      </c>
      <c r="D828">
        <v>0</v>
      </c>
      <c r="E828" s="1" t="str">
        <f t="shared" si="48"/>
        <v>Dead</v>
      </c>
      <c r="F828" t="s">
        <v>1542</v>
      </c>
      <c r="G828" s="1" t="s">
        <v>2996</v>
      </c>
      <c r="H828" t="s">
        <v>20</v>
      </c>
      <c r="I828" s="1" t="str">
        <f t="shared" si="49"/>
        <v>Male</v>
      </c>
      <c r="J828" s="3">
        <v>1</v>
      </c>
      <c r="K828" s="3" t="str" cm="1">
        <f t="array" ref="K828">_xlfn.IFS(J828&lt;=13,"Child",J828&lt;=18,"Teenager",J828&lt;=30,"Young Adult",J828&lt;=50,"Middle Aged Adult",J828&gt;50,"Senior")</f>
        <v>Child</v>
      </c>
      <c r="L828">
        <v>5</v>
      </c>
      <c r="M828">
        <v>2</v>
      </c>
      <c r="N828" s="1">
        <f t="shared" si="50"/>
        <v>8</v>
      </c>
      <c r="O828" s="1" t="str">
        <f t="shared" si="51"/>
        <v>With Family</v>
      </c>
      <c r="P828">
        <v>46.9</v>
      </c>
      <c r="Q828" s="1" t="str" cm="1">
        <f t="array" ref="Q828">_xlfn.IFS(P828&lt;=50,"Low",P828&lt;=100,"Medium",P828&gt;100,"High")</f>
        <v>Low</v>
      </c>
      <c r="R828" t="s">
        <v>17</v>
      </c>
      <c r="S828" s="1" t="str" cm="1">
        <f t="array" ref="S828">_xlfn.IFS(R828="S","Southampton",R828="C","Cherbourg",R828="Q","Queenstown")</f>
        <v>Southampton</v>
      </c>
    </row>
    <row r="829" spans="1:19" x14ac:dyDescent="0.3">
      <c r="A829">
        <v>828</v>
      </c>
      <c r="B829">
        <v>3</v>
      </c>
      <c r="C829" s="1" t="str" cm="1">
        <f t="array" ref="C829">_xlfn.IFS(B829=1,"First Class",B829=2,"Second Class",B829=3,"Third Class")</f>
        <v>Third Class</v>
      </c>
      <c r="D829">
        <v>0</v>
      </c>
      <c r="E829" s="1" t="str">
        <f t="shared" si="48"/>
        <v>Dead</v>
      </c>
      <c r="F829" t="s">
        <v>1543</v>
      </c>
      <c r="G829" s="1" t="s">
        <v>2996</v>
      </c>
      <c r="H829" t="s">
        <v>20</v>
      </c>
      <c r="I829" s="1" t="str">
        <f t="shared" si="49"/>
        <v>Male</v>
      </c>
      <c r="J829" s="3">
        <v>11</v>
      </c>
      <c r="K829" s="3" t="str" cm="1">
        <f t="array" ref="K829">_xlfn.IFS(J829&lt;=13,"Child",J829&lt;=18,"Teenager",J829&lt;=30,"Young Adult",J829&lt;=50,"Middle Aged Adult",J829&gt;50,"Senior")</f>
        <v>Child</v>
      </c>
      <c r="L829">
        <v>5</v>
      </c>
      <c r="M829">
        <v>2</v>
      </c>
      <c r="N829" s="1">
        <f t="shared" si="50"/>
        <v>8</v>
      </c>
      <c r="O829" s="1" t="str">
        <f t="shared" si="51"/>
        <v>With Family</v>
      </c>
      <c r="P829">
        <v>46.9</v>
      </c>
      <c r="Q829" s="1" t="str" cm="1">
        <f t="array" ref="Q829">_xlfn.IFS(P829&lt;=50,"Low",P829&lt;=100,"Medium",P829&gt;100,"High")</f>
        <v>Low</v>
      </c>
      <c r="R829" t="s">
        <v>17</v>
      </c>
      <c r="S829" s="1" t="str" cm="1">
        <f t="array" ref="S829">_xlfn.IFS(R829="S","Southampton",R829="C","Cherbourg",R829="Q","Queenstown")</f>
        <v>Southampton</v>
      </c>
    </row>
    <row r="830" spans="1:19" x14ac:dyDescent="0.3">
      <c r="A830">
        <v>829</v>
      </c>
      <c r="B830">
        <v>3</v>
      </c>
      <c r="C830" s="1" t="str" cm="1">
        <f t="array" ref="C830">_xlfn.IFS(B830=1,"First Class",B830=2,"Second Class",B830=3,"Third Class")</f>
        <v>Third Class</v>
      </c>
      <c r="D830">
        <v>0</v>
      </c>
      <c r="E830" s="1" t="str">
        <f t="shared" si="48"/>
        <v>Dead</v>
      </c>
      <c r="F830" t="s">
        <v>1544</v>
      </c>
      <c r="G830" s="1" t="s">
        <v>2994</v>
      </c>
      <c r="H830" t="s">
        <v>15</v>
      </c>
      <c r="I830" s="1" t="str">
        <f t="shared" si="49"/>
        <v>Female</v>
      </c>
      <c r="J830" s="3">
        <v>10</v>
      </c>
      <c r="K830" s="3" t="str" cm="1">
        <f t="array" ref="K830">_xlfn.IFS(J830&lt;=13,"Child",J830&lt;=18,"Teenager",J830&lt;=30,"Young Adult",J830&lt;=50,"Middle Aged Adult",J830&gt;50,"Senior")</f>
        <v>Child</v>
      </c>
      <c r="L830">
        <v>5</v>
      </c>
      <c r="M830">
        <v>2</v>
      </c>
      <c r="N830" s="1">
        <f t="shared" si="50"/>
        <v>8</v>
      </c>
      <c r="O830" s="1" t="str">
        <f t="shared" si="51"/>
        <v>With Family</v>
      </c>
      <c r="P830">
        <v>46.9</v>
      </c>
      <c r="Q830" s="1" t="str" cm="1">
        <f t="array" ref="Q830">_xlfn.IFS(P830&lt;=50,"Low",P830&lt;=100,"Medium",P830&gt;100,"High")</f>
        <v>Low</v>
      </c>
      <c r="R830" t="s">
        <v>17</v>
      </c>
      <c r="S830" s="1" t="str" cm="1">
        <f t="array" ref="S830">_xlfn.IFS(R830="S","Southampton",R830="C","Cherbourg",R830="Q","Queenstown")</f>
        <v>Southampton</v>
      </c>
    </row>
    <row r="831" spans="1:19" x14ac:dyDescent="0.3">
      <c r="A831">
        <v>830</v>
      </c>
      <c r="B831">
        <v>3</v>
      </c>
      <c r="C831" s="1" t="str" cm="1">
        <f t="array" ref="C831">_xlfn.IFS(B831=1,"First Class",B831=2,"Second Class",B831=3,"Third Class")</f>
        <v>Third Class</v>
      </c>
      <c r="D831">
        <v>0</v>
      </c>
      <c r="E831" s="1" t="str">
        <f t="shared" si="48"/>
        <v>Dead</v>
      </c>
      <c r="F831" t="s">
        <v>1545</v>
      </c>
      <c r="G831" s="1" t="s">
        <v>2994</v>
      </c>
      <c r="H831" t="s">
        <v>15</v>
      </c>
      <c r="I831" s="1" t="str">
        <f t="shared" si="49"/>
        <v>Female</v>
      </c>
      <c r="J831" s="3">
        <v>16</v>
      </c>
      <c r="K831" s="3" t="str" cm="1">
        <f t="array" ref="K831">_xlfn.IFS(J831&lt;=13,"Child",J831&lt;=18,"Teenager",J831&lt;=30,"Young Adult",J831&lt;=50,"Middle Aged Adult",J831&gt;50,"Senior")</f>
        <v>Teenager</v>
      </c>
      <c r="L831">
        <v>5</v>
      </c>
      <c r="M831">
        <v>2</v>
      </c>
      <c r="N831" s="1">
        <f t="shared" si="50"/>
        <v>8</v>
      </c>
      <c r="O831" s="1" t="str">
        <f t="shared" si="51"/>
        <v>With Family</v>
      </c>
      <c r="P831">
        <v>46.9</v>
      </c>
      <c r="Q831" s="1" t="str" cm="1">
        <f t="array" ref="Q831">_xlfn.IFS(P831&lt;=50,"Low",P831&lt;=100,"Medium",P831&gt;100,"High")</f>
        <v>Low</v>
      </c>
      <c r="R831" t="s">
        <v>17</v>
      </c>
      <c r="S831" s="1" t="str" cm="1">
        <f t="array" ref="S831">_xlfn.IFS(R831="S","Southampton",R831="C","Cherbourg",R831="Q","Queenstown")</f>
        <v>Southampton</v>
      </c>
    </row>
    <row r="832" spans="1:19" x14ac:dyDescent="0.3">
      <c r="A832">
        <v>831</v>
      </c>
      <c r="B832">
        <v>3</v>
      </c>
      <c r="C832" s="1" t="str" cm="1">
        <f t="array" ref="C832">_xlfn.IFS(B832=1,"First Class",B832=2,"Second Class",B832=3,"Third Class")</f>
        <v>Third Class</v>
      </c>
      <c r="D832">
        <v>0</v>
      </c>
      <c r="E832" s="1" t="str">
        <f t="shared" si="48"/>
        <v>Dead</v>
      </c>
      <c r="F832" t="s">
        <v>1546</v>
      </c>
      <c r="G832" s="1" t="s">
        <v>2999</v>
      </c>
      <c r="H832" t="s">
        <v>20</v>
      </c>
      <c r="I832" s="1" t="str">
        <f t="shared" si="49"/>
        <v>Male</v>
      </c>
      <c r="J832" s="3">
        <v>14</v>
      </c>
      <c r="K832" s="3" t="str" cm="1">
        <f t="array" ref="K832">_xlfn.IFS(J832&lt;=13,"Child",J832&lt;=18,"Teenager",J832&lt;=30,"Young Adult",J832&lt;=50,"Middle Aged Adult",J832&gt;50,"Senior")</f>
        <v>Teenager</v>
      </c>
      <c r="L832">
        <v>5</v>
      </c>
      <c r="M832">
        <v>2</v>
      </c>
      <c r="N832" s="1">
        <f t="shared" si="50"/>
        <v>8</v>
      </c>
      <c r="O832" s="1" t="str">
        <f t="shared" si="51"/>
        <v>With Family</v>
      </c>
      <c r="P832">
        <v>46.9</v>
      </c>
      <c r="Q832" s="1" t="str" cm="1">
        <f t="array" ref="Q832">_xlfn.IFS(P832&lt;=50,"Low",P832&lt;=100,"Medium",P832&gt;100,"High")</f>
        <v>Low</v>
      </c>
      <c r="R832" t="s">
        <v>17</v>
      </c>
      <c r="S832" s="1" t="str" cm="1">
        <f t="array" ref="S832">_xlfn.IFS(R832="S","Southampton",R832="C","Cherbourg",R832="Q","Queenstown")</f>
        <v>Southampton</v>
      </c>
    </row>
    <row r="833" spans="1:19" x14ac:dyDescent="0.3">
      <c r="A833">
        <v>832</v>
      </c>
      <c r="B833">
        <v>3</v>
      </c>
      <c r="C833" s="1" t="str" cm="1">
        <f t="array" ref="C833">_xlfn.IFS(B833=1,"First Class",B833=2,"Second Class",B833=3,"Third Class")</f>
        <v>Third Class</v>
      </c>
      <c r="D833">
        <v>0</v>
      </c>
      <c r="E833" s="1" t="str">
        <f t="shared" si="48"/>
        <v>Dead</v>
      </c>
      <c r="F833" t="s">
        <v>1547</v>
      </c>
      <c r="G833" s="1" t="s">
        <v>2999</v>
      </c>
      <c r="H833" t="s">
        <v>20</v>
      </c>
      <c r="I833" s="1" t="str">
        <f t="shared" si="49"/>
        <v>Male</v>
      </c>
      <c r="J833" s="3">
        <v>40</v>
      </c>
      <c r="K833" s="3" t="str" cm="1">
        <f t="array" ref="K833">_xlfn.IFS(J833&lt;=13,"Child",J833&lt;=18,"Teenager",J833&lt;=30,"Young Adult",J833&lt;=50,"Middle Aged Adult",J833&gt;50,"Senior")</f>
        <v>Middle Aged Adult</v>
      </c>
      <c r="L833">
        <v>1</v>
      </c>
      <c r="M833">
        <v>6</v>
      </c>
      <c r="N833" s="1">
        <f t="shared" si="50"/>
        <v>8</v>
      </c>
      <c r="O833" s="1" t="str">
        <f t="shared" si="51"/>
        <v>With Family</v>
      </c>
      <c r="P833">
        <v>46.9</v>
      </c>
      <c r="Q833" s="1" t="str" cm="1">
        <f t="array" ref="Q833">_xlfn.IFS(P833&lt;=50,"Low",P833&lt;=100,"Medium",P833&gt;100,"High")</f>
        <v>Low</v>
      </c>
      <c r="R833" t="s">
        <v>17</v>
      </c>
      <c r="S833" s="1" t="str" cm="1">
        <f t="array" ref="S833">_xlfn.IFS(R833="S","Southampton",R833="C","Cherbourg",R833="Q","Queenstown")</f>
        <v>Southampton</v>
      </c>
    </row>
    <row r="834" spans="1:19" x14ac:dyDescent="0.3">
      <c r="A834">
        <v>833</v>
      </c>
      <c r="B834">
        <v>3</v>
      </c>
      <c r="C834" s="1" t="str" cm="1">
        <f t="array" ref="C834">_xlfn.IFS(B834=1,"First Class",B834=2,"Second Class",B834=3,"Third Class")</f>
        <v>Third Class</v>
      </c>
      <c r="D834">
        <v>0</v>
      </c>
      <c r="E834" s="1" t="str">
        <f t="shared" si="48"/>
        <v>Dead</v>
      </c>
      <c r="F834" t="s">
        <v>1548</v>
      </c>
      <c r="G834" s="1" t="s">
        <v>3001</v>
      </c>
      <c r="H834" t="s">
        <v>15</v>
      </c>
      <c r="I834" s="1" t="str">
        <f t="shared" si="49"/>
        <v>Female</v>
      </c>
      <c r="J834" s="3">
        <v>43</v>
      </c>
      <c r="K834" s="3" t="str" cm="1">
        <f t="array" ref="K834">_xlfn.IFS(J834&lt;=13,"Child",J834&lt;=18,"Teenager",J834&lt;=30,"Young Adult",J834&lt;=50,"Middle Aged Adult",J834&gt;50,"Senior")</f>
        <v>Middle Aged Adult</v>
      </c>
      <c r="L834">
        <v>1</v>
      </c>
      <c r="M834">
        <v>6</v>
      </c>
      <c r="N834" s="1">
        <f t="shared" si="50"/>
        <v>8</v>
      </c>
      <c r="O834" s="1" t="str">
        <f t="shared" si="51"/>
        <v>With Family</v>
      </c>
      <c r="P834">
        <v>46.9</v>
      </c>
      <c r="Q834" s="1" t="str" cm="1">
        <f t="array" ref="Q834">_xlfn.IFS(P834&lt;=50,"Low",P834&lt;=100,"Medium",P834&gt;100,"High")</f>
        <v>Low</v>
      </c>
      <c r="R834" t="s">
        <v>17</v>
      </c>
      <c r="S834" s="1" t="str" cm="1">
        <f t="array" ref="S834">_xlfn.IFS(R834="S","Southampton",R834="C","Cherbourg",R834="Q","Queenstown")</f>
        <v>Southampton</v>
      </c>
    </row>
    <row r="835" spans="1:19" x14ac:dyDescent="0.3">
      <c r="A835">
        <v>834</v>
      </c>
      <c r="B835">
        <v>3</v>
      </c>
      <c r="C835" s="1" t="str" cm="1">
        <f t="array" ref="C835">_xlfn.IFS(B835=1,"First Class",B835=2,"Second Class",B835=3,"Third Class")</f>
        <v>Third Class</v>
      </c>
      <c r="D835">
        <v>0</v>
      </c>
      <c r="E835" s="1" t="str">
        <f t="shared" ref="E835:E898" si="52">IF(D835=0,"Dead","Alive")</f>
        <v>Dead</v>
      </c>
      <c r="F835" t="s">
        <v>1549</v>
      </c>
      <c r="G835" s="1" t="s">
        <v>2999</v>
      </c>
      <c r="H835" t="s">
        <v>20</v>
      </c>
      <c r="I835" s="1" t="str">
        <f t="shared" ref="I835:I898" si="53">PROPER(H835)</f>
        <v>Male</v>
      </c>
      <c r="J835" s="3">
        <v>51</v>
      </c>
      <c r="K835" s="3" t="str" cm="1">
        <f t="array" ref="K835">_xlfn.IFS(J835&lt;=13,"Child",J835&lt;=18,"Teenager",J835&lt;=30,"Young Adult",J835&lt;=50,"Middle Aged Adult",J835&gt;50,"Senior")</f>
        <v>Senior</v>
      </c>
      <c r="L835">
        <v>0</v>
      </c>
      <c r="M835">
        <v>0</v>
      </c>
      <c r="N835" s="1">
        <f t="shared" ref="N835:N898" si="54">L835+M835+1</f>
        <v>1</v>
      </c>
      <c r="O835" s="1" t="str">
        <f t="shared" ref="O835:O898" si="55">IF(N835=1,"Single","With Family")</f>
        <v>Single</v>
      </c>
      <c r="P835">
        <v>8.0500000000000007</v>
      </c>
      <c r="Q835" s="1" t="str" cm="1">
        <f t="array" ref="Q835">_xlfn.IFS(P835&lt;=50,"Low",P835&lt;=100,"Medium",P835&gt;100,"High")</f>
        <v>Low</v>
      </c>
      <c r="R835" t="s">
        <v>17</v>
      </c>
      <c r="S835" s="1" t="str" cm="1">
        <f t="array" ref="S835">_xlfn.IFS(R835="S","Southampton",R835="C","Cherbourg",R835="Q","Queenstown")</f>
        <v>Southampton</v>
      </c>
    </row>
    <row r="836" spans="1:19" x14ac:dyDescent="0.3">
      <c r="A836">
        <v>835</v>
      </c>
      <c r="B836">
        <v>3</v>
      </c>
      <c r="C836" s="1" t="str" cm="1">
        <f t="array" ref="C836">_xlfn.IFS(B836=1,"First Class",B836=2,"Second Class",B836=3,"Third Class")</f>
        <v>Third Class</v>
      </c>
      <c r="D836">
        <v>0</v>
      </c>
      <c r="E836" s="1" t="str">
        <f t="shared" si="52"/>
        <v>Dead</v>
      </c>
      <c r="F836" t="s">
        <v>1551</v>
      </c>
      <c r="G836" s="1" t="s">
        <v>2999</v>
      </c>
      <c r="H836" t="s">
        <v>20</v>
      </c>
      <c r="I836" s="1" t="str">
        <f t="shared" si="53"/>
        <v>Male</v>
      </c>
      <c r="J836" s="3">
        <v>32</v>
      </c>
      <c r="K836" s="3" t="str" cm="1">
        <f t="array" ref="K836">_xlfn.IFS(J836&lt;=13,"Child",J836&lt;=18,"Teenager",J836&lt;=30,"Young Adult",J836&lt;=50,"Middle Aged Adult",J836&gt;50,"Senior")</f>
        <v>Middle Aged Adult</v>
      </c>
      <c r="L836">
        <v>0</v>
      </c>
      <c r="M836">
        <v>0</v>
      </c>
      <c r="N836" s="1">
        <f t="shared" si="54"/>
        <v>1</v>
      </c>
      <c r="O836" s="1" t="str">
        <f t="shared" si="55"/>
        <v>Single</v>
      </c>
      <c r="P836">
        <v>8.3625000000000007</v>
      </c>
      <c r="Q836" s="1" t="str" cm="1">
        <f t="array" ref="Q836">_xlfn.IFS(P836&lt;=50,"Low",P836&lt;=100,"Medium",P836&gt;100,"High")</f>
        <v>Low</v>
      </c>
      <c r="R836" t="s">
        <v>17</v>
      </c>
      <c r="S836" s="1" t="str" cm="1">
        <f t="array" ref="S836">_xlfn.IFS(R836="S","Southampton",R836="C","Cherbourg",R836="Q","Queenstown")</f>
        <v>Southampton</v>
      </c>
    </row>
    <row r="837" spans="1:19" x14ac:dyDescent="0.3">
      <c r="A837">
        <v>836</v>
      </c>
      <c r="B837">
        <v>3</v>
      </c>
      <c r="C837" s="1" t="str" cm="1">
        <f t="array" ref="C837">_xlfn.IFS(B837=1,"First Class",B837=2,"Second Class",B837=3,"Third Class")</f>
        <v>Third Class</v>
      </c>
      <c r="D837">
        <v>0</v>
      </c>
      <c r="E837" s="1" t="str">
        <f t="shared" si="52"/>
        <v>Dead</v>
      </c>
      <c r="F837" t="s">
        <v>1553</v>
      </c>
      <c r="G837" s="1" t="s">
        <v>2999</v>
      </c>
      <c r="H837" t="s">
        <v>20</v>
      </c>
      <c r="I837" s="1" t="str">
        <f t="shared" si="53"/>
        <v>Male</v>
      </c>
      <c r="J837" s="3">
        <v>29.881137667304014</v>
      </c>
      <c r="K837" s="3" t="str" cm="1">
        <f t="array" ref="K837">_xlfn.IFS(J837&lt;=13,"Child",J837&lt;=18,"Teenager",J837&lt;=30,"Young Adult",J837&lt;=50,"Middle Aged Adult",J837&gt;50,"Senior")</f>
        <v>Young Adult</v>
      </c>
      <c r="L837">
        <v>0</v>
      </c>
      <c r="M837">
        <v>0</v>
      </c>
      <c r="N837" s="1">
        <f t="shared" si="54"/>
        <v>1</v>
      </c>
      <c r="O837" s="1" t="str">
        <f t="shared" si="55"/>
        <v>Single</v>
      </c>
      <c r="P837">
        <v>8.0500000000000007</v>
      </c>
      <c r="Q837" s="1" t="str" cm="1">
        <f t="array" ref="Q837">_xlfn.IFS(P837&lt;=50,"Low",P837&lt;=100,"Medium",P837&gt;100,"High")</f>
        <v>Low</v>
      </c>
      <c r="R837" t="s">
        <v>17</v>
      </c>
      <c r="S837" s="1" t="str" cm="1">
        <f t="array" ref="S837">_xlfn.IFS(R837="S","Southampton",R837="C","Cherbourg",R837="Q","Queenstown")</f>
        <v>Southampton</v>
      </c>
    </row>
    <row r="838" spans="1:19" x14ac:dyDescent="0.3">
      <c r="A838">
        <v>837</v>
      </c>
      <c r="B838">
        <v>3</v>
      </c>
      <c r="C838" s="1" t="str" cm="1">
        <f t="array" ref="C838">_xlfn.IFS(B838=1,"First Class",B838=2,"Second Class",B838=3,"Third Class")</f>
        <v>Third Class</v>
      </c>
      <c r="D838">
        <v>0</v>
      </c>
      <c r="E838" s="1" t="str">
        <f t="shared" si="52"/>
        <v>Dead</v>
      </c>
      <c r="F838" t="s">
        <v>1554</v>
      </c>
      <c r="G838" s="1" t="s">
        <v>2999</v>
      </c>
      <c r="H838" t="s">
        <v>20</v>
      </c>
      <c r="I838" s="1" t="str">
        <f t="shared" si="53"/>
        <v>Male</v>
      </c>
      <c r="J838" s="3">
        <v>20</v>
      </c>
      <c r="K838" s="3" t="str" cm="1">
        <f t="array" ref="K838">_xlfn.IFS(J838&lt;=13,"Child",J838&lt;=18,"Teenager",J838&lt;=30,"Young Adult",J838&lt;=50,"Middle Aged Adult",J838&gt;50,"Senior")</f>
        <v>Young Adult</v>
      </c>
      <c r="L838">
        <v>0</v>
      </c>
      <c r="M838">
        <v>0</v>
      </c>
      <c r="N838" s="1">
        <f t="shared" si="54"/>
        <v>1</v>
      </c>
      <c r="O838" s="1" t="str">
        <f t="shared" si="55"/>
        <v>Single</v>
      </c>
      <c r="P838">
        <v>9.8458000000000006</v>
      </c>
      <c r="Q838" s="1" t="str" cm="1">
        <f t="array" ref="Q838">_xlfn.IFS(P838&lt;=50,"Low",P838&lt;=100,"Medium",P838&gt;100,"High")</f>
        <v>Low</v>
      </c>
      <c r="R838" t="s">
        <v>17</v>
      </c>
      <c r="S838" s="1" t="str" cm="1">
        <f t="array" ref="S838">_xlfn.IFS(R838="S","Southampton",R838="C","Cherbourg",R838="Q","Queenstown")</f>
        <v>Southampton</v>
      </c>
    </row>
    <row r="839" spans="1:19" x14ac:dyDescent="0.3">
      <c r="A839">
        <v>838</v>
      </c>
      <c r="B839">
        <v>3</v>
      </c>
      <c r="C839" s="1" t="str" cm="1">
        <f t="array" ref="C839">_xlfn.IFS(B839=1,"First Class",B839=2,"Second Class",B839=3,"Third Class")</f>
        <v>Third Class</v>
      </c>
      <c r="D839">
        <v>0</v>
      </c>
      <c r="E839" s="1" t="str">
        <f t="shared" si="52"/>
        <v>Dead</v>
      </c>
      <c r="F839" t="s">
        <v>1556</v>
      </c>
      <c r="G839" s="1" t="s">
        <v>2999</v>
      </c>
      <c r="H839" t="s">
        <v>20</v>
      </c>
      <c r="I839" s="1" t="str">
        <f t="shared" si="53"/>
        <v>Male</v>
      </c>
      <c r="J839" s="3">
        <v>37</v>
      </c>
      <c r="K839" s="3" t="str" cm="1">
        <f t="array" ref="K839">_xlfn.IFS(J839&lt;=13,"Child",J839&lt;=18,"Teenager",J839&lt;=30,"Young Adult",J839&lt;=50,"Middle Aged Adult",J839&gt;50,"Senior")</f>
        <v>Middle Aged Adult</v>
      </c>
      <c r="L839">
        <v>2</v>
      </c>
      <c r="M839">
        <v>0</v>
      </c>
      <c r="N839" s="1">
        <f t="shared" si="54"/>
        <v>3</v>
      </c>
      <c r="O839" s="1" t="str">
        <f t="shared" si="55"/>
        <v>With Family</v>
      </c>
      <c r="P839">
        <v>7.9249999999999998</v>
      </c>
      <c r="Q839" s="1" t="str" cm="1">
        <f t="array" ref="Q839">_xlfn.IFS(P839&lt;=50,"Low",P839&lt;=100,"Medium",P839&gt;100,"High")</f>
        <v>Low</v>
      </c>
      <c r="R839" t="s">
        <v>17</v>
      </c>
      <c r="S839" s="1" t="str" cm="1">
        <f t="array" ref="S839">_xlfn.IFS(R839="S","Southampton",R839="C","Cherbourg",R839="Q","Queenstown")</f>
        <v>Southampton</v>
      </c>
    </row>
    <row r="840" spans="1:19" x14ac:dyDescent="0.3">
      <c r="A840">
        <v>839</v>
      </c>
      <c r="B840">
        <v>3</v>
      </c>
      <c r="C840" s="1" t="str" cm="1">
        <f t="array" ref="C840">_xlfn.IFS(B840=1,"First Class",B840=2,"Second Class",B840=3,"Third Class")</f>
        <v>Third Class</v>
      </c>
      <c r="D840">
        <v>0</v>
      </c>
      <c r="E840" s="1" t="str">
        <f t="shared" si="52"/>
        <v>Dead</v>
      </c>
      <c r="F840" t="s">
        <v>1557</v>
      </c>
      <c r="G840" s="1" t="s">
        <v>2999</v>
      </c>
      <c r="H840" t="s">
        <v>20</v>
      </c>
      <c r="I840" s="1" t="str">
        <f t="shared" si="53"/>
        <v>Male</v>
      </c>
      <c r="J840" s="3">
        <v>28</v>
      </c>
      <c r="K840" s="3" t="str" cm="1">
        <f t="array" ref="K840">_xlfn.IFS(J840&lt;=13,"Child",J840&lt;=18,"Teenager",J840&lt;=30,"Young Adult",J840&lt;=50,"Middle Aged Adult",J840&gt;50,"Senior")</f>
        <v>Young Adult</v>
      </c>
      <c r="L840">
        <v>2</v>
      </c>
      <c r="M840">
        <v>0</v>
      </c>
      <c r="N840" s="1">
        <f t="shared" si="54"/>
        <v>3</v>
      </c>
      <c r="O840" s="1" t="str">
        <f t="shared" si="55"/>
        <v>With Family</v>
      </c>
      <c r="P840">
        <v>7.9249999999999998</v>
      </c>
      <c r="Q840" s="1" t="str" cm="1">
        <f t="array" ref="Q840">_xlfn.IFS(P840&lt;=50,"Low",P840&lt;=100,"Medium",P840&gt;100,"High")</f>
        <v>Low</v>
      </c>
      <c r="R840" t="s">
        <v>17</v>
      </c>
      <c r="S840" s="1" t="str" cm="1">
        <f t="array" ref="S840">_xlfn.IFS(R840="S","Southampton",R840="C","Cherbourg",R840="Q","Queenstown")</f>
        <v>Southampton</v>
      </c>
    </row>
    <row r="841" spans="1:19" x14ac:dyDescent="0.3">
      <c r="A841">
        <v>840</v>
      </c>
      <c r="B841">
        <v>3</v>
      </c>
      <c r="C841" s="1" t="str" cm="1">
        <f t="array" ref="C841">_xlfn.IFS(B841=1,"First Class",B841=2,"Second Class",B841=3,"Third Class")</f>
        <v>Third Class</v>
      </c>
      <c r="D841">
        <v>0</v>
      </c>
      <c r="E841" s="1" t="str">
        <f t="shared" si="52"/>
        <v>Dead</v>
      </c>
      <c r="F841" t="s">
        <v>1558</v>
      </c>
      <c r="G841" s="1" t="s">
        <v>2999</v>
      </c>
      <c r="H841" t="s">
        <v>20</v>
      </c>
      <c r="I841" s="1" t="str">
        <f t="shared" si="53"/>
        <v>Male</v>
      </c>
      <c r="J841" s="3">
        <v>19</v>
      </c>
      <c r="K841" s="3" t="str" cm="1">
        <f t="array" ref="K841">_xlfn.IFS(J841&lt;=13,"Child",J841&lt;=18,"Teenager",J841&lt;=30,"Young Adult",J841&lt;=50,"Middle Aged Adult",J841&gt;50,"Senior")</f>
        <v>Young Adult</v>
      </c>
      <c r="L841">
        <v>0</v>
      </c>
      <c r="M841">
        <v>0</v>
      </c>
      <c r="N841" s="1">
        <f t="shared" si="54"/>
        <v>1</v>
      </c>
      <c r="O841" s="1" t="str">
        <f t="shared" si="55"/>
        <v>Single</v>
      </c>
      <c r="P841">
        <v>7.7750000000000004</v>
      </c>
      <c r="Q841" s="1" t="str" cm="1">
        <f t="array" ref="Q841">_xlfn.IFS(P841&lt;=50,"Low",P841&lt;=100,"Medium",P841&gt;100,"High")</f>
        <v>Low</v>
      </c>
      <c r="R841" t="s">
        <v>17</v>
      </c>
      <c r="S841" s="1" t="str" cm="1">
        <f t="array" ref="S841">_xlfn.IFS(R841="S","Southampton",R841="C","Cherbourg",R841="Q","Queenstown")</f>
        <v>Southampton</v>
      </c>
    </row>
    <row r="842" spans="1:19" x14ac:dyDescent="0.3">
      <c r="A842">
        <v>841</v>
      </c>
      <c r="B842">
        <v>3</v>
      </c>
      <c r="C842" s="1" t="str" cm="1">
        <f t="array" ref="C842">_xlfn.IFS(B842=1,"First Class",B842=2,"Second Class",B842=3,"Third Class")</f>
        <v>Third Class</v>
      </c>
      <c r="D842">
        <v>0</v>
      </c>
      <c r="E842" s="1" t="str">
        <f t="shared" si="52"/>
        <v>Dead</v>
      </c>
      <c r="F842" t="s">
        <v>1560</v>
      </c>
      <c r="G842" s="1" t="s">
        <v>2994</v>
      </c>
      <c r="H842" t="s">
        <v>15</v>
      </c>
      <c r="I842" s="1" t="str">
        <f t="shared" si="53"/>
        <v>Female</v>
      </c>
      <c r="J842" s="3">
        <v>24</v>
      </c>
      <c r="K842" s="3" t="str" cm="1">
        <f t="array" ref="K842">_xlfn.IFS(J842&lt;=13,"Child",J842&lt;=18,"Teenager",J842&lt;=30,"Young Adult",J842&lt;=50,"Middle Aged Adult",J842&gt;50,"Senior")</f>
        <v>Young Adult</v>
      </c>
      <c r="L842">
        <v>0</v>
      </c>
      <c r="M842">
        <v>0</v>
      </c>
      <c r="N842" s="1">
        <f t="shared" si="54"/>
        <v>1</v>
      </c>
      <c r="O842" s="1" t="str">
        <f t="shared" si="55"/>
        <v>Single</v>
      </c>
      <c r="P842">
        <v>8.85</v>
      </c>
      <c r="Q842" s="1" t="str" cm="1">
        <f t="array" ref="Q842">_xlfn.IFS(P842&lt;=50,"Low",P842&lt;=100,"Medium",P842&gt;100,"High")</f>
        <v>Low</v>
      </c>
      <c r="R842" t="s">
        <v>17</v>
      </c>
      <c r="S842" s="1" t="str" cm="1">
        <f t="array" ref="S842">_xlfn.IFS(R842="S","Southampton",R842="C","Cherbourg",R842="Q","Queenstown")</f>
        <v>Southampton</v>
      </c>
    </row>
    <row r="843" spans="1:19" x14ac:dyDescent="0.3">
      <c r="A843">
        <v>842</v>
      </c>
      <c r="B843">
        <v>3</v>
      </c>
      <c r="C843" s="1" t="str" cm="1">
        <f t="array" ref="C843">_xlfn.IFS(B843=1,"First Class",B843=2,"Second Class",B843=3,"Third Class")</f>
        <v>Third Class</v>
      </c>
      <c r="D843">
        <v>0</v>
      </c>
      <c r="E843" s="1" t="str">
        <f t="shared" si="52"/>
        <v>Dead</v>
      </c>
      <c r="F843" t="s">
        <v>1561</v>
      </c>
      <c r="G843" s="1" t="s">
        <v>2994</v>
      </c>
      <c r="H843" t="s">
        <v>15</v>
      </c>
      <c r="I843" s="1" t="str">
        <f t="shared" si="53"/>
        <v>Female</v>
      </c>
      <c r="J843" s="3">
        <v>17</v>
      </c>
      <c r="K843" s="3" t="str" cm="1">
        <f t="array" ref="K843">_xlfn.IFS(J843&lt;=13,"Child",J843&lt;=18,"Teenager",J843&lt;=30,"Young Adult",J843&lt;=50,"Middle Aged Adult",J843&gt;50,"Senior")</f>
        <v>Teenager</v>
      </c>
      <c r="L843">
        <v>0</v>
      </c>
      <c r="M843">
        <v>0</v>
      </c>
      <c r="N843" s="1">
        <f t="shared" si="54"/>
        <v>1</v>
      </c>
      <c r="O843" s="1" t="str">
        <f t="shared" si="55"/>
        <v>Single</v>
      </c>
      <c r="P843">
        <v>7.7332999999999998</v>
      </c>
      <c r="Q843" s="1" t="str" cm="1">
        <f t="array" ref="Q843">_xlfn.IFS(P843&lt;=50,"Low",P843&lt;=100,"Medium",P843&gt;100,"High")</f>
        <v>Low</v>
      </c>
      <c r="R843" t="s">
        <v>463</v>
      </c>
      <c r="S843" s="1" t="str" cm="1">
        <f t="array" ref="S843">_xlfn.IFS(R843="S","Southampton",R843="C","Cherbourg",R843="Q","Queenstown")</f>
        <v>Queenstown</v>
      </c>
    </row>
    <row r="844" spans="1:19" x14ac:dyDescent="0.3">
      <c r="A844">
        <v>843</v>
      </c>
      <c r="B844">
        <v>3</v>
      </c>
      <c r="C844" s="1" t="str" cm="1">
        <f t="array" ref="C844">_xlfn.IFS(B844=1,"First Class",B844=2,"Second Class",B844=3,"Third Class")</f>
        <v>Third Class</v>
      </c>
      <c r="D844">
        <v>0</v>
      </c>
      <c r="E844" s="1" t="str">
        <f t="shared" si="52"/>
        <v>Dead</v>
      </c>
      <c r="F844" t="s">
        <v>1563</v>
      </c>
      <c r="G844" s="1" t="s">
        <v>2999</v>
      </c>
      <c r="H844" t="s">
        <v>20</v>
      </c>
      <c r="I844" s="1" t="str">
        <f t="shared" si="53"/>
        <v>Male</v>
      </c>
      <c r="J844" s="3">
        <v>29.881137667304014</v>
      </c>
      <c r="K844" s="3" t="str" cm="1">
        <f t="array" ref="K844">_xlfn.IFS(J844&lt;=13,"Child",J844&lt;=18,"Teenager",J844&lt;=30,"Young Adult",J844&lt;=50,"Middle Aged Adult",J844&gt;50,"Senior")</f>
        <v>Young Adult</v>
      </c>
      <c r="L844">
        <v>1</v>
      </c>
      <c r="M844">
        <v>0</v>
      </c>
      <c r="N844" s="1">
        <f t="shared" si="54"/>
        <v>2</v>
      </c>
      <c r="O844" s="1" t="str">
        <f t="shared" si="55"/>
        <v>With Family</v>
      </c>
      <c r="P844">
        <v>19.966699999999999</v>
      </c>
      <c r="Q844" s="1" t="str" cm="1">
        <f t="array" ref="Q844">_xlfn.IFS(P844&lt;=50,"Low",P844&lt;=100,"Medium",P844&gt;100,"High")</f>
        <v>Low</v>
      </c>
      <c r="R844" t="s">
        <v>17</v>
      </c>
      <c r="S844" s="1" t="str" cm="1">
        <f t="array" ref="S844">_xlfn.IFS(R844="S","Southampton",R844="C","Cherbourg",R844="Q","Queenstown")</f>
        <v>Southampton</v>
      </c>
    </row>
    <row r="845" spans="1:19" x14ac:dyDescent="0.3">
      <c r="A845">
        <v>844</v>
      </c>
      <c r="B845">
        <v>3</v>
      </c>
      <c r="C845" s="1" t="str" cm="1">
        <f t="array" ref="C845">_xlfn.IFS(B845=1,"First Class",B845=2,"Second Class",B845=3,"Third Class")</f>
        <v>Third Class</v>
      </c>
      <c r="D845">
        <v>0</v>
      </c>
      <c r="E845" s="1" t="str">
        <f t="shared" si="52"/>
        <v>Dead</v>
      </c>
      <c r="F845" t="s">
        <v>1564</v>
      </c>
      <c r="G845" s="1" t="s">
        <v>2999</v>
      </c>
      <c r="H845" t="s">
        <v>20</v>
      </c>
      <c r="I845" s="1" t="str">
        <f t="shared" si="53"/>
        <v>Male</v>
      </c>
      <c r="J845" s="3">
        <v>29.881137667304014</v>
      </c>
      <c r="K845" s="3" t="str" cm="1">
        <f t="array" ref="K845">_xlfn.IFS(J845&lt;=13,"Child",J845&lt;=18,"Teenager",J845&lt;=30,"Young Adult",J845&lt;=50,"Middle Aged Adult",J845&gt;50,"Senior")</f>
        <v>Young Adult</v>
      </c>
      <c r="L845">
        <v>1</v>
      </c>
      <c r="M845">
        <v>0</v>
      </c>
      <c r="N845" s="1">
        <f t="shared" si="54"/>
        <v>2</v>
      </c>
      <c r="O845" s="1" t="str">
        <f t="shared" si="55"/>
        <v>With Family</v>
      </c>
      <c r="P845">
        <v>19.966699999999999</v>
      </c>
      <c r="Q845" s="1" t="str" cm="1">
        <f t="array" ref="Q845">_xlfn.IFS(P845&lt;=50,"Low",P845&lt;=100,"Medium",P845&gt;100,"High")</f>
        <v>Low</v>
      </c>
      <c r="R845" t="s">
        <v>17</v>
      </c>
      <c r="S845" s="1" t="str" cm="1">
        <f t="array" ref="S845">_xlfn.IFS(R845="S","Southampton",R845="C","Cherbourg",R845="Q","Queenstown")</f>
        <v>Southampton</v>
      </c>
    </row>
    <row r="846" spans="1:19" x14ac:dyDescent="0.3">
      <c r="A846">
        <v>845</v>
      </c>
      <c r="B846">
        <v>3</v>
      </c>
      <c r="C846" s="1" t="str" cm="1">
        <f t="array" ref="C846">_xlfn.IFS(B846=1,"First Class",B846=2,"Second Class",B846=3,"Third Class")</f>
        <v>Third Class</v>
      </c>
      <c r="D846">
        <v>0</v>
      </c>
      <c r="E846" s="1" t="str">
        <f t="shared" si="52"/>
        <v>Dead</v>
      </c>
      <c r="F846" t="s">
        <v>1565</v>
      </c>
      <c r="G846" s="1" t="s">
        <v>2999</v>
      </c>
      <c r="H846" t="s">
        <v>20</v>
      </c>
      <c r="I846" s="1" t="str">
        <f t="shared" si="53"/>
        <v>Male</v>
      </c>
      <c r="J846" s="3">
        <v>28</v>
      </c>
      <c r="K846" s="3" t="str" cm="1">
        <f t="array" ref="K846">_xlfn.IFS(J846&lt;=13,"Child",J846&lt;=18,"Teenager",J846&lt;=30,"Young Adult",J846&lt;=50,"Middle Aged Adult",J846&gt;50,"Senior")</f>
        <v>Young Adult</v>
      </c>
      <c r="L846">
        <v>1</v>
      </c>
      <c r="M846">
        <v>0</v>
      </c>
      <c r="N846" s="1">
        <f t="shared" si="54"/>
        <v>2</v>
      </c>
      <c r="O846" s="1" t="str">
        <f t="shared" si="55"/>
        <v>With Family</v>
      </c>
      <c r="P846">
        <v>15.85</v>
      </c>
      <c r="Q846" s="1" t="str" cm="1">
        <f t="array" ref="Q846">_xlfn.IFS(P846&lt;=50,"Low",P846&lt;=100,"Medium",P846&gt;100,"High")</f>
        <v>Low</v>
      </c>
      <c r="R846" t="s">
        <v>17</v>
      </c>
      <c r="S846" s="1" t="str" cm="1">
        <f t="array" ref="S846">_xlfn.IFS(R846="S","Southampton",R846="C","Cherbourg",R846="Q","Queenstown")</f>
        <v>Southampton</v>
      </c>
    </row>
    <row r="847" spans="1:19" x14ac:dyDescent="0.3">
      <c r="A847">
        <v>846</v>
      </c>
      <c r="B847">
        <v>3</v>
      </c>
      <c r="C847" s="1" t="str" cm="1">
        <f t="array" ref="C847">_xlfn.IFS(B847=1,"First Class",B847=2,"Second Class",B847=3,"Third Class")</f>
        <v>Third Class</v>
      </c>
      <c r="D847">
        <v>1</v>
      </c>
      <c r="E847" s="1" t="str">
        <f t="shared" si="52"/>
        <v>Alive</v>
      </c>
      <c r="F847" t="s">
        <v>1567</v>
      </c>
      <c r="G847" s="1" t="s">
        <v>3001</v>
      </c>
      <c r="H847" t="s">
        <v>15</v>
      </c>
      <c r="I847" s="1" t="str">
        <f t="shared" si="53"/>
        <v>Female</v>
      </c>
      <c r="J847" s="3">
        <v>24</v>
      </c>
      <c r="K847" s="3" t="str" cm="1">
        <f t="array" ref="K847">_xlfn.IFS(J847&lt;=13,"Child",J847&lt;=18,"Teenager",J847&lt;=30,"Young Adult",J847&lt;=50,"Middle Aged Adult",J847&gt;50,"Senior")</f>
        <v>Young Adult</v>
      </c>
      <c r="L847">
        <v>1</v>
      </c>
      <c r="M847">
        <v>0</v>
      </c>
      <c r="N847" s="1">
        <f t="shared" si="54"/>
        <v>2</v>
      </c>
      <c r="O847" s="1" t="str">
        <f t="shared" si="55"/>
        <v>With Family</v>
      </c>
      <c r="P847">
        <v>15.85</v>
      </c>
      <c r="Q847" s="1" t="str" cm="1">
        <f t="array" ref="Q847">_xlfn.IFS(P847&lt;=50,"Low",P847&lt;=100,"Medium",P847&gt;100,"High")</f>
        <v>Low</v>
      </c>
      <c r="R847" t="s">
        <v>17</v>
      </c>
      <c r="S847" s="1" t="str" cm="1">
        <f t="array" ref="S847">_xlfn.IFS(R847="S","Southampton",R847="C","Cherbourg",R847="Q","Queenstown")</f>
        <v>Southampton</v>
      </c>
    </row>
    <row r="848" spans="1:19" x14ac:dyDescent="0.3">
      <c r="A848">
        <v>847</v>
      </c>
      <c r="B848">
        <v>3</v>
      </c>
      <c r="C848" s="1" t="str" cm="1">
        <f t="array" ref="C848">_xlfn.IFS(B848=1,"First Class",B848=2,"Second Class",B848=3,"Third Class")</f>
        <v>Third Class</v>
      </c>
      <c r="D848">
        <v>0</v>
      </c>
      <c r="E848" s="1" t="str">
        <f t="shared" si="52"/>
        <v>Dead</v>
      </c>
      <c r="F848" t="s">
        <v>1568</v>
      </c>
      <c r="G848" s="1" t="s">
        <v>2999</v>
      </c>
      <c r="H848" t="s">
        <v>20</v>
      </c>
      <c r="I848" s="1" t="str">
        <f t="shared" si="53"/>
        <v>Male</v>
      </c>
      <c r="J848" s="3">
        <v>20</v>
      </c>
      <c r="K848" s="3" t="str" cm="1">
        <f t="array" ref="K848">_xlfn.IFS(J848&lt;=13,"Child",J848&lt;=18,"Teenager",J848&lt;=30,"Young Adult",J848&lt;=50,"Middle Aged Adult",J848&gt;50,"Senior")</f>
        <v>Young Adult</v>
      </c>
      <c r="L848">
        <v>0</v>
      </c>
      <c r="M848">
        <v>0</v>
      </c>
      <c r="N848" s="1">
        <f t="shared" si="54"/>
        <v>1</v>
      </c>
      <c r="O848" s="1" t="str">
        <f t="shared" si="55"/>
        <v>Single</v>
      </c>
      <c r="P848">
        <v>9.5</v>
      </c>
      <c r="Q848" s="1" t="str" cm="1">
        <f t="array" ref="Q848">_xlfn.IFS(P848&lt;=50,"Low",P848&lt;=100,"Medium",P848&gt;100,"High")</f>
        <v>Low</v>
      </c>
      <c r="R848" t="s">
        <v>17</v>
      </c>
      <c r="S848" s="1" t="str" cm="1">
        <f t="array" ref="S848">_xlfn.IFS(R848="S","Southampton",R848="C","Cherbourg",R848="Q","Queenstown")</f>
        <v>Southampton</v>
      </c>
    </row>
    <row r="849" spans="1:19" x14ac:dyDescent="0.3">
      <c r="A849">
        <v>848</v>
      </c>
      <c r="B849">
        <v>3</v>
      </c>
      <c r="C849" s="1" t="str" cm="1">
        <f t="array" ref="C849">_xlfn.IFS(B849=1,"First Class",B849=2,"Second Class",B849=3,"Third Class")</f>
        <v>Third Class</v>
      </c>
      <c r="D849">
        <v>0</v>
      </c>
      <c r="E849" s="1" t="str">
        <f t="shared" si="52"/>
        <v>Dead</v>
      </c>
      <c r="F849" t="s">
        <v>1569</v>
      </c>
      <c r="G849" s="1" t="s">
        <v>2999</v>
      </c>
      <c r="H849" t="s">
        <v>20</v>
      </c>
      <c r="I849" s="1" t="str">
        <f t="shared" si="53"/>
        <v>Male</v>
      </c>
      <c r="J849" s="3">
        <v>23.5</v>
      </c>
      <c r="K849" s="3" t="str" cm="1">
        <f t="array" ref="K849">_xlfn.IFS(J849&lt;=13,"Child",J849&lt;=18,"Teenager",J849&lt;=30,"Young Adult",J849&lt;=50,"Middle Aged Adult",J849&gt;50,"Senior")</f>
        <v>Young Adult</v>
      </c>
      <c r="L849">
        <v>0</v>
      </c>
      <c r="M849">
        <v>0</v>
      </c>
      <c r="N849" s="1">
        <f t="shared" si="54"/>
        <v>1</v>
      </c>
      <c r="O849" s="1" t="str">
        <f t="shared" si="55"/>
        <v>Single</v>
      </c>
      <c r="P849">
        <v>7.2291999999999996</v>
      </c>
      <c r="Q849" s="1" t="str" cm="1">
        <f t="array" ref="Q849">_xlfn.IFS(P849&lt;=50,"Low",P849&lt;=100,"Medium",P849&gt;100,"High")</f>
        <v>Low</v>
      </c>
      <c r="R849" t="s">
        <v>41</v>
      </c>
      <c r="S849" s="1" t="str" cm="1">
        <f t="array" ref="S849">_xlfn.IFS(R849="S","Southampton",R849="C","Cherbourg",R849="Q","Queenstown")</f>
        <v>Cherbourg</v>
      </c>
    </row>
    <row r="850" spans="1:19" x14ac:dyDescent="0.3">
      <c r="A850">
        <v>849</v>
      </c>
      <c r="B850">
        <v>3</v>
      </c>
      <c r="C850" s="1" t="str" cm="1">
        <f t="array" ref="C850">_xlfn.IFS(B850=1,"First Class",B850=2,"Second Class",B850=3,"Third Class")</f>
        <v>Third Class</v>
      </c>
      <c r="D850">
        <v>0</v>
      </c>
      <c r="E850" s="1" t="str">
        <f t="shared" si="52"/>
        <v>Dead</v>
      </c>
      <c r="F850" t="s">
        <v>1570</v>
      </c>
      <c r="G850" s="1" t="s">
        <v>2999</v>
      </c>
      <c r="H850" t="s">
        <v>20</v>
      </c>
      <c r="I850" s="1" t="str">
        <f t="shared" si="53"/>
        <v>Male</v>
      </c>
      <c r="J850" s="3">
        <v>41</v>
      </c>
      <c r="K850" s="3" t="str" cm="1">
        <f t="array" ref="K850">_xlfn.IFS(J850&lt;=13,"Child",J850&lt;=18,"Teenager",J850&lt;=30,"Young Adult",J850&lt;=50,"Middle Aged Adult",J850&gt;50,"Senior")</f>
        <v>Middle Aged Adult</v>
      </c>
      <c r="L850">
        <v>2</v>
      </c>
      <c r="M850">
        <v>0</v>
      </c>
      <c r="N850" s="1">
        <f t="shared" si="54"/>
        <v>3</v>
      </c>
      <c r="O850" s="1" t="str">
        <f t="shared" si="55"/>
        <v>With Family</v>
      </c>
      <c r="P850">
        <v>14.1083</v>
      </c>
      <c r="Q850" s="1" t="str" cm="1">
        <f t="array" ref="Q850">_xlfn.IFS(P850&lt;=50,"Low",P850&lt;=100,"Medium",P850&gt;100,"High")</f>
        <v>Low</v>
      </c>
      <c r="R850" t="s">
        <v>17</v>
      </c>
      <c r="S850" s="1" t="str" cm="1">
        <f t="array" ref="S850">_xlfn.IFS(R850="S","Southampton",R850="C","Cherbourg",R850="Q","Queenstown")</f>
        <v>Southampton</v>
      </c>
    </row>
    <row r="851" spans="1:19" x14ac:dyDescent="0.3">
      <c r="A851">
        <v>850</v>
      </c>
      <c r="B851">
        <v>3</v>
      </c>
      <c r="C851" s="1" t="str" cm="1">
        <f t="array" ref="C851">_xlfn.IFS(B851=1,"First Class",B851=2,"Second Class",B851=3,"Third Class")</f>
        <v>Third Class</v>
      </c>
      <c r="D851">
        <v>0</v>
      </c>
      <c r="E851" s="1" t="str">
        <f t="shared" si="52"/>
        <v>Dead</v>
      </c>
      <c r="F851" t="s">
        <v>1571</v>
      </c>
      <c r="G851" s="1" t="s">
        <v>2999</v>
      </c>
      <c r="H851" t="s">
        <v>20</v>
      </c>
      <c r="I851" s="1" t="str">
        <f t="shared" si="53"/>
        <v>Male</v>
      </c>
      <c r="J851" s="3">
        <v>26</v>
      </c>
      <c r="K851" s="3" t="str" cm="1">
        <f t="array" ref="K851">_xlfn.IFS(J851&lt;=13,"Child",J851&lt;=18,"Teenager",J851&lt;=30,"Young Adult",J851&lt;=50,"Middle Aged Adult",J851&gt;50,"Senior")</f>
        <v>Young Adult</v>
      </c>
      <c r="L851">
        <v>1</v>
      </c>
      <c r="M851">
        <v>0</v>
      </c>
      <c r="N851" s="1">
        <f t="shared" si="54"/>
        <v>2</v>
      </c>
      <c r="O851" s="1" t="str">
        <f t="shared" si="55"/>
        <v>With Family</v>
      </c>
      <c r="P851">
        <v>7.8541999999999996</v>
      </c>
      <c r="Q851" s="1" t="str" cm="1">
        <f t="array" ref="Q851">_xlfn.IFS(P851&lt;=50,"Low",P851&lt;=100,"Medium",P851&gt;100,"High")</f>
        <v>Low</v>
      </c>
      <c r="R851" t="s">
        <v>17</v>
      </c>
      <c r="S851" s="1" t="str" cm="1">
        <f t="array" ref="S851">_xlfn.IFS(R851="S","Southampton",R851="C","Cherbourg",R851="Q","Queenstown")</f>
        <v>Southampton</v>
      </c>
    </row>
    <row r="852" spans="1:19" x14ac:dyDescent="0.3">
      <c r="A852">
        <v>851</v>
      </c>
      <c r="B852">
        <v>3</v>
      </c>
      <c r="C852" s="1" t="str" cm="1">
        <f t="array" ref="C852">_xlfn.IFS(B852=1,"First Class",B852=2,"Second Class",B852=3,"Third Class")</f>
        <v>Third Class</v>
      </c>
      <c r="D852">
        <v>0</v>
      </c>
      <c r="E852" s="1" t="str">
        <f t="shared" si="52"/>
        <v>Dead</v>
      </c>
      <c r="F852" t="s">
        <v>1572</v>
      </c>
      <c r="G852" s="1" t="s">
        <v>2999</v>
      </c>
      <c r="H852" t="s">
        <v>20</v>
      </c>
      <c r="I852" s="1" t="str">
        <f t="shared" si="53"/>
        <v>Male</v>
      </c>
      <c r="J852" s="3">
        <v>21</v>
      </c>
      <c r="K852" s="3" t="str" cm="1">
        <f t="array" ref="K852">_xlfn.IFS(J852&lt;=13,"Child",J852&lt;=18,"Teenager",J852&lt;=30,"Young Adult",J852&lt;=50,"Middle Aged Adult",J852&gt;50,"Senior")</f>
        <v>Young Adult</v>
      </c>
      <c r="L852">
        <v>0</v>
      </c>
      <c r="M852">
        <v>0</v>
      </c>
      <c r="N852" s="1">
        <f t="shared" si="54"/>
        <v>1</v>
      </c>
      <c r="O852" s="1" t="str">
        <f t="shared" si="55"/>
        <v>Single</v>
      </c>
      <c r="P852">
        <v>7.8541999999999996</v>
      </c>
      <c r="Q852" s="1" t="str" cm="1">
        <f t="array" ref="Q852">_xlfn.IFS(P852&lt;=50,"Low",P852&lt;=100,"Medium",P852&gt;100,"High")</f>
        <v>Low</v>
      </c>
      <c r="R852" t="s">
        <v>17</v>
      </c>
      <c r="S852" s="1" t="str" cm="1">
        <f t="array" ref="S852">_xlfn.IFS(R852="S","Southampton",R852="C","Cherbourg",R852="Q","Queenstown")</f>
        <v>Southampton</v>
      </c>
    </row>
    <row r="853" spans="1:19" x14ac:dyDescent="0.3">
      <c r="A853">
        <v>852</v>
      </c>
      <c r="B853">
        <v>3</v>
      </c>
      <c r="C853" s="1" t="str" cm="1">
        <f t="array" ref="C853">_xlfn.IFS(B853=1,"First Class",B853=2,"Second Class",B853=3,"Third Class")</f>
        <v>Third Class</v>
      </c>
      <c r="D853">
        <v>1</v>
      </c>
      <c r="E853" s="1" t="str">
        <f t="shared" si="52"/>
        <v>Alive</v>
      </c>
      <c r="F853" t="s">
        <v>1573</v>
      </c>
      <c r="G853" s="1" t="s">
        <v>3001</v>
      </c>
      <c r="H853" t="s">
        <v>15</v>
      </c>
      <c r="I853" s="1" t="str">
        <f t="shared" si="53"/>
        <v>Female</v>
      </c>
      <c r="J853" s="3">
        <v>45</v>
      </c>
      <c r="K853" s="3" t="str" cm="1">
        <f t="array" ref="K853">_xlfn.IFS(J853&lt;=13,"Child",J853&lt;=18,"Teenager",J853&lt;=30,"Young Adult",J853&lt;=50,"Middle Aged Adult",J853&gt;50,"Senior")</f>
        <v>Middle Aged Adult</v>
      </c>
      <c r="L853">
        <v>1</v>
      </c>
      <c r="M853">
        <v>0</v>
      </c>
      <c r="N853" s="1">
        <f t="shared" si="54"/>
        <v>2</v>
      </c>
      <c r="O853" s="1" t="str">
        <f t="shared" si="55"/>
        <v>With Family</v>
      </c>
      <c r="P853">
        <v>14.1083</v>
      </c>
      <c r="Q853" s="1" t="str" cm="1">
        <f t="array" ref="Q853">_xlfn.IFS(P853&lt;=50,"Low",P853&lt;=100,"Medium",P853&gt;100,"High")</f>
        <v>Low</v>
      </c>
      <c r="R853" t="s">
        <v>17</v>
      </c>
      <c r="S853" s="1" t="str" cm="1">
        <f t="array" ref="S853">_xlfn.IFS(R853="S","Southampton",R853="C","Cherbourg",R853="Q","Queenstown")</f>
        <v>Southampton</v>
      </c>
    </row>
    <row r="854" spans="1:19" x14ac:dyDescent="0.3">
      <c r="A854">
        <v>853</v>
      </c>
      <c r="B854">
        <v>3</v>
      </c>
      <c r="C854" s="1" t="str" cm="1">
        <f t="array" ref="C854">_xlfn.IFS(B854=1,"First Class",B854=2,"Second Class",B854=3,"Third Class")</f>
        <v>Third Class</v>
      </c>
      <c r="D854">
        <v>0</v>
      </c>
      <c r="E854" s="1" t="str">
        <f t="shared" si="52"/>
        <v>Dead</v>
      </c>
      <c r="F854" t="s">
        <v>1574</v>
      </c>
      <c r="G854" s="1" t="s">
        <v>2994</v>
      </c>
      <c r="H854" t="s">
        <v>15</v>
      </c>
      <c r="I854" s="1" t="str">
        <f t="shared" si="53"/>
        <v>Female</v>
      </c>
      <c r="J854" s="3">
        <v>29.881137667304014</v>
      </c>
      <c r="K854" s="3" t="str" cm="1">
        <f t="array" ref="K854">_xlfn.IFS(J854&lt;=13,"Child",J854&lt;=18,"Teenager",J854&lt;=30,"Young Adult",J854&lt;=50,"Middle Aged Adult",J854&gt;50,"Senior")</f>
        <v>Young Adult</v>
      </c>
      <c r="L854">
        <v>0</v>
      </c>
      <c r="M854">
        <v>0</v>
      </c>
      <c r="N854" s="1">
        <f t="shared" si="54"/>
        <v>1</v>
      </c>
      <c r="O854" s="1" t="str">
        <f t="shared" si="55"/>
        <v>Single</v>
      </c>
      <c r="P854">
        <v>7.55</v>
      </c>
      <c r="Q854" s="1" t="str" cm="1">
        <f t="array" ref="Q854">_xlfn.IFS(P854&lt;=50,"Low",P854&lt;=100,"Medium",P854&gt;100,"High")</f>
        <v>Low</v>
      </c>
      <c r="R854" t="s">
        <v>17</v>
      </c>
      <c r="S854" s="1" t="str" cm="1">
        <f t="array" ref="S854">_xlfn.IFS(R854="S","Southampton",R854="C","Cherbourg",R854="Q","Queenstown")</f>
        <v>Southampton</v>
      </c>
    </row>
    <row r="855" spans="1:19" x14ac:dyDescent="0.3">
      <c r="A855">
        <v>854</v>
      </c>
      <c r="B855">
        <v>3</v>
      </c>
      <c r="C855" s="1" t="str" cm="1">
        <f t="array" ref="C855">_xlfn.IFS(B855=1,"First Class",B855=2,"Second Class",B855=3,"Third Class")</f>
        <v>Third Class</v>
      </c>
      <c r="D855">
        <v>0</v>
      </c>
      <c r="E855" s="1" t="str">
        <f t="shared" si="52"/>
        <v>Dead</v>
      </c>
      <c r="F855" t="s">
        <v>1576</v>
      </c>
      <c r="G855" s="1" t="s">
        <v>2999</v>
      </c>
      <c r="H855" t="s">
        <v>20</v>
      </c>
      <c r="I855" s="1" t="str">
        <f t="shared" si="53"/>
        <v>Male</v>
      </c>
      <c r="J855" s="3">
        <v>25</v>
      </c>
      <c r="K855" s="3" t="str" cm="1">
        <f t="array" ref="K855">_xlfn.IFS(J855&lt;=13,"Child",J855&lt;=18,"Teenager",J855&lt;=30,"Young Adult",J855&lt;=50,"Middle Aged Adult",J855&gt;50,"Senior")</f>
        <v>Young Adult</v>
      </c>
      <c r="L855">
        <v>0</v>
      </c>
      <c r="M855">
        <v>0</v>
      </c>
      <c r="N855" s="1">
        <f t="shared" si="54"/>
        <v>1</v>
      </c>
      <c r="O855" s="1" t="str">
        <f t="shared" si="55"/>
        <v>Single</v>
      </c>
      <c r="P855">
        <v>7.25</v>
      </c>
      <c r="Q855" s="1" t="str" cm="1">
        <f t="array" ref="Q855">_xlfn.IFS(P855&lt;=50,"Low",P855&lt;=100,"Medium",P855&gt;100,"High")</f>
        <v>Low</v>
      </c>
      <c r="R855" t="s">
        <v>17</v>
      </c>
      <c r="S855" s="1" t="str" cm="1">
        <f t="array" ref="S855">_xlfn.IFS(R855="S","Southampton",R855="C","Cherbourg",R855="Q","Queenstown")</f>
        <v>Southampton</v>
      </c>
    </row>
    <row r="856" spans="1:19" x14ac:dyDescent="0.3">
      <c r="A856">
        <v>855</v>
      </c>
      <c r="B856">
        <v>3</v>
      </c>
      <c r="C856" s="1" t="str" cm="1">
        <f t="array" ref="C856">_xlfn.IFS(B856=1,"First Class",B856=2,"Second Class",B856=3,"Third Class")</f>
        <v>Third Class</v>
      </c>
      <c r="D856">
        <v>0</v>
      </c>
      <c r="E856" s="1" t="str">
        <f t="shared" si="52"/>
        <v>Dead</v>
      </c>
      <c r="F856" t="s">
        <v>1577</v>
      </c>
      <c r="G856" s="1" t="s">
        <v>2999</v>
      </c>
      <c r="H856" t="s">
        <v>20</v>
      </c>
      <c r="I856" s="1" t="str">
        <f t="shared" si="53"/>
        <v>Male</v>
      </c>
      <c r="J856" s="3">
        <v>29.881137667304014</v>
      </c>
      <c r="K856" s="3" t="str" cm="1">
        <f t="array" ref="K856">_xlfn.IFS(J856&lt;=13,"Child",J856&lt;=18,"Teenager",J856&lt;=30,"Young Adult",J856&lt;=50,"Middle Aged Adult",J856&gt;50,"Senior")</f>
        <v>Young Adult</v>
      </c>
      <c r="L856">
        <v>0</v>
      </c>
      <c r="M856">
        <v>0</v>
      </c>
      <c r="N856" s="1">
        <f t="shared" si="54"/>
        <v>1</v>
      </c>
      <c r="O856" s="1" t="str">
        <f t="shared" si="55"/>
        <v>Single</v>
      </c>
      <c r="P856">
        <v>6.8582999999999998</v>
      </c>
      <c r="Q856" s="1" t="str" cm="1">
        <f t="array" ref="Q856">_xlfn.IFS(P856&lt;=50,"Low",P856&lt;=100,"Medium",P856&gt;100,"High")</f>
        <v>Low</v>
      </c>
      <c r="R856" t="s">
        <v>463</v>
      </c>
      <c r="S856" s="1" t="str" cm="1">
        <f t="array" ref="S856">_xlfn.IFS(R856="S","Southampton",R856="C","Cherbourg",R856="Q","Queenstown")</f>
        <v>Queenstown</v>
      </c>
    </row>
    <row r="857" spans="1:19" x14ac:dyDescent="0.3">
      <c r="A857">
        <v>856</v>
      </c>
      <c r="B857">
        <v>3</v>
      </c>
      <c r="C857" s="1" t="str" cm="1">
        <f t="array" ref="C857">_xlfn.IFS(B857=1,"First Class",B857=2,"Second Class",B857=3,"Third Class")</f>
        <v>Third Class</v>
      </c>
      <c r="D857">
        <v>0</v>
      </c>
      <c r="E857" s="1" t="str">
        <f t="shared" si="52"/>
        <v>Dead</v>
      </c>
      <c r="F857" t="s">
        <v>1578</v>
      </c>
      <c r="G857" s="1" t="s">
        <v>2999</v>
      </c>
      <c r="H857" t="s">
        <v>20</v>
      </c>
      <c r="I857" s="1" t="str">
        <f t="shared" si="53"/>
        <v>Male</v>
      </c>
      <c r="J857" s="3">
        <v>11</v>
      </c>
      <c r="K857" s="3" t="str" cm="1">
        <f t="array" ref="K857">_xlfn.IFS(J857&lt;=13,"Child",J857&lt;=18,"Teenager",J857&lt;=30,"Young Adult",J857&lt;=50,"Middle Aged Adult",J857&gt;50,"Senior")</f>
        <v>Child</v>
      </c>
      <c r="L857">
        <v>0</v>
      </c>
      <c r="M857">
        <v>0</v>
      </c>
      <c r="N857" s="1">
        <f t="shared" si="54"/>
        <v>1</v>
      </c>
      <c r="O857" s="1" t="str">
        <f t="shared" si="55"/>
        <v>Single</v>
      </c>
      <c r="P857">
        <v>18.787500000000001</v>
      </c>
      <c r="Q857" s="1" t="str" cm="1">
        <f t="array" ref="Q857">_xlfn.IFS(P857&lt;=50,"Low",P857&lt;=100,"Medium",P857&gt;100,"High")</f>
        <v>Low</v>
      </c>
      <c r="R857" t="s">
        <v>41</v>
      </c>
      <c r="S857" s="1" t="str" cm="1">
        <f t="array" ref="S857">_xlfn.IFS(R857="S","Southampton",R857="C","Cherbourg",R857="Q","Queenstown")</f>
        <v>Cherbourg</v>
      </c>
    </row>
    <row r="858" spans="1:19" x14ac:dyDescent="0.3">
      <c r="A858">
        <v>857</v>
      </c>
      <c r="B858">
        <v>3</v>
      </c>
      <c r="C858" s="1" t="str" cm="1">
        <f t="array" ref="C858">_xlfn.IFS(B858=1,"First Class",B858=2,"Second Class",B858=3,"Third Class")</f>
        <v>Third Class</v>
      </c>
      <c r="D858">
        <v>1</v>
      </c>
      <c r="E858" s="1" t="str">
        <f t="shared" si="52"/>
        <v>Alive</v>
      </c>
      <c r="F858" t="s">
        <v>1579</v>
      </c>
      <c r="G858" s="1" t="s">
        <v>2994</v>
      </c>
      <c r="H858" t="s">
        <v>15</v>
      </c>
      <c r="I858" s="1" t="str">
        <f t="shared" si="53"/>
        <v>Female</v>
      </c>
      <c r="J858" s="3">
        <v>29.881137667304014</v>
      </c>
      <c r="K858" s="3" t="str" cm="1">
        <f t="array" ref="K858">_xlfn.IFS(J858&lt;=13,"Child",J858&lt;=18,"Teenager",J858&lt;=30,"Young Adult",J858&lt;=50,"Middle Aged Adult",J858&gt;50,"Senior")</f>
        <v>Young Adult</v>
      </c>
      <c r="L858">
        <v>0</v>
      </c>
      <c r="M858">
        <v>0</v>
      </c>
      <c r="N858" s="1">
        <f t="shared" si="54"/>
        <v>1</v>
      </c>
      <c r="O858" s="1" t="str">
        <f t="shared" si="55"/>
        <v>Single</v>
      </c>
      <c r="P858">
        <v>7.75</v>
      </c>
      <c r="Q858" s="1" t="str" cm="1">
        <f t="array" ref="Q858">_xlfn.IFS(P858&lt;=50,"Low",P858&lt;=100,"Medium",P858&gt;100,"High")</f>
        <v>Low</v>
      </c>
      <c r="R858" t="s">
        <v>463</v>
      </c>
      <c r="S858" s="1" t="str" cm="1">
        <f t="array" ref="S858">_xlfn.IFS(R858="S","Southampton",R858="C","Cherbourg",R858="Q","Queenstown")</f>
        <v>Queenstown</v>
      </c>
    </row>
    <row r="859" spans="1:19" x14ac:dyDescent="0.3">
      <c r="A859">
        <v>858</v>
      </c>
      <c r="B859">
        <v>3</v>
      </c>
      <c r="C859" s="1" t="str" cm="1">
        <f t="array" ref="C859">_xlfn.IFS(B859=1,"First Class",B859=2,"Second Class",B859=3,"Third Class")</f>
        <v>Third Class</v>
      </c>
      <c r="D859">
        <v>1</v>
      </c>
      <c r="E859" s="1" t="str">
        <f t="shared" si="52"/>
        <v>Alive</v>
      </c>
      <c r="F859" t="s">
        <v>1580</v>
      </c>
      <c r="G859" s="1" t="s">
        <v>2999</v>
      </c>
      <c r="H859" t="s">
        <v>20</v>
      </c>
      <c r="I859" s="1" t="str">
        <f t="shared" si="53"/>
        <v>Male</v>
      </c>
      <c r="J859" s="3">
        <v>27</v>
      </c>
      <c r="K859" s="3" t="str" cm="1">
        <f t="array" ref="K859">_xlfn.IFS(J859&lt;=13,"Child",J859&lt;=18,"Teenager",J859&lt;=30,"Young Adult",J859&lt;=50,"Middle Aged Adult",J859&gt;50,"Senior")</f>
        <v>Young Adult</v>
      </c>
      <c r="L859">
        <v>0</v>
      </c>
      <c r="M859">
        <v>0</v>
      </c>
      <c r="N859" s="1">
        <f t="shared" si="54"/>
        <v>1</v>
      </c>
      <c r="O859" s="1" t="str">
        <f t="shared" si="55"/>
        <v>Single</v>
      </c>
      <c r="P859">
        <v>6.9749999999999996</v>
      </c>
      <c r="Q859" s="1" t="str" cm="1">
        <f t="array" ref="Q859">_xlfn.IFS(P859&lt;=50,"Low",P859&lt;=100,"Medium",P859&gt;100,"High")</f>
        <v>Low</v>
      </c>
      <c r="R859" t="s">
        <v>17</v>
      </c>
      <c r="S859" s="1" t="str" cm="1">
        <f t="array" ref="S859">_xlfn.IFS(R859="S","Southampton",R859="C","Cherbourg",R859="Q","Queenstown")</f>
        <v>Southampton</v>
      </c>
    </row>
    <row r="860" spans="1:19" x14ac:dyDescent="0.3">
      <c r="A860">
        <v>859</v>
      </c>
      <c r="B860">
        <v>3</v>
      </c>
      <c r="C860" s="1" t="str" cm="1">
        <f t="array" ref="C860">_xlfn.IFS(B860=1,"First Class",B860=2,"Second Class",B860=3,"Third Class")</f>
        <v>Third Class</v>
      </c>
      <c r="D860">
        <v>1</v>
      </c>
      <c r="E860" s="1" t="str">
        <f t="shared" si="52"/>
        <v>Alive</v>
      </c>
      <c r="F860" t="s">
        <v>1581</v>
      </c>
      <c r="G860" s="1" t="s">
        <v>2999</v>
      </c>
      <c r="H860" t="s">
        <v>20</v>
      </c>
      <c r="I860" s="1" t="str">
        <f t="shared" si="53"/>
        <v>Male</v>
      </c>
      <c r="J860" s="3">
        <v>29.881137667304014</v>
      </c>
      <c r="K860" s="3" t="str" cm="1">
        <f t="array" ref="K860">_xlfn.IFS(J860&lt;=13,"Child",J860&lt;=18,"Teenager",J860&lt;=30,"Young Adult",J860&lt;=50,"Middle Aged Adult",J860&gt;50,"Senior")</f>
        <v>Young Adult</v>
      </c>
      <c r="L860">
        <v>0</v>
      </c>
      <c r="M860">
        <v>0</v>
      </c>
      <c r="N860" s="1">
        <f t="shared" si="54"/>
        <v>1</v>
      </c>
      <c r="O860" s="1" t="str">
        <f t="shared" si="55"/>
        <v>Single</v>
      </c>
      <c r="P860">
        <v>56.495800000000003</v>
      </c>
      <c r="Q860" s="1" t="str" cm="1">
        <f t="array" ref="Q860">_xlfn.IFS(P860&lt;=50,"Low",P860&lt;=100,"Medium",P860&gt;100,"High")</f>
        <v>Medium</v>
      </c>
      <c r="R860" t="s">
        <v>17</v>
      </c>
      <c r="S860" s="1" t="str" cm="1">
        <f t="array" ref="S860">_xlfn.IFS(R860="S","Southampton",R860="C","Cherbourg",R860="Q","Queenstown")</f>
        <v>Southampton</v>
      </c>
    </row>
    <row r="861" spans="1:19" x14ac:dyDescent="0.3">
      <c r="A861">
        <v>860</v>
      </c>
      <c r="B861">
        <v>3</v>
      </c>
      <c r="C861" s="1" t="str" cm="1">
        <f t="array" ref="C861">_xlfn.IFS(B861=1,"First Class",B861=2,"Second Class",B861=3,"Third Class")</f>
        <v>Third Class</v>
      </c>
      <c r="D861">
        <v>0</v>
      </c>
      <c r="E861" s="1" t="str">
        <f t="shared" si="52"/>
        <v>Dead</v>
      </c>
      <c r="F861" t="s">
        <v>1582</v>
      </c>
      <c r="G861" s="1" t="s">
        <v>2994</v>
      </c>
      <c r="H861" t="s">
        <v>15</v>
      </c>
      <c r="I861" s="1" t="str">
        <f t="shared" si="53"/>
        <v>Female</v>
      </c>
      <c r="J861" s="3">
        <v>18</v>
      </c>
      <c r="K861" s="3" t="str" cm="1">
        <f t="array" ref="K861">_xlfn.IFS(J861&lt;=13,"Child",J861&lt;=18,"Teenager",J861&lt;=30,"Young Adult",J861&lt;=50,"Middle Aged Adult",J861&gt;50,"Senior")</f>
        <v>Teenager</v>
      </c>
      <c r="L861">
        <v>0</v>
      </c>
      <c r="M861">
        <v>0</v>
      </c>
      <c r="N861" s="1">
        <f t="shared" si="54"/>
        <v>1</v>
      </c>
      <c r="O861" s="1" t="str">
        <f t="shared" si="55"/>
        <v>Single</v>
      </c>
      <c r="P861">
        <v>6.75</v>
      </c>
      <c r="Q861" s="1" t="str" cm="1">
        <f t="array" ref="Q861">_xlfn.IFS(P861&lt;=50,"Low",P861&lt;=100,"Medium",P861&gt;100,"High")</f>
        <v>Low</v>
      </c>
      <c r="R861" t="s">
        <v>463</v>
      </c>
      <c r="S861" s="1" t="str" cm="1">
        <f t="array" ref="S861">_xlfn.IFS(R861="S","Southampton",R861="C","Cherbourg",R861="Q","Queenstown")</f>
        <v>Queenstown</v>
      </c>
    </row>
    <row r="862" spans="1:19" x14ac:dyDescent="0.3">
      <c r="A862">
        <v>861</v>
      </c>
      <c r="B862">
        <v>3</v>
      </c>
      <c r="C862" s="1" t="str" cm="1">
        <f t="array" ref="C862">_xlfn.IFS(B862=1,"First Class",B862=2,"Second Class",B862=3,"Third Class")</f>
        <v>Third Class</v>
      </c>
      <c r="D862">
        <v>1</v>
      </c>
      <c r="E862" s="1" t="str">
        <f t="shared" si="52"/>
        <v>Alive</v>
      </c>
      <c r="F862" t="s">
        <v>1583</v>
      </c>
      <c r="G862" s="1" t="s">
        <v>2994</v>
      </c>
      <c r="H862" t="s">
        <v>15</v>
      </c>
      <c r="I862" s="1" t="str">
        <f t="shared" si="53"/>
        <v>Female</v>
      </c>
      <c r="J862" s="3">
        <v>26</v>
      </c>
      <c r="K862" s="3" t="str" cm="1">
        <f t="array" ref="K862">_xlfn.IFS(J862&lt;=13,"Child",J862&lt;=18,"Teenager",J862&lt;=30,"Young Adult",J862&lt;=50,"Middle Aged Adult",J862&gt;50,"Senior")</f>
        <v>Young Adult</v>
      </c>
      <c r="L862">
        <v>0</v>
      </c>
      <c r="M862">
        <v>0</v>
      </c>
      <c r="N862" s="1">
        <f t="shared" si="54"/>
        <v>1</v>
      </c>
      <c r="O862" s="1" t="str">
        <f t="shared" si="55"/>
        <v>Single</v>
      </c>
      <c r="P862">
        <v>7.9249999999999998</v>
      </c>
      <c r="Q862" s="1" t="str" cm="1">
        <f t="array" ref="Q862">_xlfn.IFS(P862&lt;=50,"Low",P862&lt;=100,"Medium",P862&gt;100,"High")</f>
        <v>Low</v>
      </c>
      <c r="R862" t="s">
        <v>17</v>
      </c>
      <c r="S862" s="1" t="str" cm="1">
        <f t="array" ref="S862">_xlfn.IFS(R862="S","Southampton",R862="C","Cherbourg",R862="Q","Queenstown")</f>
        <v>Southampton</v>
      </c>
    </row>
    <row r="863" spans="1:19" x14ac:dyDescent="0.3">
      <c r="A863">
        <v>862</v>
      </c>
      <c r="B863">
        <v>3</v>
      </c>
      <c r="C863" s="1" t="str" cm="1">
        <f t="array" ref="C863">_xlfn.IFS(B863=1,"First Class",B863=2,"Second Class",B863=3,"Third Class")</f>
        <v>Third Class</v>
      </c>
      <c r="D863">
        <v>0</v>
      </c>
      <c r="E863" s="1" t="str">
        <f t="shared" si="52"/>
        <v>Dead</v>
      </c>
      <c r="F863" t="s">
        <v>1585</v>
      </c>
      <c r="G863" s="1" t="s">
        <v>2994</v>
      </c>
      <c r="H863" t="s">
        <v>15</v>
      </c>
      <c r="I863" s="1" t="str">
        <f t="shared" si="53"/>
        <v>Female</v>
      </c>
      <c r="J863" s="3">
        <v>23</v>
      </c>
      <c r="K863" s="3" t="str" cm="1">
        <f t="array" ref="K863">_xlfn.IFS(J863&lt;=13,"Child",J863&lt;=18,"Teenager",J863&lt;=30,"Young Adult",J863&lt;=50,"Middle Aged Adult",J863&gt;50,"Senior")</f>
        <v>Young Adult</v>
      </c>
      <c r="L863">
        <v>0</v>
      </c>
      <c r="M863">
        <v>0</v>
      </c>
      <c r="N863" s="1">
        <f t="shared" si="54"/>
        <v>1</v>
      </c>
      <c r="O863" s="1" t="str">
        <f t="shared" si="55"/>
        <v>Single</v>
      </c>
      <c r="P863">
        <v>7.9249999999999998</v>
      </c>
      <c r="Q863" s="1" t="str" cm="1">
        <f t="array" ref="Q863">_xlfn.IFS(P863&lt;=50,"Low",P863&lt;=100,"Medium",P863&gt;100,"High")</f>
        <v>Low</v>
      </c>
      <c r="R863" t="s">
        <v>17</v>
      </c>
      <c r="S863" s="1" t="str" cm="1">
        <f t="array" ref="S863">_xlfn.IFS(R863="S","Southampton",R863="C","Cherbourg",R863="Q","Queenstown")</f>
        <v>Southampton</v>
      </c>
    </row>
    <row r="864" spans="1:19" x14ac:dyDescent="0.3">
      <c r="A864">
        <v>863</v>
      </c>
      <c r="B864">
        <v>3</v>
      </c>
      <c r="C864" s="1" t="str" cm="1">
        <f t="array" ref="C864">_xlfn.IFS(B864=1,"First Class",B864=2,"Second Class",B864=3,"Third Class")</f>
        <v>Third Class</v>
      </c>
      <c r="D864">
        <v>1</v>
      </c>
      <c r="E864" s="1" t="str">
        <f t="shared" si="52"/>
        <v>Alive</v>
      </c>
      <c r="F864" t="s">
        <v>1587</v>
      </c>
      <c r="G864" s="1" t="s">
        <v>2994</v>
      </c>
      <c r="H864" t="s">
        <v>15</v>
      </c>
      <c r="I864" s="1" t="str">
        <f t="shared" si="53"/>
        <v>Female</v>
      </c>
      <c r="J864" s="3">
        <v>22</v>
      </c>
      <c r="K864" s="3" t="str" cm="1">
        <f t="array" ref="K864">_xlfn.IFS(J864&lt;=13,"Child",J864&lt;=18,"Teenager",J864&lt;=30,"Young Adult",J864&lt;=50,"Middle Aged Adult",J864&gt;50,"Senior")</f>
        <v>Young Adult</v>
      </c>
      <c r="L864">
        <v>0</v>
      </c>
      <c r="M864">
        <v>0</v>
      </c>
      <c r="N864" s="1">
        <f t="shared" si="54"/>
        <v>1</v>
      </c>
      <c r="O864" s="1" t="str">
        <f t="shared" si="55"/>
        <v>Single</v>
      </c>
      <c r="P864">
        <v>8.9625000000000004</v>
      </c>
      <c r="Q864" s="1" t="str" cm="1">
        <f t="array" ref="Q864">_xlfn.IFS(P864&lt;=50,"Low",P864&lt;=100,"Medium",P864&gt;100,"High")</f>
        <v>Low</v>
      </c>
      <c r="R864" t="s">
        <v>17</v>
      </c>
      <c r="S864" s="1" t="str" cm="1">
        <f t="array" ref="S864">_xlfn.IFS(R864="S","Southampton",R864="C","Cherbourg",R864="Q","Queenstown")</f>
        <v>Southampton</v>
      </c>
    </row>
    <row r="865" spans="1:19" x14ac:dyDescent="0.3">
      <c r="A865">
        <v>864</v>
      </c>
      <c r="B865">
        <v>3</v>
      </c>
      <c r="C865" s="1" t="str" cm="1">
        <f t="array" ref="C865">_xlfn.IFS(B865=1,"First Class",B865=2,"Second Class",B865=3,"Third Class")</f>
        <v>Third Class</v>
      </c>
      <c r="D865">
        <v>0</v>
      </c>
      <c r="E865" s="1" t="str">
        <f t="shared" si="52"/>
        <v>Dead</v>
      </c>
      <c r="F865" t="s">
        <v>1588</v>
      </c>
      <c r="G865" s="1" t="s">
        <v>2999</v>
      </c>
      <c r="H865" t="s">
        <v>20</v>
      </c>
      <c r="I865" s="1" t="str">
        <f t="shared" si="53"/>
        <v>Male</v>
      </c>
      <c r="J865" s="3">
        <v>28</v>
      </c>
      <c r="K865" s="3" t="str" cm="1">
        <f t="array" ref="K865">_xlfn.IFS(J865&lt;=13,"Child",J865&lt;=18,"Teenager",J865&lt;=30,"Young Adult",J865&lt;=50,"Middle Aged Adult",J865&gt;50,"Senior")</f>
        <v>Young Adult</v>
      </c>
      <c r="L865">
        <v>0</v>
      </c>
      <c r="M865">
        <v>0</v>
      </c>
      <c r="N865" s="1">
        <f t="shared" si="54"/>
        <v>1</v>
      </c>
      <c r="O865" s="1" t="str">
        <f t="shared" si="55"/>
        <v>Single</v>
      </c>
      <c r="P865">
        <v>7.8958000000000004</v>
      </c>
      <c r="Q865" s="1" t="str" cm="1">
        <f t="array" ref="Q865">_xlfn.IFS(P865&lt;=50,"Low",P865&lt;=100,"Medium",P865&gt;100,"High")</f>
        <v>Low</v>
      </c>
      <c r="R865" t="s">
        <v>17</v>
      </c>
      <c r="S865" s="1" t="str" cm="1">
        <f t="array" ref="S865">_xlfn.IFS(R865="S","Southampton",R865="C","Cherbourg",R865="Q","Queenstown")</f>
        <v>Southampton</v>
      </c>
    </row>
    <row r="866" spans="1:19" x14ac:dyDescent="0.3">
      <c r="A866">
        <v>865</v>
      </c>
      <c r="B866">
        <v>3</v>
      </c>
      <c r="C866" s="1" t="str" cm="1">
        <f t="array" ref="C866">_xlfn.IFS(B866=1,"First Class",B866=2,"Second Class",B866=3,"Third Class")</f>
        <v>Third Class</v>
      </c>
      <c r="D866">
        <v>0</v>
      </c>
      <c r="E866" s="1" t="str">
        <f t="shared" si="52"/>
        <v>Dead</v>
      </c>
      <c r="F866" t="s">
        <v>1589</v>
      </c>
      <c r="G866" s="1" t="s">
        <v>2994</v>
      </c>
      <c r="H866" t="s">
        <v>15</v>
      </c>
      <c r="I866" s="1" t="str">
        <f t="shared" si="53"/>
        <v>Female</v>
      </c>
      <c r="J866" s="3">
        <v>28</v>
      </c>
      <c r="K866" s="3" t="str" cm="1">
        <f t="array" ref="K866">_xlfn.IFS(J866&lt;=13,"Child",J866&lt;=18,"Teenager",J866&lt;=30,"Young Adult",J866&lt;=50,"Middle Aged Adult",J866&gt;50,"Senior")</f>
        <v>Young Adult</v>
      </c>
      <c r="L866">
        <v>0</v>
      </c>
      <c r="M866">
        <v>0</v>
      </c>
      <c r="N866" s="1">
        <f t="shared" si="54"/>
        <v>1</v>
      </c>
      <c r="O866" s="1" t="str">
        <f t="shared" si="55"/>
        <v>Single</v>
      </c>
      <c r="P866">
        <v>7.7750000000000004</v>
      </c>
      <c r="Q866" s="1" t="str" cm="1">
        <f t="array" ref="Q866">_xlfn.IFS(P866&lt;=50,"Low",P866&lt;=100,"Medium",P866&gt;100,"High")</f>
        <v>Low</v>
      </c>
      <c r="R866" t="s">
        <v>17</v>
      </c>
      <c r="S866" s="1" t="str" cm="1">
        <f t="array" ref="S866">_xlfn.IFS(R866="S","Southampton",R866="C","Cherbourg",R866="Q","Queenstown")</f>
        <v>Southampton</v>
      </c>
    </row>
    <row r="867" spans="1:19" x14ac:dyDescent="0.3">
      <c r="A867">
        <v>866</v>
      </c>
      <c r="B867">
        <v>3</v>
      </c>
      <c r="C867" s="1" t="str" cm="1">
        <f t="array" ref="C867">_xlfn.IFS(B867=1,"First Class",B867=2,"Second Class",B867=3,"Third Class")</f>
        <v>Third Class</v>
      </c>
      <c r="D867">
        <v>0</v>
      </c>
      <c r="E867" s="1" t="str">
        <f t="shared" si="52"/>
        <v>Dead</v>
      </c>
      <c r="F867" t="s">
        <v>1590</v>
      </c>
      <c r="G867" s="1" t="s">
        <v>2994</v>
      </c>
      <c r="H867" t="s">
        <v>15</v>
      </c>
      <c r="I867" s="1" t="str">
        <f t="shared" si="53"/>
        <v>Female</v>
      </c>
      <c r="J867" s="3">
        <v>29.881137667304014</v>
      </c>
      <c r="K867" s="3" t="str" cm="1">
        <f t="array" ref="K867">_xlfn.IFS(J867&lt;=13,"Child",J867&lt;=18,"Teenager",J867&lt;=30,"Young Adult",J867&lt;=50,"Middle Aged Adult",J867&gt;50,"Senior")</f>
        <v>Young Adult</v>
      </c>
      <c r="L867">
        <v>0</v>
      </c>
      <c r="M867">
        <v>0</v>
      </c>
      <c r="N867" s="1">
        <f t="shared" si="54"/>
        <v>1</v>
      </c>
      <c r="O867" s="1" t="str">
        <f t="shared" si="55"/>
        <v>Single</v>
      </c>
      <c r="P867">
        <v>7.75</v>
      </c>
      <c r="Q867" s="1" t="str" cm="1">
        <f t="array" ref="Q867">_xlfn.IFS(P867&lt;=50,"Low",P867&lt;=100,"Medium",P867&gt;100,"High")</f>
        <v>Low</v>
      </c>
      <c r="R867" t="s">
        <v>463</v>
      </c>
      <c r="S867" s="1" t="str" cm="1">
        <f t="array" ref="S867">_xlfn.IFS(R867="S","Southampton",R867="C","Cherbourg",R867="Q","Queenstown")</f>
        <v>Queenstown</v>
      </c>
    </row>
    <row r="868" spans="1:19" x14ac:dyDescent="0.3">
      <c r="A868">
        <v>867</v>
      </c>
      <c r="B868">
        <v>3</v>
      </c>
      <c r="C868" s="1" t="str" cm="1">
        <f t="array" ref="C868">_xlfn.IFS(B868=1,"First Class",B868=2,"Second Class",B868=3,"Third Class")</f>
        <v>Third Class</v>
      </c>
      <c r="D868">
        <v>1</v>
      </c>
      <c r="E868" s="1" t="str">
        <f t="shared" si="52"/>
        <v>Alive</v>
      </c>
      <c r="F868" t="s">
        <v>1591</v>
      </c>
      <c r="G868" s="1" t="s">
        <v>2994</v>
      </c>
      <c r="H868" t="s">
        <v>15</v>
      </c>
      <c r="I868" s="1" t="str">
        <f t="shared" si="53"/>
        <v>Female</v>
      </c>
      <c r="J868" s="3">
        <v>2</v>
      </c>
      <c r="K868" s="3" t="str" cm="1">
        <f t="array" ref="K868">_xlfn.IFS(J868&lt;=13,"Child",J868&lt;=18,"Teenager",J868&lt;=30,"Young Adult",J868&lt;=50,"Middle Aged Adult",J868&gt;50,"Senior")</f>
        <v>Child</v>
      </c>
      <c r="L868">
        <v>0</v>
      </c>
      <c r="M868">
        <v>1</v>
      </c>
      <c r="N868" s="1">
        <f t="shared" si="54"/>
        <v>2</v>
      </c>
      <c r="O868" s="1" t="str">
        <f t="shared" si="55"/>
        <v>With Family</v>
      </c>
      <c r="P868">
        <v>12.2875</v>
      </c>
      <c r="Q868" s="1" t="str" cm="1">
        <f t="array" ref="Q868">_xlfn.IFS(P868&lt;=50,"Low",P868&lt;=100,"Medium",P868&gt;100,"High")</f>
        <v>Low</v>
      </c>
      <c r="R868" t="s">
        <v>17</v>
      </c>
      <c r="S868" s="1" t="str" cm="1">
        <f t="array" ref="S868">_xlfn.IFS(R868="S","Southampton",R868="C","Cherbourg",R868="Q","Queenstown")</f>
        <v>Southampton</v>
      </c>
    </row>
    <row r="869" spans="1:19" x14ac:dyDescent="0.3">
      <c r="A869">
        <v>868</v>
      </c>
      <c r="B869">
        <v>3</v>
      </c>
      <c r="C869" s="1" t="str" cm="1">
        <f t="array" ref="C869">_xlfn.IFS(B869=1,"First Class",B869=2,"Second Class",B869=3,"Third Class")</f>
        <v>Third Class</v>
      </c>
      <c r="D869">
        <v>1</v>
      </c>
      <c r="E869" s="1" t="str">
        <f t="shared" si="52"/>
        <v>Alive</v>
      </c>
      <c r="F869" t="s">
        <v>1592</v>
      </c>
      <c r="G869" s="1" t="s">
        <v>3001</v>
      </c>
      <c r="H869" t="s">
        <v>15</v>
      </c>
      <c r="I869" s="1" t="str">
        <f t="shared" si="53"/>
        <v>Female</v>
      </c>
      <c r="J869" s="3">
        <v>22</v>
      </c>
      <c r="K869" s="3" t="str" cm="1">
        <f t="array" ref="K869">_xlfn.IFS(J869&lt;=13,"Child",J869&lt;=18,"Teenager",J869&lt;=30,"Young Adult",J869&lt;=50,"Middle Aged Adult",J869&gt;50,"Senior")</f>
        <v>Young Adult</v>
      </c>
      <c r="L869">
        <v>1</v>
      </c>
      <c r="M869">
        <v>1</v>
      </c>
      <c r="N869" s="1">
        <f t="shared" si="54"/>
        <v>3</v>
      </c>
      <c r="O869" s="1" t="str">
        <f t="shared" si="55"/>
        <v>With Family</v>
      </c>
      <c r="P869">
        <v>12.2875</v>
      </c>
      <c r="Q869" s="1" t="str" cm="1">
        <f t="array" ref="Q869">_xlfn.IFS(P869&lt;=50,"Low",P869&lt;=100,"Medium",P869&gt;100,"High")</f>
        <v>Low</v>
      </c>
      <c r="R869" t="s">
        <v>17</v>
      </c>
      <c r="S869" s="1" t="str" cm="1">
        <f t="array" ref="S869">_xlfn.IFS(R869="S","Southampton",R869="C","Cherbourg",R869="Q","Queenstown")</f>
        <v>Southampton</v>
      </c>
    </row>
    <row r="870" spans="1:19" x14ac:dyDescent="0.3">
      <c r="A870">
        <v>869</v>
      </c>
      <c r="B870">
        <v>3</v>
      </c>
      <c r="C870" s="1" t="str" cm="1">
        <f t="array" ref="C870">_xlfn.IFS(B870=1,"First Class",B870=2,"Second Class",B870=3,"Third Class")</f>
        <v>Third Class</v>
      </c>
      <c r="D870">
        <v>0</v>
      </c>
      <c r="E870" s="1" t="str">
        <f t="shared" si="52"/>
        <v>Dead</v>
      </c>
      <c r="F870" t="s">
        <v>1593</v>
      </c>
      <c r="G870" s="1" t="s">
        <v>2999</v>
      </c>
      <c r="H870" t="s">
        <v>20</v>
      </c>
      <c r="I870" s="1" t="str">
        <f t="shared" si="53"/>
        <v>Male</v>
      </c>
      <c r="J870" s="3">
        <v>43</v>
      </c>
      <c r="K870" s="3" t="str" cm="1">
        <f t="array" ref="K870">_xlfn.IFS(J870&lt;=13,"Child",J870&lt;=18,"Teenager",J870&lt;=30,"Young Adult",J870&lt;=50,"Middle Aged Adult",J870&gt;50,"Senior")</f>
        <v>Middle Aged Adult</v>
      </c>
      <c r="L870">
        <v>0</v>
      </c>
      <c r="M870">
        <v>0</v>
      </c>
      <c r="N870" s="1">
        <f t="shared" si="54"/>
        <v>1</v>
      </c>
      <c r="O870" s="1" t="str">
        <f t="shared" si="55"/>
        <v>Single</v>
      </c>
      <c r="P870">
        <v>6.45</v>
      </c>
      <c r="Q870" s="1" t="str" cm="1">
        <f t="array" ref="Q870">_xlfn.IFS(P870&lt;=50,"Low",P870&lt;=100,"Medium",P870&gt;100,"High")</f>
        <v>Low</v>
      </c>
      <c r="R870" t="s">
        <v>17</v>
      </c>
      <c r="S870" s="1" t="str" cm="1">
        <f t="array" ref="S870">_xlfn.IFS(R870="S","Southampton",R870="C","Cherbourg",R870="Q","Queenstown")</f>
        <v>Southampton</v>
      </c>
    </row>
    <row r="871" spans="1:19" x14ac:dyDescent="0.3">
      <c r="A871">
        <v>870</v>
      </c>
      <c r="B871">
        <v>3</v>
      </c>
      <c r="C871" s="1" t="str" cm="1">
        <f t="array" ref="C871">_xlfn.IFS(B871=1,"First Class",B871=2,"Second Class",B871=3,"Third Class")</f>
        <v>Third Class</v>
      </c>
      <c r="D871">
        <v>0</v>
      </c>
      <c r="E871" s="1" t="str">
        <f t="shared" si="52"/>
        <v>Dead</v>
      </c>
      <c r="F871" t="s">
        <v>1595</v>
      </c>
      <c r="G871" s="1" t="s">
        <v>2999</v>
      </c>
      <c r="H871" t="s">
        <v>20</v>
      </c>
      <c r="I871" s="1" t="str">
        <f t="shared" si="53"/>
        <v>Male</v>
      </c>
      <c r="J871" s="3">
        <v>28</v>
      </c>
      <c r="K871" s="3" t="str" cm="1">
        <f t="array" ref="K871">_xlfn.IFS(J871&lt;=13,"Child",J871&lt;=18,"Teenager",J871&lt;=30,"Young Adult",J871&lt;=50,"Middle Aged Adult",J871&gt;50,"Senior")</f>
        <v>Young Adult</v>
      </c>
      <c r="L871">
        <v>0</v>
      </c>
      <c r="M871">
        <v>0</v>
      </c>
      <c r="N871" s="1">
        <f t="shared" si="54"/>
        <v>1</v>
      </c>
      <c r="O871" s="1" t="str">
        <f t="shared" si="55"/>
        <v>Single</v>
      </c>
      <c r="P871">
        <v>22.524999999999999</v>
      </c>
      <c r="Q871" s="1" t="str" cm="1">
        <f t="array" ref="Q871">_xlfn.IFS(P871&lt;=50,"Low",P871&lt;=100,"Medium",P871&gt;100,"High")</f>
        <v>Low</v>
      </c>
      <c r="R871" t="s">
        <v>17</v>
      </c>
      <c r="S871" s="1" t="str" cm="1">
        <f t="array" ref="S871">_xlfn.IFS(R871="S","Southampton",R871="C","Cherbourg",R871="Q","Queenstown")</f>
        <v>Southampton</v>
      </c>
    </row>
    <row r="872" spans="1:19" x14ac:dyDescent="0.3">
      <c r="A872">
        <v>871</v>
      </c>
      <c r="B872">
        <v>3</v>
      </c>
      <c r="C872" s="1" t="str" cm="1">
        <f t="array" ref="C872">_xlfn.IFS(B872=1,"First Class",B872=2,"Second Class",B872=3,"Third Class")</f>
        <v>Third Class</v>
      </c>
      <c r="D872">
        <v>1</v>
      </c>
      <c r="E872" s="1" t="str">
        <f t="shared" si="52"/>
        <v>Alive</v>
      </c>
      <c r="F872" t="s">
        <v>1596</v>
      </c>
      <c r="G872" s="1" t="s">
        <v>2994</v>
      </c>
      <c r="H872" t="s">
        <v>15</v>
      </c>
      <c r="I872" s="1" t="str">
        <f t="shared" si="53"/>
        <v>Female</v>
      </c>
      <c r="J872" s="3">
        <v>27</v>
      </c>
      <c r="K872" s="3" t="str" cm="1">
        <f t="array" ref="K872">_xlfn.IFS(J872&lt;=13,"Child",J872&lt;=18,"Teenager",J872&lt;=30,"Young Adult",J872&lt;=50,"Middle Aged Adult",J872&gt;50,"Senior")</f>
        <v>Young Adult</v>
      </c>
      <c r="L872">
        <v>0</v>
      </c>
      <c r="M872">
        <v>0</v>
      </c>
      <c r="N872" s="1">
        <f t="shared" si="54"/>
        <v>1</v>
      </c>
      <c r="O872" s="1" t="str">
        <f t="shared" si="55"/>
        <v>Single</v>
      </c>
      <c r="P872">
        <v>7.9249999999999998</v>
      </c>
      <c r="Q872" s="1" t="str" cm="1">
        <f t="array" ref="Q872">_xlfn.IFS(P872&lt;=50,"Low",P872&lt;=100,"Medium",P872&gt;100,"High")</f>
        <v>Low</v>
      </c>
      <c r="R872" t="s">
        <v>17</v>
      </c>
      <c r="S872" s="1" t="str" cm="1">
        <f t="array" ref="S872">_xlfn.IFS(R872="S","Southampton",R872="C","Cherbourg",R872="Q","Queenstown")</f>
        <v>Southampton</v>
      </c>
    </row>
    <row r="873" spans="1:19" x14ac:dyDescent="0.3">
      <c r="A873">
        <v>872</v>
      </c>
      <c r="B873">
        <v>3</v>
      </c>
      <c r="C873" s="1" t="str" cm="1">
        <f t="array" ref="C873">_xlfn.IFS(B873=1,"First Class",B873=2,"Second Class",B873=3,"Third Class")</f>
        <v>Third Class</v>
      </c>
      <c r="D873">
        <v>0</v>
      </c>
      <c r="E873" s="1" t="str">
        <f t="shared" si="52"/>
        <v>Dead</v>
      </c>
      <c r="F873" t="s">
        <v>1598</v>
      </c>
      <c r="G873" s="1" t="s">
        <v>2999</v>
      </c>
      <c r="H873" t="s">
        <v>20</v>
      </c>
      <c r="I873" s="1" t="str">
        <f t="shared" si="53"/>
        <v>Male</v>
      </c>
      <c r="J873" s="3">
        <v>29.881137667304014</v>
      </c>
      <c r="K873" s="3" t="str" cm="1">
        <f t="array" ref="K873">_xlfn.IFS(J873&lt;=13,"Child",J873&lt;=18,"Teenager",J873&lt;=30,"Young Adult",J873&lt;=50,"Middle Aged Adult",J873&gt;50,"Senior")</f>
        <v>Young Adult</v>
      </c>
      <c r="L873">
        <v>0</v>
      </c>
      <c r="M873">
        <v>0</v>
      </c>
      <c r="N873" s="1">
        <f t="shared" si="54"/>
        <v>1</v>
      </c>
      <c r="O873" s="1" t="str">
        <f t="shared" si="55"/>
        <v>Single</v>
      </c>
      <c r="P873">
        <v>7.75</v>
      </c>
      <c r="Q873" s="1" t="str" cm="1">
        <f t="array" ref="Q873">_xlfn.IFS(P873&lt;=50,"Low",P873&lt;=100,"Medium",P873&gt;100,"High")</f>
        <v>Low</v>
      </c>
      <c r="R873" t="s">
        <v>463</v>
      </c>
      <c r="S873" s="1" t="str" cm="1">
        <f t="array" ref="S873">_xlfn.IFS(R873="S","Southampton",R873="C","Cherbourg",R873="Q","Queenstown")</f>
        <v>Queenstown</v>
      </c>
    </row>
    <row r="874" spans="1:19" x14ac:dyDescent="0.3">
      <c r="A874">
        <v>873</v>
      </c>
      <c r="B874">
        <v>3</v>
      </c>
      <c r="C874" s="1" t="str" cm="1">
        <f t="array" ref="C874">_xlfn.IFS(B874=1,"First Class",B874=2,"Second Class",B874=3,"Third Class")</f>
        <v>Third Class</v>
      </c>
      <c r="D874">
        <v>1</v>
      </c>
      <c r="E874" s="1" t="str">
        <f t="shared" si="52"/>
        <v>Alive</v>
      </c>
      <c r="F874" t="s">
        <v>1599</v>
      </c>
      <c r="G874" s="1" t="s">
        <v>2994</v>
      </c>
      <c r="H874" t="s">
        <v>15</v>
      </c>
      <c r="I874" s="1" t="str">
        <f t="shared" si="53"/>
        <v>Female</v>
      </c>
      <c r="J874" s="3">
        <v>29.881137667304014</v>
      </c>
      <c r="K874" s="3" t="str" cm="1">
        <f t="array" ref="K874">_xlfn.IFS(J874&lt;=13,"Child",J874&lt;=18,"Teenager",J874&lt;=30,"Young Adult",J874&lt;=50,"Middle Aged Adult",J874&gt;50,"Senior")</f>
        <v>Young Adult</v>
      </c>
      <c r="L874">
        <v>0</v>
      </c>
      <c r="M874">
        <v>0</v>
      </c>
      <c r="N874" s="1">
        <f t="shared" si="54"/>
        <v>1</v>
      </c>
      <c r="O874" s="1" t="str">
        <f t="shared" si="55"/>
        <v>Single</v>
      </c>
      <c r="P874">
        <v>8.0500000000000007</v>
      </c>
      <c r="Q874" s="1" t="str" cm="1">
        <f t="array" ref="Q874">_xlfn.IFS(P874&lt;=50,"Low",P874&lt;=100,"Medium",P874&gt;100,"High")</f>
        <v>Low</v>
      </c>
      <c r="R874" t="s">
        <v>17</v>
      </c>
      <c r="S874" s="1" t="str" cm="1">
        <f t="array" ref="S874">_xlfn.IFS(R874="S","Southampton",R874="C","Cherbourg",R874="Q","Queenstown")</f>
        <v>Southampton</v>
      </c>
    </row>
    <row r="875" spans="1:19" x14ac:dyDescent="0.3">
      <c r="A875">
        <v>874</v>
      </c>
      <c r="B875">
        <v>3</v>
      </c>
      <c r="C875" s="1" t="str" cm="1">
        <f t="array" ref="C875">_xlfn.IFS(B875=1,"First Class",B875=2,"Second Class",B875=3,"Third Class")</f>
        <v>Third Class</v>
      </c>
      <c r="D875">
        <v>0</v>
      </c>
      <c r="E875" s="1" t="str">
        <f t="shared" si="52"/>
        <v>Dead</v>
      </c>
      <c r="F875" t="s">
        <v>1601</v>
      </c>
      <c r="G875" s="1" t="s">
        <v>2999</v>
      </c>
      <c r="H875" t="s">
        <v>20</v>
      </c>
      <c r="I875" s="1" t="str">
        <f t="shared" si="53"/>
        <v>Male</v>
      </c>
      <c r="J875" s="3">
        <v>42</v>
      </c>
      <c r="K875" s="3" t="str" cm="1">
        <f t="array" ref="K875">_xlfn.IFS(J875&lt;=13,"Child",J875&lt;=18,"Teenager",J875&lt;=30,"Young Adult",J875&lt;=50,"Middle Aged Adult",J875&gt;50,"Senior")</f>
        <v>Middle Aged Adult</v>
      </c>
      <c r="L875">
        <v>0</v>
      </c>
      <c r="M875">
        <v>0</v>
      </c>
      <c r="N875" s="1">
        <f t="shared" si="54"/>
        <v>1</v>
      </c>
      <c r="O875" s="1" t="str">
        <f t="shared" si="55"/>
        <v>Single</v>
      </c>
      <c r="P875">
        <v>7.65</v>
      </c>
      <c r="Q875" s="1" t="str" cm="1">
        <f t="array" ref="Q875">_xlfn.IFS(P875&lt;=50,"Low",P875&lt;=100,"Medium",P875&gt;100,"High")</f>
        <v>Low</v>
      </c>
      <c r="R875" t="s">
        <v>17</v>
      </c>
      <c r="S875" s="1" t="str" cm="1">
        <f t="array" ref="S875">_xlfn.IFS(R875="S","Southampton",R875="C","Cherbourg",R875="Q","Queenstown")</f>
        <v>Southampton</v>
      </c>
    </row>
    <row r="876" spans="1:19" x14ac:dyDescent="0.3">
      <c r="A876">
        <v>875</v>
      </c>
      <c r="B876">
        <v>3</v>
      </c>
      <c r="C876" s="1" t="str" cm="1">
        <f t="array" ref="C876">_xlfn.IFS(B876=1,"First Class",B876=2,"Second Class",B876=3,"Third Class")</f>
        <v>Third Class</v>
      </c>
      <c r="D876">
        <v>1</v>
      </c>
      <c r="E876" s="1" t="str">
        <f t="shared" si="52"/>
        <v>Alive</v>
      </c>
      <c r="F876" t="s">
        <v>1602</v>
      </c>
      <c r="G876" s="1" t="s">
        <v>2999</v>
      </c>
      <c r="H876" t="s">
        <v>20</v>
      </c>
      <c r="I876" s="1" t="str">
        <f t="shared" si="53"/>
        <v>Male</v>
      </c>
      <c r="J876" s="3">
        <v>29.881137667304014</v>
      </c>
      <c r="K876" s="3" t="str" cm="1">
        <f t="array" ref="K876">_xlfn.IFS(J876&lt;=13,"Child",J876&lt;=18,"Teenager",J876&lt;=30,"Young Adult",J876&lt;=50,"Middle Aged Adult",J876&gt;50,"Senior")</f>
        <v>Young Adult</v>
      </c>
      <c r="L876">
        <v>0</v>
      </c>
      <c r="M876">
        <v>0</v>
      </c>
      <c r="N876" s="1">
        <f t="shared" si="54"/>
        <v>1</v>
      </c>
      <c r="O876" s="1" t="str">
        <f t="shared" si="55"/>
        <v>Single</v>
      </c>
      <c r="P876">
        <v>7.8875000000000002</v>
      </c>
      <c r="Q876" s="1" t="str" cm="1">
        <f t="array" ref="Q876">_xlfn.IFS(P876&lt;=50,"Low",P876&lt;=100,"Medium",P876&gt;100,"High")</f>
        <v>Low</v>
      </c>
      <c r="R876" t="s">
        <v>17</v>
      </c>
      <c r="S876" s="1" t="str" cm="1">
        <f t="array" ref="S876">_xlfn.IFS(R876="S","Southampton",R876="C","Cherbourg",R876="Q","Queenstown")</f>
        <v>Southampton</v>
      </c>
    </row>
    <row r="877" spans="1:19" x14ac:dyDescent="0.3">
      <c r="A877">
        <v>876</v>
      </c>
      <c r="B877">
        <v>3</v>
      </c>
      <c r="C877" s="1" t="str" cm="1">
        <f t="array" ref="C877">_xlfn.IFS(B877=1,"First Class",B877=2,"Second Class",B877=3,"Third Class")</f>
        <v>Third Class</v>
      </c>
      <c r="D877">
        <v>0</v>
      </c>
      <c r="E877" s="1" t="str">
        <f t="shared" si="52"/>
        <v>Dead</v>
      </c>
      <c r="F877" t="s">
        <v>1603</v>
      </c>
      <c r="G877" s="1" t="s">
        <v>2999</v>
      </c>
      <c r="H877" t="s">
        <v>20</v>
      </c>
      <c r="I877" s="1" t="str">
        <f t="shared" si="53"/>
        <v>Male</v>
      </c>
      <c r="J877" s="3">
        <v>30</v>
      </c>
      <c r="K877" s="3" t="str" cm="1">
        <f t="array" ref="K877">_xlfn.IFS(J877&lt;=13,"Child",J877&lt;=18,"Teenager",J877&lt;=30,"Young Adult",J877&lt;=50,"Middle Aged Adult",J877&gt;50,"Senior")</f>
        <v>Young Adult</v>
      </c>
      <c r="L877">
        <v>0</v>
      </c>
      <c r="M877">
        <v>0</v>
      </c>
      <c r="N877" s="1">
        <f t="shared" si="54"/>
        <v>1</v>
      </c>
      <c r="O877" s="1" t="str">
        <f t="shared" si="55"/>
        <v>Single</v>
      </c>
      <c r="P877">
        <v>7.2291999999999996</v>
      </c>
      <c r="Q877" s="1" t="str" cm="1">
        <f t="array" ref="Q877">_xlfn.IFS(P877&lt;=50,"Low",P877&lt;=100,"Medium",P877&gt;100,"High")</f>
        <v>Low</v>
      </c>
      <c r="R877" t="s">
        <v>41</v>
      </c>
      <c r="S877" s="1" t="str" cm="1">
        <f t="array" ref="S877">_xlfn.IFS(R877="S","Southampton",R877="C","Cherbourg",R877="Q","Queenstown")</f>
        <v>Cherbourg</v>
      </c>
    </row>
    <row r="878" spans="1:19" x14ac:dyDescent="0.3">
      <c r="A878">
        <v>877</v>
      </c>
      <c r="B878">
        <v>3</v>
      </c>
      <c r="C878" s="1" t="str" cm="1">
        <f t="array" ref="C878">_xlfn.IFS(B878=1,"First Class",B878=2,"Second Class",B878=3,"Third Class")</f>
        <v>Third Class</v>
      </c>
      <c r="D878">
        <v>0</v>
      </c>
      <c r="E878" s="1" t="str">
        <f t="shared" si="52"/>
        <v>Dead</v>
      </c>
      <c r="F878" t="s">
        <v>1604</v>
      </c>
      <c r="G878" s="1" t="s">
        <v>2999</v>
      </c>
      <c r="H878" t="s">
        <v>20</v>
      </c>
      <c r="I878" s="1" t="str">
        <f t="shared" si="53"/>
        <v>Male</v>
      </c>
      <c r="J878" s="3">
        <v>29.881137667304014</v>
      </c>
      <c r="K878" s="3" t="str" cm="1">
        <f t="array" ref="K878">_xlfn.IFS(J878&lt;=13,"Child",J878&lt;=18,"Teenager",J878&lt;=30,"Young Adult",J878&lt;=50,"Middle Aged Adult",J878&gt;50,"Senior")</f>
        <v>Young Adult</v>
      </c>
      <c r="L878">
        <v>0</v>
      </c>
      <c r="M878">
        <v>0</v>
      </c>
      <c r="N878" s="1">
        <f t="shared" si="54"/>
        <v>1</v>
      </c>
      <c r="O878" s="1" t="str">
        <f t="shared" si="55"/>
        <v>Single</v>
      </c>
      <c r="P878">
        <v>7.8958000000000004</v>
      </c>
      <c r="Q878" s="1" t="str" cm="1">
        <f t="array" ref="Q878">_xlfn.IFS(P878&lt;=50,"Low",P878&lt;=100,"Medium",P878&gt;100,"High")</f>
        <v>Low</v>
      </c>
      <c r="R878" t="s">
        <v>17</v>
      </c>
      <c r="S878" s="1" t="str" cm="1">
        <f t="array" ref="S878">_xlfn.IFS(R878="S","Southampton",R878="C","Cherbourg",R878="Q","Queenstown")</f>
        <v>Southampton</v>
      </c>
    </row>
    <row r="879" spans="1:19" x14ac:dyDescent="0.3">
      <c r="A879">
        <v>878</v>
      </c>
      <c r="B879">
        <v>3</v>
      </c>
      <c r="C879" s="1" t="str" cm="1">
        <f t="array" ref="C879">_xlfn.IFS(B879=1,"First Class",B879=2,"Second Class",B879=3,"Third Class")</f>
        <v>Third Class</v>
      </c>
      <c r="D879">
        <v>0</v>
      </c>
      <c r="E879" s="1" t="str">
        <f t="shared" si="52"/>
        <v>Dead</v>
      </c>
      <c r="F879" t="s">
        <v>1605</v>
      </c>
      <c r="G879" s="1" t="s">
        <v>2994</v>
      </c>
      <c r="H879" t="s">
        <v>15</v>
      </c>
      <c r="I879" s="1" t="str">
        <f t="shared" si="53"/>
        <v>Female</v>
      </c>
      <c r="J879" s="3">
        <v>27</v>
      </c>
      <c r="K879" s="3" t="str" cm="1">
        <f t="array" ref="K879">_xlfn.IFS(J879&lt;=13,"Child",J879&lt;=18,"Teenager",J879&lt;=30,"Young Adult",J879&lt;=50,"Middle Aged Adult",J879&gt;50,"Senior")</f>
        <v>Young Adult</v>
      </c>
      <c r="L879">
        <v>1</v>
      </c>
      <c r="M879">
        <v>0</v>
      </c>
      <c r="N879" s="1">
        <f t="shared" si="54"/>
        <v>2</v>
      </c>
      <c r="O879" s="1" t="str">
        <f t="shared" si="55"/>
        <v>With Family</v>
      </c>
      <c r="P879">
        <v>7.9249999999999998</v>
      </c>
      <c r="Q879" s="1" t="str" cm="1">
        <f t="array" ref="Q879">_xlfn.IFS(P879&lt;=50,"Low",P879&lt;=100,"Medium",P879&gt;100,"High")</f>
        <v>Low</v>
      </c>
      <c r="R879" t="s">
        <v>17</v>
      </c>
      <c r="S879" s="1" t="str" cm="1">
        <f t="array" ref="S879">_xlfn.IFS(R879="S","Southampton",R879="C","Cherbourg",R879="Q","Queenstown")</f>
        <v>Southampton</v>
      </c>
    </row>
    <row r="880" spans="1:19" x14ac:dyDescent="0.3">
      <c r="A880">
        <v>879</v>
      </c>
      <c r="B880">
        <v>3</v>
      </c>
      <c r="C880" s="1" t="str" cm="1">
        <f t="array" ref="C880">_xlfn.IFS(B880=1,"First Class",B880=2,"Second Class",B880=3,"Third Class")</f>
        <v>Third Class</v>
      </c>
      <c r="D880">
        <v>0</v>
      </c>
      <c r="E880" s="1" t="str">
        <f t="shared" si="52"/>
        <v>Dead</v>
      </c>
      <c r="F880" t="s">
        <v>1607</v>
      </c>
      <c r="G880" s="1" t="s">
        <v>2994</v>
      </c>
      <c r="H880" t="s">
        <v>15</v>
      </c>
      <c r="I880" s="1" t="str">
        <f t="shared" si="53"/>
        <v>Female</v>
      </c>
      <c r="J880" s="3">
        <v>25</v>
      </c>
      <c r="K880" s="3" t="str" cm="1">
        <f t="array" ref="K880">_xlfn.IFS(J880&lt;=13,"Child",J880&lt;=18,"Teenager",J880&lt;=30,"Young Adult",J880&lt;=50,"Middle Aged Adult",J880&gt;50,"Senior")</f>
        <v>Young Adult</v>
      </c>
      <c r="L880">
        <v>1</v>
      </c>
      <c r="M880">
        <v>0</v>
      </c>
      <c r="N880" s="1">
        <f t="shared" si="54"/>
        <v>2</v>
      </c>
      <c r="O880" s="1" t="str">
        <f t="shared" si="55"/>
        <v>With Family</v>
      </c>
      <c r="P880">
        <v>7.9249999999999998</v>
      </c>
      <c r="Q880" s="1" t="str" cm="1">
        <f t="array" ref="Q880">_xlfn.IFS(P880&lt;=50,"Low",P880&lt;=100,"Medium",P880&gt;100,"High")</f>
        <v>Low</v>
      </c>
      <c r="R880" t="s">
        <v>17</v>
      </c>
      <c r="S880" s="1" t="str" cm="1">
        <f t="array" ref="S880">_xlfn.IFS(R880="S","Southampton",R880="C","Cherbourg",R880="Q","Queenstown")</f>
        <v>Southampton</v>
      </c>
    </row>
    <row r="881" spans="1:19" x14ac:dyDescent="0.3">
      <c r="A881">
        <v>880</v>
      </c>
      <c r="B881">
        <v>3</v>
      </c>
      <c r="C881" s="1" t="str" cm="1">
        <f t="array" ref="C881">_xlfn.IFS(B881=1,"First Class",B881=2,"Second Class",B881=3,"Third Class")</f>
        <v>Third Class</v>
      </c>
      <c r="D881">
        <v>0</v>
      </c>
      <c r="E881" s="1" t="str">
        <f t="shared" si="52"/>
        <v>Dead</v>
      </c>
      <c r="F881" t="s">
        <v>1609</v>
      </c>
      <c r="G881" s="1" t="s">
        <v>2999</v>
      </c>
      <c r="H881" t="s">
        <v>20</v>
      </c>
      <c r="I881" s="1" t="str">
        <f t="shared" si="53"/>
        <v>Male</v>
      </c>
      <c r="J881" s="3">
        <v>29.881137667304014</v>
      </c>
      <c r="K881" s="3" t="str" cm="1">
        <f t="array" ref="K881">_xlfn.IFS(J881&lt;=13,"Child",J881&lt;=18,"Teenager",J881&lt;=30,"Young Adult",J881&lt;=50,"Middle Aged Adult",J881&gt;50,"Senior")</f>
        <v>Young Adult</v>
      </c>
      <c r="L881">
        <v>0</v>
      </c>
      <c r="M881">
        <v>0</v>
      </c>
      <c r="N881" s="1">
        <f t="shared" si="54"/>
        <v>1</v>
      </c>
      <c r="O881" s="1" t="str">
        <f t="shared" si="55"/>
        <v>Single</v>
      </c>
      <c r="P881">
        <v>7.8958000000000004</v>
      </c>
      <c r="Q881" s="1" t="str" cm="1">
        <f t="array" ref="Q881">_xlfn.IFS(P881&lt;=50,"Low",P881&lt;=100,"Medium",P881&gt;100,"High")</f>
        <v>Low</v>
      </c>
      <c r="R881" t="s">
        <v>17</v>
      </c>
      <c r="S881" s="1" t="str" cm="1">
        <f t="array" ref="S881">_xlfn.IFS(R881="S","Southampton",R881="C","Cherbourg",R881="Q","Queenstown")</f>
        <v>Southampton</v>
      </c>
    </row>
    <row r="882" spans="1:19" x14ac:dyDescent="0.3">
      <c r="A882">
        <v>881</v>
      </c>
      <c r="B882">
        <v>3</v>
      </c>
      <c r="C882" s="1" t="str" cm="1">
        <f t="array" ref="C882">_xlfn.IFS(B882=1,"First Class",B882=2,"Second Class",B882=3,"Third Class")</f>
        <v>Third Class</v>
      </c>
      <c r="D882">
        <v>1</v>
      </c>
      <c r="E882" s="1" t="str">
        <f t="shared" si="52"/>
        <v>Alive</v>
      </c>
      <c r="F882" t="s">
        <v>1610</v>
      </c>
      <c r="G882" s="1" t="s">
        <v>2999</v>
      </c>
      <c r="H882" t="s">
        <v>20</v>
      </c>
      <c r="I882" s="1" t="str">
        <f t="shared" si="53"/>
        <v>Male</v>
      </c>
      <c r="J882" s="3">
        <v>29</v>
      </c>
      <c r="K882" s="3" t="str" cm="1">
        <f t="array" ref="K882">_xlfn.IFS(J882&lt;=13,"Child",J882&lt;=18,"Teenager",J882&lt;=30,"Young Adult",J882&lt;=50,"Middle Aged Adult",J882&gt;50,"Senior")</f>
        <v>Young Adult</v>
      </c>
      <c r="L882">
        <v>0</v>
      </c>
      <c r="M882">
        <v>0</v>
      </c>
      <c r="N882" s="1">
        <f t="shared" si="54"/>
        <v>1</v>
      </c>
      <c r="O882" s="1" t="str">
        <f t="shared" si="55"/>
        <v>Single</v>
      </c>
      <c r="P882">
        <v>7.8958000000000004</v>
      </c>
      <c r="Q882" s="1" t="str" cm="1">
        <f t="array" ref="Q882">_xlfn.IFS(P882&lt;=50,"Low",P882&lt;=100,"Medium",P882&gt;100,"High")</f>
        <v>Low</v>
      </c>
      <c r="R882" t="s">
        <v>41</v>
      </c>
      <c r="S882" s="1" t="str" cm="1">
        <f t="array" ref="S882">_xlfn.IFS(R882="S","Southampton",R882="C","Cherbourg",R882="Q","Queenstown")</f>
        <v>Cherbourg</v>
      </c>
    </row>
    <row r="883" spans="1:19" x14ac:dyDescent="0.3">
      <c r="A883">
        <v>882</v>
      </c>
      <c r="B883">
        <v>3</v>
      </c>
      <c r="C883" s="1" t="str" cm="1">
        <f t="array" ref="C883">_xlfn.IFS(B883=1,"First Class",B883=2,"Second Class",B883=3,"Third Class")</f>
        <v>Third Class</v>
      </c>
      <c r="D883">
        <v>1</v>
      </c>
      <c r="E883" s="1" t="str">
        <f t="shared" si="52"/>
        <v>Alive</v>
      </c>
      <c r="F883" t="s">
        <v>1611</v>
      </c>
      <c r="G883" s="1" t="s">
        <v>2999</v>
      </c>
      <c r="H883" t="s">
        <v>20</v>
      </c>
      <c r="I883" s="1" t="str">
        <f t="shared" si="53"/>
        <v>Male</v>
      </c>
      <c r="J883" s="3">
        <v>21</v>
      </c>
      <c r="K883" s="3" t="str" cm="1">
        <f t="array" ref="K883">_xlfn.IFS(J883&lt;=13,"Child",J883&lt;=18,"Teenager",J883&lt;=30,"Young Adult",J883&lt;=50,"Middle Aged Adult",J883&gt;50,"Senior")</f>
        <v>Young Adult</v>
      </c>
      <c r="L883">
        <v>0</v>
      </c>
      <c r="M883">
        <v>0</v>
      </c>
      <c r="N883" s="1">
        <f t="shared" si="54"/>
        <v>1</v>
      </c>
      <c r="O883" s="1" t="str">
        <f t="shared" si="55"/>
        <v>Single</v>
      </c>
      <c r="P883">
        <v>7.7957999999999998</v>
      </c>
      <c r="Q883" s="1" t="str" cm="1">
        <f t="array" ref="Q883">_xlfn.IFS(P883&lt;=50,"Low",P883&lt;=100,"Medium",P883&gt;100,"High")</f>
        <v>Low</v>
      </c>
      <c r="R883" t="s">
        <v>17</v>
      </c>
      <c r="S883" s="1" t="str" cm="1">
        <f t="array" ref="S883">_xlfn.IFS(R883="S","Southampton",R883="C","Cherbourg",R883="Q","Queenstown")</f>
        <v>Southampton</v>
      </c>
    </row>
    <row r="884" spans="1:19" x14ac:dyDescent="0.3">
      <c r="A884">
        <v>883</v>
      </c>
      <c r="B884">
        <v>3</v>
      </c>
      <c r="C884" s="1" t="str" cm="1">
        <f t="array" ref="C884">_xlfn.IFS(B884=1,"First Class",B884=2,"Second Class",B884=3,"Third Class")</f>
        <v>Third Class</v>
      </c>
      <c r="D884">
        <v>0</v>
      </c>
      <c r="E884" s="1" t="str">
        <f t="shared" si="52"/>
        <v>Dead</v>
      </c>
      <c r="F884" t="s">
        <v>1612</v>
      </c>
      <c r="G884" s="1" t="s">
        <v>2999</v>
      </c>
      <c r="H884" t="s">
        <v>20</v>
      </c>
      <c r="I884" s="1" t="str">
        <f t="shared" si="53"/>
        <v>Male</v>
      </c>
      <c r="J884" s="3">
        <v>29.881137667304014</v>
      </c>
      <c r="K884" s="3" t="str" cm="1">
        <f t="array" ref="K884">_xlfn.IFS(J884&lt;=13,"Child",J884&lt;=18,"Teenager",J884&lt;=30,"Young Adult",J884&lt;=50,"Middle Aged Adult",J884&gt;50,"Senior")</f>
        <v>Young Adult</v>
      </c>
      <c r="L884">
        <v>0</v>
      </c>
      <c r="M884">
        <v>0</v>
      </c>
      <c r="N884" s="1">
        <f t="shared" si="54"/>
        <v>1</v>
      </c>
      <c r="O884" s="1" t="str">
        <f t="shared" si="55"/>
        <v>Single</v>
      </c>
      <c r="P884">
        <v>7.05</v>
      </c>
      <c r="Q884" s="1" t="str" cm="1">
        <f t="array" ref="Q884">_xlfn.IFS(P884&lt;=50,"Low",P884&lt;=100,"Medium",P884&gt;100,"High")</f>
        <v>Low</v>
      </c>
      <c r="R884" t="s">
        <v>17</v>
      </c>
      <c r="S884" s="1" t="str" cm="1">
        <f t="array" ref="S884">_xlfn.IFS(R884="S","Southampton",R884="C","Cherbourg",R884="Q","Queenstown")</f>
        <v>Southampton</v>
      </c>
    </row>
    <row r="885" spans="1:19" x14ac:dyDescent="0.3">
      <c r="A885">
        <v>884</v>
      </c>
      <c r="B885">
        <v>3</v>
      </c>
      <c r="C885" s="1" t="str" cm="1">
        <f t="array" ref="C885">_xlfn.IFS(B885=1,"First Class",B885=2,"Second Class",B885=3,"Third Class")</f>
        <v>Third Class</v>
      </c>
      <c r="D885">
        <v>0</v>
      </c>
      <c r="E885" s="1" t="str">
        <f t="shared" si="52"/>
        <v>Dead</v>
      </c>
      <c r="F885" t="s">
        <v>1614</v>
      </c>
      <c r="G885" s="1" t="s">
        <v>2999</v>
      </c>
      <c r="H885" t="s">
        <v>20</v>
      </c>
      <c r="I885" s="1" t="str">
        <f t="shared" si="53"/>
        <v>Male</v>
      </c>
      <c r="J885" s="3">
        <v>20</v>
      </c>
      <c r="K885" s="3" t="str" cm="1">
        <f t="array" ref="K885">_xlfn.IFS(J885&lt;=13,"Child",J885&lt;=18,"Teenager",J885&lt;=30,"Young Adult",J885&lt;=50,"Middle Aged Adult",J885&gt;50,"Senior")</f>
        <v>Young Adult</v>
      </c>
      <c r="L885">
        <v>0</v>
      </c>
      <c r="M885">
        <v>0</v>
      </c>
      <c r="N885" s="1">
        <f t="shared" si="54"/>
        <v>1</v>
      </c>
      <c r="O885" s="1" t="str">
        <f t="shared" si="55"/>
        <v>Single</v>
      </c>
      <c r="P885">
        <v>7.8541999999999996</v>
      </c>
      <c r="Q885" s="1" t="str" cm="1">
        <f t="array" ref="Q885">_xlfn.IFS(P885&lt;=50,"Low",P885&lt;=100,"Medium",P885&gt;100,"High")</f>
        <v>Low</v>
      </c>
      <c r="R885" t="s">
        <v>17</v>
      </c>
      <c r="S885" s="1" t="str" cm="1">
        <f t="array" ref="S885">_xlfn.IFS(R885="S","Southampton",R885="C","Cherbourg",R885="Q","Queenstown")</f>
        <v>Southampton</v>
      </c>
    </row>
    <row r="886" spans="1:19" x14ac:dyDescent="0.3">
      <c r="A886">
        <v>885</v>
      </c>
      <c r="B886">
        <v>3</v>
      </c>
      <c r="C886" s="1" t="str" cm="1">
        <f t="array" ref="C886">_xlfn.IFS(B886=1,"First Class",B886=2,"Second Class",B886=3,"Third Class")</f>
        <v>Third Class</v>
      </c>
      <c r="D886">
        <v>0</v>
      </c>
      <c r="E886" s="1" t="str">
        <f t="shared" si="52"/>
        <v>Dead</v>
      </c>
      <c r="F886" t="s">
        <v>1615</v>
      </c>
      <c r="G886" s="1" t="s">
        <v>2999</v>
      </c>
      <c r="H886" t="s">
        <v>20</v>
      </c>
      <c r="I886" s="1" t="str">
        <f t="shared" si="53"/>
        <v>Male</v>
      </c>
      <c r="J886" s="3">
        <v>48</v>
      </c>
      <c r="K886" s="3" t="str" cm="1">
        <f t="array" ref="K886">_xlfn.IFS(J886&lt;=13,"Child",J886&lt;=18,"Teenager",J886&lt;=30,"Young Adult",J886&lt;=50,"Middle Aged Adult",J886&gt;50,"Senior")</f>
        <v>Middle Aged Adult</v>
      </c>
      <c r="L886">
        <v>0</v>
      </c>
      <c r="M886">
        <v>0</v>
      </c>
      <c r="N886" s="1">
        <f t="shared" si="54"/>
        <v>1</v>
      </c>
      <c r="O886" s="1" t="str">
        <f t="shared" si="55"/>
        <v>Single</v>
      </c>
      <c r="P886">
        <v>7.8541999999999996</v>
      </c>
      <c r="Q886" s="1" t="str" cm="1">
        <f t="array" ref="Q886">_xlfn.IFS(P886&lt;=50,"Low",P886&lt;=100,"Medium",P886&gt;100,"High")</f>
        <v>Low</v>
      </c>
      <c r="R886" t="s">
        <v>17</v>
      </c>
      <c r="S886" s="1" t="str" cm="1">
        <f t="array" ref="S886">_xlfn.IFS(R886="S","Southampton",R886="C","Cherbourg",R886="Q","Queenstown")</f>
        <v>Southampton</v>
      </c>
    </row>
    <row r="887" spans="1:19" x14ac:dyDescent="0.3">
      <c r="A887">
        <v>886</v>
      </c>
      <c r="B887">
        <v>3</v>
      </c>
      <c r="C887" s="1" t="str" cm="1">
        <f t="array" ref="C887">_xlfn.IFS(B887=1,"First Class",B887=2,"Second Class",B887=3,"Third Class")</f>
        <v>Third Class</v>
      </c>
      <c r="D887">
        <v>0</v>
      </c>
      <c r="E887" s="1" t="str">
        <f t="shared" si="52"/>
        <v>Dead</v>
      </c>
      <c r="F887" t="s">
        <v>1616</v>
      </c>
      <c r="G887" s="1" t="s">
        <v>2999</v>
      </c>
      <c r="H887" t="s">
        <v>20</v>
      </c>
      <c r="I887" s="1" t="str">
        <f t="shared" si="53"/>
        <v>Male</v>
      </c>
      <c r="J887" s="3">
        <v>17</v>
      </c>
      <c r="K887" s="3" t="str" cm="1">
        <f t="array" ref="K887">_xlfn.IFS(J887&lt;=13,"Child",J887&lt;=18,"Teenager",J887&lt;=30,"Young Adult",J887&lt;=50,"Middle Aged Adult",J887&gt;50,"Senior")</f>
        <v>Teenager</v>
      </c>
      <c r="L887">
        <v>1</v>
      </c>
      <c r="M887">
        <v>0</v>
      </c>
      <c r="N887" s="1">
        <f t="shared" si="54"/>
        <v>2</v>
      </c>
      <c r="O887" s="1" t="str">
        <f t="shared" si="55"/>
        <v>With Family</v>
      </c>
      <c r="P887">
        <v>7.0541999999999998</v>
      </c>
      <c r="Q887" s="1" t="str" cm="1">
        <f t="array" ref="Q887">_xlfn.IFS(P887&lt;=50,"Low",P887&lt;=100,"Medium",P887&gt;100,"High")</f>
        <v>Low</v>
      </c>
      <c r="R887" t="s">
        <v>17</v>
      </c>
      <c r="S887" s="1" t="str" cm="1">
        <f t="array" ref="S887">_xlfn.IFS(R887="S","Southampton",R887="C","Cherbourg",R887="Q","Queenstown")</f>
        <v>Southampton</v>
      </c>
    </row>
    <row r="888" spans="1:19" x14ac:dyDescent="0.3">
      <c r="A888">
        <v>887</v>
      </c>
      <c r="B888">
        <v>3</v>
      </c>
      <c r="C888" s="1" t="str" cm="1">
        <f t="array" ref="C888">_xlfn.IFS(B888=1,"First Class",B888=2,"Second Class",B888=3,"Third Class")</f>
        <v>Third Class</v>
      </c>
      <c r="D888">
        <v>1</v>
      </c>
      <c r="E888" s="1" t="str">
        <f t="shared" si="52"/>
        <v>Alive</v>
      </c>
      <c r="F888" t="s">
        <v>1617</v>
      </c>
      <c r="G888" s="1" t="s">
        <v>2994</v>
      </c>
      <c r="H888" t="s">
        <v>15</v>
      </c>
      <c r="I888" s="1" t="str">
        <f t="shared" si="53"/>
        <v>Female</v>
      </c>
      <c r="J888" s="3">
        <v>29.881137667304014</v>
      </c>
      <c r="K888" s="3" t="str" cm="1">
        <f t="array" ref="K888">_xlfn.IFS(J888&lt;=13,"Child",J888&lt;=18,"Teenager",J888&lt;=30,"Young Adult",J888&lt;=50,"Middle Aged Adult",J888&gt;50,"Senior")</f>
        <v>Young Adult</v>
      </c>
      <c r="L888">
        <v>0</v>
      </c>
      <c r="M888">
        <v>0</v>
      </c>
      <c r="N888" s="1">
        <f t="shared" si="54"/>
        <v>1</v>
      </c>
      <c r="O888" s="1" t="str">
        <f t="shared" si="55"/>
        <v>Single</v>
      </c>
      <c r="P888">
        <v>7.75</v>
      </c>
      <c r="Q888" s="1" t="str" cm="1">
        <f t="array" ref="Q888">_xlfn.IFS(P888&lt;=50,"Low",P888&lt;=100,"Medium",P888&gt;100,"High")</f>
        <v>Low</v>
      </c>
      <c r="R888" t="s">
        <v>463</v>
      </c>
      <c r="S888" s="1" t="str" cm="1">
        <f t="array" ref="S888">_xlfn.IFS(R888="S","Southampton",R888="C","Cherbourg",R888="Q","Queenstown")</f>
        <v>Queenstown</v>
      </c>
    </row>
    <row r="889" spans="1:19" x14ac:dyDescent="0.3">
      <c r="A889">
        <v>888</v>
      </c>
      <c r="B889">
        <v>3</v>
      </c>
      <c r="C889" s="1" t="str" cm="1">
        <f t="array" ref="C889">_xlfn.IFS(B889=1,"First Class",B889=2,"Second Class",B889=3,"Third Class")</f>
        <v>Third Class</v>
      </c>
      <c r="D889">
        <v>1</v>
      </c>
      <c r="E889" s="1" t="str">
        <f t="shared" si="52"/>
        <v>Alive</v>
      </c>
      <c r="F889" t="s">
        <v>1618</v>
      </c>
      <c r="G889" s="1" t="s">
        <v>2999</v>
      </c>
      <c r="H889" t="s">
        <v>20</v>
      </c>
      <c r="I889" s="1" t="str">
        <f t="shared" si="53"/>
        <v>Male</v>
      </c>
      <c r="J889" s="3">
        <v>29.881137667304014</v>
      </c>
      <c r="K889" s="3" t="str" cm="1">
        <f t="array" ref="K889">_xlfn.IFS(J889&lt;=13,"Child",J889&lt;=18,"Teenager",J889&lt;=30,"Young Adult",J889&lt;=50,"Middle Aged Adult",J889&gt;50,"Senior")</f>
        <v>Young Adult</v>
      </c>
      <c r="L889">
        <v>0</v>
      </c>
      <c r="M889">
        <v>0</v>
      </c>
      <c r="N889" s="1">
        <f t="shared" si="54"/>
        <v>1</v>
      </c>
      <c r="O889" s="1" t="str">
        <f t="shared" si="55"/>
        <v>Single</v>
      </c>
      <c r="P889">
        <v>8.1125000000000007</v>
      </c>
      <c r="Q889" s="1" t="str" cm="1">
        <f t="array" ref="Q889">_xlfn.IFS(P889&lt;=50,"Low",P889&lt;=100,"Medium",P889&gt;100,"High")</f>
        <v>Low</v>
      </c>
      <c r="R889" t="s">
        <v>17</v>
      </c>
      <c r="S889" s="1" t="str" cm="1">
        <f t="array" ref="S889">_xlfn.IFS(R889="S","Southampton",R889="C","Cherbourg",R889="Q","Queenstown")</f>
        <v>Southampton</v>
      </c>
    </row>
    <row r="890" spans="1:19" x14ac:dyDescent="0.3">
      <c r="A890">
        <v>889</v>
      </c>
      <c r="B890">
        <v>3</v>
      </c>
      <c r="C890" s="1" t="str" cm="1">
        <f t="array" ref="C890">_xlfn.IFS(B890=1,"First Class",B890=2,"Second Class",B890=3,"Third Class")</f>
        <v>Third Class</v>
      </c>
      <c r="D890">
        <v>0</v>
      </c>
      <c r="E890" s="1" t="str">
        <f t="shared" si="52"/>
        <v>Dead</v>
      </c>
      <c r="F890" t="s">
        <v>1619</v>
      </c>
      <c r="G890" s="1" t="s">
        <v>2999</v>
      </c>
      <c r="H890" t="s">
        <v>20</v>
      </c>
      <c r="I890" s="1" t="str">
        <f t="shared" si="53"/>
        <v>Male</v>
      </c>
      <c r="J890" s="3">
        <v>34</v>
      </c>
      <c r="K890" s="3" t="str" cm="1">
        <f t="array" ref="K890">_xlfn.IFS(J890&lt;=13,"Child",J890&lt;=18,"Teenager",J890&lt;=30,"Young Adult",J890&lt;=50,"Middle Aged Adult",J890&gt;50,"Senior")</f>
        <v>Middle Aged Adult</v>
      </c>
      <c r="L890">
        <v>0</v>
      </c>
      <c r="M890">
        <v>0</v>
      </c>
      <c r="N890" s="1">
        <f t="shared" si="54"/>
        <v>1</v>
      </c>
      <c r="O890" s="1" t="str">
        <f t="shared" si="55"/>
        <v>Single</v>
      </c>
      <c r="P890">
        <v>6.4958</v>
      </c>
      <c r="Q890" s="1" t="str" cm="1">
        <f t="array" ref="Q890">_xlfn.IFS(P890&lt;=50,"Low",P890&lt;=100,"Medium",P890&gt;100,"High")</f>
        <v>Low</v>
      </c>
      <c r="R890" t="s">
        <v>17</v>
      </c>
      <c r="S890" s="1" t="str" cm="1">
        <f t="array" ref="S890">_xlfn.IFS(R890="S","Southampton",R890="C","Cherbourg",R890="Q","Queenstown")</f>
        <v>Southampton</v>
      </c>
    </row>
    <row r="891" spans="1:19" x14ac:dyDescent="0.3">
      <c r="A891">
        <v>890</v>
      </c>
      <c r="B891">
        <v>3</v>
      </c>
      <c r="C891" s="1" t="str" cm="1">
        <f t="array" ref="C891">_xlfn.IFS(B891=1,"First Class",B891=2,"Second Class",B891=3,"Third Class")</f>
        <v>Third Class</v>
      </c>
      <c r="D891">
        <v>1</v>
      </c>
      <c r="E891" s="1" t="str">
        <f t="shared" si="52"/>
        <v>Alive</v>
      </c>
      <c r="F891" t="s">
        <v>1620</v>
      </c>
      <c r="G891" s="1" t="s">
        <v>2999</v>
      </c>
      <c r="H891" t="s">
        <v>20</v>
      </c>
      <c r="I891" s="1" t="str">
        <f t="shared" si="53"/>
        <v>Male</v>
      </c>
      <c r="J891" s="3">
        <v>26</v>
      </c>
      <c r="K891" s="3" t="str" cm="1">
        <f t="array" ref="K891">_xlfn.IFS(J891&lt;=13,"Child",J891&lt;=18,"Teenager",J891&lt;=30,"Young Adult",J891&lt;=50,"Middle Aged Adult",J891&gt;50,"Senior")</f>
        <v>Young Adult</v>
      </c>
      <c r="L891">
        <v>0</v>
      </c>
      <c r="M891">
        <v>0</v>
      </c>
      <c r="N891" s="1">
        <f t="shared" si="54"/>
        <v>1</v>
      </c>
      <c r="O891" s="1" t="str">
        <f t="shared" si="55"/>
        <v>Single</v>
      </c>
      <c r="P891">
        <v>7.7750000000000004</v>
      </c>
      <c r="Q891" s="1" t="str" cm="1">
        <f t="array" ref="Q891">_xlfn.IFS(P891&lt;=50,"Low",P891&lt;=100,"Medium",P891&gt;100,"High")</f>
        <v>Low</v>
      </c>
      <c r="R891" t="s">
        <v>17</v>
      </c>
      <c r="S891" s="1" t="str" cm="1">
        <f t="array" ref="S891">_xlfn.IFS(R891="S","Southampton",R891="C","Cherbourg",R891="Q","Queenstown")</f>
        <v>Southampton</v>
      </c>
    </row>
    <row r="892" spans="1:19" x14ac:dyDescent="0.3">
      <c r="A892">
        <v>891</v>
      </c>
      <c r="B892">
        <v>3</v>
      </c>
      <c r="C892" s="1" t="str" cm="1">
        <f t="array" ref="C892">_xlfn.IFS(B892=1,"First Class",B892=2,"Second Class",B892=3,"Third Class")</f>
        <v>Third Class</v>
      </c>
      <c r="D892">
        <v>0</v>
      </c>
      <c r="E892" s="1" t="str">
        <f t="shared" si="52"/>
        <v>Dead</v>
      </c>
      <c r="F892" t="s">
        <v>1621</v>
      </c>
      <c r="G892" s="1" t="s">
        <v>2999</v>
      </c>
      <c r="H892" t="s">
        <v>20</v>
      </c>
      <c r="I892" s="1" t="str">
        <f t="shared" si="53"/>
        <v>Male</v>
      </c>
      <c r="J892" s="3">
        <v>22</v>
      </c>
      <c r="K892" s="3" t="str" cm="1">
        <f t="array" ref="K892">_xlfn.IFS(J892&lt;=13,"Child",J892&lt;=18,"Teenager",J892&lt;=30,"Young Adult",J892&lt;=50,"Middle Aged Adult",J892&gt;50,"Senior")</f>
        <v>Young Adult</v>
      </c>
      <c r="L892">
        <v>0</v>
      </c>
      <c r="M892">
        <v>0</v>
      </c>
      <c r="N892" s="1">
        <f t="shared" si="54"/>
        <v>1</v>
      </c>
      <c r="O892" s="1" t="str">
        <f t="shared" si="55"/>
        <v>Single</v>
      </c>
      <c r="P892">
        <v>7.7957999999999998</v>
      </c>
      <c r="Q892" s="1" t="str" cm="1">
        <f t="array" ref="Q892">_xlfn.IFS(P892&lt;=50,"Low",P892&lt;=100,"Medium",P892&gt;100,"High")</f>
        <v>Low</v>
      </c>
      <c r="R892" t="s">
        <v>17</v>
      </c>
      <c r="S892" s="1" t="str" cm="1">
        <f t="array" ref="S892">_xlfn.IFS(R892="S","Southampton",R892="C","Cherbourg",R892="Q","Queenstown")</f>
        <v>Southampton</v>
      </c>
    </row>
    <row r="893" spans="1:19" x14ac:dyDescent="0.3">
      <c r="A893">
        <v>892</v>
      </c>
      <c r="B893">
        <v>3</v>
      </c>
      <c r="C893" s="1" t="str" cm="1">
        <f t="array" ref="C893">_xlfn.IFS(B893=1,"First Class",B893=2,"Second Class",B893=3,"Third Class")</f>
        <v>Third Class</v>
      </c>
      <c r="D893">
        <v>0</v>
      </c>
      <c r="E893" s="1" t="str">
        <f t="shared" si="52"/>
        <v>Dead</v>
      </c>
      <c r="F893" t="s">
        <v>1622</v>
      </c>
      <c r="G893" s="1" t="s">
        <v>2999</v>
      </c>
      <c r="H893" t="s">
        <v>20</v>
      </c>
      <c r="I893" s="1" t="str">
        <f t="shared" si="53"/>
        <v>Male</v>
      </c>
      <c r="J893" s="3">
        <v>33</v>
      </c>
      <c r="K893" s="3" t="str" cm="1">
        <f t="array" ref="K893">_xlfn.IFS(J893&lt;=13,"Child",J893&lt;=18,"Teenager",J893&lt;=30,"Young Adult",J893&lt;=50,"Middle Aged Adult",J893&gt;50,"Senior")</f>
        <v>Middle Aged Adult</v>
      </c>
      <c r="L893">
        <v>0</v>
      </c>
      <c r="M893">
        <v>0</v>
      </c>
      <c r="N893" s="1">
        <f t="shared" si="54"/>
        <v>1</v>
      </c>
      <c r="O893" s="1" t="str">
        <f t="shared" si="55"/>
        <v>Single</v>
      </c>
      <c r="P893">
        <v>8.6541999999999994</v>
      </c>
      <c r="Q893" s="1" t="str" cm="1">
        <f t="array" ref="Q893">_xlfn.IFS(P893&lt;=50,"Low",P893&lt;=100,"Medium",P893&gt;100,"High")</f>
        <v>Low</v>
      </c>
      <c r="R893" t="s">
        <v>17</v>
      </c>
      <c r="S893" s="1" t="str" cm="1">
        <f t="array" ref="S893">_xlfn.IFS(R893="S","Southampton",R893="C","Cherbourg",R893="Q","Queenstown")</f>
        <v>Southampton</v>
      </c>
    </row>
    <row r="894" spans="1:19" x14ac:dyDescent="0.3">
      <c r="A894">
        <v>893</v>
      </c>
      <c r="B894">
        <v>3</v>
      </c>
      <c r="C894" s="1" t="str" cm="1">
        <f t="array" ref="C894">_xlfn.IFS(B894=1,"First Class",B894=2,"Second Class",B894=3,"Third Class")</f>
        <v>Third Class</v>
      </c>
      <c r="D894">
        <v>0</v>
      </c>
      <c r="E894" s="1" t="str">
        <f t="shared" si="52"/>
        <v>Dead</v>
      </c>
      <c r="F894" t="s">
        <v>1623</v>
      </c>
      <c r="G894" s="1" t="s">
        <v>2999</v>
      </c>
      <c r="H894" t="s">
        <v>20</v>
      </c>
      <c r="I894" s="1" t="str">
        <f t="shared" si="53"/>
        <v>Male</v>
      </c>
      <c r="J894" s="3">
        <v>31</v>
      </c>
      <c r="K894" s="3" t="str" cm="1">
        <f t="array" ref="K894">_xlfn.IFS(J894&lt;=13,"Child",J894&lt;=18,"Teenager",J894&lt;=30,"Young Adult",J894&lt;=50,"Middle Aged Adult",J894&gt;50,"Senior")</f>
        <v>Middle Aged Adult</v>
      </c>
      <c r="L894">
        <v>0</v>
      </c>
      <c r="M894">
        <v>0</v>
      </c>
      <c r="N894" s="1">
        <f t="shared" si="54"/>
        <v>1</v>
      </c>
      <c r="O894" s="1" t="str">
        <f t="shared" si="55"/>
        <v>Single</v>
      </c>
      <c r="P894">
        <v>7.7750000000000004</v>
      </c>
      <c r="Q894" s="1" t="str" cm="1">
        <f t="array" ref="Q894">_xlfn.IFS(P894&lt;=50,"Low",P894&lt;=100,"Medium",P894&gt;100,"High")</f>
        <v>Low</v>
      </c>
      <c r="R894" t="s">
        <v>17</v>
      </c>
      <c r="S894" s="1" t="str" cm="1">
        <f t="array" ref="S894">_xlfn.IFS(R894="S","Southampton",R894="C","Cherbourg",R894="Q","Queenstown")</f>
        <v>Southampton</v>
      </c>
    </row>
    <row r="895" spans="1:19" x14ac:dyDescent="0.3">
      <c r="A895">
        <v>894</v>
      </c>
      <c r="B895">
        <v>3</v>
      </c>
      <c r="C895" s="1" t="str" cm="1">
        <f t="array" ref="C895">_xlfn.IFS(B895=1,"First Class",B895=2,"Second Class",B895=3,"Third Class")</f>
        <v>Third Class</v>
      </c>
      <c r="D895">
        <v>0</v>
      </c>
      <c r="E895" s="1" t="str">
        <f t="shared" si="52"/>
        <v>Dead</v>
      </c>
      <c r="F895" t="s">
        <v>1624</v>
      </c>
      <c r="G895" s="1" t="s">
        <v>2999</v>
      </c>
      <c r="H895" t="s">
        <v>20</v>
      </c>
      <c r="I895" s="1" t="str">
        <f t="shared" si="53"/>
        <v>Male</v>
      </c>
      <c r="J895" s="3">
        <v>29</v>
      </c>
      <c r="K895" s="3" t="str" cm="1">
        <f t="array" ref="K895">_xlfn.IFS(J895&lt;=13,"Child",J895&lt;=18,"Teenager",J895&lt;=30,"Young Adult",J895&lt;=50,"Middle Aged Adult",J895&gt;50,"Senior")</f>
        <v>Young Adult</v>
      </c>
      <c r="L895">
        <v>0</v>
      </c>
      <c r="M895">
        <v>0</v>
      </c>
      <c r="N895" s="1">
        <f t="shared" si="54"/>
        <v>1</v>
      </c>
      <c r="O895" s="1" t="str">
        <f t="shared" si="55"/>
        <v>Single</v>
      </c>
      <c r="P895">
        <v>7.8541999999999996</v>
      </c>
      <c r="Q895" s="1" t="str" cm="1">
        <f t="array" ref="Q895">_xlfn.IFS(P895&lt;=50,"Low",P895&lt;=100,"Medium",P895&gt;100,"High")</f>
        <v>Low</v>
      </c>
      <c r="R895" t="s">
        <v>17</v>
      </c>
      <c r="S895" s="1" t="str" cm="1">
        <f t="array" ref="S895">_xlfn.IFS(R895="S","Southampton",R895="C","Cherbourg",R895="Q","Queenstown")</f>
        <v>Southampton</v>
      </c>
    </row>
    <row r="896" spans="1:19" x14ac:dyDescent="0.3">
      <c r="A896">
        <v>895</v>
      </c>
      <c r="B896">
        <v>3</v>
      </c>
      <c r="C896" s="1" t="str" cm="1">
        <f t="array" ref="C896">_xlfn.IFS(B896=1,"First Class",B896=2,"Second Class",B896=3,"Third Class")</f>
        <v>Third Class</v>
      </c>
      <c r="D896">
        <v>1</v>
      </c>
      <c r="E896" s="1" t="str">
        <f t="shared" si="52"/>
        <v>Alive</v>
      </c>
      <c r="F896" t="s">
        <v>1625</v>
      </c>
      <c r="G896" s="1" t="s">
        <v>2996</v>
      </c>
      <c r="H896" t="s">
        <v>20</v>
      </c>
      <c r="I896" s="1" t="str">
        <f t="shared" si="53"/>
        <v>Male</v>
      </c>
      <c r="J896" s="3">
        <v>4</v>
      </c>
      <c r="K896" s="3" t="str" cm="1">
        <f t="array" ref="K896">_xlfn.IFS(J896&lt;=13,"Child",J896&lt;=18,"Teenager",J896&lt;=30,"Young Adult",J896&lt;=50,"Middle Aged Adult",J896&gt;50,"Senior")</f>
        <v>Child</v>
      </c>
      <c r="L896">
        <v>1</v>
      </c>
      <c r="M896">
        <v>1</v>
      </c>
      <c r="N896" s="1">
        <f t="shared" si="54"/>
        <v>3</v>
      </c>
      <c r="O896" s="1" t="str">
        <f t="shared" si="55"/>
        <v>With Family</v>
      </c>
      <c r="P896">
        <v>11.1333</v>
      </c>
      <c r="Q896" s="1" t="str" cm="1">
        <f t="array" ref="Q896">_xlfn.IFS(P896&lt;=50,"Low",P896&lt;=100,"Medium",P896&gt;100,"High")</f>
        <v>Low</v>
      </c>
      <c r="R896" t="s">
        <v>17</v>
      </c>
      <c r="S896" s="1" t="str" cm="1">
        <f t="array" ref="S896">_xlfn.IFS(R896="S","Southampton",R896="C","Cherbourg",R896="Q","Queenstown")</f>
        <v>Southampton</v>
      </c>
    </row>
    <row r="897" spans="1:19" x14ac:dyDescent="0.3">
      <c r="A897">
        <v>896</v>
      </c>
      <c r="B897">
        <v>3</v>
      </c>
      <c r="C897" s="1" t="str" cm="1">
        <f t="array" ref="C897">_xlfn.IFS(B897=1,"First Class",B897=2,"Second Class",B897=3,"Third Class")</f>
        <v>Third Class</v>
      </c>
      <c r="D897">
        <v>1</v>
      </c>
      <c r="E897" s="1" t="str">
        <f t="shared" si="52"/>
        <v>Alive</v>
      </c>
      <c r="F897" t="s">
        <v>1626</v>
      </c>
      <c r="G897" s="1" t="s">
        <v>2994</v>
      </c>
      <c r="H897" t="s">
        <v>15</v>
      </c>
      <c r="I897" s="1" t="str">
        <f t="shared" si="53"/>
        <v>Female</v>
      </c>
      <c r="J897" s="3">
        <v>1</v>
      </c>
      <c r="K897" s="3" t="str" cm="1">
        <f t="array" ref="K897">_xlfn.IFS(J897&lt;=13,"Child",J897&lt;=18,"Teenager",J897&lt;=30,"Young Adult",J897&lt;=50,"Middle Aged Adult",J897&gt;50,"Senior")</f>
        <v>Child</v>
      </c>
      <c r="L897">
        <v>1</v>
      </c>
      <c r="M897">
        <v>1</v>
      </c>
      <c r="N897" s="1">
        <f t="shared" si="54"/>
        <v>3</v>
      </c>
      <c r="O897" s="1" t="str">
        <f t="shared" si="55"/>
        <v>With Family</v>
      </c>
      <c r="P897">
        <v>11.1333</v>
      </c>
      <c r="Q897" s="1" t="str" cm="1">
        <f t="array" ref="Q897">_xlfn.IFS(P897&lt;=50,"Low",P897&lt;=100,"Medium",P897&gt;100,"High")</f>
        <v>Low</v>
      </c>
      <c r="R897" t="s">
        <v>17</v>
      </c>
      <c r="S897" s="1" t="str" cm="1">
        <f t="array" ref="S897">_xlfn.IFS(R897="S","Southampton",R897="C","Cherbourg",R897="Q","Queenstown")</f>
        <v>Southampton</v>
      </c>
    </row>
    <row r="898" spans="1:19" x14ac:dyDescent="0.3">
      <c r="A898">
        <v>897</v>
      </c>
      <c r="B898">
        <v>3</v>
      </c>
      <c r="C898" s="1" t="str" cm="1">
        <f t="array" ref="C898">_xlfn.IFS(B898=1,"First Class",B898=2,"Second Class",B898=3,"Third Class")</f>
        <v>Third Class</v>
      </c>
      <c r="D898">
        <v>0</v>
      </c>
      <c r="E898" s="1" t="str">
        <f t="shared" si="52"/>
        <v>Dead</v>
      </c>
      <c r="F898" t="s">
        <v>1627</v>
      </c>
      <c r="G898" s="1" t="s">
        <v>2999</v>
      </c>
      <c r="H898" t="s">
        <v>20</v>
      </c>
      <c r="I898" s="1" t="str">
        <f t="shared" si="53"/>
        <v>Male</v>
      </c>
      <c r="J898" s="3">
        <v>49</v>
      </c>
      <c r="K898" s="3" t="str" cm="1">
        <f t="array" ref="K898">_xlfn.IFS(J898&lt;=13,"Child",J898&lt;=18,"Teenager",J898&lt;=30,"Young Adult",J898&lt;=50,"Middle Aged Adult",J898&gt;50,"Senior")</f>
        <v>Middle Aged Adult</v>
      </c>
      <c r="L898">
        <v>0</v>
      </c>
      <c r="M898">
        <v>0</v>
      </c>
      <c r="N898" s="1">
        <f t="shared" si="54"/>
        <v>1</v>
      </c>
      <c r="O898" s="1" t="str">
        <f t="shared" si="55"/>
        <v>Single</v>
      </c>
      <c r="P898">
        <v>0</v>
      </c>
      <c r="Q898" s="1" t="str" cm="1">
        <f t="array" ref="Q898">_xlfn.IFS(P898&lt;=50,"Low",P898&lt;=100,"Medium",P898&gt;100,"High")</f>
        <v>Low</v>
      </c>
      <c r="R898" t="s">
        <v>17</v>
      </c>
      <c r="S898" s="1" t="str" cm="1">
        <f t="array" ref="S898">_xlfn.IFS(R898="S","Southampton",R898="C","Cherbourg",R898="Q","Queenstown")</f>
        <v>Southampton</v>
      </c>
    </row>
    <row r="899" spans="1:19" x14ac:dyDescent="0.3">
      <c r="A899">
        <v>898</v>
      </c>
      <c r="B899">
        <v>3</v>
      </c>
      <c r="C899" s="1" t="str" cm="1">
        <f t="array" ref="C899">_xlfn.IFS(B899=1,"First Class",B899=2,"Second Class",B899=3,"Third Class")</f>
        <v>Third Class</v>
      </c>
      <c r="D899">
        <v>0</v>
      </c>
      <c r="E899" s="1" t="str">
        <f t="shared" ref="E899:E962" si="56">IF(D899=0,"Dead","Alive")</f>
        <v>Dead</v>
      </c>
      <c r="F899" t="s">
        <v>1629</v>
      </c>
      <c r="G899" s="1" t="s">
        <v>2999</v>
      </c>
      <c r="H899" t="s">
        <v>20</v>
      </c>
      <c r="I899" s="1" t="str">
        <f t="shared" ref="I899:I962" si="57">PROPER(H899)</f>
        <v>Male</v>
      </c>
      <c r="J899" s="3">
        <v>33</v>
      </c>
      <c r="K899" s="3" t="str" cm="1">
        <f t="array" ref="K899">_xlfn.IFS(J899&lt;=13,"Child",J899&lt;=18,"Teenager",J899&lt;=30,"Young Adult",J899&lt;=50,"Middle Aged Adult",J899&gt;50,"Senior")</f>
        <v>Middle Aged Adult</v>
      </c>
      <c r="L899">
        <v>0</v>
      </c>
      <c r="M899">
        <v>0</v>
      </c>
      <c r="N899" s="1">
        <f t="shared" ref="N899:N962" si="58">L899+M899+1</f>
        <v>1</v>
      </c>
      <c r="O899" s="1" t="str">
        <f t="shared" ref="O899:O962" si="59">IF(N899=1,"Single","With Family")</f>
        <v>Single</v>
      </c>
      <c r="P899">
        <v>7.7750000000000004</v>
      </c>
      <c r="Q899" s="1" t="str" cm="1">
        <f t="array" ref="Q899">_xlfn.IFS(P899&lt;=50,"Low",P899&lt;=100,"Medium",P899&gt;100,"High")</f>
        <v>Low</v>
      </c>
      <c r="R899" t="s">
        <v>17</v>
      </c>
      <c r="S899" s="1" t="str" cm="1">
        <f t="array" ref="S899">_xlfn.IFS(R899="S","Southampton",R899="C","Cherbourg",R899="Q","Queenstown")</f>
        <v>Southampton</v>
      </c>
    </row>
    <row r="900" spans="1:19" x14ac:dyDescent="0.3">
      <c r="A900">
        <v>899</v>
      </c>
      <c r="B900">
        <v>3</v>
      </c>
      <c r="C900" s="1" t="str" cm="1">
        <f t="array" ref="C900">_xlfn.IFS(B900=1,"First Class",B900=2,"Second Class",B900=3,"Third Class")</f>
        <v>Third Class</v>
      </c>
      <c r="D900">
        <v>0</v>
      </c>
      <c r="E900" s="1" t="str">
        <f t="shared" si="56"/>
        <v>Dead</v>
      </c>
      <c r="F900" t="s">
        <v>1630</v>
      </c>
      <c r="G900" s="1" t="s">
        <v>2999</v>
      </c>
      <c r="H900" t="s">
        <v>20</v>
      </c>
      <c r="I900" s="1" t="str">
        <f t="shared" si="57"/>
        <v>Male</v>
      </c>
      <c r="J900" s="3">
        <v>19</v>
      </c>
      <c r="K900" s="3" t="str" cm="1">
        <f t="array" ref="K900">_xlfn.IFS(J900&lt;=13,"Child",J900&lt;=18,"Teenager",J900&lt;=30,"Young Adult",J900&lt;=50,"Middle Aged Adult",J900&gt;50,"Senior")</f>
        <v>Young Adult</v>
      </c>
      <c r="L900">
        <v>0</v>
      </c>
      <c r="M900">
        <v>0</v>
      </c>
      <c r="N900" s="1">
        <f t="shared" si="58"/>
        <v>1</v>
      </c>
      <c r="O900" s="1" t="str">
        <f t="shared" si="59"/>
        <v>Single</v>
      </c>
      <c r="P900">
        <v>0</v>
      </c>
      <c r="Q900" s="1" t="str" cm="1">
        <f t="array" ref="Q900">_xlfn.IFS(P900&lt;=50,"Low",P900&lt;=100,"Medium",P900&gt;100,"High")</f>
        <v>Low</v>
      </c>
      <c r="R900" t="s">
        <v>17</v>
      </c>
      <c r="S900" s="1" t="str" cm="1">
        <f t="array" ref="S900">_xlfn.IFS(R900="S","Southampton",R900="C","Cherbourg",R900="Q","Queenstown")</f>
        <v>Southampton</v>
      </c>
    </row>
    <row r="901" spans="1:19" x14ac:dyDescent="0.3">
      <c r="A901">
        <v>900</v>
      </c>
      <c r="B901">
        <v>3</v>
      </c>
      <c r="C901" s="1" t="str" cm="1">
        <f t="array" ref="C901">_xlfn.IFS(B901=1,"First Class",B901=2,"Second Class",B901=3,"Third Class")</f>
        <v>Third Class</v>
      </c>
      <c r="D901">
        <v>1</v>
      </c>
      <c r="E901" s="1" t="str">
        <f t="shared" si="56"/>
        <v>Alive</v>
      </c>
      <c r="F901" t="s">
        <v>1631</v>
      </c>
      <c r="G901" s="1" t="s">
        <v>3001</v>
      </c>
      <c r="H901" t="s">
        <v>15</v>
      </c>
      <c r="I901" s="1" t="str">
        <f t="shared" si="57"/>
        <v>Female</v>
      </c>
      <c r="J901" s="3">
        <v>27</v>
      </c>
      <c r="K901" s="3" t="str" cm="1">
        <f t="array" ref="K901">_xlfn.IFS(J901&lt;=13,"Child",J901&lt;=18,"Teenager",J901&lt;=30,"Young Adult",J901&lt;=50,"Middle Aged Adult",J901&gt;50,"Senior")</f>
        <v>Young Adult</v>
      </c>
      <c r="L901">
        <v>0</v>
      </c>
      <c r="M901">
        <v>2</v>
      </c>
      <c r="N901" s="1">
        <f t="shared" si="58"/>
        <v>3</v>
      </c>
      <c r="O901" s="1" t="str">
        <f t="shared" si="59"/>
        <v>With Family</v>
      </c>
      <c r="P901">
        <v>11.1333</v>
      </c>
      <c r="Q901" s="1" t="str" cm="1">
        <f t="array" ref="Q901">_xlfn.IFS(P901&lt;=50,"Low",P901&lt;=100,"Medium",P901&gt;100,"High")</f>
        <v>Low</v>
      </c>
      <c r="R901" t="s">
        <v>17</v>
      </c>
      <c r="S901" s="1" t="str" cm="1">
        <f t="array" ref="S901">_xlfn.IFS(R901="S","Southampton",R901="C","Cherbourg",R901="Q","Queenstown")</f>
        <v>Southampton</v>
      </c>
    </row>
    <row r="902" spans="1:19" x14ac:dyDescent="0.3">
      <c r="A902">
        <v>901</v>
      </c>
      <c r="B902">
        <v>3</v>
      </c>
      <c r="C902" s="1" t="str" cm="1">
        <f t="array" ref="C902">_xlfn.IFS(B902=1,"First Class",B902=2,"Second Class",B902=3,"Third Class")</f>
        <v>Third Class</v>
      </c>
      <c r="D902">
        <v>0</v>
      </c>
      <c r="E902" s="1" t="str">
        <f t="shared" si="56"/>
        <v>Dead</v>
      </c>
      <c r="F902" t="s">
        <v>1632</v>
      </c>
      <c r="G902" s="1" t="s">
        <v>2996</v>
      </c>
      <c r="H902" t="s">
        <v>20</v>
      </c>
      <c r="I902" s="1" t="str">
        <f t="shared" si="57"/>
        <v>Male</v>
      </c>
      <c r="J902" s="3">
        <v>29.881137667304014</v>
      </c>
      <c r="K902" s="3" t="str" cm="1">
        <f t="array" ref="K902">_xlfn.IFS(J902&lt;=13,"Child",J902&lt;=18,"Teenager",J902&lt;=30,"Young Adult",J902&lt;=50,"Middle Aged Adult",J902&gt;50,"Senior")</f>
        <v>Young Adult</v>
      </c>
      <c r="L902">
        <v>1</v>
      </c>
      <c r="M902">
        <v>2</v>
      </c>
      <c r="N902" s="1">
        <f t="shared" si="58"/>
        <v>4</v>
      </c>
      <c r="O902" s="1" t="str">
        <f t="shared" si="59"/>
        <v>With Family</v>
      </c>
      <c r="P902">
        <v>23.45</v>
      </c>
      <c r="Q902" s="1" t="str" cm="1">
        <f t="array" ref="Q902">_xlfn.IFS(P902&lt;=50,"Low",P902&lt;=100,"Medium",P902&gt;100,"High")</f>
        <v>Low</v>
      </c>
      <c r="R902" t="s">
        <v>17</v>
      </c>
      <c r="S902" s="1" t="str" cm="1">
        <f t="array" ref="S902">_xlfn.IFS(R902="S","Southampton",R902="C","Cherbourg",R902="Q","Queenstown")</f>
        <v>Southampton</v>
      </c>
    </row>
    <row r="903" spans="1:19" x14ac:dyDescent="0.3">
      <c r="A903">
        <v>902</v>
      </c>
      <c r="B903">
        <v>3</v>
      </c>
      <c r="C903" s="1" t="str" cm="1">
        <f t="array" ref="C903">_xlfn.IFS(B903=1,"First Class",B903=2,"Second Class",B903=3,"Third Class")</f>
        <v>Third Class</v>
      </c>
      <c r="D903">
        <v>0</v>
      </c>
      <c r="E903" s="1" t="str">
        <f t="shared" si="56"/>
        <v>Dead</v>
      </c>
      <c r="F903" t="s">
        <v>1634</v>
      </c>
      <c r="G903" s="1" t="s">
        <v>2994</v>
      </c>
      <c r="H903" t="s">
        <v>15</v>
      </c>
      <c r="I903" s="1" t="str">
        <f t="shared" si="57"/>
        <v>Female</v>
      </c>
      <c r="J903" s="3">
        <v>29.881137667304014</v>
      </c>
      <c r="K903" s="3" t="str" cm="1">
        <f t="array" ref="K903">_xlfn.IFS(J903&lt;=13,"Child",J903&lt;=18,"Teenager",J903&lt;=30,"Young Adult",J903&lt;=50,"Middle Aged Adult",J903&gt;50,"Senior")</f>
        <v>Young Adult</v>
      </c>
      <c r="L903">
        <v>1</v>
      </c>
      <c r="M903">
        <v>2</v>
      </c>
      <c r="N903" s="1">
        <f t="shared" si="58"/>
        <v>4</v>
      </c>
      <c r="O903" s="1" t="str">
        <f t="shared" si="59"/>
        <v>With Family</v>
      </c>
      <c r="P903">
        <v>23.45</v>
      </c>
      <c r="Q903" s="1" t="str" cm="1">
        <f t="array" ref="Q903">_xlfn.IFS(P903&lt;=50,"Low",P903&lt;=100,"Medium",P903&gt;100,"High")</f>
        <v>Low</v>
      </c>
      <c r="R903" t="s">
        <v>17</v>
      </c>
      <c r="S903" s="1" t="str" cm="1">
        <f t="array" ref="S903">_xlfn.IFS(R903="S","Southampton",R903="C","Cherbourg",R903="Q","Queenstown")</f>
        <v>Southampton</v>
      </c>
    </row>
    <row r="904" spans="1:19" x14ac:dyDescent="0.3">
      <c r="A904">
        <v>903</v>
      </c>
      <c r="B904">
        <v>3</v>
      </c>
      <c r="C904" s="1" t="str" cm="1">
        <f t="array" ref="C904">_xlfn.IFS(B904=1,"First Class",B904=2,"Second Class",B904=3,"Third Class")</f>
        <v>Third Class</v>
      </c>
      <c r="D904">
        <v>0</v>
      </c>
      <c r="E904" s="1" t="str">
        <f t="shared" si="56"/>
        <v>Dead</v>
      </c>
      <c r="F904" t="s">
        <v>1635</v>
      </c>
      <c r="G904" s="1" t="s">
        <v>2999</v>
      </c>
      <c r="H904" t="s">
        <v>20</v>
      </c>
      <c r="I904" s="1" t="str">
        <f t="shared" si="57"/>
        <v>Male</v>
      </c>
      <c r="J904" s="3">
        <v>29.881137667304014</v>
      </c>
      <c r="K904" s="3" t="str" cm="1">
        <f t="array" ref="K904">_xlfn.IFS(J904&lt;=13,"Child",J904&lt;=18,"Teenager",J904&lt;=30,"Young Adult",J904&lt;=50,"Middle Aged Adult",J904&gt;50,"Senior")</f>
        <v>Young Adult</v>
      </c>
      <c r="L904">
        <v>1</v>
      </c>
      <c r="M904">
        <v>2</v>
      </c>
      <c r="N904" s="1">
        <f t="shared" si="58"/>
        <v>4</v>
      </c>
      <c r="O904" s="1" t="str">
        <f t="shared" si="59"/>
        <v>With Family</v>
      </c>
      <c r="P904">
        <v>23.45</v>
      </c>
      <c r="Q904" s="1" t="str" cm="1">
        <f t="array" ref="Q904">_xlfn.IFS(P904&lt;=50,"Low",P904&lt;=100,"Medium",P904&gt;100,"High")</f>
        <v>Low</v>
      </c>
      <c r="R904" t="s">
        <v>17</v>
      </c>
      <c r="S904" s="1" t="str" cm="1">
        <f t="array" ref="S904">_xlfn.IFS(R904="S","Southampton",R904="C","Cherbourg",R904="Q","Queenstown")</f>
        <v>Southampton</v>
      </c>
    </row>
    <row r="905" spans="1:19" x14ac:dyDescent="0.3">
      <c r="A905">
        <v>904</v>
      </c>
      <c r="B905">
        <v>3</v>
      </c>
      <c r="C905" s="1" t="str" cm="1">
        <f t="array" ref="C905">_xlfn.IFS(B905=1,"First Class",B905=2,"Second Class",B905=3,"Third Class")</f>
        <v>Third Class</v>
      </c>
      <c r="D905">
        <v>0</v>
      </c>
      <c r="E905" s="1" t="str">
        <f t="shared" si="56"/>
        <v>Dead</v>
      </c>
      <c r="F905" t="s">
        <v>1636</v>
      </c>
      <c r="G905" s="1" t="s">
        <v>3001</v>
      </c>
      <c r="H905" t="s">
        <v>15</v>
      </c>
      <c r="I905" s="1" t="str">
        <f t="shared" si="57"/>
        <v>Female</v>
      </c>
      <c r="J905" s="3">
        <v>29.881137667304014</v>
      </c>
      <c r="K905" s="3" t="str" cm="1">
        <f t="array" ref="K905">_xlfn.IFS(J905&lt;=13,"Child",J905&lt;=18,"Teenager",J905&lt;=30,"Young Adult",J905&lt;=50,"Middle Aged Adult",J905&gt;50,"Senior")</f>
        <v>Young Adult</v>
      </c>
      <c r="L905">
        <v>1</v>
      </c>
      <c r="M905">
        <v>2</v>
      </c>
      <c r="N905" s="1">
        <f t="shared" si="58"/>
        <v>4</v>
      </c>
      <c r="O905" s="1" t="str">
        <f t="shared" si="59"/>
        <v>With Family</v>
      </c>
      <c r="P905">
        <v>23.45</v>
      </c>
      <c r="Q905" s="1" t="str" cm="1">
        <f t="array" ref="Q905">_xlfn.IFS(P905&lt;=50,"Low",P905&lt;=100,"Medium",P905&gt;100,"High")</f>
        <v>Low</v>
      </c>
      <c r="R905" t="s">
        <v>17</v>
      </c>
      <c r="S905" s="1" t="str" cm="1">
        <f t="array" ref="S905">_xlfn.IFS(R905="S","Southampton",R905="C","Cherbourg",R905="Q","Queenstown")</f>
        <v>Southampton</v>
      </c>
    </row>
    <row r="906" spans="1:19" x14ac:dyDescent="0.3">
      <c r="A906">
        <v>905</v>
      </c>
      <c r="B906">
        <v>3</v>
      </c>
      <c r="C906" s="1" t="str" cm="1">
        <f t="array" ref="C906">_xlfn.IFS(B906=1,"First Class",B906=2,"Second Class",B906=3,"Third Class")</f>
        <v>Third Class</v>
      </c>
      <c r="D906">
        <v>0</v>
      </c>
      <c r="E906" s="1" t="str">
        <f t="shared" si="56"/>
        <v>Dead</v>
      </c>
      <c r="F906" t="s">
        <v>1637</v>
      </c>
      <c r="G906" s="1" t="s">
        <v>2999</v>
      </c>
      <c r="H906" t="s">
        <v>20</v>
      </c>
      <c r="I906" s="1" t="str">
        <f t="shared" si="57"/>
        <v>Male</v>
      </c>
      <c r="J906" s="3">
        <v>23</v>
      </c>
      <c r="K906" s="3" t="str" cm="1">
        <f t="array" ref="K906">_xlfn.IFS(J906&lt;=13,"Child",J906&lt;=18,"Teenager",J906&lt;=30,"Young Adult",J906&lt;=50,"Middle Aged Adult",J906&gt;50,"Senior")</f>
        <v>Young Adult</v>
      </c>
      <c r="L906">
        <v>0</v>
      </c>
      <c r="M906">
        <v>0</v>
      </c>
      <c r="N906" s="1">
        <f t="shared" si="58"/>
        <v>1</v>
      </c>
      <c r="O906" s="1" t="str">
        <f t="shared" si="59"/>
        <v>Single</v>
      </c>
      <c r="P906">
        <v>7.8958000000000004</v>
      </c>
      <c r="Q906" s="1" t="str" cm="1">
        <f t="array" ref="Q906">_xlfn.IFS(P906&lt;=50,"Low",P906&lt;=100,"Medium",P906&gt;100,"High")</f>
        <v>Low</v>
      </c>
      <c r="R906" t="s">
        <v>17</v>
      </c>
      <c r="S906" s="1" t="str" cm="1">
        <f t="array" ref="S906">_xlfn.IFS(R906="S","Southampton",R906="C","Cherbourg",R906="Q","Queenstown")</f>
        <v>Southampton</v>
      </c>
    </row>
    <row r="907" spans="1:19" x14ac:dyDescent="0.3">
      <c r="A907">
        <v>906</v>
      </c>
      <c r="B907">
        <v>3</v>
      </c>
      <c r="C907" s="1" t="str" cm="1">
        <f t="array" ref="C907">_xlfn.IFS(B907=1,"First Class",B907=2,"Second Class",B907=3,"Third Class")</f>
        <v>Third Class</v>
      </c>
      <c r="D907">
        <v>1</v>
      </c>
      <c r="E907" s="1" t="str">
        <f t="shared" si="56"/>
        <v>Alive</v>
      </c>
      <c r="F907" t="s">
        <v>1638</v>
      </c>
      <c r="G907" s="1" t="s">
        <v>2999</v>
      </c>
      <c r="H907" t="s">
        <v>20</v>
      </c>
      <c r="I907" s="1" t="str">
        <f t="shared" si="57"/>
        <v>Male</v>
      </c>
      <c r="J907" s="3">
        <v>32</v>
      </c>
      <c r="K907" s="3" t="str" cm="1">
        <f t="array" ref="K907">_xlfn.IFS(J907&lt;=13,"Child",J907&lt;=18,"Teenager",J907&lt;=30,"Young Adult",J907&lt;=50,"Middle Aged Adult",J907&gt;50,"Senior")</f>
        <v>Middle Aged Adult</v>
      </c>
      <c r="L907">
        <v>0</v>
      </c>
      <c r="M907">
        <v>0</v>
      </c>
      <c r="N907" s="1">
        <f t="shared" si="58"/>
        <v>1</v>
      </c>
      <c r="O907" s="1" t="str">
        <f t="shared" si="59"/>
        <v>Single</v>
      </c>
      <c r="P907">
        <v>7.8541999999999996</v>
      </c>
      <c r="Q907" s="1" t="str" cm="1">
        <f t="array" ref="Q907">_xlfn.IFS(P907&lt;=50,"Low",P907&lt;=100,"Medium",P907&gt;100,"High")</f>
        <v>Low</v>
      </c>
      <c r="R907" t="s">
        <v>17</v>
      </c>
      <c r="S907" s="1" t="str" cm="1">
        <f t="array" ref="S907">_xlfn.IFS(R907="S","Southampton",R907="C","Cherbourg",R907="Q","Queenstown")</f>
        <v>Southampton</v>
      </c>
    </row>
    <row r="908" spans="1:19" x14ac:dyDescent="0.3">
      <c r="A908">
        <v>907</v>
      </c>
      <c r="B908">
        <v>3</v>
      </c>
      <c r="C908" s="1" t="str" cm="1">
        <f t="array" ref="C908">_xlfn.IFS(B908=1,"First Class",B908=2,"Second Class",B908=3,"Third Class")</f>
        <v>Third Class</v>
      </c>
      <c r="D908">
        <v>0</v>
      </c>
      <c r="E908" s="1" t="str">
        <f t="shared" si="56"/>
        <v>Dead</v>
      </c>
      <c r="F908" t="s">
        <v>1639</v>
      </c>
      <c r="G908" s="1" t="s">
        <v>2999</v>
      </c>
      <c r="H908" t="s">
        <v>20</v>
      </c>
      <c r="I908" s="1" t="str">
        <f t="shared" si="57"/>
        <v>Male</v>
      </c>
      <c r="J908" s="3">
        <v>27</v>
      </c>
      <c r="K908" s="3" t="str" cm="1">
        <f t="array" ref="K908">_xlfn.IFS(J908&lt;=13,"Child",J908&lt;=18,"Teenager",J908&lt;=30,"Young Adult",J908&lt;=50,"Middle Aged Adult",J908&gt;50,"Senior")</f>
        <v>Young Adult</v>
      </c>
      <c r="L908">
        <v>0</v>
      </c>
      <c r="M908">
        <v>0</v>
      </c>
      <c r="N908" s="1">
        <f t="shared" si="58"/>
        <v>1</v>
      </c>
      <c r="O908" s="1" t="str">
        <f t="shared" si="59"/>
        <v>Single</v>
      </c>
      <c r="P908">
        <v>7.8541999999999996</v>
      </c>
      <c r="Q908" s="1" t="str" cm="1">
        <f t="array" ref="Q908">_xlfn.IFS(P908&lt;=50,"Low",P908&lt;=100,"Medium",P908&gt;100,"High")</f>
        <v>Low</v>
      </c>
      <c r="R908" t="s">
        <v>17</v>
      </c>
      <c r="S908" s="1" t="str" cm="1">
        <f t="array" ref="S908">_xlfn.IFS(R908="S","Southampton",R908="C","Cherbourg",R908="Q","Queenstown")</f>
        <v>Southampton</v>
      </c>
    </row>
    <row r="909" spans="1:19" x14ac:dyDescent="0.3">
      <c r="A909">
        <v>908</v>
      </c>
      <c r="B909">
        <v>3</v>
      </c>
      <c r="C909" s="1" t="str" cm="1">
        <f t="array" ref="C909">_xlfn.IFS(B909=1,"First Class",B909=2,"Second Class",B909=3,"Third Class")</f>
        <v>Third Class</v>
      </c>
      <c r="D909">
        <v>0</v>
      </c>
      <c r="E909" s="1" t="str">
        <f t="shared" si="56"/>
        <v>Dead</v>
      </c>
      <c r="F909" t="s">
        <v>1640</v>
      </c>
      <c r="G909" s="1" t="s">
        <v>2994</v>
      </c>
      <c r="H909" t="s">
        <v>15</v>
      </c>
      <c r="I909" s="1" t="str">
        <f t="shared" si="57"/>
        <v>Female</v>
      </c>
      <c r="J909" s="3">
        <v>20</v>
      </c>
      <c r="K909" s="3" t="str" cm="1">
        <f t="array" ref="K909">_xlfn.IFS(J909&lt;=13,"Child",J909&lt;=18,"Teenager",J909&lt;=30,"Young Adult",J909&lt;=50,"Middle Aged Adult",J909&gt;50,"Senior")</f>
        <v>Young Adult</v>
      </c>
      <c r="L909">
        <v>1</v>
      </c>
      <c r="M909">
        <v>0</v>
      </c>
      <c r="N909" s="1">
        <f t="shared" si="58"/>
        <v>2</v>
      </c>
      <c r="O909" s="1" t="str">
        <f t="shared" si="59"/>
        <v>With Family</v>
      </c>
      <c r="P909">
        <v>9.8249999999999993</v>
      </c>
      <c r="Q909" s="1" t="str" cm="1">
        <f t="array" ref="Q909">_xlfn.IFS(P909&lt;=50,"Low",P909&lt;=100,"Medium",P909&gt;100,"High")</f>
        <v>Low</v>
      </c>
      <c r="R909" t="s">
        <v>17</v>
      </c>
      <c r="S909" s="1" t="str" cm="1">
        <f t="array" ref="S909">_xlfn.IFS(R909="S","Southampton",R909="C","Cherbourg",R909="Q","Queenstown")</f>
        <v>Southampton</v>
      </c>
    </row>
    <row r="910" spans="1:19" x14ac:dyDescent="0.3">
      <c r="A910">
        <v>909</v>
      </c>
      <c r="B910">
        <v>3</v>
      </c>
      <c r="C910" s="1" t="str" cm="1">
        <f t="array" ref="C910">_xlfn.IFS(B910=1,"First Class",B910=2,"Second Class",B910=3,"Third Class")</f>
        <v>Third Class</v>
      </c>
      <c r="D910">
        <v>0</v>
      </c>
      <c r="E910" s="1" t="str">
        <f t="shared" si="56"/>
        <v>Dead</v>
      </c>
      <c r="F910" t="s">
        <v>1641</v>
      </c>
      <c r="G910" s="1" t="s">
        <v>2994</v>
      </c>
      <c r="H910" t="s">
        <v>15</v>
      </c>
      <c r="I910" s="1" t="str">
        <f t="shared" si="57"/>
        <v>Female</v>
      </c>
      <c r="J910" s="3">
        <v>21</v>
      </c>
      <c r="K910" s="3" t="str" cm="1">
        <f t="array" ref="K910">_xlfn.IFS(J910&lt;=13,"Child",J910&lt;=18,"Teenager",J910&lt;=30,"Young Adult",J910&lt;=50,"Middle Aged Adult",J910&gt;50,"Senior")</f>
        <v>Young Adult</v>
      </c>
      <c r="L910">
        <v>1</v>
      </c>
      <c r="M910">
        <v>0</v>
      </c>
      <c r="N910" s="1">
        <f t="shared" si="58"/>
        <v>2</v>
      </c>
      <c r="O910" s="1" t="str">
        <f t="shared" si="59"/>
        <v>With Family</v>
      </c>
      <c r="P910">
        <v>9.8249999999999993</v>
      </c>
      <c r="Q910" s="1" t="str" cm="1">
        <f t="array" ref="Q910">_xlfn.IFS(P910&lt;=50,"Low",P910&lt;=100,"Medium",P910&gt;100,"High")</f>
        <v>Low</v>
      </c>
      <c r="R910" t="s">
        <v>17</v>
      </c>
      <c r="S910" s="1" t="str" cm="1">
        <f t="array" ref="S910">_xlfn.IFS(R910="S","Southampton",R910="C","Cherbourg",R910="Q","Queenstown")</f>
        <v>Southampton</v>
      </c>
    </row>
    <row r="911" spans="1:19" x14ac:dyDescent="0.3">
      <c r="A911">
        <v>910</v>
      </c>
      <c r="B911">
        <v>3</v>
      </c>
      <c r="C911" s="1" t="str" cm="1">
        <f t="array" ref="C911">_xlfn.IFS(B911=1,"First Class",B911=2,"Second Class",B911=3,"Third Class")</f>
        <v>Third Class</v>
      </c>
      <c r="D911">
        <v>1</v>
      </c>
      <c r="E911" s="1" t="str">
        <f t="shared" si="56"/>
        <v>Alive</v>
      </c>
      <c r="F911" t="s">
        <v>1642</v>
      </c>
      <c r="G911" s="1" t="s">
        <v>2999</v>
      </c>
      <c r="H911" t="s">
        <v>20</v>
      </c>
      <c r="I911" s="1" t="str">
        <f t="shared" si="57"/>
        <v>Male</v>
      </c>
      <c r="J911" s="3">
        <v>32</v>
      </c>
      <c r="K911" s="3" t="str" cm="1">
        <f t="array" ref="K911">_xlfn.IFS(J911&lt;=13,"Child",J911&lt;=18,"Teenager",J911&lt;=30,"Young Adult",J911&lt;=50,"Middle Aged Adult",J911&gt;50,"Senior")</f>
        <v>Middle Aged Adult</v>
      </c>
      <c r="L911">
        <v>0</v>
      </c>
      <c r="M911">
        <v>0</v>
      </c>
      <c r="N911" s="1">
        <f t="shared" si="58"/>
        <v>1</v>
      </c>
      <c r="O911" s="1" t="str">
        <f t="shared" si="59"/>
        <v>Single</v>
      </c>
      <c r="P911">
        <v>7.9249999999999998</v>
      </c>
      <c r="Q911" s="1" t="str" cm="1">
        <f t="array" ref="Q911">_xlfn.IFS(P911&lt;=50,"Low",P911&lt;=100,"Medium",P911&gt;100,"High")</f>
        <v>Low</v>
      </c>
      <c r="R911" t="s">
        <v>17</v>
      </c>
      <c r="S911" s="1" t="str" cm="1">
        <f t="array" ref="S911">_xlfn.IFS(R911="S","Southampton",R911="C","Cherbourg",R911="Q","Queenstown")</f>
        <v>Southampton</v>
      </c>
    </row>
    <row r="912" spans="1:19" x14ac:dyDescent="0.3">
      <c r="A912">
        <v>911</v>
      </c>
      <c r="B912">
        <v>3</v>
      </c>
      <c r="C912" s="1" t="str" cm="1">
        <f t="array" ref="C912">_xlfn.IFS(B912=1,"First Class",B912=2,"Second Class",B912=3,"Third Class")</f>
        <v>Third Class</v>
      </c>
      <c r="D912">
        <v>0</v>
      </c>
      <c r="E912" s="1" t="str">
        <f t="shared" si="56"/>
        <v>Dead</v>
      </c>
      <c r="F912" t="s">
        <v>1644</v>
      </c>
      <c r="G912" s="1" t="s">
        <v>2999</v>
      </c>
      <c r="H912" t="s">
        <v>20</v>
      </c>
      <c r="I912" s="1" t="str">
        <f t="shared" si="57"/>
        <v>Male</v>
      </c>
      <c r="J912" s="3">
        <v>17</v>
      </c>
      <c r="K912" s="3" t="str" cm="1">
        <f t="array" ref="K912">_xlfn.IFS(J912&lt;=13,"Child",J912&lt;=18,"Teenager",J912&lt;=30,"Young Adult",J912&lt;=50,"Middle Aged Adult",J912&gt;50,"Senior")</f>
        <v>Teenager</v>
      </c>
      <c r="L912">
        <v>0</v>
      </c>
      <c r="M912">
        <v>0</v>
      </c>
      <c r="N912" s="1">
        <f t="shared" si="58"/>
        <v>1</v>
      </c>
      <c r="O912" s="1" t="str">
        <f t="shared" si="59"/>
        <v>Single</v>
      </c>
      <c r="P912">
        <v>7.125</v>
      </c>
      <c r="Q912" s="1" t="str" cm="1">
        <f t="array" ref="Q912">_xlfn.IFS(P912&lt;=50,"Low",P912&lt;=100,"Medium",P912&gt;100,"High")</f>
        <v>Low</v>
      </c>
      <c r="R912" t="s">
        <v>17</v>
      </c>
      <c r="S912" s="1" t="str" cm="1">
        <f t="array" ref="S912">_xlfn.IFS(R912="S","Southampton",R912="C","Cherbourg",R912="Q","Queenstown")</f>
        <v>Southampton</v>
      </c>
    </row>
    <row r="913" spans="1:19" x14ac:dyDescent="0.3">
      <c r="A913">
        <v>912</v>
      </c>
      <c r="B913">
        <v>3</v>
      </c>
      <c r="C913" s="1" t="str" cm="1">
        <f t="array" ref="C913">_xlfn.IFS(B913=1,"First Class",B913=2,"Second Class",B913=3,"Third Class")</f>
        <v>Third Class</v>
      </c>
      <c r="D913">
        <v>0</v>
      </c>
      <c r="E913" s="1" t="str">
        <f t="shared" si="56"/>
        <v>Dead</v>
      </c>
      <c r="F913" t="s">
        <v>1646</v>
      </c>
      <c r="G913" s="1" t="s">
        <v>2999</v>
      </c>
      <c r="H913" t="s">
        <v>20</v>
      </c>
      <c r="I913" s="1" t="str">
        <f t="shared" si="57"/>
        <v>Male</v>
      </c>
      <c r="J913" s="3">
        <v>21</v>
      </c>
      <c r="K913" s="3" t="str" cm="1">
        <f t="array" ref="K913">_xlfn.IFS(J913&lt;=13,"Child",J913&lt;=18,"Teenager",J913&lt;=30,"Young Adult",J913&lt;=50,"Middle Aged Adult",J913&gt;50,"Senior")</f>
        <v>Young Adult</v>
      </c>
      <c r="L913">
        <v>0</v>
      </c>
      <c r="M913">
        <v>0</v>
      </c>
      <c r="N913" s="1">
        <f t="shared" si="58"/>
        <v>1</v>
      </c>
      <c r="O913" s="1" t="str">
        <f t="shared" si="59"/>
        <v>Single</v>
      </c>
      <c r="P913">
        <v>8.4332999999999991</v>
      </c>
      <c r="Q913" s="1" t="str" cm="1">
        <f t="array" ref="Q913">_xlfn.IFS(P913&lt;=50,"Low",P913&lt;=100,"Medium",P913&gt;100,"High")</f>
        <v>Low</v>
      </c>
      <c r="R913" t="s">
        <v>17</v>
      </c>
      <c r="S913" s="1" t="str" cm="1">
        <f t="array" ref="S913">_xlfn.IFS(R913="S","Southampton",R913="C","Cherbourg",R913="Q","Queenstown")</f>
        <v>Southampton</v>
      </c>
    </row>
    <row r="914" spans="1:19" x14ac:dyDescent="0.3">
      <c r="A914">
        <v>913</v>
      </c>
      <c r="B914">
        <v>3</v>
      </c>
      <c r="C914" s="1" t="str" cm="1">
        <f t="array" ref="C914">_xlfn.IFS(B914=1,"First Class",B914=2,"Second Class",B914=3,"Third Class")</f>
        <v>Third Class</v>
      </c>
      <c r="D914">
        <v>0</v>
      </c>
      <c r="E914" s="1" t="str">
        <f t="shared" si="56"/>
        <v>Dead</v>
      </c>
      <c r="F914" t="s">
        <v>1647</v>
      </c>
      <c r="G914" s="1" t="s">
        <v>2999</v>
      </c>
      <c r="H914" t="s">
        <v>20</v>
      </c>
      <c r="I914" s="1" t="str">
        <f t="shared" si="57"/>
        <v>Male</v>
      </c>
      <c r="J914" s="3">
        <v>30</v>
      </c>
      <c r="K914" s="3" t="str" cm="1">
        <f t="array" ref="K914">_xlfn.IFS(J914&lt;=13,"Child",J914&lt;=18,"Teenager",J914&lt;=30,"Young Adult",J914&lt;=50,"Middle Aged Adult",J914&gt;50,"Senior")</f>
        <v>Young Adult</v>
      </c>
      <c r="L914">
        <v>0</v>
      </c>
      <c r="M914">
        <v>0</v>
      </c>
      <c r="N914" s="1">
        <f t="shared" si="58"/>
        <v>1</v>
      </c>
      <c r="O914" s="1" t="str">
        <f t="shared" si="59"/>
        <v>Single</v>
      </c>
      <c r="P914">
        <v>7.8958000000000004</v>
      </c>
      <c r="Q914" s="1" t="str" cm="1">
        <f t="array" ref="Q914">_xlfn.IFS(P914&lt;=50,"Low",P914&lt;=100,"Medium",P914&gt;100,"High")</f>
        <v>Low</v>
      </c>
      <c r="R914" t="s">
        <v>17</v>
      </c>
      <c r="S914" s="1" t="str" cm="1">
        <f t="array" ref="S914">_xlfn.IFS(R914="S","Southampton",R914="C","Cherbourg",R914="Q","Queenstown")</f>
        <v>Southampton</v>
      </c>
    </row>
    <row r="915" spans="1:19" x14ac:dyDescent="0.3">
      <c r="A915">
        <v>914</v>
      </c>
      <c r="B915">
        <v>3</v>
      </c>
      <c r="C915" s="1" t="str" cm="1">
        <f t="array" ref="C915">_xlfn.IFS(B915=1,"First Class",B915=2,"Second Class",B915=3,"Third Class")</f>
        <v>Third Class</v>
      </c>
      <c r="D915">
        <v>1</v>
      </c>
      <c r="E915" s="1" t="str">
        <f t="shared" si="56"/>
        <v>Alive</v>
      </c>
      <c r="F915" t="s">
        <v>1648</v>
      </c>
      <c r="G915" s="1" t="s">
        <v>2999</v>
      </c>
      <c r="H915" t="s">
        <v>20</v>
      </c>
      <c r="I915" s="1" t="str">
        <f t="shared" si="57"/>
        <v>Male</v>
      </c>
      <c r="J915" s="3">
        <v>21</v>
      </c>
      <c r="K915" s="3" t="str" cm="1">
        <f t="array" ref="K915">_xlfn.IFS(J915&lt;=13,"Child",J915&lt;=18,"Teenager",J915&lt;=30,"Young Adult",J915&lt;=50,"Middle Aged Adult",J915&gt;50,"Senior")</f>
        <v>Young Adult</v>
      </c>
      <c r="L915">
        <v>0</v>
      </c>
      <c r="M915">
        <v>0</v>
      </c>
      <c r="N915" s="1">
        <f t="shared" si="58"/>
        <v>1</v>
      </c>
      <c r="O915" s="1" t="str">
        <f t="shared" si="59"/>
        <v>Single</v>
      </c>
      <c r="P915">
        <v>7.7957999999999998</v>
      </c>
      <c r="Q915" s="1" t="str" cm="1">
        <f t="array" ref="Q915">_xlfn.IFS(P915&lt;=50,"Low",P915&lt;=100,"Medium",P915&gt;100,"High")</f>
        <v>Low</v>
      </c>
      <c r="R915" t="s">
        <v>17</v>
      </c>
      <c r="S915" s="1" t="str" cm="1">
        <f t="array" ref="S915">_xlfn.IFS(R915="S","Southampton",R915="C","Cherbourg",R915="Q","Queenstown")</f>
        <v>Southampton</v>
      </c>
    </row>
    <row r="916" spans="1:19" x14ac:dyDescent="0.3">
      <c r="A916">
        <v>915</v>
      </c>
      <c r="B916">
        <v>3</v>
      </c>
      <c r="C916" s="1" t="str" cm="1">
        <f t="array" ref="C916">_xlfn.IFS(B916=1,"First Class",B916=2,"Second Class",B916=3,"Third Class")</f>
        <v>Third Class</v>
      </c>
      <c r="D916">
        <v>0</v>
      </c>
      <c r="E916" s="1" t="str">
        <f t="shared" si="56"/>
        <v>Dead</v>
      </c>
      <c r="F916" t="s">
        <v>1649</v>
      </c>
      <c r="G916" s="1" t="s">
        <v>2999</v>
      </c>
      <c r="H916" t="s">
        <v>20</v>
      </c>
      <c r="I916" s="1" t="str">
        <f t="shared" si="57"/>
        <v>Male</v>
      </c>
      <c r="J916" s="3">
        <v>33</v>
      </c>
      <c r="K916" s="3" t="str" cm="1">
        <f t="array" ref="K916">_xlfn.IFS(J916&lt;=13,"Child",J916&lt;=18,"Teenager",J916&lt;=30,"Young Adult",J916&lt;=50,"Middle Aged Adult",J916&gt;50,"Senior")</f>
        <v>Middle Aged Adult</v>
      </c>
      <c r="L916">
        <v>0</v>
      </c>
      <c r="M916">
        <v>0</v>
      </c>
      <c r="N916" s="1">
        <f t="shared" si="58"/>
        <v>1</v>
      </c>
      <c r="O916" s="1" t="str">
        <f t="shared" si="59"/>
        <v>Single</v>
      </c>
      <c r="P916">
        <v>7.8541999999999996</v>
      </c>
      <c r="Q916" s="1" t="str" cm="1">
        <f t="array" ref="Q916">_xlfn.IFS(P916&lt;=50,"Low",P916&lt;=100,"Medium",P916&gt;100,"High")</f>
        <v>Low</v>
      </c>
      <c r="R916" t="s">
        <v>17</v>
      </c>
      <c r="S916" s="1" t="str" cm="1">
        <f t="array" ref="S916">_xlfn.IFS(R916="S","Southampton",R916="C","Cherbourg",R916="Q","Queenstown")</f>
        <v>Southampton</v>
      </c>
    </row>
    <row r="917" spans="1:19" x14ac:dyDescent="0.3">
      <c r="A917">
        <v>916</v>
      </c>
      <c r="B917">
        <v>3</v>
      </c>
      <c r="C917" s="1" t="str" cm="1">
        <f t="array" ref="C917">_xlfn.IFS(B917=1,"First Class",B917=2,"Second Class",B917=3,"Third Class")</f>
        <v>Third Class</v>
      </c>
      <c r="D917">
        <v>0</v>
      </c>
      <c r="E917" s="1" t="str">
        <f t="shared" si="56"/>
        <v>Dead</v>
      </c>
      <c r="F917" t="s">
        <v>1650</v>
      </c>
      <c r="G917" s="1" t="s">
        <v>2999</v>
      </c>
      <c r="H917" t="s">
        <v>20</v>
      </c>
      <c r="I917" s="1" t="str">
        <f t="shared" si="57"/>
        <v>Male</v>
      </c>
      <c r="J917" s="3">
        <v>22</v>
      </c>
      <c r="K917" s="3" t="str" cm="1">
        <f t="array" ref="K917">_xlfn.IFS(J917&lt;=13,"Child",J917&lt;=18,"Teenager",J917&lt;=30,"Young Adult",J917&lt;=50,"Middle Aged Adult",J917&gt;50,"Senior")</f>
        <v>Young Adult</v>
      </c>
      <c r="L917">
        <v>0</v>
      </c>
      <c r="M917">
        <v>0</v>
      </c>
      <c r="N917" s="1">
        <f t="shared" si="58"/>
        <v>1</v>
      </c>
      <c r="O917" s="1" t="str">
        <f t="shared" si="59"/>
        <v>Single</v>
      </c>
      <c r="P917">
        <v>7.5208000000000004</v>
      </c>
      <c r="Q917" s="1" t="str" cm="1">
        <f t="array" ref="Q917">_xlfn.IFS(P917&lt;=50,"Low",P917&lt;=100,"Medium",P917&gt;100,"High")</f>
        <v>Low</v>
      </c>
      <c r="R917" t="s">
        <v>17</v>
      </c>
      <c r="S917" s="1" t="str" cm="1">
        <f t="array" ref="S917">_xlfn.IFS(R917="S","Southampton",R917="C","Cherbourg",R917="Q","Queenstown")</f>
        <v>Southampton</v>
      </c>
    </row>
    <row r="918" spans="1:19" x14ac:dyDescent="0.3">
      <c r="A918">
        <v>917</v>
      </c>
      <c r="B918">
        <v>3</v>
      </c>
      <c r="C918" s="1" t="str" cm="1">
        <f t="array" ref="C918">_xlfn.IFS(B918=1,"First Class",B918=2,"Second Class",B918=3,"Third Class")</f>
        <v>Third Class</v>
      </c>
      <c r="D918">
        <v>1</v>
      </c>
      <c r="E918" s="1" t="str">
        <f t="shared" si="56"/>
        <v>Alive</v>
      </c>
      <c r="F918" t="s">
        <v>1651</v>
      </c>
      <c r="G918" s="1" t="s">
        <v>2994</v>
      </c>
      <c r="H918" t="s">
        <v>15</v>
      </c>
      <c r="I918" s="1" t="str">
        <f t="shared" si="57"/>
        <v>Female</v>
      </c>
      <c r="J918" s="3">
        <v>4</v>
      </c>
      <c r="K918" s="3" t="str" cm="1">
        <f t="array" ref="K918">_xlfn.IFS(J918&lt;=13,"Child",J918&lt;=18,"Teenager",J918&lt;=30,"Young Adult",J918&lt;=50,"Middle Aged Adult",J918&gt;50,"Senior")</f>
        <v>Child</v>
      </c>
      <c r="L918">
        <v>0</v>
      </c>
      <c r="M918">
        <v>1</v>
      </c>
      <c r="N918" s="1">
        <f t="shared" si="58"/>
        <v>2</v>
      </c>
      <c r="O918" s="1" t="str">
        <f t="shared" si="59"/>
        <v>With Family</v>
      </c>
      <c r="P918">
        <v>13.416700000000001</v>
      </c>
      <c r="Q918" s="1" t="str" cm="1">
        <f t="array" ref="Q918">_xlfn.IFS(P918&lt;=50,"Low",P918&lt;=100,"Medium",P918&gt;100,"High")</f>
        <v>Low</v>
      </c>
      <c r="R918" t="s">
        <v>41</v>
      </c>
      <c r="S918" s="1" t="str" cm="1">
        <f t="array" ref="S918">_xlfn.IFS(R918="S","Southampton",R918="C","Cherbourg",R918="Q","Queenstown")</f>
        <v>Cherbourg</v>
      </c>
    </row>
    <row r="919" spans="1:19" x14ac:dyDescent="0.3">
      <c r="A919">
        <v>918</v>
      </c>
      <c r="B919">
        <v>3</v>
      </c>
      <c r="C919" s="1" t="str" cm="1">
        <f t="array" ref="C919">_xlfn.IFS(B919=1,"First Class",B919=2,"Second Class",B919=3,"Third Class")</f>
        <v>Third Class</v>
      </c>
      <c r="D919">
        <v>1</v>
      </c>
      <c r="E919" s="1" t="str">
        <f t="shared" si="56"/>
        <v>Alive</v>
      </c>
      <c r="F919" t="s">
        <v>1652</v>
      </c>
      <c r="G919" s="1" t="s">
        <v>2999</v>
      </c>
      <c r="H919" t="s">
        <v>20</v>
      </c>
      <c r="I919" s="1" t="str">
        <f t="shared" si="57"/>
        <v>Male</v>
      </c>
      <c r="J919" s="3">
        <v>39</v>
      </c>
      <c r="K919" s="3" t="str" cm="1">
        <f t="array" ref="K919">_xlfn.IFS(J919&lt;=13,"Child",J919&lt;=18,"Teenager",J919&lt;=30,"Young Adult",J919&lt;=50,"Middle Aged Adult",J919&gt;50,"Senior")</f>
        <v>Middle Aged Adult</v>
      </c>
      <c r="L919">
        <v>0</v>
      </c>
      <c r="M919">
        <v>1</v>
      </c>
      <c r="N919" s="1">
        <f t="shared" si="58"/>
        <v>2</v>
      </c>
      <c r="O919" s="1" t="str">
        <f t="shared" si="59"/>
        <v>With Family</v>
      </c>
      <c r="P919">
        <v>13.416700000000001</v>
      </c>
      <c r="Q919" s="1" t="str" cm="1">
        <f t="array" ref="Q919">_xlfn.IFS(P919&lt;=50,"Low",P919&lt;=100,"Medium",P919&gt;100,"High")</f>
        <v>Low</v>
      </c>
      <c r="R919" t="s">
        <v>41</v>
      </c>
      <c r="S919" s="1" t="str" cm="1">
        <f t="array" ref="S919">_xlfn.IFS(R919="S","Southampton",R919="C","Cherbourg",R919="Q","Queenstown")</f>
        <v>Cherbourg</v>
      </c>
    </row>
    <row r="920" spans="1:19" x14ac:dyDescent="0.3">
      <c r="A920">
        <v>919</v>
      </c>
      <c r="B920">
        <v>3</v>
      </c>
      <c r="C920" s="1" t="str" cm="1">
        <f t="array" ref="C920">_xlfn.IFS(B920=1,"First Class",B920=2,"Second Class",B920=3,"Third Class")</f>
        <v>Third Class</v>
      </c>
      <c r="D920">
        <v>0</v>
      </c>
      <c r="E920" s="1" t="str">
        <f t="shared" si="56"/>
        <v>Dead</v>
      </c>
      <c r="F920" t="s">
        <v>1653</v>
      </c>
      <c r="G920" s="1" t="s">
        <v>2999</v>
      </c>
      <c r="H920" t="s">
        <v>20</v>
      </c>
      <c r="I920" s="1" t="str">
        <f t="shared" si="57"/>
        <v>Male</v>
      </c>
      <c r="J920" s="3">
        <v>29.881137667304014</v>
      </c>
      <c r="K920" s="3" t="str" cm="1">
        <f t="array" ref="K920">_xlfn.IFS(J920&lt;=13,"Child",J920&lt;=18,"Teenager",J920&lt;=30,"Young Adult",J920&lt;=50,"Middle Aged Adult",J920&gt;50,"Senior")</f>
        <v>Young Adult</v>
      </c>
      <c r="L920">
        <v>0</v>
      </c>
      <c r="M920">
        <v>0</v>
      </c>
      <c r="N920" s="1">
        <f t="shared" si="58"/>
        <v>1</v>
      </c>
      <c r="O920" s="1" t="str">
        <f t="shared" si="59"/>
        <v>Single</v>
      </c>
      <c r="P920">
        <v>7.2291999999999996</v>
      </c>
      <c r="Q920" s="1" t="str" cm="1">
        <f t="array" ref="Q920">_xlfn.IFS(P920&lt;=50,"Low",P920&lt;=100,"Medium",P920&gt;100,"High")</f>
        <v>Low</v>
      </c>
      <c r="R920" t="s">
        <v>41</v>
      </c>
      <c r="S920" s="1" t="str" cm="1">
        <f t="array" ref="S920">_xlfn.IFS(R920="S","Southampton",R920="C","Cherbourg",R920="Q","Queenstown")</f>
        <v>Cherbourg</v>
      </c>
    </row>
    <row r="921" spans="1:19" x14ac:dyDescent="0.3">
      <c r="A921">
        <v>920</v>
      </c>
      <c r="B921">
        <v>3</v>
      </c>
      <c r="C921" s="1" t="str" cm="1">
        <f t="array" ref="C921">_xlfn.IFS(B921=1,"First Class",B921=2,"Second Class",B921=3,"Third Class")</f>
        <v>Third Class</v>
      </c>
      <c r="D921">
        <v>0</v>
      </c>
      <c r="E921" s="1" t="str">
        <f t="shared" si="56"/>
        <v>Dead</v>
      </c>
      <c r="F921" t="s">
        <v>1654</v>
      </c>
      <c r="G921" s="1" t="s">
        <v>2999</v>
      </c>
      <c r="H921" t="s">
        <v>20</v>
      </c>
      <c r="I921" s="1" t="str">
        <f t="shared" si="57"/>
        <v>Male</v>
      </c>
      <c r="J921" s="3">
        <v>18.5</v>
      </c>
      <c r="K921" s="3" t="str" cm="1">
        <f t="array" ref="K921">_xlfn.IFS(J921&lt;=13,"Child",J921&lt;=18,"Teenager",J921&lt;=30,"Young Adult",J921&lt;=50,"Middle Aged Adult",J921&gt;50,"Senior")</f>
        <v>Young Adult</v>
      </c>
      <c r="L921">
        <v>0</v>
      </c>
      <c r="M921">
        <v>0</v>
      </c>
      <c r="N921" s="1">
        <f t="shared" si="58"/>
        <v>1</v>
      </c>
      <c r="O921" s="1" t="str">
        <f t="shared" si="59"/>
        <v>Single</v>
      </c>
      <c r="P921">
        <v>7.2291999999999996</v>
      </c>
      <c r="Q921" s="1" t="str" cm="1">
        <f t="array" ref="Q921">_xlfn.IFS(P921&lt;=50,"Low",P921&lt;=100,"Medium",P921&gt;100,"High")</f>
        <v>Low</v>
      </c>
      <c r="R921" t="s">
        <v>41</v>
      </c>
      <c r="S921" s="1" t="str" cm="1">
        <f t="array" ref="S921">_xlfn.IFS(R921="S","Southampton",R921="C","Cherbourg",R921="Q","Queenstown")</f>
        <v>Cherbourg</v>
      </c>
    </row>
    <row r="922" spans="1:19" x14ac:dyDescent="0.3">
      <c r="A922">
        <v>921</v>
      </c>
      <c r="B922">
        <v>3</v>
      </c>
      <c r="C922" s="1" t="str" cm="1">
        <f t="array" ref="C922">_xlfn.IFS(B922=1,"First Class",B922=2,"Second Class",B922=3,"Third Class")</f>
        <v>Third Class</v>
      </c>
      <c r="D922">
        <v>0</v>
      </c>
      <c r="E922" s="1" t="str">
        <f t="shared" si="56"/>
        <v>Dead</v>
      </c>
      <c r="F922" t="s">
        <v>1655</v>
      </c>
      <c r="G922" s="1" t="s">
        <v>2999</v>
      </c>
      <c r="H922" t="s">
        <v>20</v>
      </c>
      <c r="I922" s="1" t="str">
        <f t="shared" si="57"/>
        <v>Male</v>
      </c>
      <c r="J922" s="3">
        <v>29.881137667304014</v>
      </c>
      <c r="K922" s="3" t="str" cm="1">
        <f t="array" ref="K922">_xlfn.IFS(J922&lt;=13,"Child",J922&lt;=18,"Teenager",J922&lt;=30,"Young Adult",J922&lt;=50,"Middle Aged Adult",J922&gt;50,"Senior")</f>
        <v>Young Adult</v>
      </c>
      <c r="L922">
        <v>0</v>
      </c>
      <c r="M922">
        <v>0</v>
      </c>
      <c r="N922" s="1">
        <f t="shared" si="58"/>
        <v>1</v>
      </c>
      <c r="O922" s="1" t="str">
        <f t="shared" si="59"/>
        <v>Single</v>
      </c>
      <c r="P922">
        <v>7.75</v>
      </c>
      <c r="Q922" s="1" t="str" cm="1">
        <f t="array" ref="Q922">_xlfn.IFS(P922&lt;=50,"Low",P922&lt;=100,"Medium",P922&gt;100,"High")</f>
        <v>Low</v>
      </c>
      <c r="R922" t="s">
        <v>463</v>
      </c>
      <c r="S922" s="1" t="str" cm="1">
        <f t="array" ref="S922">_xlfn.IFS(R922="S","Southampton",R922="C","Cherbourg",R922="Q","Queenstown")</f>
        <v>Queenstown</v>
      </c>
    </row>
    <row r="923" spans="1:19" x14ac:dyDescent="0.3">
      <c r="A923">
        <v>922</v>
      </c>
      <c r="B923">
        <v>3</v>
      </c>
      <c r="C923" s="1" t="str" cm="1">
        <f t="array" ref="C923">_xlfn.IFS(B923=1,"First Class",B923=2,"Second Class",B923=3,"Third Class")</f>
        <v>Third Class</v>
      </c>
      <c r="D923">
        <v>0</v>
      </c>
      <c r="E923" s="1" t="str">
        <f t="shared" si="56"/>
        <v>Dead</v>
      </c>
      <c r="F923" t="s">
        <v>1656</v>
      </c>
      <c r="G923" s="1" t="s">
        <v>2999</v>
      </c>
      <c r="H923" t="s">
        <v>20</v>
      </c>
      <c r="I923" s="1" t="str">
        <f t="shared" si="57"/>
        <v>Male</v>
      </c>
      <c r="J923" s="3">
        <v>29.881137667304014</v>
      </c>
      <c r="K923" s="3" t="str" cm="1">
        <f t="array" ref="K923">_xlfn.IFS(J923&lt;=13,"Child",J923&lt;=18,"Teenager",J923&lt;=30,"Young Adult",J923&lt;=50,"Middle Aged Adult",J923&gt;50,"Senior")</f>
        <v>Young Adult</v>
      </c>
      <c r="L923">
        <v>0</v>
      </c>
      <c r="M923">
        <v>0</v>
      </c>
      <c r="N923" s="1">
        <f t="shared" si="58"/>
        <v>1</v>
      </c>
      <c r="O923" s="1" t="str">
        <f t="shared" si="59"/>
        <v>Single</v>
      </c>
      <c r="P923">
        <v>7.25</v>
      </c>
      <c r="Q923" s="1" t="str" cm="1">
        <f t="array" ref="Q923">_xlfn.IFS(P923&lt;=50,"Low",P923&lt;=100,"Medium",P923&gt;100,"High")</f>
        <v>Low</v>
      </c>
      <c r="R923" t="s">
        <v>17</v>
      </c>
      <c r="S923" s="1" t="str" cm="1">
        <f t="array" ref="S923">_xlfn.IFS(R923="S","Southampton",R923="C","Cherbourg",R923="Q","Queenstown")</f>
        <v>Southampton</v>
      </c>
    </row>
    <row r="924" spans="1:19" x14ac:dyDescent="0.3">
      <c r="A924">
        <v>923</v>
      </c>
      <c r="B924">
        <v>3</v>
      </c>
      <c r="C924" s="1" t="str" cm="1">
        <f t="array" ref="C924">_xlfn.IFS(B924=1,"First Class",B924=2,"Second Class",B924=3,"Third Class")</f>
        <v>Third Class</v>
      </c>
      <c r="D924">
        <v>1</v>
      </c>
      <c r="E924" s="1" t="str">
        <f t="shared" si="56"/>
        <v>Alive</v>
      </c>
      <c r="F924" t="s">
        <v>1657</v>
      </c>
      <c r="G924" s="1" t="s">
        <v>2994</v>
      </c>
      <c r="H924" t="s">
        <v>15</v>
      </c>
      <c r="I924" s="1" t="str">
        <f t="shared" si="57"/>
        <v>Female</v>
      </c>
      <c r="J924" s="3">
        <v>29.881137667304014</v>
      </c>
      <c r="K924" s="3" t="str" cm="1">
        <f t="array" ref="K924">_xlfn.IFS(J924&lt;=13,"Child",J924&lt;=18,"Teenager",J924&lt;=30,"Young Adult",J924&lt;=50,"Middle Aged Adult",J924&gt;50,"Senior")</f>
        <v>Young Adult</v>
      </c>
      <c r="L924">
        <v>0</v>
      </c>
      <c r="M924">
        <v>0</v>
      </c>
      <c r="N924" s="1">
        <f t="shared" si="58"/>
        <v>1</v>
      </c>
      <c r="O924" s="1" t="str">
        <f t="shared" si="59"/>
        <v>Single</v>
      </c>
      <c r="P924">
        <v>7.75</v>
      </c>
      <c r="Q924" s="1" t="str" cm="1">
        <f t="array" ref="Q924">_xlfn.IFS(P924&lt;=50,"Low",P924&lt;=100,"Medium",P924&gt;100,"High")</f>
        <v>Low</v>
      </c>
      <c r="R924" t="s">
        <v>463</v>
      </c>
      <c r="S924" s="1" t="str" cm="1">
        <f t="array" ref="S924">_xlfn.IFS(R924="S","Southampton",R924="C","Cherbourg",R924="Q","Queenstown")</f>
        <v>Queenstown</v>
      </c>
    </row>
    <row r="925" spans="1:19" x14ac:dyDescent="0.3">
      <c r="A925">
        <v>924</v>
      </c>
      <c r="B925">
        <v>3</v>
      </c>
      <c r="C925" s="1" t="str" cm="1">
        <f t="array" ref="C925">_xlfn.IFS(B925=1,"First Class",B925=2,"Second Class",B925=3,"Third Class")</f>
        <v>Third Class</v>
      </c>
      <c r="D925">
        <v>1</v>
      </c>
      <c r="E925" s="1" t="str">
        <f t="shared" si="56"/>
        <v>Alive</v>
      </c>
      <c r="F925" t="s">
        <v>1658</v>
      </c>
      <c r="G925" s="1" t="s">
        <v>2994</v>
      </c>
      <c r="H925" t="s">
        <v>15</v>
      </c>
      <c r="I925" s="1" t="str">
        <f t="shared" si="57"/>
        <v>Female</v>
      </c>
      <c r="J925" s="3">
        <v>29.881137667304014</v>
      </c>
      <c r="K925" s="3" t="str" cm="1">
        <f t="array" ref="K925">_xlfn.IFS(J925&lt;=13,"Child",J925&lt;=18,"Teenager",J925&lt;=30,"Young Adult",J925&lt;=50,"Middle Aged Adult",J925&gt;50,"Senior")</f>
        <v>Young Adult</v>
      </c>
      <c r="L925">
        <v>0</v>
      </c>
      <c r="M925">
        <v>0</v>
      </c>
      <c r="N925" s="1">
        <f t="shared" si="58"/>
        <v>1</v>
      </c>
      <c r="O925" s="1" t="str">
        <f t="shared" si="59"/>
        <v>Single</v>
      </c>
      <c r="P925">
        <v>7.75</v>
      </c>
      <c r="Q925" s="1" t="str" cm="1">
        <f t="array" ref="Q925">_xlfn.IFS(P925&lt;=50,"Low",P925&lt;=100,"Medium",P925&gt;100,"High")</f>
        <v>Low</v>
      </c>
      <c r="R925" t="s">
        <v>463</v>
      </c>
      <c r="S925" s="1" t="str" cm="1">
        <f t="array" ref="S925">_xlfn.IFS(R925="S","Southampton",R925="C","Cherbourg",R925="Q","Queenstown")</f>
        <v>Queenstown</v>
      </c>
    </row>
    <row r="926" spans="1:19" x14ac:dyDescent="0.3">
      <c r="A926">
        <v>925</v>
      </c>
      <c r="B926">
        <v>3</v>
      </c>
      <c r="C926" s="1" t="str" cm="1">
        <f t="array" ref="C926">_xlfn.IFS(B926=1,"First Class",B926=2,"Second Class",B926=3,"Third Class")</f>
        <v>Third Class</v>
      </c>
      <c r="D926">
        <v>0</v>
      </c>
      <c r="E926" s="1" t="str">
        <f t="shared" si="56"/>
        <v>Dead</v>
      </c>
      <c r="F926" t="s">
        <v>1659</v>
      </c>
      <c r="G926" s="1" t="s">
        <v>2999</v>
      </c>
      <c r="H926" t="s">
        <v>20</v>
      </c>
      <c r="I926" s="1" t="str">
        <f t="shared" si="57"/>
        <v>Male</v>
      </c>
      <c r="J926" s="3">
        <v>34.5</v>
      </c>
      <c r="K926" s="3" t="str" cm="1">
        <f t="array" ref="K926">_xlfn.IFS(J926&lt;=13,"Child",J926&lt;=18,"Teenager",J926&lt;=30,"Young Adult",J926&lt;=50,"Middle Aged Adult",J926&gt;50,"Senior")</f>
        <v>Middle Aged Adult</v>
      </c>
      <c r="L926">
        <v>0</v>
      </c>
      <c r="M926">
        <v>0</v>
      </c>
      <c r="N926" s="1">
        <f t="shared" si="58"/>
        <v>1</v>
      </c>
      <c r="O926" s="1" t="str">
        <f t="shared" si="59"/>
        <v>Single</v>
      </c>
      <c r="P926">
        <v>7.8292000000000002</v>
      </c>
      <c r="Q926" s="1" t="str" cm="1">
        <f t="array" ref="Q926">_xlfn.IFS(P926&lt;=50,"Low",P926&lt;=100,"Medium",P926&gt;100,"High")</f>
        <v>Low</v>
      </c>
      <c r="R926" t="s">
        <v>463</v>
      </c>
      <c r="S926" s="1" t="str" cm="1">
        <f t="array" ref="S926">_xlfn.IFS(R926="S","Southampton",R926="C","Cherbourg",R926="Q","Queenstown")</f>
        <v>Queenstown</v>
      </c>
    </row>
    <row r="927" spans="1:19" x14ac:dyDescent="0.3">
      <c r="A927">
        <v>926</v>
      </c>
      <c r="B927">
        <v>3</v>
      </c>
      <c r="C927" s="1" t="str" cm="1">
        <f t="array" ref="C927">_xlfn.IFS(B927=1,"First Class",B927=2,"Second Class",B927=3,"Third Class")</f>
        <v>Third Class</v>
      </c>
      <c r="D927">
        <v>0</v>
      </c>
      <c r="E927" s="1" t="str">
        <f t="shared" si="56"/>
        <v>Dead</v>
      </c>
      <c r="F927" t="s">
        <v>1659</v>
      </c>
      <c r="G927" s="1" t="s">
        <v>2999</v>
      </c>
      <c r="H927" t="s">
        <v>20</v>
      </c>
      <c r="I927" s="1" t="str">
        <f t="shared" si="57"/>
        <v>Male</v>
      </c>
      <c r="J927" s="3">
        <v>44</v>
      </c>
      <c r="K927" s="3" t="str" cm="1">
        <f t="array" ref="K927">_xlfn.IFS(J927&lt;=13,"Child",J927&lt;=18,"Teenager",J927&lt;=30,"Young Adult",J927&lt;=50,"Middle Aged Adult",J927&gt;50,"Senior")</f>
        <v>Middle Aged Adult</v>
      </c>
      <c r="L927">
        <v>0</v>
      </c>
      <c r="M927">
        <v>0</v>
      </c>
      <c r="N927" s="1">
        <f t="shared" si="58"/>
        <v>1</v>
      </c>
      <c r="O927" s="1" t="str">
        <f t="shared" si="59"/>
        <v>Single</v>
      </c>
      <c r="P927">
        <v>8.0500000000000007</v>
      </c>
      <c r="Q927" s="1" t="str" cm="1">
        <f t="array" ref="Q927">_xlfn.IFS(P927&lt;=50,"Low",P927&lt;=100,"Medium",P927&gt;100,"High")</f>
        <v>Low</v>
      </c>
      <c r="R927" t="s">
        <v>17</v>
      </c>
      <c r="S927" s="1" t="str" cm="1">
        <f t="array" ref="S927">_xlfn.IFS(R927="S","Southampton",R927="C","Cherbourg",R927="Q","Queenstown")</f>
        <v>Southampton</v>
      </c>
    </row>
    <row r="928" spans="1:19" x14ac:dyDescent="0.3">
      <c r="A928">
        <v>927</v>
      </c>
      <c r="B928">
        <v>3</v>
      </c>
      <c r="C928" s="1" t="str" cm="1">
        <f t="array" ref="C928">_xlfn.IFS(B928=1,"First Class",B928=2,"Second Class",B928=3,"Third Class")</f>
        <v>Third Class</v>
      </c>
      <c r="D928">
        <v>1</v>
      </c>
      <c r="E928" s="1" t="str">
        <f t="shared" si="56"/>
        <v>Alive</v>
      </c>
      <c r="F928" t="s">
        <v>1660</v>
      </c>
      <c r="G928" s="1" t="s">
        <v>2999</v>
      </c>
      <c r="H928" t="s">
        <v>20</v>
      </c>
      <c r="I928" s="1" t="str">
        <f t="shared" si="57"/>
        <v>Male</v>
      </c>
      <c r="J928" s="3">
        <v>29.881137667304014</v>
      </c>
      <c r="K928" s="3" t="str" cm="1">
        <f t="array" ref="K928">_xlfn.IFS(J928&lt;=13,"Child",J928&lt;=18,"Teenager",J928&lt;=30,"Young Adult",J928&lt;=50,"Middle Aged Adult",J928&gt;50,"Senior")</f>
        <v>Young Adult</v>
      </c>
      <c r="L928">
        <v>0</v>
      </c>
      <c r="M928">
        <v>0</v>
      </c>
      <c r="N928" s="1">
        <f t="shared" si="58"/>
        <v>1</v>
      </c>
      <c r="O928" s="1" t="str">
        <f t="shared" si="59"/>
        <v>Single</v>
      </c>
      <c r="P928">
        <v>7.75</v>
      </c>
      <c r="Q928" s="1" t="str" cm="1">
        <f t="array" ref="Q928">_xlfn.IFS(P928&lt;=50,"Low",P928&lt;=100,"Medium",P928&gt;100,"High")</f>
        <v>Low</v>
      </c>
      <c r="R928" t="s">
        <v>463</v>
      </c>
      <c r="S928" s="1" t="str" cm="1">
        <f t="array" ref="S928">_xlfn.IFS(R928="S","Southampton",R928="C","Cherbourg",R928="Q","Queenstown")</f>
        <v>Queenstown</v>
      </c>
    </row>
    <row r="929" spans="1:19" x14ac:dyDescent="0.3">
      <c r="A929">
        <v>928</v>
      </c>
      <c r="B929">
        <v>3</v>
      </c>
      <c r="C929" s="1" t="str" cm="1">
        <f t="array" ref="C929">_xlfn.IFS(B929=1,"First Class",B929=2,"Second Class",B929=3,"Third Class")</f>
        <v>Third Class</v>
      </c>
      <c r="D929">
        <v>0</v>
      </c>
      <c r="E929" s="1" t="str">
        <f t="shared" si="56"/>
        <v>Dead</v>
      </c>
      <c r="F929" t="s">
        <v>1661</v>
      </c>
      <c r="G929" s="1" t="s">
        <v>2999</v>
      </c>
      <c r="H929" t="s">
        <v>20</v>
      </c>
      <c r="I929" s="1" t="str">
        <f t="shared" si="57"/>
        <v>Male</v>
      </c>
      <c r="J929" s="3">
        <v>29.881137667304014</v>
      </c>
      <c r="K929" s="3" t="str" cm="1">
        <f t="array" ref="K929">_xlfn.IFS(J929&lt;=13,"Child",J929&lt;=18,"Teenager",J929&lt;=30,"Young Adult",J929&lt;=50,"Middle Aged Adult",J929&gt;50,"Senior")</f>
        <v>Young Adult</v>
      </c>
      <c r="L929">
        <v>1</v>
      </c>
      <c r="M929">
        <v>0</v>
      </c>
      <c r="N929" s="1">
        <f t="shared" si="58"/>
        <v>2</v>
      </c>
      <c r="O929" s="1" t="str">
        <f t="shared" si="59"/>
        <v>With Family</v>
      </c>
      <c r="P929">
        <v>14.4542</v>
      </c>
      <c r="Q929" s="1" t="str" cm="1">
        <f t="array" ref="Q929">_xlfn.IFS(P929&lt;=50,"Low",P929&lt;=100,"Medium",P929&gt;100,"High")</f>
        <v>Low</v>
      </c>
      <c r="R929" t="s">
        <v>41</v>
      </c>
      <c r="S929" s="1" t="str" cm="1">
        <f t="array" ref="S929">_xlfn.IFS(R929="S","Southampton",R929="C","Cherbourg",R929="Q","Queenstown")</f>
        <v>Cherbourg</v>
      </c>
    </row>
    <row r="930" spans="1:19" x14ac:dyDescent="0.3">
      <c r="A930">
        <v>929</v>
      </c>
      <c r="B930">
        <v>3</v>
      </c>
      <c r="C930" s="1" t="str" cm="1">
        <f t="array" ref="C930">_xlfn.IFS(B930=1,"First Class",B930=2,"Second Class",B930=3,"Third Class")</f>
        <v>Third Class</v>
      </c>
      <c r="D930">
        <v>0</v>
      </c>
      <c r="E930" s="1" t="str">
        <f t="shared" si="56"/>
        <v>Dead</v>
      </c>
      <c r="F930" t="s">
        <v>1662</v>
      </c>
      <c r="G930" s="1" t="s">
        <v>3001</v>
      </c>
      <c r="H930" t="s">
        <v>15</v>
      </c>
      <c r="I930" s="1" t="str">
        <f t="shared" si="57"/>
        <v>Female</v>
      </c>
      <c r="J930" s="3">
        <v>29.881137667304014</v>
      </c>
      <c r="K930" s="3" t="str" cm="1">
        <f t="array" ref="K930">_xlfn.IFS(J930&lt;=13,"Child",J930&lt;=18,"Teenager",J930&lt;=30,"Young Adult",J930&lt;=50,"Middle Aged Adult",J930&gt;50,"Senior")</f>
        <v>Young Adult</v>
      </c>
      <c r="L930">
        <v>1</v>
      </c>
      <c r="M930">
        <v>0</v>
      </c>
      <c r="N930" s="1">
        <f t="shared" si="58"/>
        <v>2</v>
      </c>
      <c r="O930" s="1" t="str">
        <f t="shared" si="59"/>
        <v>With Family</v>
      </c>
      <c r="P930">
        <v>14.4542</v>
      </c>
      <c r="Q930" s="1" t="str" cm="1">
        <f t="array" ref="Q930">_xlfn.IFS(P930&lt;=50,"Low",P930&lt;=100,"Medium",P930&gt;100,"High")</f>
        <v>Low</v>
      </c>
      <c r="R930" t="s">
        <v>41</v>
      </c>
      <c r="S930" s="1" t="str" cm="1">
        <f t="array" ref="S930">_xlfn.IFS(R930="S","Southampton",R930="C","Cherbourg",R930="Q","Queenstown")</f>
        <v>Cherbourg</v>
      </c>
    </row>
    <row r="931" spans="1:19" x14ac:dyDescent="0.3">
      <c r="A931">
        <v>930</v>
      </c>
      <c r="B931">
        <v>3</v>
      </c>
      <c r="C931" s="1" t="str" cm="1">
        <f t="array" ref="C931">_xlfn.IFS(B931=1,"First Class",B931=2,"Second Class",B931=3,"Third Class")</f>
        <v>Third Class</v>
      </c>
      <c r="D931">
        <v>0</v>
      </c>
      <c r="E931" s="1" t="str">
        <f t="shared" si="56"/>
        <v>Dead</v>
      </c>
      <c r="F931" t="s">
        <v>1663</v>
      </c>
      <c r="G931" s="1" t="s">
        <v>2999</v>
      </c>
      <c r="H931" t="s">
        <v>20</v>
      </c>
      <c r="I931" s="1" t="str">
        <f t="shared" si="57"/>
        <v>Male</v>
      </c>
      <c r="J931" s="3">
        <v>29.881137667304014</v>
      </c>
      <c r="K931" s="3" t="str" cm="1">
        <f t="array" ref="K931">_xlfn.IFS(J931&lt;=13,"Child",J931&lt;=18,"Teenager",J931&lt;=30,"Young Adult",J931&lt;=50,"Middle Aged Adult",J931&gt;50,"Senior")</f>
        <v>Young Adult</v>
      </c>
      <c r="L931">
        <v>1</v>
      </c>
      <c r="M931">
        <v>0</v>
      </c>
      <c r="N931" s="1">
        <f t="shared" si="58"/>
        <v>2</v>
      </c>
      <c r="O931" s="1" t="str">
        <f t="shared" si="59"/>
        <v>With Family</v>
      </c>
      <c r="P931">
        <v>7.75</v>
      </c>
      <c r="Q931" s="1" t="str" cm="1">
        <f t="array" ref="Q931">_xlfn.IFS(P931&lt;=50,"Low",P931&lt;=100,"Medium",P931&gt;100,"High")</f>
        <v>Low</v>
      </c>
      <c r="R931" t="s">
        <v>463</v>
      </c>
      <c r="S931" s="1" t="str" cm="1">
        <f t="array" ref="S931">_xlfn.IFS(R931="S","Southampton",R931="C","Cherbourg",R931="Q","Queenstown")</f>
        <v>Queenstown</v>
      </c>
    </row>
    <row r="932" spans="1:19" x14ac:dyDescent="0.3">
      <c r="A932">
        <v>931</v>
      </c>
      <c r="B932">
        <v>3</v>
      </c>
      <c r="C932" s="1" t="str" cm="1">
        <f t="array" ref="C932">_xlfn.IFS(B932=1,"First Class",B932=2,"Second Class",B932=3,"Third Class")</f>
        <v>Third Class</v>
      </c>
      <c r="D932">
        <v>0</v>
      </c>
      <c r="E932" s="1" t="str">
        <f t="shared" si="56"/>
        <v>Dead</v>
      </c>
      <c r="F932" t="s">
        <v>1664</v>
      </c>
      <c r="G932" s="1" t="s">
        <v>2999</v>
      </c>
      <c r="H932" t="s">
        <v>20</v>
      </c>
      <c r="I932" s="1" t="str">
        <f t="shared" si="57"/>
        <v>Male</v>
      </c>
      <c r="J932" s="3">
        <v>29.881137667304014</v>
      </c>
      <c r="K932" s="3" t="str" cm="1">
        <f t="array" ref="K932">_xlfn.IFS(J932&lt;=13,"Child",J932&lt;=18,"Teenager",J932&lt;=30,"Young Adult",J932&lt;=50,"Middle Aged Adult",J932&gt;50,"Senior")</f>
        <v>Young Adult</v>
      </c>
      <c r="L932">
        <v>1</v>
      </c>
      <c r="M932">
        <v>0</v>
      </c>
      <c r="N932" s="1">
        <f t="shared" si="58"/>
        <v>2</v>
      </c>
      <c r="O932" s="1" t="str">
        <f t="shared" si="59"/>
        <v>With Family</v>
      </c>
      <c r="P932">
        <v>7.75</v>
      </c>
      <c r="Q932" s="1" t="str" cm="1">
        <f t="array" ref="Q932">_xlfn.IFS(P932&lt;=50,"Low",P932&lt;=100,"Medium",P932&gt;100,"High")</f>
        <v>Low</v>
      </c>
      <c r="R932" t="s">
        <v>463</v>
      </c>
      <c r="S932" s="1" t="str" cm="1">
        <f t="array" ref="S932">_xlfn.IFS(R932="S","Southampton",R932="C","Cherbourg",R932="Q","Queenstown")</f>
        <v>Queenstown</v>
      </c>
    </row>
    <row r="933" spans="1:19" x14ac:dyDescent="0.3">
      <c r="A933">
        <v>932</v>
      </c>
      <c r="B933">
        <v>3</v>
      </c>
      <c r="C933" s="1" t="str" cm="1">
        <f t="array" ref="C933">_xlfn.IFS(B933=1,"First Class",B933=2,"Second Class",B933=3,"Third Class")</f>
        <v>Third Class</v>
      </c>
      <c r="D933">
        <v>0</v>
      </c>
      <c r="E933" s="1" t="str">
        <f t="shared" si="56"/>
        <v>Dead</v>
      </c>
      <c r="F933" t="s">
        <v>1665</v>
      </c>
      <c r="G933" s="1" t="s">
        <v>2999</v>
      </c>
      <c r="H933" t="s">
        <v>20</v>
      </c>
      <c r="I933" s="1" t="str">
        <f t="shared" si="57"/>
        <v>Male</v>
      </c>
      <c r="J933" s="3">
        <v>29.881137667304014</v>
      </c>
      <c r="K933" s="3" t="str" cm="1">
        <f t="array" ref="K933">_xlfn.IFS(J933&lt;=13,"Child",J933&lt;=18,"Teenager",J933&lt;=30,"Young Adult",J933&lt;=50,"Middle Aged Adult",J933&gt;50,"Senior")</f>
        <v>Young Adult</v>
      </c>
      <c r="L933">
        <v>0</v>
      </c>
      <c r="M933">
        <v>0</v>
      </c>
      <c r="N933" s="1">
        <f t="shared" si="58"/>
        <v>1</v>
      </c>
      <c r="O933" s="1" t="str">
        <f t="shared" si="59"/>
        <v>Single</v>
      </c>
      <c r="P933">
        <v>7.7374999999999998</v>
      </c>
      <c r="Q933" s="1" t="str" cm="1">
        <f t="array" ref="Q933">_xlfn.IFS(P933&lt;=50,"Low",P933&lt;=100,"Medium",P933&gt;100,"High")</f>
        <v>Low</v>
      </c>
      <c r="R933" t="s">
        <v>463</v>
      </c>
      <c r="S933" s="1" t="str" cm="1">
        <f t="array" ref="S933">_xlfn.IFS(R933="S","Southampton",R933="C","Cherbourg",R933="Q","Queenstown")</f>
        <v>Queenstown</v>
      </c>
    </row>
    <row r="934" spans="1:19" x14ac:dyDescent="0.3">
      <c r="A934">
        <v>933</v>
      </c>
      <c r="B934">
        <v>3</v>
      </c>
      <c r="C934" s="1" t="str" cm="1">
        <f t="array" ref="C934">_xlfn.IFS(B934=1,"First Class",B934=2,"Second Class",B934=3,"Third Class")</f>
        <v>Third Class</v>
      </c>
      <c r="D934">
        <v>0</v>
      </c>
      <c r="E934" s="1" t="str">
        <f t="shared" si="56"/>
        <v>Dead</v>
      </c>
      <c r="F934" t="s">
        <v>1666</v>
      </c>
      <c r="G934" s="1" t="s">
        <v>2994</v>
      </c>
      <c r="H934" t="s">
        <v>15</v>
      </c>
      <c r="I934" s="1" t="str">
        <f t="shared" si="57"/>
        <v>Female</v>
      </c>
      <c r="J934" s="3">
        <v>22</v>
      </c>
      <c r="K934" s="3" t="str" cm="1">
        <f t="array" ref="K934">_xlfn.IFS(J934&lt;=13,"Child",J934&lt;=18,"Teenager",J934&lt;=30,"Young Adult",J934&lt;=50,"Middle Aged Adult",J934&gt;50,"Senior")</f>
        <v>Young Adult</v>
      </c>
      <c r="L934">
        <v>2</v>
      </c>
      <c r="M934">
        <v>0</v>
      </c>
      <c r="N934" s="1">
        <f t="shared" si="58"/>
        <v>3</v>
      </c>
      <c r="O934" s="1" t="str">
        <f t="shared" si="59"/>
        <v>With Family</v>
      </c>
      <c r="P934">
        <v>8.6624999999999996</v>
      </c>
      <c r="Q934" s="1" t="str" cm="1">
        <f t="array" ref="Q934">_xlfn.IFS(P934&lt;=50,"Low",P934&lt;=100,"Medium",P934&gt;100,"High")</f>
        <v>Low</v>
      </c>
      <c r="R934" t="s">
        <v>17</v>
      </c>
      <c r="S934" s="1" t="str" cm="1">
        <f t="array" ref="S934">_xlfn.IFS(R934="S","Southampton",R934="C","Cherbourg",R934="Q","Queenstown")</f>
        <v>Southampton</v>
      </c>
    </row>
    <row r="935" spans="1:19" x14ac:dyDescent="0.3">
      <c r="A935">
        <v>934</v>
      </c>
      <c r="B935">
        <v>3</v>
      </c>
      <c r="C935" s="1" t="str" cm="1">
        <f t="array" ref="C935">_xlfn.IFS(B935=1,"First Class",B935=2,"Second Class",B935=3,"Third Class")</f>
        <v>Third Class</v>
      </c>
      <c r="D935">
        <v>0</v>
      </c>
      <c r="E935" s="1" t="str">
        <f t="shared" si="56"/>
        <v>Dead</v>
      </c>
      <c r="F935" t="s">
        <v>1667</v>
      </c>
      <c r="G935" s="1" t="s">
        <v>2999</v>
      </c>
      <c r="H935" t="s">
        <v>20</v>
      </c>
      <c r="I935" s="1" t="str">
        <f t="shared" si="57"/>
        <v>Male</v>
      </c>
      <c r="J935" s="3">
        <v>26</v>
      </c>
      <c r="K935" s="3" t="str" cm="1">
        <f t="array" ref="K935">_xlfn.IFS(J935&lt;=13,"Child",J935&lt;=18,"Teenager",J935&lt;=30,"Young Adult",J935&lt;=50,"Middle Aged Adult",J935&gt;50,"Senior")</f>
        <v>Young Adult</v>
      </c>
      <c r="L935">
        <v>2</v>
      </c>
      <c r="M935">
        <v>0</v>
      </c>
      <c r="N935" s="1">
        <f t="shared" si="58"/>
        <v>3</v>
      </c>
      <c r="O935" s="1" t="str">
        <f t="shared" si="59"/>
        <v>With Family</v>
      </c>
      <c r="P935">
        <v>8.6624999999999996</v>
      </c>
      <c r="Q935" s="1" t="str" cm="1">
        <f t="array" ref="Q935">_xlfn.IFS(P935&lt;=50,"Low",P935&lt;=100,"Medium",P935&gt;100,"High")</f>
        <v>Low</v>
      </c>
      <c r="R935" t="s">
        <v>17</v>
      </c>
      <c r="S935" s="1" t="str" cm="1">
        <f t="array" ref="S935">_xlfn.IFS(R935="S","Southampton",R935="C","Cherbourg",R935="Q","Queenstown")</f>
        <v>Southampton</v>
      </c>
    </row>
    <row r="936" spans="1:19" x14ac:dyDescent="0.3">
      <c r="A936">
        <v>935</v>
      </c>
      <c r="B936">
        <v>3</v>
      </c>
      <c r="C936" s="1" t="str" cm="1">
        <f t="array" ref="C936">_xlfn.IFS(B936=1,"First Class",B936=2,"Second Class",B936=3,"Third Class")</f>
        <v>Third Class</v>
      </c>
      <c r="D936">
        <v>1</v>
      </c>
      <c r="E936" s="1" t="str">
        <f t="shared" si="56"/>
        <v>Alive</v>
      </c>
      <c r="F936" t="s">
        <v>1668</v>
      </c>
      <c r="G936" s="1" t="s">
        <v>2994</v>
      </c>
      <c r="H936" t="s">
        <v>15</v>
      </c>
      <c r="I936" s="1" t="str">
        <f t="shared" si="57"/>
        <v>Female</v>
      </c>
      <c r="J936" s="3">
        <v>4</v>
      </c>
      <c r="K936" s="3" t="str" cm="1">
        <f t="array" ref="K936">_xlfn.IFS(J936&lt;=13,"Child",J936&lt;=18,"Teenager",J936&lt;=30,"Young Adult",J936&lt;=50,"Middle Aged Adult",J936&gt;50,"Senior")</f>
        <v>Child</v>
      </c>
      <c r="L936">
        <v>0</v>
      </c>
      <c r="M936">
        <v>2</v>
      </c>
      <c r="N936" s="1">
        <f t="shared" si="58"/>
        <v>3</v>
      </c>
      <c r="O936" s="1" t="str">
        <f t="shared" si="59"/>
        <v>With Family</v>
      </c>
      <c r="P936">
        <v>22.024999999999999</v>
      </c>
      <c r="Q936" s="1" t="str" cm="1">
        <f t="array" ref="Q936">_xlfn.IFS(P936&lt;=50,"Low",P936&lt;=100,"Medium",P936&gt;100,"High")</f>
        <v>Low</v>
      </c>
      <c r="R936" t="s">
        <v>17</v>
      </c>
      <c r="S936" s="1" t="str" cm="1">
        <f t="array" ref="S936">_xlfn.IFS(R936="S","Southampton",R936="C","Cherbourg",R936="Q","Queenstown")</f>
        <v>Southampton</v>
      </c>
    </row>
    <row r="937" spans="1:19" x14ac:dyDescent="0.3">
      <c r="A937">
        <v>936</v>
      </c>
      <c r="B937">
        <v>3</v>
      </c>
      <c r="C937" s="1" t="str" cm="1">
        <f t="array" ref="C937">_xlfn.IFS(B937=1,"First Class",B937=2,"Second Class",B937=3,"Third Class")</f>
        <v>Third Class</v>
      </c>
      <c r="D937">
        <v>1</v>
      </c>
      <c r="E937" s="1" t="str">
        <f t="shared" si="56"/>
        <v>Alive</v>
      </c>
      <c r="F937" t="s">
        <v>1669</v>
      </c>
      <c r="G937" s="1" t="s">
        <v>2999</v>
      </c>
      <c r="H937" t="s">
        <v>20</v>
      </c>
      <c r="I937" s="1" t="str">
        <f t="shared" si="57"/>
        <v>Male</v>
      </c>
      <c r="J937" s="3">
        <v>29</v>
      </c>
      <c r="K937" s="3" t="str" cm="1">
        <f t="array" ref="K937">_xlfn.IFS(J937&lt;=13,"Child",J937&lt;=18,"Teenager",J937&lt;=30,"Young Adult",J937&lt;=50,"Middle Aged Adult",J937&gt;50,"Senior")</f>
        <v>Young Adult</v>
      </c>
      <c r="L937">
        <v>3</v>
      </c>
      <c r="M937">
        <v>1</v>
      </c>
      <c r="N937" s="1">
        <f t="shared" si="58"/>
        <v>5</v>
      </c>
      <c r="O937" s="1" t="str">
        <f t="shared" si="59"/>
        <v>With Family</v>
      </c>
      <c r="P937">
        <v>22.024999999999999</v>
      </c>
      <c r="Q937" s="1" t="str" cm="1">
        <f t="array" ref="Q937">_xlfn.IFS(P937&lt;=50,"Low",P937&lt;=100,"Medium",P937&gt;100,"High")</f>
        <v>Low</v>
      </c>
      <c r="R937" t="s">
        <v>17</v>
      </c>
      <c r="S937" s="1" t="str" cm="1">
        <f t="array" ref="S937">_xlfn.IFS(R937="S","Southampton",R937="C","Cherbourg",R937="Q","Queenstown")</f>
        <v>Southampton</v>
      </c>
    </row>
    <row r="938" spans="1:19" x14ac:dyDescent="0.3">
      <c r="A938">
        <v>937</v>
      </c>
      <c r="B938">
        <v>3</v>
      </c>
      <c r="C938" s="1" t="str" cm="1">
        <f t="array" ref="C938">_xlfn.IFS(B938=1,"First Class",B938=2,"Second Class",B938=3,"Third Class")</f>
        <v>Third Class</v>
      </c>
      <c r="D938">
        <v>1</v>
      </c>
      <c r="E938" s="1" t="str">
        <f t="shared" si="56"/>
        <v>Alive</v>
      </c>
      <c r="F938" t="s">
        <v>1670</v>
      </c>
      <c r="G938" s="1" t="s">
        <v>3001</v>
      </c>
      <c r="H938" t="s">
        <v>15</v>
      </c>
      <c r="I938" s="1" t="str">
        <f t="shared" si="57"/>
        <v>Female</v>
      </c>
      <c r="J938" s="3">
        <v>26</v>
      </c>
      <c r="K938" s="3" t="str" cm="1">
        <f t="array" ref="K938">_xlfn.IFS(J938&lt;=13,"Child",J938&lt;=18,"Teenager",J938&lt;=30,"Young Adult",J938&lt;=50,"Middle Aged Adult",J938&gt;50,"Senior")</f>
        <v>Young Adult</v>
      </c>
      <c r="L938">
        <v>1</v>
      </c>
      <c r="M938">
        <v>1</v>
      </c>
      <c r="N938" s="1">
        <f t="shared" si="58"/>
        <v>3</v>
      </c>
      <c r="O938" s="1" t="str">
        <f t="shared" si="59"/>
        <v>With Family</v>
      </c>
      <c r="P938">
        <v>22.024999999999999</v>
      </c>
      <c r="Q938" s="1" t="str" cm="1">
        <f t="array" ref="Q938">_xlfn.IFS(P938&lt;=50,"Low",P938&lt;=100,"Medium",P938&gt;100,"High")</f>
        <v>Low</v>
      </c>
      <c r="R938" t="s">
        <v>17</v>
      </c>
      <c r="S938" s="1" t="str" cm="1">
        <f t="array" ref="S938">_xlfn.IFS(R938="S","Southampton",R938="C","Cherbourg",R938="Q","Queenstown")</f>
        <v>Southampton</v>
      </c>
    </row>
    <row r="939" spans="1:19" x14ac:dyDescent="0.3">
      <c r="A939">
        <v>938</v>
      </c>
      <c r="B939">
        <v>3</v>
      </c>
      <c r="C939" s="1" t="str" cm="1">
        <f t="array" ref="C939">_xlfn.IFS(B939=1,"First Class",B939=2,"Second Class",B939=3,"Third Class")</f>
        <v>Third Class</v>
      </c>
      <c r="D939">
        <v>0</v>
      </c>
      <c r="E939" s="1" t="str">
        <f t="shared" si="56"/>
        <v>Dead</v>
      </c>
      <c r="F939" t="s">
        <v>1671</v>
      </c>
      <c r="G939" s="1" t="s">
        <v>2994</v>
      </c>
      <c r="H939" t="s">
        <v>15</v>
      </c>
      <c r="I939" s="1" t="str">
        <f t="shared" si="57"/>
        <v>Female</v>
      </c>
      <c r="J939" s="3">
        <v>1</v>
      </c>
      <c r="K939" s="3" t="str" cm="1">
        <f t="array" ref="K939">_xlfn.IFS(J939&lt;=13,"Child",J939&lt;=18,"Teenager",J939&lt;=30,"Young Adult",J939&lt;=50,"Middle Aged Adult",J939&gt;50,"Senior")</f>
        <v>Child</v>
      </c>
      <c r="L939">
        <v>1</v>
      </c>
      <c r="M939">
        <v>1</v>
      </c>
      <c r="N939" s="1">
        <f t="shared" si="58"/>
        <v>3</v>
      </c>
      <c r="O939" s="1" t="str">
        <f t="shared" si="59"/>
        <v>With Family</v>
      </c>
      <c r="P939">
        <v>12.183299999999999</v>
      </c>
      <c r="Q939" s="1" t="str" cm="1">
        <f t="array" ref="Q939">_xlfn.IFS(P939&lt;=50,"Low",P939&lt;=100,"Medium",P939&gt;100,"High")</f>
        <v>Low</v>
      </c>
      <c r="R939" t="s">
        <v>17</v>
      </c>
      <c r="S939" s="1" t="str" cm="1">
        <f t="array" ref="S939">_xlfn.IFS(R939="S","Southampton",R939="C","Cherbourg",R939="Q","Queenstown")</f>
        <v>Southampton</v>
      </c>
    </row>
    <row r="940" spans="1:19" x14ac:dyDescent="0.3">
      <c r="A940">
        <v>939</v>
      </c>
      <c r="B940">
        <v>3</v>
      </c>
      <c r="C940" s="1" t="str" cm="1">
        <f t="array" ref="C940">_xlfn.IFS(B940=1,"First Class",B940=2,"Second Class",B940=3,"Third Class")</f>
        <v>Third Class</v>
      </c>
      <c r="D940">
        <v>0</v>
      </c>
      <c r="E940" s="1" t="str">
        <f t="shared" si="56"/>
        <v>Dead</v>
      </c>
      <c r="F940" t="s">
        <v>1672</v>
      </c>
      <c r="G940" s="1" t="s">
        <v>2999</v>
      </c>
      <c r="H940" t="s">
        <v>20</v>
      </c>
      <c r="I940" s="1" t="str">
        <f t="shared" si="57"/>
        <v>Male</v>
      </c>
      <c r="J940" s="3">
        <v>18</v>
      </c>
      <c r="K940" s="3" t="str" cm="1">
        <f t="array" ref="K940">_xlfn.IFS(J940&lt;=13,"Child",J940&lt;=18,"Teenager",J940&lt;=30,"Young Adult",J940&lt;=50,"Middle Aged Adult",J940&gt;50,"Senior")</f>
        <v>Teenager</v>
      </c>
      <c r="L940">
        <v>1</v>
      </c>
      <c r="M940">
        <v>1</v>
      </c>
      <c r="N940" s="1">
        <f t="shared" si="58"/>
        <v>3</v>
      </c>
      <c r="O940" s="1" t="str">
        <f t="shared" si="59"/>
        <v>With Family</v>
      </c>
      <c r="P940">
        <v>7.8541999999999996</v>
      </c>
      <c r="Q940" s="1" t="str" cm="1">
        <f t="array" ref="Q940">_xlfn.IFS(P940&lt;=50,"Low",P940&lt;=100,"Medium",P940&gt;100,"High")</f>
        <v>Low</v>
      </c>
      <c r="R940" t="s">
        <v>17</v>
      </c>
      <c r="S940" s="1" t="str" cm="1">
        <f t="array" ref="S940">_xlfn.IFS(R940="S","Southampton",R940="C","Cherbourg",R940="Q","Queenstown")</f>
        <v>Southampton</v>
      </c>
    </row>
    <row r="941" spans="1:19" x14ac:dyDescent="0.3">
      <c r="A941">
        <v>940</v>
      </c>
      <c r="B941">
        <v>3</v>
      </c>
      <c r="C941" s="1" t="str" cm="1">
        <f t="array" ref="C941">_xlfn.IFS(B941=1,"First Class",B941=2,"Second Class",B941=3,"Third Class")</f>
        <v>Third Class</v>
      </c>
      <c r="D941">
        <v>0</v>
      </c>
      <c r="E941" s="1" t="str">
        <f t="shared" si="56"/>
        <v>Dead</v>
      </c>
      <c r="F941" t="s">
        <v>1673</v>
      </c>
      <c r="G941" s="1" t="s">
        <v>3001</v>
      </c>
      <c r="H941" t="s">
        <v>15</v>
      </c>
      <c r="I941" s="1" t="str">
        <f t="shared" si="57"/>
        <v>Female</v>
      </c>
      <c r="J941" s="3">
        <v>36</v>
      </c>
      <c r="K941" s="3" t="str" cm="1">
        <f t="array" ref="K941">_xlfn.IFS(J941&lt;=13,"Child",J941&lt;=18,"Teenager",J941&lt;=30,"Young Adult",J941&lt;=50,"Middle Aged Adult",J941&gt;50,"Senior")</f>
        <v>Middle Aged Adult</v>
      </c>
      <c r="L941">
        <v>0</v>
      </c>
      <c r="M941">
        <v>2</v>
      </c>
      <c r="N941" s="1">
        <f t="shared" si="58"/>
        <v>3</v>
      </c>
      <c r="O941" s="1" t="str">
        <f t="shared" si="59"/>
        <v>With Family</v>
      </c>
      <c r="P941">
        <v>12.183299999999999</v>
      </c>
      <c r="Q941" s="1" t="str" cm="1">
        <f t="array" ref="Q941">_xlfn.IFS(P941&lt;=50,"Low",P941&lt;=100,"Medium",P941&gt;100,"High")</f>
        <v>Low</v>
      </c>
      <c r="R941" t="s">
        <v>17</v>
      </c>
      <c r="S941" s="1" t="str" cm="1">
        <f t="array" ref="S941">_xlfn.IFS(R941="S","Southampton",R941="C","Cherbourg",R941="Q","Queenstown")</f>
        <v>Southampton</v>
      </c>
    </row>
    <row r="942" spans="1:19" x14ac:dyDescent="0.3">
      <c r="A942">
        <v>941</v>
      </c>
      <c r="B942">
        <v>3</v>
      </c>
      <c r="C942" s="1" t="str" cm="1">
        <f t="array" ref="C942">_xlfn.IFS(B942=1,"First Class",B942=2,"Second Class",B942=3,"Third Class")</f>
        <v>Third Class</v>
      </c>
      <c r="D942">
        <v>0</v>
      </c>
      <c r="E942" s="1" t="str">
        <f t="shared" si="56"/>
        <v>Dead</v>
      </c>
      <c r="F942" t="s">
        <v>1674</v>
      </c>
      <c r="G942" s="1" t="s">
        <v>2999</v>
      </c>
      <c r="H942" t="s">
        <v>20</v>
      </c>
      <c r="I942" s="1" t="str">
        <f t="shared" si="57"/>
        <v>Male</v>
      </c>
      <c r="J942" s="3">
        <v>29.881137667304014</v>
      </c>
      <c r="K942" s="3" t="str" cm="1">
        <f t="array" ref="K942">_xlfn.IFS(J942&lt;=13,"Child",J942&lt;=18,"Teenager",J942&lt;=30,"Young Adult",J942&lt;=50,"Middle Aged Adult",J942&gt;50,"Senior")</f>
        <v>Young Adult</v>
      </c>
      <c r="L942">
        <v>0</v>
      </c>
      <c r="M942">
        <v>0</v>
      </c>
      <c r="N942" s="1">
        <f t="shared" si="58"/>
        <v>1</v>
      </c>
      <c r="O942" s="1" t="str">
        <f t="shared" si="59"/>
        <v>Single</v>
      </c>
      <c r="P942">
        <v>7.8958000000000004</v>
      </c>
      <c r="Q942" s="1" t="str" cm="1">
        <f t="array" ref="Q942">_xlfn.IFS(P942&lt;=50,"Low",P942&lt;=100,"Medium",P942&gt;100,"High")</f>
        <v>Low</v>
      </c>
      <c r="R942" t="s">
        <v>41</v>
      </c>
      <c r="S942" s="1" t="str" cm="1">
        <f t="array" ref="S942">_xlfn.IFS(R942="S","Southampton",R942="C","Cherbourg",R942="Q","Queenstown")</f>
        <v>Cherbourg</v>
      </c>
    </row>
    <row r="943" spans="1:19" x14ac:dyDescent="0.3">
      <c r="A943">
        <v>942</v>
      </c>
      <c r="B943">
        <v>3</v>
      </c>
      <c r="C943" s="1" t="str" cm="1">
        <f t="array" ref="C943">_xlfn.IFS(B943=1,"First Class",B943=2,"Second Class",B943=3,"Third Class")</f>
        <v>Third Class</v>
      </c>
      <c r="D943">
        <v>1</v>
      </c>
      <c r="E943" s="1" t="str">
        <f t="shared" si="56"/>
        <v>Alive</v>
      </c>
      <c r="F943" t="s">
        <v>1675</v>
      </c>
      <c r="G943" s="1" t="s">
        <v>2999</v>
      </c>
      <c r="H943" t="s">
        <v>20</v>
      </c>
      <c r="I943" s="1" t="str">
        <f t="shared" si="57"/>
        <v>Male</v>
      </c>
      <c r="J943" s="3">
        <v>25</v>
      </c>
      <c r="K943" s="3" t="str" cm="1">
        <f t="array" ref="K943">_xlfn.IFS(J943&lt;=13,"Child",J943&lt;=18,"Teenager",J943&lt;=30,"Young Adult",J943&lt;=50,"Middle Aged Adult",J943&gt;50,"Senior")</f>
        <v>Young Adult</v>
      </c>
      <c r="L943">
        <v>0</v>
      </c>
      <c r="M943">
        <v>0</v>
      </c>
      <c r="N943" s="1">
        <f t="shared" si="58"/>
        <v>1</v>
      </c>
      <c r="O943" s="1" t="str">
        <f t="shared" si="59"/>
        <v>Single</v>
      </c>
      <c r="P943">
        <v>7.2291999999999996</v>
      </c>
      <c r="Q943" s="1" t="str" cm="1">
        <f t="array" ref="Q943">_xlfn.IFS(P943&lt;=50,"Low",P943&lt;=100,"Medium",P943&gt;100,"High")</f>
        <v>Low</v>
      </c>
      <c r="R943" t="s">
        <v>41</v>
      </c>
      <c r="S943" s="1" t="str" cm="1">
        <f t="array" ref="S943">_xlfn.IFS(R943="S","Southampton",R943="C","Cherbourg",R943="Q","Queenstown")</f>
        <v>Cherbourg</v>
      </c>
    </row>
    <row r="944" spans="1:19" x14ac:dyDescent="0.3">
      <c r="A944">
        <v>943</v>
      </c>
      <c r="B944">
        <v>3</v>
      </c>
      <c r="C944" s="1" t="str" cm="1">
        <f t="array" ref="C944">_xlfn.IFS(B944=1,"First Class",B944=2,"Second Class",B944=3,"Third Class")</f>
        <v>Third Class</v>
      </c>
      <c r="D944">
        <v>0</v>
      </c>
      <c r="E944" s="1" t="str">
        <f t="shared" si="56"/>
        <v>Dead</v>
      </c>
      <c r="F944" t="s">
        <v>1677</v>
      </c>
      <c r="G944" s="1" t="s">
        <v>2999</v>
      </c>
      <c r="H944" t="s">
        <v>20</v>
      </c>
      <c r="I944" s="1" t="str">
        <f t="shared" si="57"/>
        <v>Male</v>
      </c>
      <c r="J944" s="3">
        <v>29.881137667304014</v>
      </c>
      <c r="K944" s="3" t="str" cm="1">
        <f t="array" ref="K944">_xlfn.IFS(J944&lt;=13,"Child",J944&lt;=18,"Teenager",J944&lt;=30,"Young Adult",J944&lt;=50,"Middle Aged Adult",J944&gt;50,"Senior")</f>
        <v>Young Adult</v>
      </c>
      <c r="L944">
        <v>0</v>
      </c>
      <c r="M944">
        <v>0</v>
      </c>
      <c r="N944" s="1">
        <f t="shared" si="58"/>
        <v>1</v>
      </c>
      <c r="O944" s="1" t="str">
        <f t="shared" si="59"/>
        <v>Single</v>
      </c>
      <c r="P944">
        <v>7.2249999999999996</v>
      </c>
      <c r="Q944" s="1" t="str" cm="1">
        <f t="array" ref="Q944">_xlfn.IFS(P944&lt;=50,"Low",P944&lt;=100,"Medium",P944&gt;100,"High")</f>
        <v>Low</v>
      </c>
      <c r="R944" t="s">
        <v>41</v>
      </c>
      <c r="S944" s="1" t="str" cm="1">
        <f t="array" ref="S944">_xlfn.IFS(R944="S","Southampton",R944="C","Cherbourg",R944="Q","Queenstown")</f>
        <v>Cherbourg</v>
      </c>
    </row>
    <row r="945" spans="1:19" x14ac:dyDescent="0.3">
      <c r="A945">
        <v>944</v>
      </c>
      <c r="B945">
        <v>3</v>
      </c>
      <c r="C945" s="1" t="str" cm="1">
        <f t="array" ref="C945">_xlfn.IFS(B945=1,"First Class",B945=2,"Second Class",B945=3,"Third Class")</f>
        <v>Third Class</v>
      </c>
      <c r="D945">
        <v>0</v>
      </c>
      <c r="E945" s="1" t="str">
        <f t="shared" si="56"/>
        <v>Dead</v>
      </c>
      <c r="F945" t="s">
        <v>1678</v>
      </c>
      <c r="G945" s="1" t="s">
        <v>2994</v>
      </c>
      <c r="H945" t="s">
        <v>15</v>
      </c>
      <c r="I945" s="1" t="str">
        <f t="shared" si="57"/>
        <v>Female</v>
      </c>
      <c r="J945" s="3">
        <v>37</v>
      </c>
      <c r="K945" s="3" t="str" cm="1">
        <f t="array" ref="K945">_xlfn.IFS(J945&lt;=13,"Child",J945&lt;=18,"Teenager",J945&lt;=30,"Young Adult",J945&lt;=50,"Middle Aged Adult",J945&gt;50,"Senior")</f>
        <v>Middle Aged Adult</v>
      </c>
      <c r="L945">
        <v>0</v>
      </c>
      <c r="M945">
        <v>0</v>
      </c>
      <c r="N945" s="1">
        <f t="shared" si="58"/>
        <v>1</v>
      </c>
      <c r="O945" s="1" t="str">
        <f t="shared" si="59"/>
        <v>Single</v>
      </c>
      <c r="P945">
        <v>9.5875000000000004</v>
      </c>
      <c r="Q945" s="1" t="str" cm="1">
        <f t="array" ref="Q945">_xlfn.IFS(P945&lt;=50,"Low",P945&lt;=100,"Medium",P945&gt;100,"High")</f>
        <v>Low</v>
      </c>
      <c r="R945" t="s">
        <v>17</v>
      </c>
      <c r="S945" s="1" t="str" cm="1">
        <f t="array" ref="S945">_xlfn.IFS(R945="S","Southampton",R945="C","Cherbourg",R945="Q","Queenstown")</f>
        <v>Southampton</v>
      </c>
    </row>
    <row r="946" spans="1:19" x14ac:dyDescent="0.3">
      <c r="A946">
        <v>945</v>
      </c>
      <c r="B946">
        <v>3</v>
      </c>
      <c r="C946" s="1" t="str" cm="1">
        <f t="array" ref="C946">_xlfn.IFS(B946=1,"First Class",B946=2,"Second Class",B946=3,"Third Class")</f>
        <v>Third Class</v>
      </c>
      <c r="D946">
        <v>0</v>
      </c>
      <c r="E946" s="1" t="str">
        <f t="shared" si="56"/>
        <v>Dead</v>
      </c>
      <c r="F946" t="s">
        <v>1679</v>
      </c>
      <c r="G946" s="1" t="s">
        <v>2999</v>
      </c>
      <c r="H946" t="s">
        <v>20</v>
      </c>
      <c r="I946" s="1" t="str">
        <f t="shared" si="57"/>
        <v>Male</v>
      </c>
      <c r="J946" s="3">
        <v>29.881137667304014</v>
      </c>
      <c r="K946" s="3" t="str" cm="1">
        <f t="array" ref="K946">_xlfn.IFS(J946&lt;=13,"Child",J946&lt;=18,"Teenager",J946&lt;=30,"Young Adult",J946&lt;=50,"Middle Aged Adult",J946&gt;50,"Senior")</f>
        <v>Young Adult</v>
      </c>
      <c r="L946">
        <v>0</v>
      </c>
      <c r="M946">
        <v>0</v>
      </c>
      <c r="N946" s="1">
        <f t="shared" si="58"/>
        <v>1</v>
      </c>
      <c r="O946" s="1" t="str">
        <f t="shared" si="59"/>
        <v>Single</v>
      </c>
      <c r="P946">
        <v>7.8958000000000004</v>
      </c>
      <c r="Q946" s="1" t="str" cm="1">
        <f t="array" ref="Q946">_xlfn.IFS(P946&lt;=50,"Low",P946&lt;=100,"Medium",P946&gt;100,"High")</f>
        <v>Low</v>
      </c>
      <c r="R946" t="s">
        <v>17</v>
      </c>
      <c r="S946" s="1" t="str" cm="1">
        <f t="array" ref="S946">_xlfn.IFS(R946="S","Southampton",R946="C","Cherbourg",R946="Q","Queenstown")</f>
        <v>Southampton</v>
      </c>
    </row>
    <row r="947" spans="1:19" x14ac:dyDescent="0.3">
      <c r="A947">
        <v>946</v>
      </c>
      <c r="B947">
        <v>3</v>
      </c>
      <c r="C947" s="1" t="str" cm="1">
        <f t="array" ref="C947">_xlfn.IFS(B947=1,"First Class",B947=2,"Second Class",B947=3,"Third Class")</f>
        <v>Third Class</v>
      </c>
      <c r="D947">
        <v>1</v>
      </c>
      <c r="E947" s="1" t="str">
        <f t="shared" si="56"/>
        <v>Alive</v>
      </c>
      <c r="F947" t="s">
        <v>1680</v>
      </c>
      <c r="G947" s="1" t="s">
        <v>2999</v>
      </c>
      <c r="H947" t="s">
        <v>20</v>
      </c>
      <c r="I947" s="1" t="str">
        <f t="shared" si="57"/>
        <v>Male</v>
      </c>
      <c r="J947" s="3">
        <v>29.881137667304014</v>
      </c>
      <c r="K947" s="3" t="str" cm="1">
        <f t="array" ref="K947">_xlfn.IFS(J947&lt;=13,"Child",J947&lt;=18,"Teenager",J947&lt;=30,"Young Adult",J947&lt;=50,"Middle Aged Adult",J947&gt;50,"Senior")</f>
        <v>Young Adult</v>
      </c>
      <c r="L947">
        <v>0</v>
      </c>
      <c r="M947">
        <v>0</v>
      </c>
      <c r="N947" s="1">
        <f t="shared" si="58"/>
        <v>1</v>
      </c>
      <c r="O947" s="1" t="str">
        <f t="shared" si="59"/>
        <v>Single</v>
      </c>
      <c r="P947">
        <v>56.495800000000003</v>
      </c>
      <c r="Q947" s="1" t="str" cm="1">
        <f t="array" ref="Q947">_xlfn.IFS(P947&lt;=50,"Low",P947&lt;=100,"Medium",P947&gt;100,"High")</f>
        <v>Medium</v>
      </c>
      <c r="R947" t="s">
        <v>17</v>
      </c>
      <c r="S947" s="1" t="str" cm="1">
        <f t="array" ref="S947">_xlfn.IFS(R947="S","Southampton",R947="C","Cherbourg",R947="Q","Queenstown")</f>
        <v>Southampton</v>
      </c>
    </row>
    <row r="948" spans="1:19" x14ac:dyDescent="0.3">
      <c r="A948">
        <v>947</v>
      </c>
      <c r="B948">
        <v>3</v>
      </c>
      <c r="C948" s="1" t="str" cm="1">
        <f t="array" ref="C948">_xlfn.IFS(B948=1,"First Class",B948=2,"Second Class",B948=3,"Third Class")</f>
        <v>Third Class</v>
      </c>
      <c r="D948">
        <v>0</v>
      </c>
      <c r="E948" s="1" t="str">
        <f t="shared" si="56"/>
        <v>Dead</v>
      </c>
      <c r="F948" t="s">
        <v>1681</v>
      </c>
      <c r="G948" s="1" t="s">
        <v>2999</v>
      </c>
      <c r="H948" t="s">
        <v>20</v>
      </c>
      <c r="I948" s="1" t="str">
        <f t="shared" si="57"/>
        <v>Male</v>
      </c>
      <c r="J948" s="3">
        <v>29.881137667304014</v>
      </c>
      <c r="K948" s="3" t="str" cm="1">
        <f t="array" ref="K948">_xlfn.IFS(J948&lt;=13,"Child",J948&lt;=18,"Teenager",J948&lt;=30,"Young Adult",J948&lt;=50,"Middle Aged Adult",J948&gt;50,"Senior")</f>
        <v>Young Adult</v>
      </c>
      <c r="L948">
        <v>0</v>
      </c>
      <c r="M948">
        <v>0</v>
      </c>
      <c r="N948" s="1">
        <f t="shared" si="58"/>
        <v>1</v>
      </c>
      <c r="O948" s="1" t="str">
        <f t="shared" si="59"/>
        <v>Single</v>
      </c>
      <c r="P948">
        <v>56.495800000000003</v>
      </c>
      <c r="Q948" s="1" t="str" cm="1">
        <f t="array" ref="Q948">_xlfn.IFS(P948&lt;=50,"Low",P948&lt;=100,"Medium",P948&gt;100,"High")</f>
        <v>Medium</v>
      </c>
      <c r="R948" t="s">
        <v>17</v>
      </c>
      <c r="S948" s="1" t="str" cm="1">
        <f t="array" ref="S948">_xlfn.IFS(R948="S","Southampton",R948="C","Cherbourg",R948="Q","Queenstown")</f>
        <v>Southampton</v>
      </c>
    </row>
    <row r="949" spans="1:19" x14ac:dyDescent="0.3">
      <c r="A949">
        <v>948</v>
      </c>
      <c r="B949">
        <v>3</v>
      </c>
      <c r="C949" s="1" t="str" cm="1">
        <f t="array" ref="C949">_xlfn.IFS(B949=1,"First Class",B949=2,"Second Class",B949=3,"Third Class")</f>
        <v>Third Class</v>
      </c>
      <c r="D949">
        <v>1</v>
      </c>
      <c r="E949" s="1" t="str">
        <f t="shared" si="56"/>
        <v>Alive</v>
      </c>
      <c r="F949" t="s">
        <v>1682</v>
      </c>
      <c r="G949" s="1" t="s">
        <v>2994</v>
      </c>
      <c r="H949" t="s">
        <v>15</v>
      </c>
      <c r="I949" s="1" t="str">
        <f t="shared" si="57"/>
        <v>Female</v>
      </c>
      <c r="J949" s="3">
        <v>22</v>
      </c>
      <c r="K949" s="3" t="str" cm="1">
        <f t="array" ref="K949">_xlfn.IFS(J949&lt;=13,"Child",J949&lt;=18,"Teenager",J949&lt;=30,"Young Adult",J949&lt;=50,"Middle Aged Adult",J949&gt;50,"Senior")</f>
        <v>Young Adult</v>
      </c>
      <c r="L949">
        <v>0</v>
      </c>
      <c r="M949">
        <v>0</v>
      </c>
      <c r="N949" s="1">
        <f t="shared" si="58"/>
        <v>1</v>
      </c>
      <c r="O949" s="1" t="str">
        <f t="shared" si="59"/>
        <v>Single</v>
      </c>
      <c r="P949">
        <v>7.25</v>
      </c>
      <c r="Q949" s="1" t="str" cm="1">
        <f t="array" ref="Q949">_xlfn.IFS(P949&lt;=50,"Low",P949&lt;=100,"Medium",P949&gt;100,"High")</f>
        <v>Low</v>
      </c>
      <c r="R949" t="s">
        <v>17</v>
      </c>
      <c r="S949" s="1" t="str" cm="1">
        <f t="array" ref="S949">_xlfn.IFS(R949="S","Southampton",R949="C","Cherbourg",R949="Q","Queenstown")</f>
        <v>Southampton</v>
      </c>
    </row>
    <row r="950" spans="1:19" x14ac:dyDescent="0.3">
      <c r="A950">
        <v>949</v>
      </c>
      <c r="B950">
        <v>3</v>
      </c>
      <c r="C950" s="1" t="str" cm="1">
        <f t="array" ref="C950">_xlfn.IFS(B950=1,"First Class",B950=2,"Second Class",B950=3,"Third Class")</f>
        <v>Third Class</v>
      </c>
      <c r="D950">
        <v>0</v>
      </c>
      <c r="E950" s="1" t="str">
        <f t="shared" si="56"/>
        <v>Dead</v>
      </c>
      <c r="F950" t="s">
        <v>1684</v>
      </c>
      <c r="G950" s="1" t="s">
        <v>2999</v>
      </c>
      <c r="H950" t="s">
        <v>20</v>
      </c>
      <c r="I950" s="1" t="str">
        <f t="shared" si="57"/>
        <v>Male</v>
      </c>
      <c r="J950" s="3">
        <v>29.881137667304014</v>
      </c>
      <c r="K950" s="3" t="str" cm="1">
        <f t="array" ref="K950">_xlfn.IFS(J950&lt;=13,"Child",J950&lt;=18,"Teenager",J950&lt;=30,"Young Adult",J950&lt;=50,"Middle Aged Adult",J950&gt;50,"Senior")</f>
        <v>Young Adult</v>
      </c>
      <c r="L950">
        <v>0</v>
      </c>
      <c r="M950">
        <v>0</v>
      </c>
      <c r="N950" s="1">
        <f t="shared" si="58"/>
        <v>1</v>
      </c>
      <c r="O950" s="1" t="str">
        <f t="shared" si="59"/>
        <v>Single</v>
      </c>
      <c r="P950">
        <v>7.75</v>
      </c>
      <c r="Q950" s="1" t="str" cm="1">
        <f t="array" ref="Q950">_xlfn.IFS(P950&lt;=50,"Low",P950&lt;=100,"Medium",P950&gt;100,"High")</f>
        <v>Low</v>
      </c>
      <c r="R950" t="s">
        <v>463</v>
      </c>
      <c r="S950" s="1" t="str" cm="1">
        <f t="array" ref="S950">_xlfn.IFS(R950="S","Southampton",R950="C","Cherbourg",R950="Q","Queenstown")</f>
        <v>Queenstown</v>
      </c>
    </row>
    <row r="951" spans="1:19" x14ac:dyDescent="0.3">
      <c r="A951">
        <v>950</v>
      </c>
      <c r="B951">
        <v>3</v>
      </c>
      <c r="C951" s="1" t="str" cm="1">
        <f t="array" ref="C951">_xlfn.IFS(B951=1,"First Class",B951=2,"Second Class",B951=3,"Third Class")</f>
        <v>Third Class</v>
      </c>
      <c r="D951">
        <v>1</v>
      </c>
      <c r="E951" s="1" t="str">
        <f t="shared" si="56"/>
        <v>Alive</v>
      </c>
      <c r="F951" t="s">
        <v>1685</v>
      </c>
      <c r="G951" s="1" t="s">
        <v>2999</v>
      </c>
      <c r="H951" t="s">
        <v>20</v>
      </c>
      <c r="I951" s="1" t="str">
        <f t="shared" si="57"/>
        <v>Male</v>
      </c>
      <c r="J951" s="3">
        <v>26</v>
      </c>
      <c r="K951" s="3" t="str" cm="1">
        <f t="array" ref="K951">_xlfn.IFS(J951&lt;=13,"Child",J951&lt;=18,"Teenager",J951&lt;=30,"Young Adult",J951&lt;=50,"Middle Aged Adult",J951&gt;50,"Senior")</f>
        <v>Young Adult</v>
      </c>
      <c r="L951">
        <v>0</v>
      </c>
      <c r="M951">
        <v>0</v>
      </c>
      <c r="N951" s="1">
        <f t="shared" si="58"/>
        <v>1</v>
      </c>
      <c r="O951" s="1" t="str">
        <f t="shared" si="59"/>
        <v>Single</v>
      </c>
      <c r="P951">
        <v>56.495800000000003</v>
      </c>
      <c r="Q951" s="1" t="str" cm="1">
        <f t="array" ref="Q951">_xlfn.IFS(P951&lt;=50,"Low",P951&lt;=100,"Medium",P951&gt;100,"High")</f>
        <v>Medium</v>
      </c>
      <c r="R951" t="s">
        <v>17</v>
      </c>
      <c r="S951" s="1" t="str" cm="1">
        <f t="array" ref="S951">_xlfn.IFS(R951="S","Southampton",R951="C","Cherbourg",R951="Q","Queenstown")</f>
        <v>Southampton</v>
      </c>
    </row>
    <row r="952" spans="1:19" x14ac:dyDescent="0.3">
      <c r="A952">
        <v>951</v>
      </c>
      <c r="B952">
        <v>3</v>
      </c>
      <c r="C952" s="1" t="str" cm="1">
        <f t="array" ref="C952">_xlfn.IFS(B952=1,"First Class",B952=2,"Second Class",B952=3,"Third Class")</f>
        <v>Third Class</v>
      </c>
      <c r="D952">
        <v>0</v>
      </c>
      <c r="E952" s="1" t="str">
        <f t="shared" si="56"/>
        <v>Dead</v>
      </c>
      <c r="F952" t="s">
        <v>1686</v>
      </c>
      <c r="G952" s="1" t="s">
        <v>2999</v>
      </c>
      <c r="H952" t="s">
        <v>20</v>
      </c>
      <c r="I952" s="1" t="str">
        <f t="shared" si="57"/>
        <v>Male</v>
      </c>
      <c r="J952" s="3">
        <v>29</v>
      </c>
      <c r="K952" s="3" t="str" cm="1">
        <f t="array" ref="K952">_xlfn.IFS(J952&lt;=13,"Child",J952&lt;=18,"Teenager",J952&lt;=30,"Young Adult",J952&lt;=50,"Middle Aged Adult",J952&gt;50,"Senior")</f>
        <v>Young Adult</v>
      </c>
      <c r="L952">
        <v>0</v>
      </c>
      <c r="M952">
        <v>0</v>
      </c>
      <c r="N952" s="1">
        <f t="shared" si="58"/>
        <v>1</v>
      </c>
      <c r="O952" s="1" t="str">
        <f t="shared" si="59"/>
        <v>Single</v>
      </c>
      <c r="P952">
        <v>9.4832999999999998</v>
      </c>
      <c r="Q952" s="1" t="str" cm="1">
        <f t="array" ref="Q952">_xlfn.IFS(P952&lt;=50,"Low",P952&lt;=100,"Medium",P952&gt;100,"High")</f>
        <v>Low</v>
      </c>
      <c r="R952" t="s">
        <v>17</v>
      </c>
      <c r="S952" s="1" t="str" cm="1">
        <f t="array" ref="S952">_xlfn.IFS(R952="S","Southampton",R952="C","Cherbourg",R952="Q","Queenstown")</f>
        <v>Southampton</v>
      </c>
    </row>
    <row r="953" spans="1:19" x14ac:dyDescent="0.3">
      <c r="A953">
        <v>952</v>
      </c>
      <c r="B953">
        <v>3</v>
      </c>
      <c r="C953" s="1" t="str" cm="1">
        <f t="array" ref="C953">_xlfn.IFS(B953=1,"First Class",B953=2,"Second Class",B953=3,"Third Class")</f>
        <v>Third Class</v>
      </c>
      <c r="D953">
        <v>0</v>
      </c>
      <c r="E953" s="1" t="str">
        <f t="shared" si="56"/>
        <v>Dead</v>
      </c>
      <c r="F953" t="s">
        <v>1687</v>
      </c>
      <c r="G953" s="1" t="s">
        <v>2999</v>
      </c>
      <c r="H953" t="s">
        <v>20</v>
      </c>
      <c r="I953" s="1" t="str">
        <f t="shared" si="57"/>
        <v>Male</v>
      </c>
      <c r="J953" s="3">
        <v>29</v>
      </c>
      <c r="K953" s="3" t="str" cm="1">
        <f t="array" ref="K953">_xlfn.IFS(J953&lt;=13,"Child",J953&lt;=18,"Teenager",J953&lt;=30,"Young Adult",J953&lt;=50,"Middle Aged Adult",J953&gt;50,"Senior")</f>
        <v>Young Adult</v>
      </c>
      <c r="L953">
        <v>0</v>
      </c>
      <c r="M953">
        <v>0</v>
      </c>
      <c r="N953" s="1">
        <f t="shared" si="58"/>
        <v>1</v>
      </c>
      <c r="O953" s="1" t="str">
        <f t="shared" si="59"/>
        <v>Single</v>
      </c>
      <c r="P953">
        <v>7.7750000000000004</v>
      </c>
      <c r="Q953" s="1" t="str" cm="1">
        <f t="array" ref="Q953">_xlfn.IFS(P953&lt;=50,"Low",P953&lt;=100,"Medium",P953&gt;100,"High")</f>
        <v>Low</v>
      </c>
      <c r="R953" t="s">
        <v>17</v>
      </c>
      <c r="S953" s="1" t="str" cm="1">
        <f t="array" ref="S953">_xlfn.IFS(R953="S","Southampton",R953="C","Cherbourg",R953="Q","Queenstown")</f>
        <v>Southampton</v>
      </c>
    </row>
    <row r="954" spans="1:19" x14ac:dyDescent="0.3">
      <c r="A954">
        <v>953</v>
      </c>
      <c r="B954">
        <v>3</v>
      </c>
      <c r="C954" s="1" t="str" cm="1">
        <f t="array" ref="C954">_xlfn.IFS(B954=1,"First Class",B954=2,"Second Class",B954=3,"Third Class")</f>
        <v>Third Class</v>
      </c>
      <c r="D954">
        <v>0</v>
      </c>
      <c r="E954" s="1" t="str">
        <f t="shared" si="56"/>
        <v>Dead</v>
      </c>
      <c r="F954" t="s">
        <v>1688</v>
      </c>
      <c r="G954" s="1" t="s">
        <v>2999</v>
      </c>
      <c r="H954" t="s">
        <v>20</v>
      </c>
      <c r="I954" s="1" t="str">
        <f t="shared" si="57"/>
        <v>Male</v>
      </c>
      <c r="J954" s="3">
        <v>22</v>
      </c>
      <c r="K954" s="3" t="str" cm="1">
        <f t="array" ref="K954">_xlfn.IFS(J954&lt;=13,"Child",J954&lt;=18,"Teenager",J954&lt;=30,"Young Adult",J954&lt;=50,"Middle Aged Adult",J954&gt;50,"Senior")</f>
        <v>Young Adult</v>
      </c>
      <c r="L954">
        <v>0</v>
      </c>
      <c r="M954">
        <v>0</v>
      </c>
      <c r="N954" s="1">
        <f t="shared" si="58"/>
        <v>1</v>
      </c>
      <c r="O954" s="1" t="str">
        <f t="shared" si="59"/>
        <v>Single</v>
      </c>
      <c r="P954">
        <v>7.7750000000000004</v>
      </c>
      <c r="Q954" s="1" t="str" cm="1">
        <f t="array" ref="Q954">_xlfn.IFS(P954&lt;=50,"Low",P954&lt;=100,"Medium",P954&gt;100,"High")</f>
        <v>Low</v>
      </c>
      <c r="R954" t="s">
        <v>17</v>
      </c>
      <c r="S954" s="1" t="str" cm="1">
        <f t="array" ref="S954">_xlfn.IFS(R954="S","Southampton",R954="C","Cherbourg",R954="Q","Queenstown")</f>
        <v>Southampton</v>
      </c>
    </row>
    <row r="955" spans="1:19" x14ac:dyDescent="0.3">
      <c r="A955">
        <v>954</v>
      </c>
      <c r="B955">
        <v>3</v>
      </c>
      <c r="C955" s="1" t="str" cm="1">
        <f t="array" ref="C955">_xlfn.IFS(B955=1,"First Class",B955=2,"Second Class",B955=3,"Third Class")</f>
        <v>Third Class</v>
      </c>
      <c r="D955">
        <v>1</v>
      </c>
      <c r="E955" s="1" t="str">
        <f t="shared" si="56"/>
        <v>Alive</v>
      </c>
      <c r="F955" t="s">
        <v>1689</v>
      </c>
      <c r="G955" s="1" t="s">
        <v>2999</v>
      </c>
      <c r="H955" t="s">
        <v>20</v>
      </c>
      <c r="I955" s="1" t="str">
        <f t="shared" si="57"/>
        <v>Male</v>
      </c>
      <c r="J955" s="3">
        <v>22</v>
      </c>
      <c r="K955" s="3" t="str" cm="1">
        <f t="array" ref="K955">_xlfn.IFS(J955&lt;=13,"Child",J955&lt;=18,"Teenager",J955&lt;=30,"Young Adult",J955&lt;=50,"Middle Aged Adult",J955&gt;50,"Senior")</f>
        <v>Young Adult</v>
      </c>
      <c r="L955">
        <v>0</v>
      </c>
      <c r="M955">
        <v>0</v>
      </c>
      <c r="N955" s="1">
        <f t="shared" si="58"/>
        <v>1</v>
      </c>
      <c r="O955" s="1" t="str">
        <f t="shared" si="59"/>
        <v>Single</v>
      </c>
      <c r="P955">
        <v>7.2249999999999996</v>
      </c>
      <c r="Q955" s="1" t="str" cm="1">
        <f t="array" ref="Q955">_xlfn.IFS(P955&lt;=50,"Low",P955&lt;=100,"Medium",P955&gt;100,"High")</f>
        <v>Low</v>
      </c>
      <c r="R955" t="s">
        <v>41</v>
      </c>
      <c r="S955" s="1" t="str" cm="1">
        <f t="array" ref="S955">_xlfn.IFS(R955="S","Southampton",R955="C","Cherbourg",R955="Q","Queenstown")</f>
        <v>Cherbourg</v>
      </c>
    </row>
    <row r="956" spans="1:19" x14ac:dyDescent="0.3">
      <c r="A956">
        <v>955</v>
      </c>
      <c r="B956">
        <v>3</v>
      </c>
      <c r="C956" s="1" t="str" cm="1">
        <f t="array" ref="C956">_xlfn.IFS(B956=1,"First Class",B956=2,"Second Class",B956=3,"Third Class")</f>
        <v>Third Class</v>
      </c>
      <c r="D956">
        <v>0</v>
      </c>
      <c r="E956" s="1" t="str">
        <f t="shared" si="56"/>
        <v>Dead</v>
      </c>
      <c r="F956" t="s">
        <v>1690</v>
      </c>
      <c r="G956" s="1" t="s">
        <v>2996</v>
      </c>
      <c r="H956" t="s">
        <v>20</v>
      </c>
      <c r="I956" s="1" t="str">
        <f t="shared" si="57"/>
        <v>Male</v>
      </c>
      <c r="J956" s="3">
        <v>29.881137667304014</v>
      </c>
      <c r="K956" s="3" t="str" cm="1">
        <f t="array" ref="K956">_xlfn.IFS(J956&lt;=13,"Child",J956&lt;=18,"Teenager",J956&lt;=30,"Young Adult",J956&lt;=50,"Middle Aged Adult",J956&gt;50,"Senior")</f>
        <v>Young Adult</v>
      </c>
      <c r="L956">
        <v>3</v>
      </c>
      <c r="M956">
        <v>1</v>
      </c>
      <c r="N956" s="1">
        <f t="shared" si="58"/>
        <v>5</v>
      </c>
      <c r="O956" s="1" t="str">
        <f t="shared" si="59"/>
        <v>With Family</v>
      </c>
      <c r="P956">
        <v>25.466699999999999</v>
      </c>
      <c r="Q956" s="1" t="str" cm="1">
        <f t="array" ref="Q956">_xlfn.IFS(P956&lt;=50,"Low",P956&lt;=100,"Medium",P956&gt;100,"High")</f>
        <v>Low</v>
      </c>
      <c r="R956" t="s">
        <v>17</v>
      </c>
      <c r="S956" s="1" t="str" cm="1">
        <f t="array" ref="S956">_xlfn.IFS(R956="S","Southampton",R956="C","Cherbourg",R956="Q","Queenstown")</f>
        <v>Southampton</v>
      </c>
    </row>
    <row r="957" spans="1:19" x14ac:dyDescent="0.3">
      <c r="A957">
        <v>956</v>
      </c>
      <c r="B957">
        <v>3</v>
      </c>
      <c r="C957" s="1" t="str" cm="1">
        <f t="array" ref="C957">_xlfn.IFS(B957=1,"First Class",B957=2,"Second Class",B957=3,"Third Class")</f>
        <v>Third Class</v>
      </c>
      <c r="D957">
        <v>0</v>
      </c>
      <c r="E957" s="1" t="str">
        <f t="shared" si="56"/>
        <v>Dead</v>
      </c>
      <c r="F957" t="s">
        <v>1691</v>
      </c>
      <c r="G957" s="1" t="s">
        <v>2994</v>
      </c>
      <c r="H957" t="s">
        <v>15</v>
      </c>
      <c r="I957" s="1" t="str">
        <f t="shared" si="57"/>
        <v>Female</v>
      </c>
      <c r="J957" s="3">
        <v>29.881137667304014</v>
      </c>
      <c r="K957" s="3" t="str" cm="1">
        <f t="array" ref="K957">_xlfn.IFS(J957&lt;=13,"Child",J957&lt;=18,"Teenager",J957&lt;=30,"Young Adult",J957&lt;=50,"Middle Aged Adult",J957&gt;50,"Senior")</f>
        <v>Young Adult</v>
      </c>
      <c r="L957">
        <v>3</v>
      </c>
      <c r="M957">
        <v>1</v>
      </c>
      <c r="N957" s="1">
        <f t="shared" si="58"/>
        <v>5</v>
      </c>
      <c r="O957" s="1" t="str">
        <f t="shared" si="59"/>
        <v>With Family</v>
      </c>
      <c r="P957">
        <v>25.466699999999999</v>
      </c>
      <c r="Q957" s="1" t="str" cm="1">
        <f t="array" ref="Q957">_xlfn.IFS(P957&lt;=50,"Low",P957&lt;=100,"Medium",P957&gt;100,"High")</f>
        <v>Low</v>
      </c>
      <c r="R957" t="s">
        <v>17</v>
      </c>
      <c r="S957" s="1" t="str" cm="1">
        <f t="array" ref="S957">_xlfn.IFS(R957="S","Southampton",R957="C","Cherbourg",R957="Q","Queenstown")</f>
        <v>Southampton</v>
      </c>
    </row>
    <row r="958" spans="1:19" x14ac:dyDescent="0.3">
      <c r="A958">
        <v>957</v>
      </c>
      <c r="B958">
        <v>3</v>
      </c>
      <c r="C958" s="1" t="str" cm="1">
        <f t="array" ref="C958">_xlfn.IFS(B958=1,"First Class",B958=2,"Second Class",B958=3,"Third Class")</f>
        <v>Third Class</v>
      </c>
      <c r="D958">
        <v>0</v>
      </c>
      <c r="E958" s="1" t="str">
        <f t="shared" si="56"/>
        <v>Dead</v>
      </c>
      <c r="F958" t="s">
        <v>1692</v>
      </c>
      <c r="G958" s="1" t="s">
        <v>2994</v>
      </c>
      <c r="H958" t="s">
        <v>15</v>
      </c>
      <c r="I958" s="1" t="str">
        <f t="shared" si="57"/>
        <v>Female</v>
      </c>
      <c r="J958" s="3">
        <v>29.881137667304014</v>
      </c>
      <c r="K958" s="3" t="str" cm="1">
        <f t="array" ref="K958">_xlfn.IFS(J958&lt;=13,"Child",J958&lt;=18,"Teenager",J958&lt;=30,"Young Adult",J958&lt;=50,"Middle Aged Adult",J958&gt;50,"Senior")</f>
        <v>Young Adult</v>
      </c>
      <c r="L958">
        <v>3</v>
      </c>
      <c r="M958">
        <v>1</v>
      </c>
      <c r="N958" s="1">
        <f t="shared" si="58"/>
        <v>5</v>
      </c>
      <c r="O958" s="1" t="str">
        <f t="shared" si="59"/>
        <v>With Family</v>
      </c>
      <c r="P958">
        <v>25.466699999999999</v>
      </c>
      <c r="Q958" s="1" t="str" cm="1">
        <f t="array" ref="Q958">_xlfn.IFS(P958&lt;=50,"Low",P958&lt;=100,"Medium",P958&gt;100,"High")</f>
        <v>Low</v>
      </c>
      <c r="R958" t="s">
        <v>17</v>
      </c>
      <c r="S958" s="1" t="str" cm="1">
        <f t="array" ref="S958">_xlfn.IFS(R958="S","Southampton",R958="C","Cherbourg",R958="Q","Queenstown")</f>
        <v>Southampton</v>
      </c>
    </row>
    <row r="959" spans="1:19" x14ac:dyDescent="0.3">
      <c r="A959">
        <v>958</v>
      </c>
      <c r="B959">
        <v>3</v>
      </c>
      <c r="C959" s="1" t="str" cm="1">
        <f t="array" ref="C959">_xlfn.IFS(B959=1,"First Class",B959=2,"Second Class",B959=3,"Third Class")</f>
        <v>Third Class</v>
      </c>
      <c r="D959">
        <v>0</v>
      </c>
      <c r="E959" s="1" t="str">
        <f t="shared" si="56"/>
        <v>Dead</v>
      </c>
      <c r="F959" t="s">
        <v>1693</v>
      </c>
      <c r="G959" s="1" t="s">
        <v>2994</v>
      </c>
      <c r="H959" t="s">
        <v>15</v>
      </c>
      <c r="I959" s="1" t="str">
        <f t="shared" si="57"/>
        <v>Female</v>
      </c>
      <c r="J959" s="3">
        <v>29.881137667304014</v>
      </c>
      <c r="K959" s="3" t="str" cm="1">
        <f t="array" ref="K959">_xlfn.IFS(J959&lt;=13,"Child",J959&lt;=18,"Teenager",J959&lt;=30,"Young Adult",J959&lt;=50,"Middle Aged Adult",J959&gt;50,"Senior")</f>
        <v>Young Adult</v>
      </c>
      <c r="L959">
        <v>3</v>
      </c>
      <c r="M959">
        <v>1</v>
      </c>
      <c r="N959" s="1">
        <f t="shared" si="58"/>
        <v>5</v>
      </c>
      <c r="O959" s="1" t="str">
        <f t="shared" si="59"/>
        <v>With Family</v>
      </c>
      <c r="P959">
        <v>25.466699999999999</v>
      </c>
      <c r="Q959" s="1" t="str" cm="1">
        <f t="array" ref="Q959">_xlfn.IFS(P959&lt;=50,"Low",P959&lt;=100,"Medium",P959&gt;100,"High")</f>
        <v>Low</v>
      </c>
      <c r="R959" t="s">
        <v>17</v>
      </c>
      <c r="S959" s="1" t="str" cm="1">
        <f t="array" ref="S959">_xlfn.IFS(R959="S","Southampton",R959="C","Cherbourg",R959="Q","Queenstown")</f>
        <v>Southampton</v>
      </c>
    </row>
    <row r="960" spans="1:19" x14ac:dyDescent="0.3">
      <c r="A960">
        <v>959</v>
      </c>
      <c r="B960">
        <v>3</v>
      </c>
      <c r="C960" s="1" t="str" cm="1">
        <f t="array" ref="C960">_xlfn.IFS(B960=1,"First Class",B960=2,"Second Class",B960=3,"Third Class")</f>
        <v>Third Class</v>
      </c>
      <c r="D960">
        <v>0</v>
      </c>
      <c r="E960" s="1" t="str">
        <f t="shared" si="56"/>
        <v>Dead</v>
      </c>
      <c r="F960" t="s">
        <v>1694</v>
      </c>
      <c r="G960" s="1" t="s">
        <v>3001</v>
      </c>
      <c r="H960" t="s">
        <v>15</v>
      </c>
      <c r="I960" s="1" t="str">
        <f t="shared" si="57"/>
        <v>Female</v>
      </c>
      <c r="J960" s="3">
        <v>29.881137667304014</v>
      </c>
      <c r="K960" s="3" t="str" cm="1">
        <f t="array" ref="K960">_xlfn.IFS(J960&lt;=13,"Child",J960&lt;=18,"Teenager",J960&lt;=30,"Young Adult",J960&lt;=50,"Middle Aged Adult",J960&gt;50,"Senior")</f>
        <v>Young Adult</v>
      </c>
      <c r="L960">
        <v>0</v>
      </c>
      <c r="M960">
        <v>4</v>
      </c>
      <c r="N960" s="1">
        <f t="shared" si="58"/>
        <v>5</v>
      </c>
      <c r="O960" s="1" t="str">
        <f t="shared" si="59"/>
        <v>With Family</v>
      </c>
      <c r="P960">
        <v>25.466699999999999</v>
      </c>
      <c r="Q960" s="1" t="str" cm="1">
        <f t="array" ref="Q960">_xlfn.IFS(P960&lt;=50,"Low",P960&lt;=100,"Medium",P960&gt;100,"High")</f>
        <v>Low</v>
      </c>
      <c r="R960" t="s">
        <v>17</v>
      </c>
      <c r="S960" s="1" t="str" cm="1">
        <f t="array" ref="S960">_xlfn.IFS(R960="S","Southampton",R960="C","Cherbourg",R960="Q","Queenstown")</f>
        <v>Southampton</v>
      </c>
    </row>
    <row r="961" spans="1:19" x14ac:dyDescent="0.3">
      <c r="A961">
        <v>960</v>
      </c>
      <c r="B961">
        <v>3</v>
      </c>
      <c r="C961" s="1" t="str" cm="1">
        <f t="array" ref="C961">_xlfn.IFS(B961=1,"First Class",B961=2,"Second Class",B961=3,"Third Class")</f>
        <v>Third Class</v>
      </c>
      <c r="D961">
        <v>0</v>
      </c>
      <c r="E961" s="1" t="str">
        <f t="shared" si="56"/>
        <v>Dead</v>
      </c>
      <c r="F961" t="s">
        <v>1695</v>
      </c>
      <c r="G961" s="1" t="s">
        <v>2999</v>
      </c>
      <c r="H961" t="s">
        <v>20</v>
      </c>
      <c r="I961" s="1" t="str">
        <f t="shared" si="57"/>
        <v>Male</v>
      </c>
      <c r="J961" s="3">
        <v>32</v>
      </c>
      <c r="K961" s="3" t="str" cm="1">
        <f t="array" ref="K961">_xlfn.IFS(J961&lt;=13,"Child",J961&lt;=18,"Teenager",J961&lt;=30,"Young Adult",J961&lt;=50,"Middle Aged Adult",J961&gt;50,"Senior")</f>
        <v>Middle Aged Adult</v>
      </c>
      <c r="L961">
        <v>0</v>
      </c>
      <c r="M961">
        <v>0</v>
      </c>
      <c r="N961" s="1">
        <f t="shared" si="58"/>
        <v>1</v>
      </c>
      <c r="O961" s="1" t="str">
        <f t="shared" si="59"/>
        <v>Single</v>
      </c>
      <c r="P961">
        <v>7.9249999999999998</v>
      </c>
      <c r="Q961" s="1" t="str" cm="1">
        <f t="array" ref="Q961">_xlfn.IFS(P961&lt;=50,"Low",P961&lt;=100,"Medium",P961&gt;100,"High")</f>
        <v>Low</v>
      </c>
      <c r="R961" t="s">
        <v>17</v>
      </c>
      <c r="S961" s="1" t="str" cm="1">
        <f t="array" ref="S961">_xlfn.IFS(R961="S","Southampton",R961="C","Cherbourg",R961="Q","Queenstown")</f>
        <v>Southampton</v>
      </c>
    </row>
    <row r="962" spans="1:19" x14ac:dyDescent="0.3">
      <c r="A962">
        <v>961</v>
      </c>
      <c r="B962">
        <v>3</v>
      </c>
      <c r="C962" s="1" t="str" cm="1">
        <f t="array" ref="C962">_xlfn.IFS(B962=1,"First Class",B962=2,"Second Class",B962=3,"Third Class")</f>
        <v>Third Class</v>
      </c>
      <c r="D962">
        <v>0</v>
      </c>
      <c r="E962" s="1" t="str">
        <f t="shared" si="56"/>
        <v>Dead</v>
      </c>
      <c r="F962" t="s">
        <v>1697</v>
      </c>
      <c r="G962" s="1" t="s">
        <v>2999</v>
      </c>
      <c r="H962" t="s">
        <v>20</v>
      </c>
      <c r="I962" s="1" t="str">
        <f t="shared" si="57"/>
        <v>Male</v>
      </c>
      <c r="J962" s="3">
        <v>34.5</v>
      </c>
      <c r="K962" s="3" t="str" cm="1">
        <f t="array" ref="K962">_xlfn.IFS(J962&lt;=13,"Child",J962&lt;=18,"Teenager",J962&lt;=30,"Young Adult",J962&lt;=50,"Middle Aged Adult",J962&gt;50,"Senior")</f>
        <v>Middle Aged Adult</v>
      </c>
      <c r="L962">
        <v>0</v>
      </c>
      <c r="M962">
        <v>0</v>
      </c>
      <c r="N962" s="1">
        <f t="shared" si="58"/>
        <v>1</v>
      </c>
      <c r="O962" s="1" t="str">
        <f t="shared" si="59"/>
        <v>Single</v>
      </c>
      <c r="P962">
        <v>6.4375</v>
      </c>
      <c r="Q962" s="1" t="str" cm="1">
        <f t="array" ref="Q962">_xlfn.IFS(P962&lt;=50,"Low",P962&lt;=100,"Medium",P962&gt;100,"High")</f>
        <v>Low</v>
      </c>
      <c r="R962" t="s">
        <v>41</v>
      </c>
      <c r="S962" s="1" t="str" cm="1">
        <f t="array" ref="S962">_xlfn.IFS(R962="S","Southampton",R962="C","Cherbourg",R962="Q","Queenstown")</f>
        <v>Cherbourg</v>
      </c>
    </row>
    <row r="963" spans="1:19" x14ac:dyDescent="0.3">
      <c r="A963">
        <v>962</v>
      </c>
      <c r="B963">
        <v>3</v>
      </c>
      <c r="C963" s="1" t="str" cm="1">
        <f t="array" ref="C963">_xlfn.IFS(B963=1,"First Class",B963=2,"Second Class",B963=3,"Third Class")</f>
        <v>Third Class</v>
      </c>
      <c r="D963">
        <v>0</v>
      </c>
      <c r="E963" s="1" t="str">
        <f t="shared" ref="E963:E1026" si="60">IF(D963=0,"Dead","Alive")</f>
        <v>Dead</v>
      </c>
      <c r="F963" t="s">
        <v>1698</v>
      </c>
      <c r="G963" s="1" t="s">
        <v>2994</v>
      </c>
      <c r="H963" t="s">
        <v>15</v>
      </c>
      <c r="I963" s="1" t="str">
        <f t="shared" ref="I963:I1026" si="61">PROPER(H963)</f>
        <v>Female</v>
      </c>
      <c r="J963" s="3">
        <v>29.881137667304014</v>
      </c>
      <c r="K963" s="3" t="str" cm="1">
        <f t="array" ref="K963">_xlfn.IFS(J963&lt;=13,"Child",J963&lt;=18,"Teenager",J963&lt;=30,"Young Adult",J963&lt;=50,"Middle Aged Adult",J963&gt;50,"Senior")</f>
        <v>Young Adult</v>
      </c>
      <c r="L963">
        <v>1</v>
      </c>
      <c r="M963">
        <v>0</v>
      </c>
      <c r="N963" s="1">
        <f t="shared" ref="N963:N1026" si="62">L963+M963+1</f>
        <v>2</v>
      </c>
      <c r="O963" s="1" t="str">
        <f t="shared" ref="O963:O1026" si="63">IF(N963=1,"Single","With Family")</f>
        <v>With Family</v>
      </c>
      <c r="P963">
        <v>15.5</v>
      </c>
      <c r="Q963" s="1" t="str" cm="1">
        <f t="array" ref="Q963">_xlfn.IFS(P963&lt;=50,"Low",P963&lt;=100,"Medium",P963&gt;100,"High")</f>
        <v>Low</v>
      </c>
      <c r="R963" t="s">
        <v>463</v>
      </c>
      <c r="S963" s="1" t="str" cm="1">
        <f t="array" ref="S963">_xlfn.IFS(R963="S","Southampton",R963="C","Cherbourg",R963="Q","Queenstown")</f>
        <v>Queenstown</v>
      </c>
    </row>
    <row r="964" spans="1:19" x14ac:dyDescent="0.3">
      <c r="A964">
        <v>963</v>
      </c>
      <c r="B964">
        <v>3</v>
      </c>
      <c r="C964" s="1" t="str" cm="1">
        <f t="array" ref="C964">_xlfn.IFS(B964=1,"First Class",B964=2,"Second Class",B964=3,"Third Class")</f>
        <v>Third Class</v>
      </c>
      <c r="D964">
        <v>0</v>
      </c>
      <c r="E964" s="1" t="str">
        <f t="shared" si="60"/>
        <v>Dead</v>
      </c>
      <c r="F964" t="s">
        <v>1699</v>
      </c>
      <c r="G964" s="1" t="s">
        <v>2999</v>
      </c>
      <c r="H964" t="s">
        <v>20</v>
      </c>
      <c r="I964" s="1" t="str">
        <f t="shared" si="61"/>
        <v>Male</v>
      </c>
      <c r="J964" s="3">
        <v>29.881137667304014</v>
      </c>
      <c r="K964" s="3" t="str" cm="1">
        <f t="array" ref="K964">_xlfn.IFS(J964&lt;=13,"Child",J964&lt;=18,"Teenager",J964&lt;=30,"Young Adult",J964&lt;=50,"Middle Aged Adult",J964&gt;50,"Senior")</f>
        <v>Young Adult</v>
      </c>
      <c r="L964">
        <v>1</v>
      </c>
      <c r="M964">
        <v>0</v>
      </c>
      <c r="N964" s="1">
        <f t="shared" si="62"/>
        <v>2</v>
      </c>
      <c r="O964" s="1" t="str">
        <f t="shared" si="63"/>
        <v>With Family</v>
      </c>
      <c r="P964">
        <v>15.5</v>
      </c>
      <c r="Q964" s="1" t="str" cm="1">
        <f t="array" ref="Q964">_xlfn.IFS(P964&lt;=50,"Low",P964&lt;=100,"Medium",P964&gt;100,"High")</f>
        <v>Low</v>
      </c>
      <c r="R964" t="s">
        <v>463</v>
      </c>
      <c r="S964" s="1" t="str" cm="1">
        <f t="array" ref="S964">_xlfn.IFS(R964="S","Southampton",R964="C","Cherbourg",R964="Q","Queenstown")</f>
        <v>Queenstown</v>
      </c>
    </row>
    <row r="965" spans="1:19" x14ac:dyDescent="0.3">
      <c r="A965">
        <v>964</v>
      </c>
      <c r="B965">
        <v>3</v>
      </c>
      <c r="C965" s="1" t="str" cm="1">
        <f t="array" ref="C965">_xlfn.IFS(B965=1,"First Class",B965=2,"Second Class",B965=3,"Third Class")</f>
        <v>Third Class</v>
      </c>
      <c r="D965">
        <v>0</v>
      </c>
      <c r="E965" s="1" t="str">
        <f t="shared" si="60"/>
        <v>Dead</v>
      </c>
      <c r="F965" t="s">
        <v>1700</v>
      </c>
      <c r="G965" s="1" t="s">
        <v>2999</v>
      </c>
      <c r="H965" t="s">
        <v>20</v>
      </c>
      <c r="I965" s="1" t="str">
        <f t="shared" si="61"/>
        <v>Male</v>
      </c>
      <c r="J965" s="3">
        <v>36</v>
      </c>
      <c r="K965" s="3" t="str" cm="1">
        <f t="array" ref="K965">_xlfn.IFS(J965&lt;=13,"Child",J965&lt;=18,"Teenager",J965&lt;=30,"Young Adult",J965&lt;=50,"Middle Aged Adult",J965&gt;50,"Senior")</f>
        <v>Middle Aged Adult</v>
      </c>
      <c r="L965">
        <v>0</v>
      </c>
      <c r="M965">
        <v>0</v>
      </c>
      <c r="N965" s="1">
        <f t="shared" si="62"/>
        <v>1</v>
      </c>
      <c r="O965" s="1" t="str">
        <f t="shared" si="63"/>
        <v>Single</v>
      </c>
      <c r="P965">
        <v>0</v>
      </c>
      <c r="Q965" s="1" t="str" cm="1">
        <f t="array" ref="Q965">_xlfn.IFS(P965&lt;=50,"Low",P965&lt;=100,"Medium",P965&gt;100,"High")</f>
        <v>Low</v>
      </c>
      <c r="R965" t="s">
        <v>17</v>
      </c>
      <c r="S965" s="1" t="str" cm="1">
        <f t="array" ref="S965">_xlfn.IFS(R965="S","Southampton",R965="C","Cherbourg",R965="Q","Queenstown")</f>
        <v>Southampton</v>
      </c>
    </row>
    <row r="966" spans="1:19" x14ac:dyDescent="0.3">
      <c r="A966">
        <v>965</v>
      </c>
      <c r="B966">
        <v>3</v>
      </c>
      <c r="C966" s="1" t="str" cm="1">
        <f t="array" ref="C966">_xlfn.IFS(B966=1,"First Class",B966=2,"Second Class",B966=3,"Third Class")</f>
        <v>Third Class</v>
      </c>
      <c r="D966">
        <v>0</v>
      </c>
      <c r="E966" s="1" t="str">
        <f t="shared" si="60"/>
        <v>Dead</v>
      </c>
      <c r="F966" t="s">
        <v>1701</v>
      </c>
      <c r="G966" s="1" t="s">
        <v>2999</v>
      </c>
      <c r="H966" t="s">
        <v>20</v>
      </c>
      <c r="I966" s="1" t="str">
        <f t="shared" si="61"/>
        <v>Male</v>
      </c>
      <c r="J966" s="3">
        <v>39</v>
      </c>
      <c r="K966" s="3" t="str" cm="1">
        <f t="array" ref="K966">_xlfn.IFS(J966&lt;=13,"Child",J966&lt;=18,"Teenager",J966&lt;=30,"Young Adult",J966&lt;=50,"Middle Aged Adult",J966&gt;50,"Senior")</f>
        <v>Middle Aged Adult</v>
      </c>
      <c r="L966">
        <v>0</v>
      </c>
      <c r="M966">
        <v>0</v>
      </c>
      <c r="N966" s="1">
        <f t="shared" si="62"/>
        <v>1</v>
      </c>
      <c r="O966" s="1" t="str">
        <f t="shared" si="63"/>
        <v>Single</v>
      </c>
      <c r="P966">
        <v>24.15</v>
      </c>
      <c r="Q966" s="1" t="str" cm="1">
        <f t="array" ref="Q966">_xlfn.IFS(P966&lt;=50,"Low",P966&lt;=100,"Medium",P966&gt;100,"High")</f>
        <v>Low</v>
      </c>
      <c r="R966" t="s">
        <v>17</v>
      </c>
      <c r="S966" s="1" t="str" cm="1">
        <f t="array" ref="S966">_xlfn.IFS(R966="S","Southampton",R966="C","Cherbourg",R966="Q","Queenstown")</f>
        <v>Southampton</v>
      </c>
    </row>
    <row r="967" spans="1:19" x14ac:dyDescent="0.3">
      <c r="A967">
        <v>966</v>
      </c>
      <c r="B967">
        <v>3</v>
      </c>
      <c r="C967" s="1" t="str" cm="1">
        <f t="array" ref="C967">_xlfn.IFS(B967=1,"First Class",B967=2,"Second Class",B967=3,"Third Class")</f>
        <v>Third Class</v>
      </c>
      <c r="D967">
        <v>0</v>
      </c>
      <c r="E967" s="1" t="str">
        <f t="shared" si="60"/>
        <v>Dead</v>
      </c>
      <c r="F967" t="s">
        <v>1702</v>
      </c>
      <c r="G967" s="1" t="s">
        <v>2999</v>
      </c>
      <c r="H967" t="s">
        <v>20</v>
      </c>
      <c r="I967" s="1" t="str">
        <f t="shared" si="61"/>
        <v>Male</v>
      </c>
      <c r="J967" s="3">
        <v>24</v>
      </c>
      <c r="K967" s="3" t="str" cm="1">
        <f t="array" ref="K967">_xlfn.IFS(J967&lt;=13,"Child",J967&lt;=18,"Teenager",J967&lt;=30,"Young Adult",J967&lt;=50,"Middle Aged Adult",J967&gt;50,"Senior")</f>
        <v>Young Adult</v>
      </c>
      <c r="L967">
        <v>0</v>
      </c>
      <c r="M967">
        <v>0</v>
      </c>
      <c r="N967" s="1">
        <f t="shared" si="62"/>
        <v>1</v>
      </c>
      <c r="O967" s="1" t="str">
        <f t="shared" si="63"/>
        <v>Single</v>
      </c>
      <c r="P967">
        <v>9.5</v>
      </c>
      <c r="Q967" s="1" t="str" cm="1">
        <f t="array" ref="Q967">_xlfn.IFS(P967&lt;=50,"Low",P967&lt;=100,"Medium",P967&gt;100,"High")</f>
        <v>Low</v>
      </c>
      <c r="R967" t="s">
        <v>17</v>
      </c>
      <c r="S967" s="1" t="str" cm="1">
        <f t="array" ref="S967">_xlfn.IFS(R967="S","Southampton",R967="C","Cherbourg",R967="Q","Queenstown")</f>
        <v>Southampton</v>
      </c>
    </row>
    <row r="968" spans="1:19" x14ac:dyDescent="0.3">
      <c r="A968">
        <v>967</v>
      </c>
      <c r="B968">
        <v>3</v>
      </c>
      <c r="C968" s="1" t="str" cm="1">
        <f t="array" ref="C968">_xlfn.IFS(B968=1,"First Class",B968=2,"Second Class",B968=3,"Third Class")</f>
        <v>Third Class</v>
      </c>
      <c r="D968">
        <v>0</v>
      </c>
      <c r="E968" s="1" t="str">
        <f t="shared" si="60"/>
        <v>Dead</v>
      </c>
      <c r="F968" t="s">
        <v>1703</v>
      </c>
      <c r="G968" s="1" t="s">
        <v>2994</v>
      </c>
      <c r="H968" t="s">
        <v>15</v>
      </c>
      <c r="I968" s="1" t="str">
        <f t="shared" si="61"/>
        <v>Female</v>
      </c>
      <c r="J968" s="3">
        <v>25</v>
      </c>
      <c r="K968" s="3" t="str" cm="1">
        <f t="array" ref="K968">_xlfn.IFS(J968&lt;=13,"Child",J968&lt;=18,"Teenager",J968&lt;=30,"Young Adult",J968&lt;=50,"Middle Aged Adult",J968&gt;50,"Senior")</f>
        <v>Young Adult</v>
      </c>
      <c r="L968">
        <v>0</v>
      </c>
      <c r="M968">
        <v>0</v>
      </c>
      <c r="N968" s="1">
        <f t="shared" si="62"/>
        <v>1</v>
      </c>
      <c r="O968" s="1" t="str">
        <f t="shared" si="63"/>
        <v>Single</v>
      </c>
      <c r="P968">
        <v>7.7750000000000004</v>
      </c>
      <c r="Q968" s="1" t="str" cm="1">
        <f t="array" ref="Q968">_xlfn.IFS(P968&lt;=50,"Low",P968&lt;=100,"Medium",P968&gt;100,"High")</f>
        <v>Low</v>
      </c>
      <c r="R968" t="s">
        <v>17</v>
      </c>
      <c r="S968" s="1" t="str" cm="1">
        <f t="array" ref="S968">_xlfn.IFS(R968="S","Southampton",R968="C","Cherbourg",R968="Q","Queenstown")</f>
        <v>Southampton</v>
      </c>
    </row>
    <row r="969" spans="1:19" x14ac:dyDescent="0.3">
      <c r="A969">
        <v>968</v>
      </c>
      <c r="B969">
        <v>3</v>
      </c>
      <c r="C969" s="1" t="str" cm="1">
        <f t="array" ref="C969">_xlfn.IFS(B969=1,"First Class",B969=2,"Second Class",B969=3,"Third Class")</f>
        <v>Third Class</v>
      </c>
      <c r="D969">
        <v>0</v>
      </c>
      <c r="E969" s="1" t="str">
        <f t="shared" si="60"/>
        <v>Dead</v>
      </c>
      <c r="F969" t="s">
        <v>1704</v>
      </c>
      <c r="G969" s="1" t="s">
        <v>2994</v>
      </c>
      <c r="H969" t="s">
        <v>15</v>
      </c>
      <c r="I969" s="1" t="str">
        <f t="shared" si="61"/>
        <v>Female</v>
      </c>
      <c r="J969" s="3">
        <v>45</v>
      </c>
      <c r="K969" s="3" t="str" cm="1">
        <f t="array" ref="K969">_xlfn.IFS(J969&lt;=13,"Child",J969&lt;=18,"Teenager",J969&lt;=30,"Young Adult",J969&lt;=50,"Middle Aged Adult",J969&gt;50,"Senior")</f>
        <v>Middle Aged Adult</v>
      </c>
      <c r="L969">
        <v>0</v>
      </c>
      <c r="M969">
        <v>0</v>
      </c>
      <c r="N969" s="1">
        <f t="shared" si="62"/>
        <v>1</v>
      </c>
      <c r="O969" s="1" t="str">
        <f t="shared" si="63"/>
        <v>Single</v>
      </c>
      <c r="P969">
        <v>7.75</v>
      </c>
      <c r="Q969" s="1" t="str" cm="1">
        <f t="array" ref="Q969">_xlfn.IFS(P969&lt;=50,"Low",P969&lt;=100,"Medium",P969&gt;100,"High")</f>
        <v>Low</v>
      </c>
      <c r="R969" t="s">
        <v>17</v>
      </c>
      <c r="S969" s="1" t="str" cm="1">
        <f t="array" ref="S969">_xlfn.IFS(R969="S","Southampton",R969="C","Cherbourg",R969="Q","Queenstown")</f>
        <v>Southampton</v>
      </c>
    </row>
    <row r="970" spans="1:19" x14ac:dyDescent="0.3">
      <c r="A970">
        <v>969</v>
      </c>
      <c r="B970">
        <v>3</v>
      </c>
      <c r="C970" s="1" t="str" cm="1">
        <f t="array" ref="C970">_xlfn.IFS(B970=1,"First Class",B970=2,"Second Class",B970=3,"Third Class")</f>
        <v>Third Class</v>
      </c>
      <c r="D970">
        <v>0</v>
      </c>
      <c r="E970" s="1" t="str">
        <f t="shared" si="60"/>
        <v>Dead</v>
      </c>
      <c r="F970" t="s">
        <v>1705</v>
      </c>
      <c r="G970" s="1" t="s">
        <v>2999</v>
      </c>
      <c r="H970" t="s">
        <v>20</v>
      </c>
      <c r="I970" s="1" t="str">
        <f t="shared" si="61"/>
        <v>Male</v>
      </c>
      <c r="J970" s="3">
        <v>36</v>
      </c>
      <c r="K970" s="3" t="str" cm="1">
        <f t="array" ref="K970">_xlfn.IFS(J970&lt;=13,"Child",J970&lt;=18,"Teenager",J970&lt;=30,"Young Adult",J970&lt;=50,"Middle Aged Adult",J970&gt;50,"Senior")</f>
        <v>Middle Aged Adult</v>
      </c>
      <c r="L970">
        <v>1</v>
      </c>
      <c r="M970">
        <v>0</v>
      </c>
      <c r="N970" s="1">
        <f t="shared" si="62"/>
        <v>2</v>
      </c>
      <c r="O970" s="1" t="str">
        <f t="shared" si="63"/>
        <v>With Family</v>
      </c>
      <c r="P970">
        <v>15.55</v>
      </c>
      <c r="Q970" s="1" t="str" cm="1">
        <f t="array" ref="Q970">_xlfn.IFS(P970&lt;=50,"Low",P970&lt;=100,"Medium",P970&gt;100,"High")</f>
        <v>Low</v>
      </c>
      <c r="R970" t="s">
        <v>17</v>
      </c>
      <c r="S970" s="1" t="str" cm="1">
        <f t="array" ref="S970">_xlfn.IFS(R970="S","Southampton",R970="C","Cherbourg",R970="Q","Queenstown")</f>
        <v>Southampton</v>
      </c>
    </row>
    <row r="971" spans="1:19" x14ac:dyDescent="0.3">
      <c r="A971">
        <v>970</v>
      </c>
      <c r="B971">
        <v>3</v>
      </c>
      <c r="C971" s="1" t="str" cm="1">
        <f t="array" ref="C971">_xlfn.IFS(B971=1,"First Class",B971=2,"Second Class",B971=3,"Third Class")</f>
        <v>Third Class</v>
      </c>
      <c r="D971">
        <v>0</v>
      </c>
      <c r="E971" s="1" t="str">
        <f t="shared" si="60"/>
        <v>Dead</v>
      </c>
      <c r="F971" t="s">
        <v>1706</v>
      </c>
      <c r="G971" s="1" t="s">
        <v>3001</v>
      </c>
      <c r="H971" t="s">
        <v>15</v>
      </c>
      <c r="I971" s="1" t="str">
        <f t="shared" si="61"/>
        <v>Female</v>
      </c>
      <c r="J971" s="3">
        <v>30</v>
      </c>
      <c r="K971" s="3" t="str" cm="1">
        <f t="array" ref="K971">_xlfn.IFS(J971&lt;=13,"Child",J971&lt;=18,"Teenager",J971&lt;=30,"Young Adult",J971&lt;=50,"Middle Aged Adult",J971&gt;50,"Senior")</f>
        <v>Young Adult</v>
      </c>
      <c r="L971">
        <v>1</v>
      </c>
      <c r="M971">
        <v>0</v>
      </c>
      <c r="N971" s="1">
        <f t="shared" si="62"/>
        <v>2</v>
      </c>
      <c r="O971" s="1" t="str">
        <f t="shared" si="63"/>
        <v>With Family</v>
      </c>
      <c r="P971">
        <v>15.55</v>
      </c>
      <c r="Q971" s="1" t="str" cm="1">
        <f t="array" ref="Q971">_xlfn.IFS(P971&lt;=50,"Low",P971&lt;=100,"Medium",P971&gt;100,"High")</f>
        <v>Low</v>
      </c>
      <c r="R971" t="s">
        <v>17</v>
      </c>
      <c r="S971" s="1" t="str" cm="1">
        <f t="array" ref="S971">_xlfn.IFS(R971="S","Southampton",R971="C","Cherbourg",R971="Q","Queenstown")</f>
        <v>Southampton</v>
      </c>
    </row>
    <row r="972" spans="1:19" x14ac:dyDescent="0.3">
      <c r="A972">
        <v>971</v>
      </c>
      <c r="B972">
        <v>3</v>
      </c>
      <c r="C972" s="1" t="str" cm="1">
        <f t="array" ref="C972">_xlfn.IFS(B972=1,"First Class",B972=2,"Second Class",B972=3,"Third Class")</f>
        <v>Third Class</v>
      </c>
      <c r="D972">
        <v>1</v>
      </c>
      <c r="E972" s="1" t="str">
        <f t="shared" si="60"/>
        <v>Alive</v>
      </c>
      <c r="F972" t="s">
        <v>1707</v>
      </c>
      <c r="G972" s="1" t="s">
        <v>2999</v>
      </c>
      <c r="H972" t="s">
        <v>20</v>
      </c>
      <c r="I972" s="1" t="str">
        <f t="shared" si="61"/>
        <v>Male</v>
      </c>
      <c r="J972" s="3">
        <v>20</v>
      </c>
      <c r="K972" s="3" t="str" cm="1">
        <f t="array" ref="K972">_xlfn.IFS(J972&lt;=13,"Child",J972&lt;=18,"Teenager",J972&lt;=30,"Young Adult",J972&lt;=50,"Middle Aged Adult",J972&gt;50,"Senior")</f>
        <v>Young Adult</v>
      </c>
      <c r="L972">
        <v>1</v>
      </c>
      <c r="M972">
        <v>0</v>
      </c>
      <c r="N972" s="1">
        <f t="shared" si="62"/>
        <v>2</v>
      </c>
      <c r="O972" s="1" t="str">
        <f t="shared" si="63"/>
        <v>With Family</v>
      </c>
      <c r="P972">
        <v>7.9249999999999998</v>
      </c>
      <c r="Q972" s="1" t="str" cm="1">
        <f t="array" ref="Q972">_xlfn.IFS(P972&lt;=50,"Low",P972&lt;=100,"Medium",P972&gt;100,"High")</f>
        <v>Low</v>
      </c>
      <c r="R972" t="s">
        <v>17</v>
      </c>
      <c r="S972" s="1" t="str" cm="1">
        <f t="array" ref="S972">_xlfn.IFS(R972="S","Southampton",R972="C","Cherbourg",R972="Q","Queenstown")</f>
        <v>Southampton</v>
      </c>
    </row>
    <row r="973" spans="1:19" x14ac:dyDescent="0.3">
      <c r="A973">
        <v>972</v>
      </c>
      <c r="B973">
        <v>3</v>
      </c>
      <c r="C973" s="1" t="str" cm="1">
        <f t="array" ref="C973">_xlfn.IFS(B973=1,"First Class",B973=2,"Second Class",B973=3,"Third Class")</f>
        <v>Third Class</v>
      </c>
      <c r="D973">
        <v>0</v>
      </c>
      <c r="E973" s="1" t="str">
        <f t="shared" si="60"/>
        <v>Dead</v>
      </c>
      <c r="F973" t="s">
        <v>1709</v>
      </c>
      <c r="G973" s="1" t="s">
        <v>2999</v>
      </c>
      <c r="H973" t="s">
        <v>20</v>
      </c>
      <c r="I973" s="1" t="str">
        <f t="shared" si="61"/>
        <v>Male</v>
      </c>
      <c r="J973" s="3">
        <v>29.881137667304014</v>
      </c>
      <c r="K973" s="3" t="str" cm="1">
        <f t="array" ref="K973">_xlfn.IFS(J973&lt;=13,"Child",J973&lt;=18,"Teenager",J973&lt;=30,"Young Adult",J973&lt;=50,"Middle Aged Adult",J973&gt;50,"Senior")</f>
        <v>Young Adult</v>
      </c>
      <c r="L973">
        <v>0</v>
      </c>
      <c r="M973">
        <v>0</v>
      </c>
      <c r="N973" s="1">
        <f t="shared" si="62"/>
        <v>1</v>
      </c>
      <c r="O973" s="1" t="str">
        <f t="shared" si="63"/>
        <v>Single</v>
      </c>
      <c r="P973">
        <v>7.8792</v>
      </c>
      <c r="Q973" s="1" t="str" cm="1">
        <f t="array" ref="Q973">_xlfn.IFS(P973&lt;=50,"Low",P973&lt;=100,"Medium",P973&gt;100,"High")</f>
        <v>Low</v>
      </c>
      <c r="R973" t="s">
        <v>463</v>
      </c>
      <c r="S973" s="1" t="str" cm="1">
        <f t="array" ref="S973">_xlfn.IFS(R973="S","Southampton",R973="C","Cherbourg",R973="Q","Queenstown")</f>
        <v>Queenstown</v>
      </c>
    </row>
    <row r="974" spans="1:19" x14ac:dyDescent="0.3">
      <c r="A974">
        <v>973</v>
      </c>
      <c r="B974">
        <v>3</v>
      </c>
      <c r="C974" s="1" t="str" cm="1">
        <f t="array" ref="C974">_xlfn.IFS(B974=1,"First Class",B974=2,"Second Class",B974=3,"Third Class")</f>
        <v>Third Class</v>
      </c>
      <c r="D974">
        <v>0</v>
      </c>
      <c r="E974" s="1" t="str">
        <f t="shared" si="60"/>
        <v>Dead</v>
      </c>
      <c r="F974" t="s">
        <v>1710</v>
      </c>
      <c r="G974" s="1" t="s">
        <v>2999</v>
      </c>
      <c r="H974" t="s">
        <v>20</v>
      </c>
      <c r="I974" s="1" t="str">
        <f t="shared" si="61"/>
        <v>Male</v>
      </c>
      <c r="J974" s="3">
        <v>28</v>
      </c>
      <c r="K974" s="3" t="str" cm="1">
        <f t="array" ref="K974">_xlfn.IFS(J974&lt;=13,"Child",J974&lt;=18,"Teenager",J974&lt;=30,"Young Adult",J974&lt;=50,"Middle Aged Adult",J974&gt;50,"Senior")</f>
        <v>Young Adult</v>
      </c>
      <c r="L974">
        <v>0</v>
      </c>
      <c r="M974">
        <v>0</v>
      </c>
      <c r="N974" s="1">
        <f t="shared" si="62"/>
        <v>1</v>
      </c>
      <c r="O974" s="1" t="str">
        <f t="shared" si="63"/>
        <v>Single</v>
      </c>
      <c r="P974">
        <v>56.495800000000003</v>
      </c>
      <c r="Q974" s="1" t="str" cm="1">
        <f t="array" ref="Q974">_xlfn.IFS(P974&lt;=50,"Low",P974&lt;=100,"Medium",P974&gt;100,"High")</f>
        <v>Medium</v>
      </c>
      <c r="R974" t="s">
        <v>17</v>
      </c>
      <c r="S974" s="1" t="str" cm="1">
        <f t="array" ref="S974">_xlfn.IFS(R974="S","Southampton",R974="C","Cherbourg",R974="Q","Queenstown")</f>
        <v>Southampton</v>
      </c>
    </row>
    <row r="975" spans="1:19" x14ac:dyDescent="0.3">
      <c r="A975">
        <v>974</v>
      </c>
      <c r="B975">
        <v>3</v>
      </c>
      <c r="C975" s="1" t="str" cm="1">
        <f t="array" ref="C975">_xlfn.IFS(B975=1,"First Class",B975=2,"Second Class",B975=3,"Third Class")</f>
        <v>Third Class</v>
      </c>
      <c r="D975">
        <v>0</v>
      </c>
      <c r="E975" s="1" t="str">
        <f t="shared" si="60"/>
        <v>Dead</v>
      </c>
      <c r="F975" t="s">
        <v>1711</v>
      </c>
      <c r="G975" s="1" t="s">
        <v>2999</v>
      </c>
      <c r="H975" t="s">
        <v>20</v>
      </c>
      <c r="I975" s="1" t="str">
        <f t="shared" si="61"/>
        <v>Male</v>
      </c>
      <c r="J975" s="3">
        <v>29.881137667304014</v>
      </c>
      <c r="K975" s="3" t="str" cm="1">
        <f t="array" ref="K975">_xlfn.IFS(J975&lt;=13,"Child",J975&lt;=18,"Teenager",J975&lt;=30,"Young Adult",J975&lt;=50,"Middle Aged Adult",J975&gt;50,"Senior")</f>
        <v>Young Adult</v>
      </c>
      <c r="L975">
        <v>0</v>
      </c>
      <c r="M975">
        <v>0</v>
      </c>
      <c r="N975" s="1">
        <f t="shared" si="62"/>
        <v>1</v>
      </c>
      <c r="O975" s="1" t="str">
        <f t="shared" si="63"/>
        <v>Single</v>
      </c>
      <c r="P975">
        <v>7.55</v>
      </c>
      <c r="Q975" s="1" t="str" cm="1">
        <f t="array" ref="Q975">_xlfn.IFS(P975&lt;=50,"Low",P975&lt;=100,"Medium",P975&gt;100,"High")</f>
        <v>Low</v>
      </c>
      <c r="R975" t="s">
        <v>17</v>
      </c>
      <c r="S975" s="1" t="str" cm="1">
        <f t="array" ref="S975">_xlfn.IFS(R975="S","Southampton",R975="C","Cherbourg",R975="Q","Queenstown")</f>
        <v>Southampton</v>
      </c>
    </row>
    <row r="976" spans="1:19" x14ac:dyDescent="0.3">
      <c r="A976">
        <v>975</v>
      </c>
      <c r="B976">
        <v>3</v>
      </c>
      <c r="C976" s="1" t="str" cm="1">
        <f t="array" ref="C976">_xlfn.IFS(B976=1,"First Class",B976=2,"Second Class",B976=3,"Third Class")</f>
        <v>Third Class</v>
      </c>
      <c r="D976">
        <v>0</v>
      </c>
      <c r="E976" s="1" t="str">
        <f t="shared" si="60"/>
        <v>Dead</v>
      </c>
      <c r="F976" t="s">
        <v>1713</v>
      </c>
      <c r="G976" s="1" t="s">
        <v>2999</v>
      </c>
      <c r="H976" t="s">
        <v>20</v>
      </c>
      <c r="I976" s="1" t="str">
        <f t="shared" si="61"/>
        <v>Male</v>
      </c>
      <c r="J976" s="3">
        <v>30</v>
      </c>
      <c r="K976" s="3" t="str" cm="1">
        <f t="array" ref="K976">_xlfn.IFS(J976&lt;=13,"Child",J976&lt;=18,"Teenager",J976&lt;=30,"Young Adult",J976&lt;=50,"Middle Aged Adult",J976&gt;50,"Senior")</f>
        <v>Young Adult</v>
      </c>
      <c r="L976">
        <v>1</v>
      </c>
      <c r="M976">
        <v>0</v>
      </c>
      <c r="N976" s="1">
        <f t="shared" si="62"/>
        <v>2</v>
      </c>
      <c r="O976" s="1" t="str">
        <f t="shared" si="63"/>
        <v>With Family</v>
      </c>
      <c r="P976">
        <v>16.100000000000001</v>
      </c>
      <c r="Q976" s="1" t="str" cm="1">
        <f t="array" ref="Q976">_xlfn.IFS(P976&lt;=50,"Low",P976&lt;=100,"Medium",P976&gt;100,"High")</f>
        <v>Low</v>
      </c>
      <c r="R976" t="s">
        <v>17</v>
      </c>
      <c r="S976" s="1" t="str" cm="1">
        <f t="array" ref="S976">_xlfn.IFS(R976="S","Southampton",R976="C","Cherbourg",R976="Q","Queenstown")</f>
        <v>Southampton</v>
      </c>
    </row>
    <row r="977" spans="1:19" x14ac:dyDescent="0.3">
      <c r="A977">
        <v>976</v>
      </c>
      <c r="B977">
        <v>3</v>
      </c>
      <c r="C977" s="1" t="str" cm="1">
        <f t="array" ref="C977">_xlfn.IFS(B977=1,"First Class",B977=2,"Second Class",B977=3,"Third Class")</f>
        <v>Third Class</v>
      </c>
      <c r="D977">
        <v>0</v>
      </c>
      <c r="E977" s="1" t="str">
        <f t="shared" si="60"/>
        <v>Dead</v>
      </c>
      <c r="F977" t="s">
        <v>1715</v>
      </c>
      <c r="G977" s="1" t="s">
        <v>3001</v>
      </c>
      <c r="H977" t="s">
        <v>15</v>
      </c>
      <c r="I977" s="1" t="str">
        <f t="shared" si="61"/>
        <v>Female</v>
      </c>
      <c r="J977" s="3">
        <v>26</v>
      </c>
      <c r="K977" s="3" t="str" cm="1">
        <f t="array" ref="K977">_xlfn.IFS(J977&lt;=13,"Child",J977&lt;=18,"Teenager",J977&lt;=30,"Young Adult",J977&lt;=50,"Middle Aged Adult",J977&gt;50,"Senior")</f>
        <v>Young Adult</v>
      </c>
      <c r="L977">
        <v>1</v>
      </c>
      <c r="M977">
        <v>0</v>
      </c>
      <c r="N977" s="1">
        <f t="shared" si="62"/>
        <v>2</v>
      </c>
      <c r="O977" s="1" t="str">
        <f t="shared" si="63"/>
        <v>With Family</v>
      </c>
      <c r="P977">
        <v>16.100000000000001</v>
      </c>
      <c r="Q977" s="1" t="str" cm="1">
        <f t="array" ref="Q977">_xlfn.IFS(P977&lt;=50,"Low",P977&lt;=100,"Medium",P977&gt;100,"High")</f>
        <v>Low</v>
      </c>
      <c r="R977" t="s">
        <v>17</v>
      </c>
      <c r="S977" s="1" t="str" cm="1">
        <f t="array" ref="S977">_xlfn.IFS(R977="S","Southampton",R977="C","Cherbourg",R977="Q","Queenstown")</f>
        <v>Southampton</v>
      </c>
    </row>
    <row r="978" spans="1:19" x14ac:dyDescent="0.3">
      <c r="A978">
        <v>977</v>
      </c>
      <c r="B978">
        <v>3</v>
      </c>
      <c r="C978" s="1" t="str" cm="1">
        <f t="array" ref="C978">_xlfn.IFS(B978=1,"First Class",B978=2,"Second Class",B978=3,"Third Class")</f>
        <v>Third Class</v>
      </c>
      <c r="D978">
        <v>0</v>
      </c>
      <c r="E978" s="1" t="str">
        <f t="shared" si="60"/>
        <v>Dead</v>
      </c>
      <c r="F978" t="s">
        <v>1716</v>
      </c>
      <c r="G978" s="1" t="s">
        <v>2999</v>
      </c>
      <c r="H978" t="s">
        <v>20</v>
      </c>
      <c r="I978" s="1" t="str">
        <f t="shared" si="61"/>
        <v>Male</v>
      </c>
      <c r="J978" s="3">
        <v>29.881137667304014</v>
      </c>
      <c r="K978" s="3" t="str" cm="1">
        <f t="array" ref="K978">_xlfn.IFS(J978&lt;=13,"Child",J978&lt;=18,"Teenager",J978&lt;=30,"Young Adult",J978&lt;=50,"Middle Aged Adult",J978&gt;50,"Senior")</f>
        <v>Young Adult</v>
      </c>
      <c r="L978">
        <v>0</v>
      </c>
      <c r="M978">
        <v>0</v>
      </c>
      <c r="N978" s="1">
        <f t="shared" si="62"/>
        <v>1</v>
      </c>
      <c r="O978" s="1" t="str">
        <f t="shared" si="63"/>
        <v>Single</v>
      </c>
      <c r="P978">
        <v>7.8792</v>
      </c>
      <c r="Q978" s="1" t="str" cm="1">
        <f t="array" ref="Q978">_xlfn.IFS(P978&lt;=50,"Low",P978&lt;=100,"Medium",P978&gt;100,"High")</f>
        <v>Low</v>
      </c>
      <c r="R978" t="s">
        <v>17</v>
      </c>
      <c r="S978" s="1" t="str" cm="1">
        <f t="array" ref="S978">_xlfn.IFS(R978="S","Southampton",R978="C","Cherbourg",R978="Q","Queenstown")</f>
        <v>Southampton</v>
      </c>
    </row>
    <row r="979" spans="1:19" x14ac:dyDescent="0.3">
      <c r="A979">
        <v>978</v>
      </c>
      <c r="B979">
        <v>3</v>
      </c>
      <c r="C979" s="1" t="str" cm="1">
        <f t="array" ref="C979">_xlfn.IFS(B979=1,"First Class",B979=2,"Second Class",B979=3,"Third Class")</f>
        <v>Third Class</v>
      </c>
      <c r="D979">
        <v>0</v>
      </c>
      <c r="E979" s="1" t="str">
        <f t="shared" si="60"/>
        <v>Dead</v>
      </c>
      <c r="F979" t="s">
        <v>1717</v>
      </c>
      <c r="G979" s="1" t="s">
        <v>2999</v>
      </c>
      <c r="H979" t="s">
        <v>20</v>
      </c>
      <c r="I979" s="1" t="str">
        <f t="shared" si="61"/>
        <v>Male</v>
      </c>
      <c r="J979" s="3">
        <v>20.5</v>
      </c>
      <c r="K979" s="3" t="str" cm="1">
        <f t="array" ref="K979">_xlfn.IFS(J979&lt;=13,"Child",J979&lt;=18,"Teenager",J979&lt;=30,"Young Adult",J979&lt;=50,"Middle Aged Adult",J979&gt;50,"Senior")</f>
        <v>Young Adult</v>
      </c>
      <c r="L979">
        <v>0</v>
      </c>
      <c r="M979">
        <v>0</v>
      </c>
      <c r="N979" s="1">
        <f t="shared" si="62"/>
        <v>1</v>
      </c>
      <c r="O979" s="1" t="str">
        <f t="shared" si="63"/>
        <v>Single</v>
      </c>
      <c r="P979">
        <v>7.25</v>
      </c>
      <c r="Q979" s="1" t="str" cm="1">
        <f t="array" ref="Q979">_xlfn.IFS(P979&lt;=50,"Low",P979&lt;=100,"Medium",P979&gt;100,"High")</f>
        <v>Low</v>
      </c>
      <c r="R979" t="s">
        <v>17</v>
      </c>
      <c r="S979" s="1" t="str" cm="1">
        <f t="array" ref="S979">_xlfn.IFS(R979="S","Southampton",R979="C","Cherbourg",R979="Q","Queenstown")</f>
        <v>Southampton</v>
      </c>
    </row>
    <row r="980" spans="1:19" x14ac:dyDescent="0.3">
      <c r="A980">
        <v>979</v>
      </c>
      <c r="B980">
        <v>3</v>
      </c>
      <c r="C980" s="1" t="str" cm="1">
        <f t="array" ref="C980">_xlfn.IFS(B980=1,"First Class",B980=2,"Second Class",B980=3,"Third Class")</f>
        <v>Third Class</v>
      </c>
      <c r="D980">
        <v>1</v>
      </c>
      <c r="E980" s="1" t="str">
        <f t="shared" si="60"/>
        <v>Alive</v>
      </c>
      <c r="F980" t="s">
        <v>1719</v>
      </c>
      <c r="G980" s="1" t="s">
        <v>2999</v>
      </c>
      <c r="H980" t="s">
        <v>20</v>
      </c>
      <c r="I980" s="1" t="str">
        <f t="shared" si="61"/>
        <v>Male</v>
      </c>
      <c r="J980" s="3">
        <v>27</v>
      </c>
      <c r="K980" s="3" t="str" cm="1">
        <f t="array" ref="K980">_xlfn.IFS(J980&lt;=13,"Child",J980&lt;=18,"Teenager",J980&lt;=30,"Young Adult",J980&lt;=50,"Middle Aged Adult",J980&gt;50,"Senior")</f>
        <v>Young Adult</v>
      </c>
      <c r="L980">
        <v>0</v>
      </c>
      <c r="M980">
        <v>0</v>
      </c>
      <c r="N980" s="1">
        <f t="shared" si="62"/>
        <v>1</v>
      </c>
      <c r="O980" s="1" t="str">
        <f t="shared" si="63"/>
        <v>Single</v>
      </c>
      <c r="P980">
        <v>8.6624999999999996</v>
      </c>
      <c r="Q980" s="1" t="str" cm="1">
        <f t="array" ref="Q980">_xlfn.IFS(P980&lt;=50,"Low",P980&lt;=100,"Medium",P980&gt;100,"High")</f>
        <v>Low</v>
      </c>
      <c r="R980" t="s">
        <v>17</v>
      </c>
      <c r="S980" s="1" t="str" cm="1">
        <f t="array" ref="S980">_xlfn.IFS(R980="S","Southampton",R980="C","Cherbourg",R980="Q","Queenstown")</f>
        <v>Southampton</v>
      </c>
    </row>
    <row r="981" spans="1:19" x14ac:dyDescent="0.3">
      <c r="A981">
        <v>980</v>
      </c>
      <c r="B981">
        <v>3</v>
      </c>
      <c r="C981" s="1" t="str" cm="1">
        <f t="array" ref="C981">_xlfn.IFS(B981=1,"First Class",B981=2,"Second Class",B981=3,"Third Class")</f>
        <v>Third Class</v>
      </c>
      <c r="D981">
        <v>0</v>
      </c>
      <c r="E981" s="1" t="str">
        <f t="shared" si="60"/>
        <v>Dead</v>
      </c>
      <c r="F981" t="s">
        <v>1720</v>
      </c>
      <c r="G981" s="1" t="s">
        <v>2999</v>
      </c>
      <c r="H981" t="s">
        <v>20</v>
      </c>
      <c r="I981" s="1" t="str">
        <f t="shared" si="61"/>
        <v>Male</v>
      </c>
      <c r="J981" s="3">
        <v>51</v>
      </c>
      <c r="K981" s="3" t="str" cm="1">
        <f t="array" ref="K981">_xlfn.IFS(J981&lt;=13,"Child",J981&lt;=18,"Teenager",J981&lt;=30,"Young Adult",J981&lt;=50,"Middle Aged Adult",J981&gt;50,"Senior")</f>
        <v>Senior</v>
      </c>
      <c r="L981">
        <v>0</v>
      </c>
      <c r="M981">
        <v>0</v>
      </c>
      <c r="N981" s="1">
        <f t="shared" si="62"/>
        <v>1</v>
      </c>
      <c r="O981" s="1" t="str">
        <f t="shared" si="63"/>
        <v>Single</v>
      </c>
      <c r="P981">
        <v>7.0541999999999998</v>
      </c>
      <c r="Q981" s="1" t="str" cm="1">
        <f t="array" ref="Q981">_xlfn.IFS(P981&lt;=50,"Low",P981&lt;=100,"Medium",P981&gt;100,"High")</f>
        <v>Low</v>
      </c>
      <c r="R981" t="s">
        <v>17</v>
      </c>
      <c r="S981" s="1" t="str" cm="1">
        <f t="array" ref="S981">_xlfn.IFS(R981="S","Southampton",R981="C","Cherbourg",R981="Q","Queenstown")</f>
        <v>Southampton</v>
      </c>
    </row>
    <row r="982" spans="1:19" x14ac:dyDescent="0.3">
      <c r="A982">
        <v>981</v>
      </c>
      <c r="B982">
        <v>3</v>
      </c>
      <c r="C982" s="1" t="str" cm="1">
        <f t="array" ref="C982">_xlfn.IFS(B982=1,"First Class",B982=2,"Second Class",B982=3,"Third Class")</f>
        <v>Third Class</v>
      </c>
      <c r="D982">
        <v>1</v>
      </c>
      <c r="E982" s="1" t="str">
        <f t="shared" si="60"/>
        <v>Alive</v>
      </c>
      <c r="F982" t="s">
        <v>1721</v>
      </c>
      <c r="G982" s="1" t="s">
        <v>2994</v>
      </c>
      <c r="H982" t="s">
        <v>15</v>
      </c>
      <c r="I982" s="1" t="str">
        <f t="shared" si="61"/>
        <v>Female</v>
      </c>
      <c r="J982" s="3">
        <v>23</v>
      </c>
      <c r="K982" s="3" t="str" cm="1">
        <f t="array" ref="K982">_xlfn.IFS(J982&lt;=13,"Child",J982&lt;=18,"Teenager",J982&lt;=30,"Young Adult",J982&lt;=50,"Middle Aged Adult",J982&gt;50,"Senior")</f>
        <v>Young Adult</v>
      </c>
      <c r="L982">
        <v>0</v>
      </c>
      <c r="M982">
        <v>0</v>
      </c>
      <c r="N982" s="1">
        <f t="shared" si="62"/>
        <v>1</v>
      </c>
      <c r="O982" s="1" t="str">
        <f t="shared" si="63"/>
        <v>Single</v>
      </c>
      <c r="P982">
        <v>7.8541999999999996</v>
      </c>
      <c r="Q982" s="1" t="str" cm="1">
        <f t="array" ref="Q982">_xlfn.IFS(P982&lt;=50,"Low",P982&lt;=100,"Medium",P982&gt;100,"High")</f>
        <v>Low</v>
      </c>
      <c r="R982" t="s">
        <v>17</v>
      </c>
      <c r="S982" s="1" t="str" cm="1">
        <f t="array" ref="S982">_xlfn.IFS(R982="S","Southampton",R982="C","Cherbourg",R982="Q","Queenstown")</f>
        <v>Southampton</v>
      </c>
    </row>
    <row r="983" spans="1:19" x14ac:dyDescent="0.3">
      <c r="A983">
        <v>982</v>
      </c>
      <c r="B983">
        <v>3</v>
      </c>
      <c r="C983" s="1" t="str" cm="1">
        <f t="array" ref="C983">_xlfn.IFS(B983=1,"First Class",B983=2,"Second Class",B983=3,"Third Class")</f>
        <v>Third Class</v>
      </c>
      <c r="D983">
        <v>1</v>
      </c>
      <c r="E983" s="1" t="str">
        <f t="shared" si="60"/>
        <v>Alive</v>
      </c>
      <c r="F983" t="s">
        <v>1722</v>
      </c>
      <c r="G983" s="1" t="s">
        <v>2999</v>
      </c>
      <c r="H983" t="s">
        <v>20</v>
      </c>
      <c r="I983" s="1" t="str">
        <f t="shared" si="61"/>
        <v>Male</v>
      </c>
      <c r="J983" s="3">
        <v>32</v>
      </c>
      <c r="K983" s="3" t="str" cm="1">
        <f t="array" ref="K983">_xlfn.IFS(J983&lt;=13,"Child",J983&lt;=18,"Teenager",J983&lt;=30,"Young Adult",J983&lt;=50,"Middle Aged Adult",J983&gt;50,"Senior")</f>
        <v>Middle Aged Adult</v>
      </c>
      <c r="L983">
        <v>0</v>
      </c>
      <c r="M983">
        <v>0</v>
      </c>
      <c r="N983" s="1">
        <f t="shared" si="62"/>
        <v>1</v>
      </c>
      <c r="O983" s="1" t="str">
        <f t="shared" si="63"/>
        <v>Single</v>
      </c>
      <c r="P983">
        <v>7.5792000000000002</v>
      </c>
      <c r="Q983" s="1" t="str" cm="1">
        <f t="array" ref="Q983">_xlfn.IFS(P983&lt;=50,"Low",P983&lt;=100,"Medium",P983&gt;100,"High")</f>
        <v>Low</v>
      </c>
      <c r="R983" t="s">
        <v>17</v>
      </c>
      <c r="S983" s="1" t="str" cm="1">
        <f t="array" ref="S983">_xlfn.IFS(R983="S","Southampton",R983="C","Cherbourg",R983="Q","Queenstown")</f>
        <v>Southampton</v>
      </c>
    </row>
    <row r="984" spans="1:19" x14ac:dyDescent="0.3">
      <c r="A984">
        <v>983</v>
      </c>
      <c r="B984">
        <v>3</v>
      </c>
      <c r="C984" s="1" t="str" cm="1">
        <f t="array" ref="C984">_xlfn.IFS(B984=1,"First Class",B984=2,"Second Class",B984=3,"Third Class")</f>
        <v>Third Class</v>
      </c>
      <c r="D984">
        <v>0</v>
      </c>
      <c r="E984" s="1" t="str">
        <f t="shared" si="60"/>
        <v>Dead</v>
      </c>
      <c r="F984" t="s">
        <v>1723</v>
      </c>
      <c r="G984" s="1" t="s">
        <v>2999</v>
      </c>
      <c r="H984" t="s">
        <v>20</v>
      </c>
      <c r="I984" s="1" t="str">
        <f t="shared" si="61"/>
        <v>Male</v>
      </c>
      <c r="J984" s="3">
        <v>29.881137667304014</v>
      </c>
      <c r="K984" s="3" t="str" cm="1">
        <f t="array" ref="K984">_xlfn.IFS(J984&lt;=13,"Child",J984&lt;=18,"Teenager",J984&lt;=30,"Young Adult",J984&lt;=50,"Middle Aged Adult",J984&gt;50,"Senior")</f>
        <v>Young Adult</v>
      </c>
      <c r="L984">
        <v>0</v>
      </c>
      <c r="M984">
        <v>0</v>
      </c>
      <c r="N984" s="1">
        <f t="shared" si="62"/>
        <v>1</v>
      </c>
      <c r="O984" s="1" t="str">
        <f t="shared" si="63"/>
        <v>Single</v>
      </c>
      <c r="P984">
        <v>7.8958000000000004</v>
      </c>
      <c r="Q984" s="1" t="str" cm="1">
        <f t="array" ref="Q984">_xlfn.IFS(P984&lt;=50,"Low",P984&lt;=100,"Medium",P984&gt;100,"High")</f>
        <v>Low</v>
      </c>
      <c r="R984" t="s">
        <v>17</v>
      </c>
      <c r="S984" s="1" t="str" cm="1">
        <f t="array" ref="S984">_xlfn.IFS(R984="S","Southampton",R984="C","Cherbourg",R984="Q","Queenstown")</f>
        <v>Southampton</v>
      </c>
    </row>
    <row r="985" spans="1:19" x14ac:dyDescent="0.3">
      <c r="A985">
        <v>984</v>
      </c>
      <c r="B985">
        <v>3</v>
      </c>
      <c r="C985" s="1" t="str" cm="1">
        <f t="array" ref="C985">_xlfn.IFS(B985=1,"First Class",B985=2,"Second Class",B985=3,"Third Class")</f>
        <v>Third Class</v>
      </c>
      <c r="D985">
        <v>0</v>
      </c>
      <c r="E985" s="1" t="str">
        <f t="shared" si="60"/>
        <v>Dead</v>
      </c>
      <c r="F985" t="s">
        <v>1724</v>
      </c>
      <c r="G985" s="1" t="s">
        <v>2999</v>
      </c>
      <c r="H985" t="s">
        <v>20</v>
      </c>
      <c r="I985" s="1" t="str">
        <f t="shared" si="61"/>
        <v>Male</v>
      </c>
      <c r="J985" s="3">
        <v>29.881137667304014</v>
      </c>
      <c r="K985" s="3" t="str" cm="1">
        <f t="array" ref="K985">_xlfn.IFS(J985&lt;=13,"Child",J985&lt;=18,"Teenager",J985&lt;=30,"Young Adult",J985&lt;=50,"Middle Aged Adult",J985&gt;50,"Senior")</f>
        <v>Young Adult</v>
      </c>
      <c r="L985">
        <v>0</v>
      </c>
      <c r="M985">
        <v>0</v>
      </c>
      <c r="N985" s="1">
        <f t="shared" si="62"/>
        <v>1</v>
      </c>
      <c r="O985" s="1" t="str">
        <f t="shared" si="63"/>
        <v>Single</v>
      </c>
      <c r="P985">
        <v>7.55</v>
      </c>
      <c r="Q985" s="1" t="str" cm="1">
        <f t="array" ref="Q985">_xlfn.IFS(P985&lt;=50,"Low",P985&lt;=100,"Medium",P985&gt;100,"High")</f>
        <v>Low</v>
      </c>
      <c r="R985" t="s">
        <v>17</v>
      </c>
      <c r="S985" s="1" t="str" cm="1">
        <f t="array" ref="S985">_xlfn.IFS(R985="S","Southampton",R985="C","Cherbourg",R985="Q","Queenstown")</f>
        <v>Southampton</v>
      </c>
    </row>
    <row r="986" spans="1:19" x14ac:dyDescent="0.3">
      <c r="A986">
        <v>985</v>
      </c>
      <c r="B986">
        <v>3</v>
      </c>
      <c r="C986" s="1" t="str" cm="1">
        <f t="array" ref="C986">_xlfn.IFS(B986=1,"First Class",B986=2,"Second Class",B986=3,"Third Class")</f>
        <v>Third Class</v>
      </c>
      <c r="D986">
        <v>1</v>
      </c>
      <c r="E986" s="1" t="str">
        <f t="shared" si="60"/>
        <v>Alive</v>
      </c>
      <c r="F986" t="s">
        <v>1726</v>
      </c>
      <c r="G986" s="1" t="s">
        <v>2994</v>
      </c>
      <c r="H986" t="s">
        <v>15</v>
      </c>
      <c r="I986" s="1" t="str">
        <f t="shared" si="61"/>
        <v>Female</v>
      </c>
      <c r="J986" s="3">
        <v>29.881137667304014</v>
      </c>
      <c r="K986" s="3" t="str" cm="1">
        <f t="array" ref="K986">_xlfn.IFS(J986&lt;=13,"Child",J986&lt;=18,"Teenager",J986&lt;=30,"Young Adult",J986&lt;=50,"Middle Aged Adult",J986&gt;50,"Senior")</f>
        <v>Young Adult</v>
      </c>
      <c r="L986">
        <v>0</v>
      </c>
      <c r="M986">
        <v>0</v>
      </c>
      <c r="N986" s="1">
        <f t="shared" si="62"/>
        <v>1</v>
      </c>
      <c r="O986" s="1" t="str">
        <f t="shared" si="63"/>
        <v>Single</v>
      </c>
      <c r="P986">
        <v>7.75</v>
      </c>
      <c r="Q986" s="1" t="str" cm="1">
        <f t="array" ref="Q986">_xlfn.IFS(P986&lt;=50,"Low",P986&lt;=100,"Medium",P986&gt;100,"High")</f>
        <v>Low</v>
      </c>
      <c r="R986" t="s">
        <v>463</v>
      </c>
      <c r="S986" s="1" t="str" cm="1">
        <f t="array" ref="S986">_xlfn.IFS(R986="S","Southampton",R986="C","Cherbourg",R986="Q","Queenstown")</f>
        <v>Queenstown</v>
      </c>
    </row>
    <row r="987" spans="1:19" x14ac:dyDescent="0.3">
      <c r="A987">
        <v>986</v>
      </c>
      <c r="B987">
        <v>3</v>
      </c>
      <c r="C987" s="1" t="str" cm="1">
        <f t="array" ref="C987">_xlfn.IFS(B987=1,"First Class",B987=2,"Second Class",B987=3,"Third Class")</f>
        <v>Third Class</v>
      </c>
      <c r="D987">
        <v>1</v>
      </c>
      <c r="E987" s="1" t="str">
        <f t="shared" si="60"/>
        <v>Alive</v>
      </c>
      <c r="F987" t="s">
        <v>1727</v>
      </c>
      <c r="G987" s="1" t="s">
        <v>2999</v>
      </c>
      <c r="H987" t="s">
        <v>20</v>
      </c>
      <c r="I987" s="1" t="str">
        <f t="shared" si="61"/>
        <v>Male</v>
      </c>
      <c r="J987" s="3">
        <v>24</v>
      </c>
      <c r="K987" s="3" t="str" cm="1">
        <f t="array" ref="K987">_xlfn.IFS(J987&lt;=13,"Child",J987&lt;=18,"Teenager",J987&lt;=30,"Young Adult",J987&lt;=50,"Middle Aged Adult",J987&gt;50,"Senior")</f>
        <v>Young Adult</v>
      </c>
      <c r="L987">
        <v>0</v>
      </c>
      <c r="M987">
        <v>0</v>
      </c>
      <c r="N987" s="1">
        <f t="shared" si="62"/>
        <v>1</v>
      </c>
      <c r="O987" s="1" t="str">
        <f t="shared" si="63"/>
        <v>Single</v>
      </c>
      <c r="P987">
        <v>7.1417000000000002</v>
      </c>
      <c r="Q987" s="1" t="str" cm="1">
        <f t="array" ref="Q987">_xlfn.IFS(P987&lt;=50,"Low",P987&lt;=100,"Medium",P987&gt;100,"High")</f>
        <v>Low</v>
      </c>
      <c r="R987" t="s">
        <v>17</v>
      </c>
      <c r="S987" s="1" t="str" cm="1">
        <f t="array" ref="S987">_xlfn.IFS(R987="S","Southampton",R987="C","Cherbourg",R987="Q","Queenstown")</f>
        <v>Southampton</v>
      </c>
    </row>
    <row r="988" spans="1:19" x14ac:dyDescent="0.3">
      <c r="A988">
        <v>987</v>
      </c>
      <c r="B988">
        <v>3</v>
      </c>
      <c r="C988" s="1" t="str" cm="1">
        <f t="array" ref="C988">_xlfn.IFS(B988=1,"First Class",B988=2,"Second Class",B988=3,"Third Class")</f>
        <v>Third Class</v>
      </c>
      <c r="D988">
        <v>0</v>
      </c>
      <c r="E988" s="1" t="str">
        <f t="shared" si="60"/>
        <v>Dead</v>
      </c>
      <c r="F988" t="s">
        <v>1729</v>
      </c>
      <c r="G988" s="1" t="s">
        <v>2999</v>
      </c>
      <c r="H988" t="s">
        <v>20</v>
      </c>
      <c r="I988" s="1" t="str">
        <f t="shared" si="61"/>
        <v>Male</v>
      </c>
      <c r="J988" s="3">
        <v>22</v>
      </c>
      <c r="K988" s="3" t="str" cm="1">
        <f t="array" ref="K988">_xlfn.IFS(J988&lt;=13,"Child",J988&lt;=18,"Teenager",J988&lt;=30,"Young Adult",J988&lt;=50,"Middle Aged Adult",J988&gt;50,"Senior")</f>
        <v>Young Adult</v>
      </c>
      <c r="L988">
        <v>0</v>
      </c>
      <c r="M988">
        <v>0</v>
      </c>
      <c r="N988" s="1">
        <f t="shared" si="62"/>
        <v>1</v>
      </c>
      <c r="O988" s="1" t="str">
        <f t="shared" si="63"/>
        <v>Single</v>
      </c>
      <c r="P988">
        <v>7.125</v>
      </c>
      <c r="Q988" s="1" t="str" cm="1">
        <f t="array" ref="Q988">_xlfn.IFS(P988&lt;=50,"Low",P988&lt;=100,"Medium",P988&gt;100,"High")</f>
        <v>Low</v>
      </c>
      <c r="R988" t="s">
        <v>17</v>
      </c>
      <c r="S988" s="1" t="str" cm="1">
        <f t="array" ref="S988">_xlfn.IFS(R988="S","Southampton",R988="C","Cherbourg",R988="Q","Queenstown")</f>
        <v>Southampton</v>
      </c>
    </row>
    <row r="989" spans="1:19" x14ac:dyDescent="0.3">
      <c r="A989">
        <v>988</v>
      </c>
      <c r="B989">
        <v>3</v>
      </c>
      <c r="C989" s="1" t="str" cm="1">
        <f t="array" ref="C989">_xlfn.IFS(B989=1,"First Class",B989=2,"Second Class",B989=3,"Third Class")</f>
        <v>Third Class</v>
      </c>
      <c r="D989">
        <v>0</v>
      </c>
      <c r="E989" s="1" t="str">
        <f t="shared" si="60"/>
        <v>Dead</v>
      </c>
      <c r="F989" t="s">
        <v>1731</v>
      </c>
      <c r="G989" s="1" t="s">
        <v>2994</v>
      </c>
      <c r="H989" t="s">
        <v>15</v>
      </c>
      <c r="I989" s="1" t="str">
        <f t="shared" si="61"/>
        <v>Female</v>
      </c>
      <c r="J989" s="3">
        <v>29.881137667304014</v>
      </c>
      <c r="K989" s="3" t="str" cm="1">
        <f t="array" ref="K989">_xlfn.IFS(J989&lt;=13,"Child",J989&lt;=18,"Teenager",J989&lt;=30,"Young Adult",J989&lt;=50,"Middle Aged Adult",J989&gt;50,"Senior")</f>
        <v>Young Adult</v>
      </c>
      <c r="L989">
        <v>0</v>
      </c>
      <c r="M989">
        <v>0</v>
      </c>
      <c r="N989" s="1">
        <f t="shared" si="62"/>
        <v>1</v>
      </c>
      <c r="O989" s="1" t="str">
        <f t="shared" si="63"/>
        <v>Single</v>
      </c>
      <c r="P989">
        <v>7.8792</v>
      </c>
      <c r="Q989" s="1" t="str" cm="1">
        <f t="array" ref="Q989">_xlfn.IFS(P989&lt;=50,"Low",P989&lt;=100,"Medium",P989&gt;100,"High")</f>
        <v>Low</v>
      </c>
      <c r="R989" t="s">
        <v>463</v>
      </c>
      <c r="S989" s="1" t="str" cm="1">
        <f t="array" ref="S989">_xlfn.IFS(R989="S","Southampton",R989="C","Cherbourg",R989="Q","Queenstown")</f>
        <v>Queenstown</v>
      </c>
    </row>
    <row r="990" spans="1:19" x14ac:dyDescent="0.3">
      <c r="A990">
        <v>989</v>
      </c>
      <c r="B990">
        <v>3</v>
      </c>
      <c r="C990" s="1" t="str" cm="1">
        <f t="array" ref="C990">_xlfn.IFS(B990=1,"First Class",B990=2,"Second Class",B990=3,"Third Class")</f>
        <v>Third Class</v>
      </c>
      <c r="D990">
        <v>0</v>
      </c>
      <c r="E990" s="1" t="str">
        <f t="shared" si="60"/>
        <v>Dead</v>
      </c>
      <c r="F990" t="s">
        <v>1732</v>
      </c>
      <c r="G990" s="1" t="s">
        <v>2999</v>
      </c>
      <c r="H990" t="s">
        <v>20</v>
      </c>
      <c r="I990" s="1" t="str">
        <f t="shared" si="61"/>
        <v>Male</v>
      </c>
      <c r="J990" s="3">
        <v>29.881137667304014</v>
      </c>
      <c r="K990" s="3" t="str" cm="1">
        <f t="array" ref="K990">_xlfn.IFS(J990&lt;=13,"Child",J990&lt;=18,"Teenager",J990&lt;=30,"Young Adult",J990&lt;=50,"Middle Aged Adult",J990&gt;50,"Senior")</f>
        <v>Young Adult</v>
      </c>
      <c r="L990">
        <v>0</v>
      </c>
      <c r="M990">
        <v>0</v>
      </c>
      <c r="N990" s="1">
        <f t="shared" si="62"/>
        <v>1</v>
      </c>
      <c r="O990" s="1" t="str">
        <f t="shared" si="63"/>
        <v>Single</v>
      </c>
      <c r="P990">
        <v>7.75</v>
      </c>
      <c r="Q990" s="1" t="str" cm="1">
        <f t="array" ref="Q990">_xlfn.IFS(P990&lt;=50,"Low",P990&lt;=100,"Medium",P990&gt;100,"High")</f>
        <v>Low</v>
      </c>
      <c r="R990" t="s">
        <v>463</v>
      </c>
      <c r="S990" s="1" t="str" cm="1">
        <f t="array" ref="S990">_xlfn.IFS(R990="S","Southampton",R990="C","Cherbourg",R990="Q","Queenstown")</f>
        <v>Queenstown</v>
      </c>
    </row>
    <row r="991" spans="1:19" x14ac:dyDescent="0.3">
      <c r="A991">
        <v>990</v>
      </c>
      <c r="B991">
        <v>3</v>
      </c>
      <c r="C991" s="1" t="str" cm="1">
        <f t="array" ref="C991">_xlfn.IFS(B991=1,"First Class",B991=2,"Second Class",B991=3,"Third Class")</f>
        <v>Third Class</v>
      </c>
      <c r="D991">
        <v>0</v>
      </c>
      <c r="E991" s="1" t="str">
        <f t="shared" si="60"/>
        <v>Dead</v>
      </c>
      <c r="F991" t="s">
        <v>1734</v>
      </c>
      <c r="G991" s="1" t="s">
        <v>2999</v>
      </c>
      <c r="H991" t="s">
        <v>20</v>
      </c>
      <c r="I991" s="1" t="str">
        <f t="shared" si="61"/>
        <v>Male</v>
      </c>
      <c r="J991" s="3">
        <v>29.881137667304014</v>
      </c>
      <c r="K991" s="3" t="str" cm="1">
        <f t="array" ref="K991">_xlfn.IFS(J991&lt;=13,"Child",J991&lt;=18,"Teenager",J991&lt;=30,"Young Adult",J991&lt;=50,"Middle Aged Adult",J991&gt;50,"Senior")</f>
        <v>Young Adult</v>
      </c>
      <c r="L991">
        <v>0</v>
      </c>
      <c r="M991">
        <v>0</v>
      </c>
      <c r="N991" s="1">
        <f t="shared" si="62"/>
        <v>1</v>
      </c>
      <c r="O991" s="1" t="str">
        <f t="shared" si="63"/>
        <v>Single</v>
      </c>
      <c r="P991">
        <v>8.0500000000000007</v>
      </c>
      <c r="Q991" s="1" t="str" cm="1">
        <f t="array" ref="Q991">_xlfn.IFS(P991&lt;=50,"Low",P991&lt;=100,"Medium",P991&gt;100,"High")</f>
        <v>Low</v>
      </c>
      <c r="R991" t="s">
        <v>17</v>
      </c>
      <c r="S991" s="1" t="str" cm="1">
        <f t="array" ref="S991">_xlfn.IFS(R991="S","Southampton",R991="C","Cherbourg",R991="Q","Queenstown")</f>
        <v>Southampton</v>
      </c>
    </row>
    <row r="992" spans="1:19" x14ac:dyDescent="0.3">
      <c r="A992">
        <v>991</v>
      </c>
      <c r="B992">
        <v>3</v>
      </c>
      <c r="C992" s="1" t="str" cm="1">
        <f t="array" ref="C992">_xlfn.IFS(B992=1,"First Class",B992=2,"Second Class",B992=3,"Third Class")</f>
        <v>Third Class</v>
      </c>
      <c r="D992">
        <v>0</v>
      </c>
      <c r="E992" s="1" t="str">
        <f t="shared" si="60"/>
        <v>Dead</v>
      </c>
      <c r="F992" t="s">
        <v>1736</v>
      </c>
      <c r="G992" s="1" t="s">
        <v>2999</v>
      </c>
      <c r="H992" t="s">
        <v>20</v>
      </c>
      <c r="I992" s="1" t="str">
        <f t="shared" si="61"/>
        <v>Male</v>
      </c>
      <c r="J992" s="3">
        <v>29</v>
      </c>
      <c r="K992" s="3" t="str" cm="1">
        <f t="array" ref="K992">_xlfn.IFS(J992&lt;=13,"Child",J992&lt;=18,"Teenager",J992&lt;=30,"Young Adult",J992&lt;=50,"Middle Aged Adult",J992&gt;50,"Senior")</f>
        <v>Young Adult</v>
      </c>
      <c r="L992">
        <v>0</v>
      </c>
      <c r="M992">
        <v>0</v>
      </c>
      <c r="N992" s="1">
        <f t="shared" si="62"/>
        <v>1</v>
      </c>
      <c r="O992" s="1" t="str">
        <f t="shared" si="63"/>
        <v>Single</v>
      </c>
      <c r="P992">
        <v>7.9249999999999998</v>
      </c>
      <c r="Q992" s="1" t="str" cm="1">
        <f t="array" ref="Q992">_xlfn.IFS(P992&lt;=50,"Low",P992&lt;=100,"Medium",P992&gt;100,"High")</f>
        <v>Low</v>
      </c>
      <c r="R992" t="s">
        <v>17</v>
      </c>
      <c r="S992" s="1" t="str" cm="1">
        <f t="array" ref="S992">_xlfn.IFS(R992="S","Southampton",R992="C","Cherbourg",R992="Q","Queenstown")</f>
        <v>Southampton</v>
      </c>
    </row>
    <row r="993" spans="1:19" x14ac:dyDescent="0.3">
      <c r="A993">
        <v>992</v>
      </c>
      <c r="B993">
        <v>3</v>
      </c>
      <c r="C993" s="1" t="str" cm="1">
        <f t="array" ref="C993">_xlfn.IFS(B993=1,"First Class",B993=2,"Second Class",B993=3,"Third Class")</f>
        <v>Third Class</v>
      </c>
      <c r="D993">
        <v>1</v>
      </c>
      <c r="E993" s="1" t="str">
        <f t="shared" si="60"/>
        <v>Alive</v>
      </c>
      <c r="F993" t="s">
        <v>1738</v>
      </c>
      <c r="G993" s="1" t="s">
        <v>2999</v>
      </c>
      <c r="H993" t="s">
        <v>20</v>
      </c>
      <c r="I993" s="1" t="str">
        <f t="shared" si="61"/>
        <v>Male</v>
      </c>
      <c r="J993" s="3">
        <v>29.881137667304014</v>
      </c>
      <c r="K993" s="3" t="str" cm="1">
        <f t="array" ref="K993">_xlfn.IFS(J993&lt;=13,"Child",J993&lt;=18,"Teenager",J993&lt;=30,"Young Adult",J993&lt;=50,"Middle Aged Adult",J993&gt;50,"Senior")</f>
        <v>Young Adult</v>
      </c>
      <c r="L993">
        <v>0</v>
      </c>
      <c r="M993">
        <v>0</v>
      </c>
      <c r="N993" s="1">
        <f t="shared" si="62"/>
        <v>1</v>
      </c>
      <c r="O993" s="1" t="str">
        <f t="shared" si="63"/>
        <v>Single</v>
      </c>
      <c r="P993">
        <v>7.2291999999999996</v>
      </c>
      <c r="Q993" s="1" t="str" cm="1">
        <f t="array" ref="Q993">_xlfn.IFS(P993&lt;=50,"Low",P993&lt;=100,"Medium",P993&gt;100,"High")</f>
        <v>Low</v>
      </c>
      <c r="R993" t="s">
        <v>41</v>
      </c>
      <c r="S993" s="1" t="str" cm="1">
        <f t="array" ref="S993">_xlfn.IFS(R993="S","Southampton",R993="C","Cherbourg",R993="Q","Queenstown")</f>
        <v>Cherbourg</v>
      </c>
    </row>
    <row r="994" spans="1:19" x14ac:dyDescent="0.3">
      <c r="A994">
        <v>993</v>
      </c>
      <c r="B994">
        <v>3</v>
      </c>
      <c r="C994" s="1" t="str" cm="1">
        <f t="array" ref="C994">_xlfn.IFS(B994=1,"First Class",B994=2,"Second Class",B994=3,"Third Class")</f>
        <v>Third Class</v>
      </c>
      <c r="D994">
        <v>0</v>
      </c>
      <c r="E994" s="1" t="str">
        <f t="shared" si="60"/>
        <v>Dead</v>
      </c>
      <c r="F994" t="s">
        <v>1739</v>
      </c>
      <c r="G994" s="1" t="s">
        <v>2994</v>
      </c>
      <c r="H994" t="s">
        <v>15</v>
      </c>
      <c r="I994" s="1" t="str">
        <f t="shared" si="61"/>
        <v>Female</v>
      </c>
      <c r="J994" s="3">
        <v>30.5</v>
      </c>
      <c r="K994" s="3" t="str" cm="1">
        <f t="array" ref="K994">_xlfn.IFS(J994&lt;=13,"Child",J994&lt;=18,"Teenager",J994&lt;=30,"Young Adult",J994&lt;=50,"Middle Aged Adult",J994&gt;50,"Senior")</f>
        <v>Middle Aged Adult</v>
      </c>
      <c r="L994">
        <v>0</v>
      </c>
      <c r="M994">
        <v>0</v>
      </c>
      <c r="N994" s="1">
        <f t="shared" si="62"/>
        <v>1</v>
      </c>
      <c r="O994" s="1" t="str">
        <f t="shared" si="63"/>
        <v>Single</v>
      </c>
      <c r="P994">
        <v>7.75</v>
      </c>
      <c r="Q994" s="1" t="str" cm="1">
        <f t="array" ref="Q994">_xlfn.IFS(P994&lt;=50,"Low",P994&lt;=100,"Medium",P994&gt;100,"High")</f>
        <v>Low</v>
      </c>
      <c r="R994" t="s">
        <v>463</v>
      </c>
      <c r="S994" s="1" t="str" cm="1">
        <f t="array" ref="S994">_xlfn.IFS(R994="S","Southampton",R994="C","Cherbourg",R994="Q","Queenstown")</f>
        <v>Queenstown</v>
      </c>
    </row>
    <row r="995" spans="1:19" x14ac:dyDescent="0.3">
      <c r="A995">
        <v>994</v>
      </c>
      <c r="B995">
        <v>3</v>
      </c>
      <c r="C995" s="1" t="str" cm="1">
        <f t="array" ref="C995">_xlfn.IFS(B995=1,"First Class",B995=2,"Second Class",B995=3,"Third Class")</f>
        <v>Third Class</v>
      </c>
      <c r="D995">
        <v>1</v>
      </c>
      <c r="E995" s="1" t="str">
        <f t="shared" si="60"/>
        <v>Alive</v>
      </c>
      <c r="F995" t="s">
        <v>1740</v>
      </c>
      <c r="G995" s="1" t="s">
        <v>2994</v>
      </c>
      <c r="H995" t="s">
        <v>15</v>
      </c>
      <c r="I995" s="1" t="str">
        <f t="shared" si="61"/>
        <v>Female</v>
      </c>
      <c r="J995" s="3">
        <v>29.881137667304014</v>
      </c>
      <c r="K995" s="3" t="str" cm="1">
        <f t="array" ref="K995">_xlfn.IFS(J995&lt;=13,"Child",J995&lt;=18,"Teenager",J995&lt;=30,"Young Adult",J995&lt;=50,"Middle Aged Adult",J995&gt;50,"Senior")</f>
        <v>Young Adult</v>
      </c>
      <c r="L995">
        <v>0</v>
      </c>
      <c r="M995">
        <v>0</v>
      </c>
      <c r="N995" s="1">
        <f t="shared" si="62"/>
        <v>1</v>
      </c>
      <c r="O995" s="1" t="str">
        <f t="shared" si="63"/>
        <v>Single</v>
      </c>
      <c r="P995">
        <v>7.7374999999999998</v>
      </c>
      <c r="Q995" s="1" t="str" cm="1">
        <f t="array" ref="Q995">_xlfn.IFS(P995&lt;=50,"Low",P995&lt;=100,"Medium",P995&gt;100,"High")</f>
        <v>Low</v>
      </c>
      <c r="R995" t="s">
        <v>463</v>
      </c>
      <c r="S995" s="1" t="str" cm="1">
        <f t="array" ref="S995">_xlfn.IFS(R995="S","Southampton",R995="C","Cherbourg",R995="Q","Queenstown")</f>
        <v>Queenstown</v>
      </c>
    </row>
    <row r="996" spans="1:19" x14ac:dyDescent="0.3">
      <c r="A996">
        <v>995</v>
      </c>
      <c r="B996">
        <v>3</v>
      </c>
      <c r="C996" s="1" t="str" cm="1">
        <f t="array" ref="C996">_xlfn.IFS(B996=1,"First Class",B996=2,"Second Class",B996=3,"Third Class")</f>
        <v>Third Class</v>
      </c>
      <c r="D996">
        <v>0</v>
      </c>
      <c r="E996" s="1" t="str">
        <f t="shared" si="60"/>
        <v>Dead</v>
      </c>
      <c r="F996" t="s">
        <v>1741</v>
      </c>
      <c r="G996" s="1" t="s">
        <v>2999</v>
      </c>
      <c r="H996" t="s">
        <v>20</v>
      </c>
      <c r="I996" s="1" t="str">
        <f t="shared" si="61"/>
        <v>Male</v>
      </c>
      <c r="J996" s="3">
        <v>29.881137667304014</v>
      </c>
      <c r="K996" s="3" t="str" cm="1">
        <f t="array" ref="K996">_xlfn.IFS(J996&lt;=13,"Child",J996&lt;=18,"Teenager",J996&lt;=30,"Young Adult",J996&lt;=50,"Middle Aged Adult",J996&gt;50,"Senior")</f>
        <v>Young Adult</v>
      </c>
      <c r="L996">
        <v>0</v>
      </c>
      <c r="M996">
        <v>0</v>
      </c>
      <c r="N996" s="1">
        <f t="shared" si="62"/>
        <v>1</v>
      </c>
      <c r="O996" s="1" t="str">
        <f t="shared" si="63"/>
        <v>Single</v>
      </c>
      <c r="P996">
        <v>7.2291999999999996</v>
      </c>
      <c r="Q996" s="1" t="str" cm="1">
        <f t="array" ref="Q996">_xlfn.IFS(P996&lt;=50,"Low",P996&lt;=100,"Medium",P996&gt;100,"High")</f>
        <v>Low</v>
      </c>
      <c r="R996" t="s">
        <v>41</v>
      </c>
      <c r="S996" s="1" t="str" cm="1">
        <f t="array" ref="S996">_xlfn.IFS(R996="S","Southampton",R996="C","Cherbourg",R996="Q","Queenstown")</f>
        <v>Cherbourg</v>
      </c>
    </row>
    <row r="997" spans="1:19" x14ac:dyDescent="0.3">
      <c r="A997">
        <v>996</v>
      </c>
      <c r="B997">
        <v>3</v>
      </c>
      <c r="C997" s="1" t="str" cm="1">
        <f t="array" ref="C997">_xlfn.IFS(B997=1,"First Class",B997=2,"Second Class",B997=3,"Third Class")</f>
        <v>Third Class</v>
      </c>
      <c r="D997">
        <v>0</v>
      </c>
      <c r="E997" s="1" t="str">
        <f t="shared" si="60"/>
        <v>Dead</v>
      </c>
      <c r="F997" t="s">
        <v>1743</v>
      </c>
      <c r="G997" s="1" t="s">
        <v>2999</v>
      </c>
      <c r="H997" t="s">
        <v>20</v>
      </c>
      <c r="I997" s="1" t="str">
        <f t="shared" si="61"/>
        <v>Male</v>
      </c>
      <c r="J997" s="3">
        <v>35</v>
      </c>
      <c r="K997" s="3" t="str" cm="1">
        <f t="array" ref="K997">_xlfn.IFS(J997&lt;=13,"Child",J997&lt;=18,"Teenager",J997&lt;=30,"Young Adult",J997&lt;=50,"Middle Aged Adult",J997&gt;50,"Senior")</f>
        <v>Middle Aged Adult</v>
      </c>
      <c r="L997">
        <v>0</v>
      </c>
      <c r="M997">
        <v>0</v>
      </c>
      <c r="N997" s="1">
        <f t="shared" si="62"/>
        <v>1</v>
      </c>
      <c r="O997" s="1" t="str">
        <f t="shared" si="63"/>
        <v>Single</v>
      </c>
      <c r="P997">
        <v>7.8958000000000004</v>
      </c>
      <c r="Q997" s="1" t="str" cm="1">
        <f t="array" ref="Q997">_xlfn.IFS(P997&lt;=50,"Low",P997&lt;=100,"Medium",P997&gt;100,"High")</f>
        <v>Low</v>
      </c>
      <c r="R997" t="s">
        <v>41</v>
      </c>
      <c r="S997" s="1" t="str" cm="1">
        <f t="array" ref="S997">_xlfn.IFS(R997="S","Southampton",R997="C","Cherbourg",R997="Q","Queenstown")</f>
        <v>Cherbourg</v>
      </c>
    </row>
    <row r="998" spans="1:19" x14ac:dyDescent="0.3">
      <c r="A998">
        <v>997</v>
      </c>
      <c r="B998">
        <v>3</v>
      </c>
      <c r="C998" s="1" t="str" cm="1">
        <f t="array" ref="C998">_xlfn.IFS(B998=1,"First Class",B998=2,"Second Class",B998=3,"Third Class")</f>
        <v>Third Class</v>
      </c>
      <c r="D998">
        <v>0</v>
      </c>
      <c r="E998" s="1" t="str">
        <f t="shared" si="60"/>
        <v>Dead</v>
      </c>
      <c r="F998" t="s">
        <v>1744</v>
      </c>
      <c r="G998" s="1" t="s">
        <v>2999</v>
      </c>
      <c r="H998" t="s">
        <v>20</v>
      </c>
      <c r="I998" s="1" t="str">
        <f t="shared" si="61"/>
        <v>Male</v>
      </c>
      <c r="J998" s="3">
        <v>33</v>
      </c>
      <c r="K998" s="3" t="str" cm="1">
        <f t="array" ref="K998">_xlfn.IFS(J998&lt;=13,"Child",J998&lt;=18,"Teenager",J998&lt;=30,"Young Adult",J998&lt;=50,"Middle Aged Adult",J998&gt;50,"Senior")</f>
        <v>Middle Aged Adult</v>
      </c>
      <c r="L998">
        <v>0</v>
      </c>
      <c r="M998">
        <v>0</v>
      </c>
      <c r="N998" s="1">
        <f t="shared" si="62"/>
        <v>1</v>
      </c>
      <c r="O998" s="1" t="str">
        <f t="shared" si="63"/>
        <v>Single</v>
      </c>
      <c r="P998">
        <v>7.8958000000000004</v>
      </c>
      <c r="Q998" s="1" t="str" cm="1">
        <f t="array" ref="Q998">_xlfn.IFS(P998&lt;=50,"Low",P998&lt;=100,"Medium",P998&gt;100,"High")</f>
        <v>Low</v>
      </c>
      <c r="R998" t="s">
        <v>17</v>
      </c>
      <c r="S998" s="1" t="str" cm="1">
        <f t="array" ref="S998">_xlfn.IFS(R998="S","Southampton",R998="C","Cherbourg",R998="Q","Queenstown")</f>
        <v>Southampton</v>
      </c>
    </row>
    <row r="999" spans="1:19" x14ac:dyDescent="0.3">
      <c r="A999">
        <v>998</v>
      </c>
      <c r="B999">
        <v>3</v>
      </c>
      <c r="C999" s="1" t="str" cm="1">
        <f t="array" ref="C999">_xlfn.IFS(B999=1,"First Class",B999=2,"Second Class",B999=3,"Third Class")</f>
        <v>Third Class</v>
      </c>
      <c r="D999">
        <v>1</v>
      </c>
      <c r="E999" s="1" t="str">
        <f t="shared" si="60"/>
        <v>Alive</v>
      </c>
      <c r="F999" t="s">
        <v>1745</v>
      </c>
      <c r="G999" s="1" t="s">
        <v>3001</v>
      </c>
      <c r="H999" t="s">
        <v>15</v>
      </c>
      <c r="I999" s="1" t="str">
        <f t="shared" si="61"/>
        <v>Female</v>
      </c>
      <c r="J999" s="3">
        <v>29.881137667304014</v>
      </c>
      <c r="K999" s="3" t="str" cm="1">
        <f t="array" ref="K999">_xlfn.IFS(J999&lt;=13,"Child",J999&lt;=18,"Teenager",J999&lt;=30,"Young Adult",J999&lt;=50,"Middle Aged Adult",J999&gt;50,"Senior")</f>
        <v>Young Adult</v>
      </c>
      <c r="L999">
        <v>0</v>
      </c>
      <c r="M999">
        <v>0</v>
      </c>
      <c r="N999" s="1">
        <f t="shared" si="62"/>
        <v>1</v>
      </c>
      <c r="O999" s="1" t="str">
        <f t="shared" si="63"/>
        <v>Single</v>
      </c>
      <c r="P999">
        <v>7.2249999999999996</v>
      </c>
      <c r="Q999" s="1" t="str" cm="1">
        <f t="array" ref="Q999">_xlfn.IFS(P999&lt;=50,"Low",P999&lt;=100,"Medium",P999&gt;100,"High")</f>
        <v>Low</v>
      </c>
      <c r="R999" t="s">
        <v>41</v>
      </c>
      <c r="S999" s="1" t="str" cm="1">
        <f t="array" ref="S999">_xlfn.IFS(R999="S","Southampton",R999="C","Cherbourg",R999="Q","Queenstown")</f>
        <v>Cherbourg</v>
      </c>
    </row>
    <row r="1000" spans="1:19" x14ac:dyDescent="0.3">
      <c r="A1000">
        <v>999</v>
      </c>
      <c r="B1000">
        <v>3</v>
      </c>
      <c r="C1000" s="1" t="str" cm="1">
        <f t="array" ref="C1000">_xlfn.IFS(B1000=1,"First Class",B1000=2,"Second Class",B1000=3,"Third Class")</f>
        <v>Third Class</v>
      </c>
      <c r="D1000">
        <v>0</v>
      </c>
      <c r="E1000" s="1" t="str">
        <f t="shared" si="60"/>
        <v>Dead</v>
      </c>
      <c r="F1000" t="s">
        <v>1746</v>
      </c>
      <c r="G1000" s="1" t="s">
        <v>2999</v>
      </c>
      <c r="H1000" t="s">
        <v>20</v>
      </c>
      <c r="I1000" s="1" t="str">
        <f t="shared" si="61"/>
        <v>Male</v>
      </c>
      <c r="J1000" s="3">
        <v>29.881137667304014</v>
      </c>
      <c r="K1000" s="3" t="str" cm="1">
        <f t="array" ref="K1000">_xlfn.IFS(J1000&lt;=13,"Child",J1000&lt;=18,"Teenager",J1000&lt;=30,"Young Adult",J1000&lt;=50,"Middle Aged Adult",J1000&gt;50,"Senior")</f>
        <v>Young Adult</v>
      </c>
      <c r="L1000">
        <v>0</v>
      </c>
      <c r="M1000">
        <v>0</v>
      </c>
      <c r="N1000" s="1">
        <f t="shared" si="62"/>
        <v>1</v>
      </c>
      <c r="O1000" s="1" t="str">
        <f t="shared" si="63"/>
        <v>Single</v>
      </c>
      <c r="P1000">
        <v>7.8958000000000004</v>
      </c>
      <c r="Q1000" s="1" t="str" cm="1">
        <f t="array" ref="Q1000">_xlfn.IFS(P1000&lt;=50,"Low",P1000&lt;=100,"Medium",P1000&gt;100,"High")</f>
        <v>Low</v>
      </c>
      <c r="R1000" t="s">
        <v>41</v>
      </c>
      <c r="S1000" s="1" t="str" cm="1">
        <f t="array" ref="S1000">_xlfn.IFS(R1000="S","Southampton",R1000="C","Cherbourg",R1000="Q","Queenstown")</f>
        <v>Cherbourg</v>
      </c>
    </row>
    <row r="1001" spans="1:19" x14ac:dyDescent="0.3">
      <c r="A1001">
        <v>1000</v>
      </c>
      <c r="B1001">
        <v>3</v>
      </c>
      <c r="C1001" s="1" t="str" cm="1">
        <f t="array" ref="C1001">_xlfn.IFS(B1001=1,"First Class",B1001=2,"Second Class",B1001=3,"Third Class")</f>
        <v>Third Class</v>
      </c>
      <c r="D1001">
        <v>1</v>
      </c>
      <c r="E1001" s="1" t="str">
        <f t="shared" si="60"/>
        <v>Alive</v>
      </c>
      <c r="F1001" t="s">
        <v>1747</v>
      </c>
      <c r="G1001" s="1" t="s">
        <v>2994</v>
      </c>
      <c r="H1001" t="s">
        <v>15</v>
      </c>
      <c r="I1001" s="1" t="str">
        <f t="shared" si="61"/>
        <v>Female</v>
      </c>
      <c r="J1001" s="3">
        <v>29.881137667304014</v>
      </c>
      <c r="K1001" s="3" t="str" cm="1">
        <f t="array" ref="K1001">_xlfn.IFS(J1001&lt;=13,"Child",J1001&lt;=18,"Teenager",J1001&lt;=30,"Young Adult",J1001&lt;=50,"Middle Aged Adult",J1001&gt;50,"Senior")</f>
        <v>Young Adult</v>
      </c>
      <c r="L1001">
        <v>0</v>
      </c>
      <c r="M1001">
        <v>0</v>
      </c>
      <c r="N1001" s="1">
        <f t="shared" si="62"/>
        <v>1</v>
      </c>
      <c r="O1001" s="1" t="str">
        <f t="shared" si="63"/>
        <v>Single</v>
      </c>
      <c r="P1001">
        <v>7.75</v>
      </c>
      <c r="Q1001" s="1" t="str" cm="1">
        <f t="array" ref="Q1001">_xlfn.IFS(P1001&lt;=50,"Low",P1001&lt;=100,"Medium",P1001&gt;100,"High")</f>
        <v>Low</v>
      </c>
      <c r="R1001" t="s">
        <v>463</v>
      </c>
      <c r="S1001" s="1" t="str" cm="1">
        <f t="array" ref="S1001">_xlfn.IFS(R1001="S","Southampton",R1001="C","Cherbourg",R1001="Q","Queenstown")</f>
        <v>Queenstown</v>
      </c>
    </row>
    <row r="1002" spans="1:19" x14ac:dyDescent="0.3">
      <c r="A1002">
        <v>1001</v>
      </c>
      <c r="B1002">
        <v>3</v>
      </c>
      <c r="C1002" s="1" t="str" cm="1">
        <f t="array" ref="C1002">_xlfn.IFS(B1002=1,"First Class",B1002=2,"Second Class",B1002=3,"Third Class")</f>
        <v>Third Class</v>
      </c>
      <c r="D1002">
        <v>1</v>
      </c>
      <c r="E1002" s="1" t="str">
        <f t="shared" si="60"/>
        <v>Alive</v>
      </c>
      <c r="F1002" t="s">
        <v>1749</v>
      </c>
      <c r="G1002" s="1" t="s">
        <v>2999</v>
      </c>
      <c r="H1002" t="s">
        <v>20</v>
      </c>
      <c r="I1002" s="1" t="str">
        <f t="shared" si="61"/>
        <v>Male</v>
      </c>
      <c r="J1002" s="3">
        <v>29.881137667304014</v>
      </c>
      <c r="K1002" s="3" t="str" cm="1">
        <f t="array" ref="K1002">_xlfn.IFS(J1002&lt;=13,"Child",J1002&lt;=18,"Teenager",J1002&lt;=30,"Young Adult",J1002&lt;=50,"Middle Aged Adult",J1002&gt;50,"Senior")</f>
        <v>Young Adult</v>
      </c>
      <c r="L1002">
        <v>0</v>
      </c>
      <c r="M1002">
        <v>0</v>
      </c>
      <c r="N1002" s="1">
        <f t="shared" si="62"/>
        <v>1</v>
      </c>
      <c r="O1002" s="1" t="str">
        <f t="shared" si="63"/>
        <v>Single</v>
      </c>
      <c r="P1002">
        <v>7.75</v>
      </c>
      <c r="Q1002" s="1" t="str" cm="1">
        <f t="array" ref="Q1002">_xlfn.IFS(P1002&lt;=50,"Low",P1002&lt;=100,"Medium",P1002&gt;100,"High")</f>
        <v>Low</v>
      </c>
      <c r="R1002" t="s">
        <v>463</v>
      </c>
      <c r="S1002" s="1" t="str" cm="1">
        <f t="array" ref="S1002">_xlfn.IFS(R1002="S","Southampton",R1002="C","Cherbourg",R1002="Q","Queenstown")</f>
        <v>Queenstown</v>
      </c>
    </row>
    <row r="1003" spans="1:19" x14ac:dyDescent="0.3">
      <c r="A1003">
        <v>1002</v>
      </c>
      <c r="B1003">
        <v>3</v>
      </c>
      <c r="C1003" s="1" t="str" cm="1">
        <f t="array" ref="C1003">_xlfn.IFS(B1003=1,"First Class",B1003=2,"Second Class",B1003=3,"Third Class")</f>
        <v>Third Class</v>
      </c>
      <c r="D1003">
        <v>1</v>
      </c>
      <c r="E1003" s="1" t="str">
        <f t="shared" si="60"/>
        <v>Alive</v>
      </c>
      <c r="F1003" t="s">
        <v>1750</v>
      </c>
      <c r="G1003" s="1" t="s">
        <v>2994</v>
      </c>
      <c r="H1003" t="s">
        <v>15</v>
      </c>
      <c r="I1003" s="1" t="str">
        <f t="shared" si="61"/>
        <v>Female</v>
      </c>
      <c r="J1003" s="3">
        <v>29.881137667304014</v>
      </c>
      <c r="K1003" s="3" t="str" cm="1">
        <f t="array" ref="K1003">_xlfn.IFS(J1003&lt;=13,"Child",J1003&lt;=18,"Teenager",J1003&lt;=30,"Young Adult",J1003&lt;=50,"Middle Aged Adult",J1003&gt;50,"Senior")</f>
        <v>Young Adult</v>
      </c>
      <c r="L1003">
        <v>2</v>
      </c>
      <c r="M1003">
        <v>0</v>
      </c>
      <c r="N1003" s="1">
        <f t="shared" si="62"/>
        <v>3</v>
      </c>
      <c r="O1003" s="1" t="str">
        <f t="shared" si="63"/>
        <v>With Family</v>
      </c>
      <c r="P1003">
        <v>23.25</v>
      </c>
      <c r="Q1003" s="1" t="str" cm="1">
        <f t="array" ref="Q1003">_xlfn.IFS(P1003&lt;=50,"Low",P1003&lt;=100,"Medium",P1003&gt;100,"High")</f>
        <v>Low</v>
      </c>
      <c r="R1003" t="s">
        <v>463</v>
      </c>
      <c r="S1003" s="1" t="str" cm="1">
        <f t="array" ref="S1003">_xlfn.IFS(R1003="S","Southampton",R1003="C","Cherbourg",R1003="Q","Queenstown")</f>
        <v>Queenstown</v>
      </c>
    </row>
    <row r="1004" spans="1:19" x14ac:dyDescent="0.3">
      <c r="A1004">
        <v>1003</v>
      </c>
      <c r="B1004">
        <v>3</v>
      </c>
      <c r="C1004" s="1" t="str" cm="1">
        <f t="array" ref="C1004">_xlfn.IFS(B1004=1,"First Class",B1004=2,"Second Class",B1004=3,"Third Class")</f>
        <v>Third Class</v>
      </c>
      <c r="D1004">
        <v>1</v>
      </c>
      <c r="E1004" s="1" t="str">
        <f t="shared" si="60"/>
        <v>Alive</v>
      </c>
      <c r="F1004" t="s">
        <v>1751</v>
      </c>
      <c r="G1004" s="1" t="s">
        <v>2994</v>
      </c>
      <c r="H1004" t="s">
        <v>15</v>
      </c>
      <c r="I1004" s="1" t="str">
        <f t="shared" si="61"/>
        <v>Female</v>
      </c>
      <c r="J1004" s="3">
        <v>29.881137667304014</v>
      </c>
      <c r="K1004" s="3" t="str" cm="1">
        <f t="array" ref="K1004">_xlfn.IFS(J1004&lt;=13,"Child",J1004&lt;=18,"Teenager",J1004&lt;=30,"Young Adult",J1004&lt;=50,"Middle Aged Adult",J1004&gt;50,"Senior")</f>
        <v>Young Adult</v>
      </c>
      <c r="L1004">
        <v>2</v>
      </c>
      <c r="M1004">
        <v>0</v>
      </c>
      <c r="N1004" s="1">
        <f t="shared" si="62"/>
        <v>3</v>
      </c>
      <c r="O1004" s="1" t="str">
        <f t="shared" si="63"/>
        <v>With Family</v>
      </c>
      <c r="P1004">
        <v>23.25</v>
      </c>
      <c r="Q1004" s="1" t="str" cm="1">
        <f t="array" ref="Q1004">_xlfn.IFS(P1004&lt;=50,"Low",P1004&lt;=100,"Medium",P1004&gt;100,"High")</f>
        <v>Low</v>
      </c>
      <c r="R1004" t="s">
        <v>463</v>
      </c>
      <c r="S1004" s="1" t="str" cm="1">
        <f t="array" ref="S1004">_xlfn.IFS(R1004="S","Southampton",R1004="C","Cherbourg",R1004="Q","Queenstown")</f>
        <v>Queenstown</v>
      </c>
    </row>
    <row r="1005" spans="1:19" x14ac:dyDescent="0.3">
      <c r="A1005">
        <v>1004</v>
      </c>
      <c r="B1005">
        <v>3</v>
      </c>
      <c r="C1005" s="1" t="str" cm="1">
        <f t="array" ref="C1005">_xlfn.IFS(B1005=1,"First Class",B1005=2,"Second Class",B1005=3,"Third Class")</f>
        <v>Third Class</v>
      </c>
      <c r="D1005">
        <v>1</v>
      </c>
      <c r="E1005" s="1" t="str">
        <f t="shared" si="60"/>
        <v>Alive</v>
      </c>
      <c r="F1005" t="s">
        <v>1752</v>
      </c>
      <c r="G1005" s="1" t="s">
        <v>2999</v>
      </c>
      <c r="H1005" t="s">
        <v>20</v>
      </c>
      <c r="I1005" s="1" t="str">
        <f t="shared" si="61"/>
        <v>Male</v>
      </c>
      <c r="J1005" s="3">
        <v>29.881137667304014</v>
      </c>
      <c r="K1005" s="3" t="str" cm="1">
        <f t="array" ref="K1005">_xlfn.IFS(J1005&lt;=13,"Child",J1005&lt;=18,"Teenager",J1005&lt;=30,"Young Adult",J1005&lt;=50,"Middle Aged Adult",J1005&gt;50,"Senior")</f>
        <v>Young Adult</v>
      </c>
      <c r="L1005">
        <v>2</v>
      </c>
      <c r="M1005">
        <v>0</v>
      </c>
      <c r="N1005" s="1">
        <f t="shared" si="62"/>
        <v>3</v>
      </c>
      <c r="O1005" s="1" t="str">
        <f t="shared" si="63"/>
        <v>With Family</v>
      </c>
      <c r="P1005">
        <v>23.25</v>
      </c>
      <c r="Q1005" s="1" t="str" cm="1">
        <f t="array" ref="Q1005">_xlfn.IFS(P1005&lt;=50,"Low",P1005&lt;=100,"Medium",P1005&gt;100,"High")</f>
        <v>Low</v>
      </c>
      <c r="R1005" t="s">
        <v>463</v>
      </c>
      <c r="S1005" s="1" t="str" cm="1">
        <f t="array" ref="S1005">_xlfn.IFS(R1005="S","Southampton",R1005="C","Cherbourg",R1005="Q","Queenstown")</f>
        <v>Queenstown</v>
      </c>
    </row>
    <row r="1006" spans="1:19" x14ac:dyDescent="0.3">
      <c r="A1006">
        <v>1005</v>
      </c>
      <c r="B1006">
        <v>3</v>
      </c>
      <c r="C1006" s="1" t="str" cm="1">
        <f t="array" ref="C1006">_xlfn.IFS(B1006=1,"First Class",B1006=2,"Second Class",B1006=3,"Third Class")</f>
        <v>Third Class</v>
      </c>
      <c r="D1006">
        <v>1</v>
      </c>
      <c r="E1006" s="1" t="str">
        <f t="shared" si="60"/>
        <v>Alive</v>
      </c>
      <c r="F1006" t="s">
        <v>1753</v>
      </c>
      <c r="G1006" s="1" t="s">
        <v>2994</v>
      </c>
      <c r="H1006" t="s">
        <v>15</v>
      </c>
      <c r="I1006" s="1" t="str">
        <f t="shared" si="61"/>
        <v>Female</v>
      </c>
      <c r="J1006" s="3">
        <v>29.881137667304014</v>
      </c>
      <c r="K1006" s="3" t="str" cm="1">
        <f t="array" ref="K1006">_xlfn.IFS(J1006&lt;=13,"Child",J1006&lt;=18,"Teenager",J1006&lt;=30,"Young Adult",J1006&lt;=50,"Middle Aged Adult",J1006&gt;50,"Senior")</f>
        <v>Young Adult</v>
      </c>
      <c r="L1006">
        <v>0</v>
      </c>
      <c r="M1006">
        <v>0</v>
      </c>
      <c r="N1006" s="1">
        <f t="shared" si="62"/>
        <v>1</v>
      </c>
      <c r="O1006" s="1" t="str">
        <f t="shared" si="63"/>
        <v>Single</v>
      </c>
      <c r="P1006">
        <v>7.7874999999999996</v>
      </c>
      <c r="Q1006" s="1" t="str" cm="1">
        <f t="array" ref="Q1006">_xlfn.IFS(P1006&lt;=50,"Low",P1006&lt;=100,"Medium",P1006&gt;100,"High")</f>
        <v>Low</v>
      </c>
      <c r="R1006" t="s">
        <v>463</v>
      </c>
      <c r="S1006" s="1" t="str" cm="1">
        <f t="array" ref="S1006">_xlfn.IFS(R1006="S","Southampton",R1006="C","Cherbourg",R1006="Q","Queenstown")</f>
        <v>Queenstown</v>
      </c>
    </row>
    <row r="1007" spans="1:19" x14ac:dyDescent="0.3">
      <c r="A1007">
        <v>1006</v>
      </c>
      <c r="B1007">
        <v>3</v>
      </c>
      <c r="C1007" s="1" t="str" cm="1">
        <f t="array" ref="C1007">_xlfn.IFS(B1007=1,"First Class",B1007=2,"Second Class",B1007=3,"Third Class")</f>
        <v>Third Class</v>
      </c>
      <c r="D1007">
        <v>0</v>
      </c>
      <c r="E1007" s="1" t="str">
        <f t="shared" si="60"/>
        <v>Dead</v>
      </c>
      <c r="F1007" t="s">
        <v>1754</v>
      </c>
      <c r="G1007" s="1" t="s">
        <v>2999</v>
      </c>
      <c r="H1007" t="s">
        <v>20</v>
      </c>
      <c r="I1007" s="1" t="str">
        <f t="shared" si="61"/>
        <v>Male</v>
      </c>
      <c r="J1007" s="3">
        <v>29.881137667304014</v>
      </c>
      <c r="K1007" s="3" t="str" cm="1">
        <f t="array" ref="K1007">_xlfn.IFS(J1007&lt;=13,"Child",J1007&lt;=18,"Teenager",J1007&lt;=30,"Young Adult",J1007&lt;=50,"Middle Aged Adult",J1007&gt;50,"Senior")</f>
        <v>Young Adult</v>
      </c>
      <c r="L1007">
        <v>0</v>
      </c>
      <c r="M1007">
        <v>0</v>
      </c>
      <c r="N1007" s="1">
        <f t="shared" si="62"/>
        <v>1</v>
      </c>
      <c r="O1007" s="1" t="str">
        <f t="shared" si="63"/>
        <v>Single</v>
      </c>
      <c r="P1007">
        <v>15.5</v>
      </c>
      <c r="Q1007" s="1" t="str" cm="1">
        <f t="array" ref="Q1007">_xlfn.IFS(P1007&lt;=50,"Low",P1007&lt;=100,"Medium",P1007&gt;100,"High")</f>
        <v>Low</v>
      </c>
      <c r="R1007" t="s">
        <v>463</v>
      </c>
      <c r="S1007" s="1" t="str" cm="1">
        <f t="array" ref="S1007">_xlfn.IFS(R1007="S","Southampton",R1007="C","Cherbourg",R1007="Q","Queenstown")</f>
        <v>Queenstown</v>
      </c>
    </row>
    <row r="1008" spans="1:19" x14ac:dyDescent="0.3">
      <c r="A1008">
        <v>1007</v>
      </c>
      <c r="B1008">
        <v>3</v>
      </c>
      <c r="C1008" s="1" t="str" cm="1">
        <f t="array" ref="C1008">_xlfn.IFS(B1008=1,"First Class",B1008=2,"Second Class",B1008=3,"Third Class")</f>
        <v>Third Class</v>
      </c>
      <c r="D1008">
        <v>1</v>
      </c>
      <c r="E1008" s="1" t="str">
        <f t="shared" si="60"/>
        <v>Alive</v>
      </c>
      <c r="F1008" t="s">
        <v>1755</v>
      </c>
      <c r="G1008" s="1" t="s">
        <v>2994</v>
      </c>
      <c r="H1008" t="s">
        <v>15</v>
      </c>
      <c r="I1008" s="1" t="str">
        <f t="shared" si="61"/>
        <v>Female</v>
      </c>
      <c r="J1008" s="3">
        <v>29.881137667304014</v>
      </c>
      <c r="K1008" s="3" t="str" cm="1">
        <f t="array" ref="K1008">_xlfn.IFS(J1008&lt;=13,"Child",J1008&lt;=18,"Teenager",J1008&lt;=30,"Young Adult",J1008&lt;=50,"Middle Aged Adult",J1008&gt;50,"Senior")</f>
        <v>Young Adult</v>
      </c>
      <c r="L1008">
        <v>0</v>
      </c>
      <c r="M1008">
        <v>0</v>
      </c>
      <c r="N1008" s="1">
        <f t="shared" si="62"/>
        <v>1</v>
      </c>
      <c r="O1008" s="1" t="str">
        <f t="shared" si="63"/>
        <v>Single</v>
      </c>
      <c r="P1008">
        <v>7.8792</v>
      </c>
      <c r="Q1008" s="1" t="str" cm="1">
        <f t="array" ref="Q1008">_xlfn.IFS(P1008&lt;=50,"Low",P1008&lt;=100,"Medium",P1008&gt;100,"High")</f>
        <v>Low</v>
      </c>
      <c r="R1008" t="s">
        <v>463</v>
      </c>
      <c r="S1008" s="1" t="str" cm="1">
        <f t="array" ref="S1008">_xlfn.IFS(R1008="S","Southampton",R1008="C","Cherbourg",R1008="Q","Queenstown")</f>
        <v>Queenstown</v>
      </c>
    </row>
    <row r="1009" spans="1:19" x14ac:dyDescent="0.3">
      <c r="A1009">
        <v>1008</v>
      </c>
      <c r="B1009">
        <v>3</v>
      </c>
      <c r="C1009" s="1" t="str" cm="1">
        <f t="array" ref="C1009">_xlfn.IFS(B1009=1,"First Class",B1009=2,"Second Class",B1009=3,"Third Class")</f>
        <v>Third Class</v>
      </c>
      <c r="D1009">
        <v>1</v>
      </c>
      <c r="E1009" s="1" t="str">
        <f t="shared" si="60"/>
        <v>Alive</v>
      </c>
      <c r="F1009" t="s">
        <v>1756</v>
      </c>
      <c r="G1009" s="1" t="s">
        <v>2994</v>
      </c>
      <c r="H1009" t="s">
        <v>15</v>
      </c>
      <c r="I1009" s="1" t="str">
        <f t="shared" si="61"/>
        <v>Female</v>
      </c>
      <c r="J1009" s="3">
        <v>15</v>
      </c>
      <c r="K1009" s="3" t="str" cm="1">
        <f t="array" ref="K1009">_xlfn.IFS(J1009&lt;=13,"Child",J1009&lt;=18,"Teenager",J1009&lt;=30,"Young Adult",J1009&lt;=50,"Middle Aged Adult",J1009&gt;50,"Senior")</f>
        <v>Teenager</v>
      </c>
      <c r="L1009">
        <v>0</v>
      </c>
      <c r="M1009">
        <v>0</v>
      </c>
      <c r="N1009" s="1">
        <f t="shared" si="62"/>
        <v>1</v>
      </c>
      <c r="O1009" s="1" t="str">
        <f t="shared" si="63"/>
        <v>Single</v>
      </c>
      <c r="P1009">
        <v>8.0291999999999994</v>
      </c>
      <c r="Q1009" s="1" t="str" cm="1">
        <f t="array" ref="Q1009">_xlfn.IFS(P1009&lt;=50,"Low",P1009&lt;=100,"Medium",P1009&gt;100,"High")</f>
        <v>Low</v>
      </c>
      <c r="R1009" t="s">
        <v>463</v>
      </c>
      <c r="S1009" s="1" t="str" cm="1">
        <f t="array" ref="S1009">_xlfn.IFS(R1009="S","Southampton",R1009="C","Cherbourg",R1009="Q","Queenstown")</f>
        <v>Queenstown</v>
      </c>
    </row>
    <row r="1010" spans="1:19" x14ac:dyDescent="0.3">
      <c r="A1010">
        <v>1009</v>
      </c>
      <c r="B1010">
        <v>3</v>
      </c>
      <c r="C1010" s="1" t="str" cm="1">
        <f t="array" ref="C1010">_xlfn.IFS(B1010=1,"First Class",B1010=2,"Second Class",B1010=3,"Third Class")</f>
        <v>Third Class</v>
      </c>
      <c r="D1010">
        <v>0</v>
      </c>
      <c r="E1010" s="1" t="str">
        <f t="shared" si="60"/>
        <v>Dead</v>
      </c>
      <c r="F1010" t="s">
        <v>1757</v>
      </c>
      <c r="G1010" s="1" t="s">
        <v>2994</v>
      </c>
      <c r="H1010" t="s">
        <v>15</v>
      </c>
      <c r="I1010" s="1" t="str">
        <f t="shared" si="61"/>
        <v>Female</v>
      </c>
      <c r="J1010" s="3">
        <v>35</v>
      </c>
      <c r="K1010" s="3" t="str" cm="1">
        <f t="array" ref="K1010">_xlfn.IFS(J1010&lt;=13,"Child",J1010&lt;=18,"Teenager",J1010&lt;=30,"Young Adult",J1010&lt;=50,"Middle Aged Adult",J1010&gt;50,"Senior")</f>
        <v>Middle Aged Adult</v>
      </c>
      <c r="L1010">
        <v>0</v>
      </c>
      <c r="M1010">
        <v>0</v>
      </c>
      <c r="N1010" s="1">
        <f t="shared" si="62"/>
        <v>1</v>
      </c>
      <c r="O1010" s="1" t="str">
        <f t="shared" si="63"/>
        <v>Single</v>
      </c>
      <c r="P1010">
        <v>7.75</v>
      </c>
      <c r="Q1010" s="1" t="str" cm="1">
        <f t="array" ref="Q1010">_xlfn.IFS(P1010&lt;=50,"Low",P1010&lt;=100,"Medium",P1010&gt;100,"High")</f>
        <v>Low</v>
      </c>
      <c r="R1010" t="s">
        <v>463</v>
      </c>
      <c r="S1010" s="1" t="str" cm="1">
        <f t="array" ref="S1010">_xlfn.IFS(R1010="S","Southampton",R1010="C","Cherbourg",R1010="Q","Queenstown")</f>
        <v>Queenstown</v>
      </c>
    </row>
    <row r="1011" spans="1:19" x14ac:dyDescent="0.3">
      <c r="A1011">
        <v>1010</v>
      </c>
      <c r="B1011">
        <v>3</v>
      </c>
      <c r="C1011" s="1" t="str" cm="1">
        <f t="array" ref="C1011">_xlfn.IFS(B1011=1,"First Class",B1011=2,"Second Class",B1011=3,"Third Class")</f>
        <v>Third Class</v>
      </c>
      <c r="D1011">
        <v>0</v>
      </c>
      <c r="E1011" s="1" t="str">
        <f t="shared" si="60"/>
        <v>Dead</v>
      </c>
      <c r="F1011" t="s">
        <v>1758</v>
      </c>
      <c r="G1011" s="1" t="s">
        <v>2999</v>
      </c>
      <c r="H1011" t="s">
        <v>20</v>
      </c>
      <c r="I1011" s="1" t="str">
        <f t="shared" si="61"/>
        <v>Male</v>
      </c>
      <c r="J1011" s="3">
        <v>29.881137667304014</v>
      </c>
      <c r="K1011" s="3" t="str" cm="1">
        <f t="array" ref="K1011">_xlfn.IFS(J1011&lt;=13,"Child",J1011&lt;=18,"Teenager",J1011&lt;=30,"Young Adult",J1011&lt;=50,"Middle Aged Adult",J1011&gt;50,"Senior")</f>
        <v>Young Adult</v>
      </c>
      <c r="L1011">
        <v>0</v>
      </c>
      <c r="M1011">
        <v>0</v>
      </c>
      <c r="N1011" s="1">
        <f t="shared" si="62"/>
        <v>1</v>
      </c>
      <c r="O1011" s="1" t="str">
        <f t="shared" si="63"/>
        <v>Single</v>
      </c>
      <c r="P1011">
        <v>7.75</v>
      </c>
      <c r="Q1011" s="1" t="str" cm="1">
        <f t="array" ref="Q1011">_xlfn.IFS(P1011&lt;=50,"Low",P1011&lt;=100,"Medium",P1011&gt;100,"High")</f>
        <v>Low</v>
      </c>
      <c r="R1011" t="s">
        <v>463</v>
      </c>
      <c r="S1011" s="1" t="str" cm="1">
        <f t="array" ref="S1011">_xlfn.IFS(R1011="S","Southampton",R1011="C","Cherbourg",R1011="Q","Queenstown")</f>
        <v>Queenstown</v>
      </c>
    </row>
    <row r="1012" spans="1:19" x14ac:dyDescent="0.3">
      <c r="A1012">
        <v>1011</v>
      </c>
      <c r="B1012">
        <v>3</v>
      </c>
      <c r="C1012" s="1" t="str" cm="1">
        <f t="array" ref="C1012">_xlfn.IFS(B1012=1,"First Class",B1012=2,"Second Class",B1012=3,"Third Class")</f>
        <v>Third Class</v>
      </c>
      <c r="D1012">
        <v>0</v>
      </c>
      <c r="E1012" s="1" t="str">
        <f t="shared" si="60"/>
        <v>Dead</v>
      </c>
      <c r="F1012" t="s">
        <v>1759</v>
      </c>
      <c r="G1012" s="1" t="s">
        <v>2999</v>
      </c>
      <c r="H1012" t="s">
        <v>20</v>
      </c>
      <c r="I1012" s="1" t="str">
        <f t="shared" si="61"/>
        <v>Male</v>
      </c>
      <c r="J1012" s="3">
        <v>24</v>
      </c>
      <c r="K1012" s="3" t="str" cm="1">
        <f t="array" ref="K1012">_xlfn.IFS(J1012&lt;=13,"Child",J1012&lt;=18,"Teenager",J1012&lt;=30,"Young Adult",J1012&lt;=50,"Middle Aged Adult",J1012&gt;50,"Senior")</f>
        <v>Young Adult</v>
      </c>
      <c r="L1012">
        <v>1</v>
      </c>
      <c r="M1012">
        <v>0</v>
      </c>
      <c r="N1012" s="1">
        <f t="shared" si="62"/>
        <v>2</v>
      </c>
      <c r="O1012" s="1" t="str">
        <f t="shared" si="63"/>
        <v>With Family</v>
      </c>
      <c r="P1012">
        <v>16.100000000000001</v>
      </c>
      <c r="Q1012" s="1" t="str" cm="1">
        <f t="array" ref="Q1012">_xlfn.IFS(P1012&lt;=50,"Low",P1012&lt;=100,"Medium",P1012&gt;100,"High")</f>
        <v>Low</v>
      </c>
      <c r="R1012" t="s">
        <v>17</v>
      </c>
      <c r="S1012" s="1" t="str" cm="1">
        <f t="array" ref="S1012">_xlfn.IFS(R1012="S","Southampton",R1012="C","Cherbourg",R1012="Q","Queenstown")</f>
        <v>Southampton</v>
      </c>
    </row>
    <row r="1013" spans="1:19" x14ac:dyDescent="0.3">
      <c r="A1013">
        <v>1012</v>
      </c>
      <c r="B1013">
        <v>3</v>
      </c>
      <c r="C1013" s="1" t="str" cm="1">
        <f t="array" ref="C1013">_xlfn.IFS(B1013=1,"First Class",B1013=2,"Second Class",B1013=3,"Third Class")</f>
        <v>Third Class</v>
      </c>
      <c r="D1013">
        <v>0</v>
      </c>
      <c r="E1013" s="1" t="str">
        <f t="shared" si="60"/>
        <v>Dead</v>
      </c>
      <c r="F1013" t="s">
        <v>1760</v>
      </c>
      <c r="G1013" s="1" t="s">
        <v>3001</v>
      </c>
      <c r="H1013" t="s">
        <v>15</v>
      </c>
      <c r="I1013" s="1" t="str">
        <f t="shared" si="61"/>
        <v>Female</v>
      </c>
      <c r="J1013" s="3">
        <v>19</v>
      </c>
      <c r="K1013" s="3" t="str" cm="1">
        <f t="array" ref="K1013">_xlfn.IFS(J1013&lt;=13,"Child",J1013&lt;=18,"Teenager",J1013&lt;=30,"Young Adult",J1013&lt;=50,"Middle Aged Adult",J1013&gt;50,"Senior")</f>
        <v>Young Adult</v>
      </c>
      <c r="L1013">
        <v>1</v>
      </c>
      <c r="M1013">
        <v>0</v>
      </c>
      <c r="N1013" s="1">
        <f t="shared" si="62"/>
        <v>2</v>
      </c>
      <c r="O1013" s="1" t="str">
        <f t="shared" si="63"/>
        <v>With Family</v>
      </c>
      <c r="P1013">
        <v>16.100000000000001</v>
      </c>
      <c r="Q1013" s="1" t="str" cm="1">
        <f t="array" ref="Q1013">_xlfn.IFS(P1013&lt;=50,"Low",P1013&lt;=100,"Medium",P1013&gt;100,"High")</f>
        <v>Low</v>
      </c>
      <c r="R1013" t="s">
        <v>17</v>
      </c>
      <c r="S1013" s="1" t="str" cm="1">
        <f t="array" ref="S1013">_xlfn.IFS(R1013="S","Southampton",R1013="C","Cherbourg",R1013="Q","Queenstown")</f>
        <v>Southampton</v>
      </c>
    </row>
    <row r="1014" spans="1:19" x14ac:dyDescent="0.3">
      <c r="A1014">
        <v>1013</v>
      </c>
      <c r="B1014">
        <v>3</v>
      </c>
      <c r="C1014" s="1" t="str" cm="1">
        <f t="array" ref="C1014">_xlfn.IFS(B1014=1,"First Class",B1014=2,"Second Class",B1014=3,"Third Class")</f>
        <v>Third Class</v>
      </c>
      <c r="D1014">
        <v>0</v>
      </c>
      <c r="E1014" s="1" t="str">
        <f t="shared" si="60"/>
        <v>Dead</v>
      </c>
      <c r="F1014" t="s">
        <v>1761</v>
      </c>
      <c r="G1014" s="1" t="s">
        <v>2994</v>
      </c>
      <c r="H1014" t="s">
        <v>15</v>
      </c>
      <c r="I1014" s="1" t="str">
        <f t="shared" si="61"/>
        <v>Female</v>
      </c>
      <c r="J1014" s="3">
        <v>29.881137667304014</v>
      </c>
      <c r="K1014" s="3" t="str" cm="1">
        <f t="array" ref="K1014">_xlfn.IFS(J1014&lt;=13,"Child",J1014&lt;=18,"Teenager",J1014&lt;=30,"Young Adult",J1014&lt;=50,"Middle Aged Adult",J1014&gt;50,"Senior")</f>
        <v>Young Adult</v>
      </c>
      <c r="L1014">
        <v>0</v>
      </c>
      <c r="M1014">
        <v>0</v>
      </c>
      <c r="N1014" s="1">
        <f t="shared" si="62"/>
        <v>1</v>
      </c>
      <c r="O1014" s="1" t="str">
        <f t="shared" si="63"/>
        <v>Single</v>
      </c>
      <c r="P1014">
        <v>7.75</v>
      </c>
      <c r="Q1014" s="1" t="str" cm="1">
        <f t="array" ref="Q1014">_xlfn.IFS(P1014&lt;=50,"Low",P1014&lt;=100,"Medium",P1014&gt;100,"High")</f>
        <v>Low</v>
      </c>
      <c r="R1014" t="s">
        <v>463</v>
      </c>
      <c r="S1014" s="1" t="str" cm="1">
        <f t="array" ref="S1014">_xlfn.IFS(R1014="S","Southampton",R1014="C","Cherbourg",R1014="Q","Queenstown")</f>
        <v>Queenstown</v>
      </c>
    </row>
    <row r="1015" spans="1:19" x14ac:dyDescent="0.3">
      <c r="A1015">
        <v>1014</v>
      </c>
      <c r="B1015">
        <v>3</v>
      </c>
      <c r="C1015" s="1" t="str" cm="1">
        <f t="array" ref="C1015">_xlfn.IFS(B1015=1,"First Class",B1015=2,"Second Class",B1015=3,"Third Class")</f>
        <v>Third Class</v>
      </c>
      <c r="D1015">
        <v>0</v>
      </c>
      <c r="E1015" s="1" t="str">
        <f t="shared" si="60"/>
        <v>Dead</v>
      </c>
      <c r="F1015" t="s">
        <v>1762</v>
      </c>
      <c r="G1015" s="1" t="s">
        <v>2994</v>
      </c>
      <c r="H1015" t="s">
        <v>15</v>
      </c>
      <c r="I1015" s="1" t="str">
        <f t="shared" si="61"/>
        <v>Female</v>
      </c>
      <c r="J1015" s="3">
        <v>29.881137667304014</v>
      </c>
      <c r="K1015" s="3" t="str" cm="1">
        <f t="array" ref="K1015">_xlfn.IFS(J1015&lt;=13,"Child",J1015&lt;=18,"Teenager",J1015&lt;=30,"Young Adult",J1015&lt;=50,"Middle Aged Adult",J1015&gt;50,"Senior")</f>
        <v>Young Adult</v>
      </c>
      <c r="L1015">
        <v>0</v>
      </c>
      <c r="M1015">
        <v>0</v>
      </c>
      <c r="N1015" s="1">
        <f t="shared" si="62"/>
        <v>1</v>
      </c>
      <c r="O1015" s="1" t="str">
        <f t="shared" si="63"/>
        <v>Single</v>
      </c>
      <c r="P1015">
        <v>8.0500000000000007</v>
      </c>
      <c r="Q1015" s="1" t="str" cm="1">
        <f t="array" ref="Q1015">_xlfn.IFS(P1015&lt;=50,"Low",P1015&lt;=100,"Medium",P1015&gt;100,"High")</f>
        <v>Low</v>
      </c>
      <c r="R1015" t="s">
        <v>17</v>
      </c>
      <c r="S1015" s="1" t="str" cm="1">
        <f t="array" ref="S1015">_xlfn.IFS(R1015="S","Southampton",R1015="C","Cherbourg",R1015="Q","Queenstown")</f>
        <v>Southampton</v>
      </c>
    </row>
    <row r="1016" spans="1:19" x14ac:dyDescent="0.3">
      <c r="A1016">
        <v>1015</v>
      </c>
      <c r="B1016">
        <v>3</v>
      </c>
      <c r="C1016" s="1" t="str" cm="1">
        <f t="array" ref="C1016">_xlfn.IFS(B1016=1,"First Class",B1016=2,"Second Class",B1016=3,"Third Class")</f>
        <v>Third Class</v>
      </c>
      <c r="D1016">
        <v>0</v>
      </c>
      <c r="E1016" s="1" t="str">
        <f t="shared" si="60"/>
        <v>Dead</v>
      </c>
      <c r="F1016" t="s">
        <v>1764</v>
      </c>
      <c r="G1016" s="1" t="s">
        <v>3001</v>
      </c>
      <c r="H1016" t="s">
        <v>15</v>
      </c>
      <c r="I1016" s="1" t="str">
        <f t="shared" si="61"/>
        <v>Female</v>
      </c>
      <c r="J1016" s="3">
        <v>29.881137667304014</v>
      </c>
      <c r="K1016" s="3" t="str" cm="1">
        <f t="array" ref="K1016">_xlfn.IFS(J1016&lt;=13,"Child",J1016&lt;=18,"Teenager",J1016&lt;=30,"Young Adult",J1016&lt;=50,"Middle Aged Adult",J1016&gt;50,"Senior")</f>
        <v>Young Adult</v>
      </c>
      <c r="L1016">
        <v>0</v>
      </c>
      <c r="M1016">
        <v>0</v>
      </c>
      <c r="N1016" s="1">
        <f t="shared" si="62"/>
        <v>1</v>
      </c>
      <c r="O1016" s="1" t="str">
        <f t="shared" si="63"/>
        <v>Single</v>
      </c>
      <c r="P1016">
        <v>8.0500000000000007</v>
      </c>
      <c r="Q1016" s="1" t="str" cm="1">
        <f t="array" ref="Q1016">_xlfn.IFS(P1016&lt;=50,"Low",P1016&lt;=100,"Medium",P1016&gt;100,"High")</f>
        <v>Low</v>
      </c>
      <c r="R1016" t="s">
        <v>17</v>
      </c>
      <c r="S1016" s="1" t="str" cm="1">
        <f t="array" ref="S1016">_xlfn.IFS(R1016="S","Southampton",R1016="C","Cherbourg",R1016="Q","Queenstown")</f>
        <v>Southampton</v>
      </c>
    </row>
    <row r="1017" spans="1:19" x14ac:dyDescent="0.3">
      <c r="A1017">
        <v>1016</v>
      </c>
      <c r="B1017">
        <v>3</v>
      </c>
      <c r="C1017" s="1" t="str" cm="1">
        <f t="array" ref="C1017">_xlfn.IFS(B1017=1,"First Class",B1017=2,"Second Class",B1017=3,"Third Class")</f>
        <v>Third Class</v>
      </c>
      <c r="D1017">
        <v>0</v>
      </c>
      <c r="E1017" s="1" t="str">
        <f t="shared" si="60"/>
        <v>Dead</v>
      </c>
      <c r="F1017" t="s">
        <v>1765</v>
      </c>
      <c r="G1017" s="1" t="s">
        <v>2999</v>
      </c>
      <c r="H1017" t="s">
        <v>20</v>
      </c>
      <c r="I1017" s="1" t="str">
        <f t="shared" si="61"/>
        <v>Male</v>
      </c>
      <c r="J1017" s="3">
        <v>55.5</v>
      </c>
      <c r="K1017" s="3" t="str" cm="1">
        <f t="array" ref="K1017">_xlfn.IFS(J1017&lt;=13,"Child",J1017&lt;=18,"Teenager",J1017&lt;=30,"Young Adult",J1017&lt;=50,"Middle Aged Adult",J1017&gt;50,"Senior")</f>
        <v>Senior</v>
      </c>
      <c r="L1017">
        <v>0</v>
      </c>
      <c r="M1017">
        <v>0</v>
      </c>
      <c r="N1017" s="1">
        <f t="shared" si="62"/>
        <v>1</v>
      </c>
      <c r="O1017" s="1" t="str">
        <f t="shared" si="63"/>
        <v>Single</v>
      </c>
      <c r="P1017">
        <v>8.0500000000000007</v>
      </c>
      <c r="Q1017" s="1" t="str" cm="1">
        <f t="array" ref="Q1017">_xlfn.IFS(P1017&lt;=50,"Low",P1017&lt;=100,"Medium",P1017&gt;100,"High")</f>
        <v>Low</v>
      </c>
      <c r="R1017" t="s">
        <v>17</v>
      </c>
      <c r="S1017" s="1" t="str" cm="1">
        <f t="array" ref="S1017">_xlfn.IFS(R1017="S","Southampton",R1017="C","Cherbourg",R1017="Q","Queenstown")</f>
        <v>Southampton</v>
      </c>
    </row>
    <row r="1018" spans="1:19" x14ac:dyDescent="0.3">
      <c r="A1018">
        <v>1017</v>
      </c>
      <c r="B1018">
        <v>3</v>
      </c>
      <c r="C1018" s="1" t="str" cm="1">
        <f t="array" ref="C1018">_xlfn.IFS(B1018=1,"First Class",B1018=2,"Second Class",B1018=3,"Third Class")</f>
        <v>Third Class</v>
      </c>
      <c r="D1018">
        <v>0</v>
      </c>
      <c r="E1018" s="1" t="str">
        <f t="shared" si="60"/>
        <v>Dead</v>
      </c>
      <c r="F1018" t="s">
        <v>1767</v>
      </c>
      <c r="G1018" s="1" t="s">
        <v>2999</v>
      </c>
      <c r="H1018" t="s">
        <v>20</v>
      </c>
      <c r="I1018" s="1" t="str">
        <f t="shared" si="61"/>
        <v>Male</v>
      </c>
      <c r="J1018" s="3">
        <v>29.881137667304014</v>
      </c>
      <c r="K1018" s="3" t="str" cm="1">
        <f t="array" ref="K1018">_xlfn.IFS(J1018&lt;=13,"Child",J1018&lt;=18,"Teenager",J1018&lt;=30,"Young Adult",J1018&lt;=50,"Middle Aged Adult",J1018&gt;50,"Senior")</f>
        <v>Young Adult</v>
      </c>
      <c r="L1018">
        <v>0</v>
      </c>
      <c r="M1018">
        <v>0</v>
      </c>
      <c r="N1018" s="1">
        <f t="shared" si="62"/>
        <v>1</v>
      </c>
      <c r="O1018" s="1" t="str">
        <f t="shared" si="63"/>
        <v>Single</v>
      </c>
      <c r="P1018">
        <v>7.75</v>
      </c>
      <c r="Q1018" s="1" t="str" cm="1">
        <f t="array" ref="Q1018">_xlfn.IFS(P1018&lt;=50,"Low",P1018&lt;=100,"Medium",P1018&gt;100,"High")</f>
        <v>Low</v>
      </c>
      <c r="R1018" t="s">
        <v>463</v>
      </c>
      <c r="S1018" s="1" t="str" cm="1">
        <f t="array" ref="S1018">_xlfn.IFS(R1018="S","Southampton",R1018="C","Cherbourg",R1018="Q","Queenstown")</f>
        <v>Queenstown</v>
      </c>
    </row>
    <row r="1019" spans="1:19" x14ac:dyDescent="0.3">
      <c r="A1019">
        <v>1018</v>
      </c>
      <c r="B1019">
        <v>3</v>
      </c>
      <c r="C1019" s="1" t="str" cm="1">
        <f t="array" ref="C1019">_xlfn.IFS(B1019=1,"First Class",B1019=2,"Second Class",B1019=3,"Third Class")</f>
        <v>Third Class</v>
      </c>
      <c r="D1019">
        <v>1</v>
      </c>
      <c r="E1019" s="1" t="str">
        <f t="shared" si="60"/>
        <v>Alive</v>
      </c>
      <c r="F1019" t="s">
        <v>1768</v>
      </c>
      <c r="G1019" s="1" t="s">
        <v>2999</v>
      </c>
      <c r="H1019" t="s">
        <v>20</v>
      </c>
      <c r="I1019" s="1" t="str">
        <f t="shared" si="61"/>
        <v>Male</v>
      </c>
      <c r="J1019" s="3">
        <v>21</v>
      </c>
      <c r="K1019" s="3" t="str" cm="1">
        <f t="array" ref="K1019">_xlfn.IFS(J1019&lt;=13,"Child",J1019&lt;=18,"Teenager",J1019&lt;=30,"Young Adult",J1019&lt;=50,"Middle Aged Adult",J1019&gt;50,"Senior")</f>
        <v>Young Adult</v>
      </c>
      <c r="L1019">
        <v>0</v>
      </c>
      <c r="M1019">
        <v>0</v>
      </c>
      <c r="N1019" s="1">
        <f t="shared" si="62"/>
        <v>1</v>
      </c>
      <c r="O1019" s="1" t="str">
        <f t="shared" si="63"/>
        <v>Single</v>
      </c>
      <c r="P1019">
        <v>7.7750000000000004</v>
      </c>
      <c r="Q1019" s="1" t="str" cm="1">
        <f t="array" ref="Q1019">_xlfn.IFS(P1019&lt;=50,"Low",P1019&lt;=100,"Medium",P1019&gt;100,"High")</f>
        <v>Low</v>
      </c>
      <c r="R1019" t="s">
        <v>17</v>
      </c>
      <c r="S1019" s="1" t="str" cm="1">
        <f t="array" ref="S1019">_xlfn.IFS(R1019="S","Southampton",R1019="C","Cherbourg",R1019="Q","Queenstown")</f>
        <v>Southampton</v>
      </c>
    </row>
    <row r="1020" spans="1:19" x14ac:dyDescent="0.3">
      <c r="A1020">
        <v>1019</v>
      </c>
      <c r="B1020">
        <v>3</v>
      </c>
      <c r="C1020" s="1" t="str" cm="1">
        <f t="array" ref="C1020">_xlfn.IFS(B1020=1,"First Class",B1020=2,"Second Class",B1020=3,"Third Class")</f>
        <v>Third Class</v>
      </c>
      <c r="D1020">
        <v>0</v>
      </c>
      <c r="E1020" s="1" t="str">
        <f t="shared" si="60"/>
        <v>Dead</v>
      </c>
      <c r="F1020" t="s">
        <v>1769</v>
      </c>
      <c r="G1020" s="1" t="s">
        <v>2999</v>
      </c>
      <c r="H1020" t="s">
        <v>20</v>
      </c>
      <c r="I1020" s="1" t="str">
        <f t="shared" si="61"/>
        <v>Male</v>
      </c>
      <c r="J1020" s="3">
        <v>29.881137667304014</v>
      </c>
      <c r="K1020" s="3" t="str" cm="1">
        <f t="array" ref="K1020">_xlfn.IFS(J1020&lt;=13,"Child",J1020&lt;=18,"Teenager",J1020&lt;=30,"Young Adult",J1020&lt;=50,"Middle Aged Adult",J1020&gt;50,"Senior")</f>
        <v>Young Adult</v>
      </c>
      <c r="L1020">
        <v>0</v>
      </c>
      <c r="M1020">
        <v>0</v>
      </c>
      <c r="N1020" s="1">
        <f t="shared" si="62"/>
        <v>1</v>
      </c>
      <c r="O1020" s="1" t="str">
        <f t="shared" si="63"/>
        <v>Single</v>
      </c>
      <c r="P1020">
        <v>8.0500000000000007</v>
      </c>
      <c r="Q1020" s="1" t="str" cm="1">
        <f t="array" ref="Q1020">_xlfn.IFS(P1020&lt;=50,"Low",P1020&lt;=100,"Medium",P1020&gt;100,"High")</f>
        <v>Low</v>
      </c>
      <c r="R1020" t="s">
        <v>17</v>
      </c>
      <c r="S1020" s="1" t="str" cm="1">
        <f t="array" ref="S1020">_xlfn.IFS(R1020="S","Southampton",R1020="C","Cherbourg",R1020="Q","Queenstown")</f>
        <v>Southampton</v>
      </c>
    </row>
    <row r="1021" spans="1:19" x14ac:dyDescent="0.3">
      <c r="A1021">
        <v>1020</v>
      </c>
      <c r="B1021">
        <v>3</v>
      </c>
      <c r="C1021" s="1" t="str" cm="1">
        <f t="array" ref="C1021">_xlfn.IFS(B1021=1,"First Class",B1021=2,"Second Class",B1021=3,"Third Class")</f>
        <v>Third Class</v>
      </c>
      <c r="D1021">
        <v>0</v>
      </c>
      <c r="E1021" s="1" t="str">
        <f t="shared" si="60"/>
        <v>Dead</v>
      </c>
      <c r="F1021" t="s">
        <v>1770</v>
      </c>
      <c r="G1021" s="1" t="s">
        <v>2999</v>
      </c>
      <c r="H1021" t="s">
        <v>20</v>
      </c>
      <c r="I1021" s="1" t="str">
        <f t="shared" si="61"/>
        <v>Male</v>
      </c>
      <c r="J1021" s="3">
        <v>24</v>
      </c>
      <c r="K1021" s="3" t="str" cm="1">
        <f t="array" ref="K1021">_xlfn.IFS(J1021&lt;=13,"Child",J1021&lt;=18,"Teenager",J1021&lt;=30,"Young Adult",J1021&lt;=50,"Middle Aged Adult",J1021&gt;50,"Senior")</f>
        <v>Young Adult</v>
      </c>
      <c r="L1021">
        <v>0</v>
      </c>
      <c r="M1021">
        <v>0</v>
      </c>
      <c r="N1021" s="1">
        <f t="shared" si="62"/>
        <v>1</v>
      </c>
      <c r="O1021" s="1" t="str">
        <f t="shared" si="63"/>
        <v>Single</v>
      </c>
      <c r="P1021">
        <v>7.8958000000000004</v>
      </c>
      <c r="Q1021" s="1" t="str" cm="1">
        <f t="array" ref="Q1021">_xlfn.IFS(P1021&lt;=50,"Low",P1021&lt;=100,"Medium",P1021&gt;100,"High")</f>
        <v>Low</v>
      </c>
      <c r="R1021" t="s">
        <v>17</v>
      </c>
      <c r="S1021" s="1" t="str" cm="1">
        <f t="array" ref="S1021">_xlfn.IFS(R1021="S","Southampton",R1021="C","Cherbourg",R1021="Q","Queenstown")</f>
        <v>Southampton</v>
      </c>
    </row>
    <row r="1022" spans="1:19" x14ac:dyDescent="0.3">
      <c r="A1022">
        <v>1021</v>
      </c>
      <c r="B1022">
        <v>3</v>
      </c>
      <c r="C1022" s="1" t="str" cm="1">
        <f t="array" ref="C1022">_xlfn.IFS(B1022=1,"First Class",B1022=2,"Second Class",B1022=3,"Third Class")</f>
        <v>Third Class</v>
      </c>
      <c r="D1022">
        <v>0</v>
      </c>
      <c r="E1022" s="1" t="str">
        <f t="shared" si="60"/>
        <v>Dead</v>
      </c>
      <c r="F1022" t="s">
        <v>1771</v>
      </c>
      <c r="G1022" s="1" t="s">
        <v>2999</v>
      </c>
      <c r="H1022" t="s">
        <v>20</v>
      </c>
      <c r="I1022" s="1" t="str">
        <f t="shared" si="61"/>
        <v>Male</v>
      </c>
      <c r="J1022" s="3">
        <v>21</v>
      </c>
      <c r="K1022" s="3" t="str" cm="1">
        <f t="array" ref="K1022">_xlfn.IFS(J1022&lt;=13,"Child",J1022&lt;=18,"Teenager",J1022&lt;=30,"Young Adult",J1022&lt;=50,"Middle Aged Adult",J1022&gt;50,"Senior")</f>
        <v>Young Adult</v>
      </c>
      <c r="L1022">
        <v>0</v>
      </c>
      <c r="M1022">
        <v>0</v>
      </c>
      <c r="N1022" s="1">
        <f t="shared" si="62"/>
        <v>1</v>
      </c>
      <c r="O1022" s="1" t="str">
        <f t="shared" si="63"/>
        <v>Single</v>
      </c>
      <c r="P1022">
        <v>7.8958000000000004</v>
      </c>
      <c r="Q1022" s="1" t="str" cm="1">
        <f t="array" ref="Q1022">_xlfn.IFS(P1022&lt;=50,"Low",P1022&lt;=100,"Medium",P1022&gt;100,"High")</f>
        <v>Low</v>
      </c>
      <c r="R1022" t="s">
        <v>17</v>
      </c>
      <c r="S1022" s="1" t="str" cm="1">
        <f t="array" ref="S1022">_xlfn.IFS(R1022="S","Southampton",R1022="C","Cherbourg",R1022="Q","Queenstown")</f>
        <v>Southampton</v>
      </c>
    </row>
    <row r="1023" spans="1:19" x14ac:dyDescent="0.3">
      <c r="A1023">
        <v>1022</v>
      </c>
      <c r="B1023">
        <v>3</v>
      </c>
      <c r="C1023" s="1" t="str" cm="1">
        <f t="array" ref="C1023">_xlfn.IFS(B1023=1,"First Class",B1023=2,"Second Class",B1023=3,"Third Class")</f>
        <v>Third Class</v>
      </c>
      <c r="D1023">
        <v>0</v>
      </c>
      <c r="E1023" s="1" t="str">
        <f t="shared" si="60"/>
        <v>Dead</v>
      </c>
      <c r="F1023" t="s">
        <v>1772</v>
      </c>
      <c r="G1023" s="1" t="s">
        <v>2999</v>
      </c>
      <c r="H1023" t="s">
        <v>20</v>
      </c>
      <c r="I1023" s="1" t="str">
        <f t="shared" si="61"/>
        <v>Male</v>
      </c>
      <c r="J1023" s="3">
        <v>28</v>
      </c>
      <c r="K1023" s="3" t="str" cm="1">
        <f t="array" ref="K1023">_xlfn.IFS(J1023&lt;=13,"Child",J1023&lt;=18,"Teenager",J1023&lt;=30,"Young Adult",J1023&lt;=50,"Middle Aged Adult",J1023&gt;50,"Senior")</f>
        <v>Young Adult</v>
      </c>
      <c r="L1023">
        <v>0</v>
      </c>
      <c r="M1023">
        <v>0</v>
      </c>
      <c r="N1023" s="1">
        <f t="shared" si="62"/>
        <v>1</v>
      </c>
      <c r="O1023" s="1" t="str">
        <f t="shared" si="63"/>
        <v>Single</v>
      </c>
      <c r="P1023">
        <v>7.8958000000000004</v>
      </c>
      <c r="Q1023" s="1" t="str" cm="1">
        <f t="array" ref="Q1023">_xlfn.IFS(P1023&lt;=50,"Low",P1023&lt;=100,"Medium",P1023&gt;100,"High")</f>
        <v>Low</v>
      </c>
      <c r="R1023" t="s">
        <v>17</v>
      </c>
      <c r="S1023" s="1" t="str" cm="1">
        <f t="array" ref="S1023">_xlfn.IFS(R1023="S","Southampton",R1023="C","Cherbourg",R1023="Q","Queenstown")</f>
        <v>Southampton</v>
      </c>
    </row>
    <row r="1024" spans="1:19" x14ac:dyDescent="0.3">
      <c r="A1024">
        <v>1023</v>
      </c>
      <c r="B1024">
        <v>3</v>
      </c>
      <c r="C1024" s="1" t="str" cm="1">
        <f t="array" ref="C1024">_xlfn.IFS(B1024=1,"First Class",B1024=2,"Second Class",B1024=3,"Third Class")</f>
        <v>Third Class</v>
      </c>
      <c r="D1024">
        <v>0</v>
      </c>
      <c r="E1024" s="1" t="str">
        <f t="shared" si="60"/>
        <v>Dead</v>
      </c>
      <c r="F1024" t="s">
        <v>1773</v>
      </c>
      <c r="G1024" s="1" t="s">
        <v>2999</v>
      </c>
      <c r="H1024" t="s">
        <v>20</v>
      </c>
      <c r="I1024" s="1" t="str">
        <f t="shared" si="61"/>
        <v>Male</v>
      </c>
      <c r="J1024" s="3">
        <v>29.881137667304014</v>
      </c>
      <c r="K1024" s="3" t="str" cm="1">
        <f t="array" ref="K1024">_xlfn.IFS(J1024&lt;=13,"Child",J1024&lt;=18,"Teenager",J1024&lt;=30,"Young Adult",J1024&lt;=50,"Middle Aged Adult",J1024&gt;50,"Senior")</f>
        <v>Young Adult</v>
      </c>
      <c r="L1024">
        <v>0</v>
      </c>
      <c r="M1024">
        <v>0</v>
      </c>
      <c r="N1024" s="1">
        <f t="shared" si="62"/>
        <v>1</v>
      </c>
      <c r="O1024" s="1" t="str">
        <f t="shared" si="63"/>
        <v>Single</v>
      </c>
      <c r="P1024">
        <v>7.8958000000000004</v>
      </c>
      <c r="Q1024" s="1" t="str" cm="1">
        <f t="array" ref="Q1024">_xlfn.IFS(P1024&lt;=50,"Low",P1024&lt;=100,"Medium",P1024&gt;100,"High")</f>
        <v>Low</v>
      </c>
      <c r="R1024" t="s">
        <v>17</v>
      </c>
      <c r="S1024" s="1" t="str" cm="1">
        <f t="array" ref="S1024">_xlfn.IFS(R1024="S","Southampton",R1024="C","Cherbourg",R1024="Q","Queenstown")</f>
        <v>Southampton</v>
      </c>
    </row>
    <row r="1025" spans="1:19" x14ac:dyDescent="0.3">
      <c r="A1025">
        <v>1024</v>
      </c>
      <c r="B1025">
        <v>3</v>
      </c>
      <c r="C1025" s="1" t="str" cm="1">
        <f t="array" ref="C1025">_xlfn.IFS(B1025=1,"First Class",B1025=2,"Second Class",B1025=3,"Third Class")</f>
        <v>Third Class</v>
      </c>
      <c r="D1025">
        <v>1</v>
      </c>
      <c r="E1025" s="1" t="str">
        <f t="shared" si="60"/>
        <v>Alive</v>
      </c>
      <c r="F1025" t="s">
        <v>1774</v>
      </c>
      <c r="G1025" s="1" t="s">
        <v>2994</v>
      </c>
      <c r="H1025" t="s">
        <v>15</v>
      </c>
      <c r="I1025" s="1" t="str">
        <f t="shared" si="61"/>
        <v>Female</v>
      </c>
      <c r="J1025" s="3">
        <v>29.881137667304014</v>
      </c>
      <c r="K1025" s="3" t="str" cm="1">
        <f t="array" ref="K1025">_xlfn.IFS(J1025&lt;=13,"Child",J1025&lt;=18,"Teenager",J1025&lt;=30,"Young Adult",J1025&lt;=50,"Middle Aged Adult",J1025&gt;50,"Senior")</f>
        <v>Young Adult</v>
      </c>
      <c r="L1025">
        <v>0</v>
      </c>
      <c r="M1025">
        <v>0</v>
      </c>
      <c r="N1025" s="1">
        <f t="shared" si="62"/>
        <v>1</v>
      </c>
      <c r="O1025" s="1" t="str">
        <f t="shared" si="63"/>
        <v>Single</v>
      </c>
      <c r="P1025">
        <v>7.8792</v>
      </c>
      <c r="Q1025" s="1" t="str" cm="1">
        <f t="array" ref="Q1025">_xlfn.IFS(P1025&lt;=50,"Low",P1025&lt;=100,"Medium",P1025&gt;100,"High")</f>
        <v>Low</v>
      </c>
      <c r="R1025" t="s">
        <v>463</v>
      </c>
      <c r="S1025" s="1" t="str" cm="1">
        <f t="array" ref="S1025">_xlfn.IFS(R1025="S","Southampton",R1025="C","Cherbourg",R1025="Q","Queenstown")</f>
        <v>Queenstown</v>
      </c>
    </row>
    <row r="1026" spans="1:19" x14ac:dyDescent="0.3">
      <c r="A1026">
        <v>1025</v>
      </c>
      <c r="B1026">
        <v>3</v>
      </c>
      <c r="C1026" s="1" t="str" cm="1">
        <f t="array" ref="C1026">_xlfn.IFS(B1026=1,"First Class",B1026=2,"Second Class",B1026=3,"Third Class")</f>
        <v>Third Class</v>
      </c>
      <c r="D1026">
        <v>0</v>
      </c>
      <c r="E1026" s="1" t="str">
        <f t="shared" si="60"/>
        <v>Dead</v>
      </c>
      <c r="F1026" t="s">
        <v>1775</v>
      </c>
      <c r="G1026" s="1" t="s">
        <v>2999</v>
      </c>
      <c r="H1026" t="s">
        <v>20</v>
      </c>
      <c r="I1026" s="1" t="str">
        <f t="shared" si="61"/>
        <v>Male</v>
      </c>
      <c r="J1026" s="3">
        <v>25</v>
      </c>
      <c r="K1026" s="3" t="str" cm="1">
        <f t="array" ref="K1026">_xlfn.IFS(J1026&lt;=13,"Child",J1026&lt;=18,"Teenager",J1026&lt;=30,"Young Adult",J1026&lt;=50,"Middle Aged Adult",J1026&gt;50,"Senior")</f>
        <v>Young Adult</v>
      </c>
      <c r="L1026">
        <v>0</v>
      </c>
      <c r="M1026">
        <v>0</v>
      </c>
      <c r="N1026" s="1">
        <f t="shared" si="62"/>
        <v>1</v>
      </c>
      <c r="O1026" s="1" t="str">
        <f t="shared" si="63"/>
        <v>Single</v>
      </c>
      <c r="P1026">
        <v>7.65</v>
      </c>
      <c r="Q1026" s="1" t="str" cm="1">
        <f t="array" ref="Q1026">_xlfn.IFS(P1026&lt;=50,"Low",P1026&lt;=100,"Medium",P1026&gt;100,"High")</f>
        <v>Low</v>
      </c>
      <c r="R1026" t="s">
        <v>17</v>
      </c>
      <c r="S1026" s="1" t="str" cm="1">
        <f t="array" ref="S1026">_xlfn.IFS(R1026="S","Southampton",R1026="C","Cherbourg",R1026="Q","Queenstown")</f>
        <v>Southampton</v>
      </c>
    </row>
    <row r="1027" spans="1:19" x14ac:dyDescent="0.3">
      <c r="A1027">
        <v>1026</v>
      </c>
      <c r="B1027">
        <v>3</v>
      </c>
      <c r="C1027" s="1" t="str" cm="1">
        <f t="array" ref="C1027">_xlfn.IFS(B1027=1,"First Class",B1027=2,"Second Class",B1027=3,"Third Class")</f>
        <v>Third Class</v>
      </c>
      <c r="D1027">
        <v>1</v>
      </c>
      <c r="E1027" s="1" t="str">
        <f t="shared" ref="E1027:E1090" si="64">IF(D1027=0,"Dead","Alive")</f>
        <v>Alive</v>
      </c>
      <c r="F1027" t="s">
        <v>1777</v>
      </c>
      <c r="G1027" s="1" t="s">
        <v>2996</v>
      </c>
      <c r="H1027" t="s">
        <v>20</v>
      </c>
      <c r="I1027" s="1" t="str">
        <f t="shared" ref="I1027:I1090" si="65">PROPER(H1027)</f>
        <v>Male</v>
      </c>
      <c r="J1027" s="3">
        <v>6</v>
      </c>
      <c r="K1027" s="3" t="str" cm="1">
        <f t="array" ref="K1027">_xlfn.IFS(J1027&lt;=13,"Child",J1027&lt;=18,"Teenager",J1027&lt;=30,"Young Adult",J1027&lt;=50,"Middle Aged Adult",J1027&gt;50,"Senior")</f>
        <v>Child</v>
      </c>
      <c r="L1027">
        <v>0</v>
      </c>
      <c r="M1027">
        <v>1</v>
      </c>
      <c r="N1027" s="1">
        <f t="shared" ref="N1027:N1090" si="66">L1027+M1027+1</f>
        <v>2</v>
      </c>
      <c r="O1027" s="1" t="str">
        <f t="shared" ref="O1027:O1090" si="67">IF(N1027=1,"Single","With Family")</f>
        <v>With Family</v>
      </c>
      <c r="P1027">
        <v>12.475</v>
      </c>
      <c r="Q1027" s="1" t="str" cm="1">
        <f t="array" ref="Q1027">_xlfn.IFS(P1027&lt;=50,"Low",P1027&lt;=100,"Medium",P1027&gt;100,"High")</f>
        <v>Low</v>
      </c>
      <c r="R1027" t="s">
        <v>17</v>
      </c>
      <c r="S1027" s="1" t="str" cm="1">
        <f t="array" ref="S1027">_xlfn.IFS(R1027="S","Southampton",R1027="C","Cherbourg",R1027="Q","Queenstown")</f>
        <v>Southampton</v>
      </c>
    </row>
    <row r="1028" spans="1:19" x14ac:dyDescent="0.3">
      <c r="A1028">
        <v>1027</v>
      </c>
      <c r="B1028">
        <v>3</v>
      </c>
      <c r="C1028" s="1" t="str" cm="1">
        <f t="array" ref="C1028">_xlfn.IFS(B1028=1,"First Class",B1028=2,"Second Class",B1028=3,"Third Class")</f>
        <v>Third Class</v>
      </c>
      <c r="D1028">
        <v>1</v>
      </c>
      <c r="E1028" s="1" t="str">
        <f t="shared" si="64"/>
        <v>Alive</v>
      </c>
      <c r="F1028" t="s">
        <v>1779</v>
      </c>
      <c r="G1028" s="1" t="s">
        <v>3001</v>
      </c>
      <c r="H1028" t="s">
        <v>15</v>
      </c>
      <c r="I1028" s="1" t="str">
        <f t="shared" si="65"/>
        <v>Female</v>
      </c>
      <c r="J1028" s="3">
        <v>27</v>
      </c>
      <c r="K1028" s="3" t="str" cm="1">
        <f t="array" ref="K1028">_xlfn.IFS(J1028&lt;=13,"Child",J1028&lt;=18,"Teenager",J1028&lt;=30,"Young Adult",J1028&lt;=50,"Middle Aged Adult",J1028&gt;50,"Senior")</f>
        <v>Young Adult</v>
      </c>
      <c r="L1028">
        <v>0</v>
      </c>
      <c r="M1028">
        <v>1</v>
      </c>
      <c r="N1028" s="1">
        <f t="shared" si="66"/>
        <v>2</v>
      </c>
      <c r="O1028" s="1" t="str">
        <f t="shared" si="67"/>
        <v>With Family</v>
      </c>
      <c r="P1028">
        <v>12.475</v>
      </c>
      <c r="Q1028" s="1" t="str" cm="1">
        <f t="array" ref="Q1028">_xlfn.IFS(P1028&lt;=50,"Low",P1028&lt;=100,"Medium",P1028&gt;100,"High")</f>
        <v>Low</v>
      </c>
      <c r="R1028" t="s">
        <v>17</v>
      </c>
      <c r="S1028" s="1" t="str" cm="1">
        <f t="array" ref="S1028">_xlfn.IFS(R1028="S","Southampton",R1028="C","Cherbourg",R1028="Q","Queenstown")</f>
        <v>Southampton</v>
      </c>
    </row>
    <row r="1029" spans="1:19" x14ac:dyDescent="0.3">
      <c r="A1029">
        <v>1028</v>
      </c>
      <c r="B1029">
        <v>3</v>
      </c>
      <c r="C1029" s="1" t="str" cm="1">
        <f t="array" ref="C1029">_xlfn.IFS(B1029=1,"First Class",B1029=2,"Second Class",B1029=3,"Third Class")</f>
        <v>Third Class</v>
      </c>
      <c r="D1029">
        <v>0</v>
      </c>
      <c r="E1029" s="1" t="str">
        <f t="shared" si="64"/>
        <v>Dead</v>
      </c>
      <c r="F1029" t="s">
        <v>1780</v>
      </c>
      <c r="G1029" s="1" t="s">
        <v>2999</v>
      </c>
      <c r="H1029" t="s">
        <v>20</v>
      </c>
      <c r="I1029" s="1" t="str">
        <f t="shared" si="65"/>
        <v>Male</v>
      </c>
      <c r="J1029" s="3">
        <v>29.881137667304014</v>
      </c>
      <c r="K1029" s="3" t="str" cm="1">
        <f t="array" ref="K1029">_xlfn.IFS(J1029&lt;=13,"Child",J1029&lt;=18,"Teenager",J1029&lt;=30,"Young Adult",J1029&lt;=50,"Middle Aged Adult",J1029&gt;50,"Senior")</f>
        <v>Young Adult</v>
      </c>
      <c r="L1029">
        <v>0</v>
      </c>
      <c r="M1029">
        <v>0</v>
      </c>
      <c r="N1029" s="1">
        <f t="shared" si="66"/>
        <v>1</v>
      </c>
      <c r="O1029" s="1" t="str">
        <f t="shared" si="67"/>
        <v>Single</v>
      </c>
      <c r="P1029">
        <v>8.0500000000000007</v>
      </c>
      <c r="Q1029" s="1" t="str" cm="1">
        <f t="array" ref="Q1029">_xlfn.IFS(P1029&lt;=50,"Low",P1029&lt;=100,"Medium",P1029&gt;100,"High")</f>
        <v>Low</v>
      </c>
      <c r="R1029" t="s">
        <v>17</v>
      </c>
      <c r="S1029" s="1" t="str" cm="1">
        <f t="array" ref="S1029">_xlfn.IFS(R1029="S","Southampton",R1029="C","Cherbourg",R1029="Q","Queenstown")</f>
        <v>Southampton</v>
      </c>
    </row>
    <row r="1030" spans="1:19" x14ac:dyDescent="0.3">
      <c r="A1030">
        <v>1029</v>
      </c>
      <c r="B1030">
        <v>3</v>
      </c>
      <c r="C1030" s="1" t="str" cm="1">
        <f t="array" ref="C1030">_xlfn.IFS(B1030=1,"First Class",B1030=2,"Second Class",B1030=3,"Third Class")</f>
        <v>Third Class</v>
      </c>
      <c r="D1030">
        <v>1</v>
      </c>
      <c r="E1030" s="1" t="str">
        <f t="shared" si="64"/>
        <v>Alive</v>
      </c>
      <c r="F1030" t="s">
        <v>1782</v>
      </c>
      <c r="G1030" s="1" t="s">
        <v>2994</v>
      </c>
      <c r="H1030" t="s">
        <v>15</v>
      </c>
      <c r="I1030" s="1" t="str">
        <f t="shared" si="65"/>
        <v>Female</v>
      </c>
      <c r="J1030" s="3">
        <v>29.881137667304014</v>
      </c>
      <c r="K1030" s="3" t="str" cm="1">
        <f t="array" ref="K1030">_xlfn.IFS(J1030&lt;=13,"Child",J1030&lt;=18,"Teenager",J1030&lt;=30,"Young Adult",J1030&lt;=50,"Middle Aged Adult",J1030&gt;50,"Senior")</f>
        <v>Young Adult</v>
      </c>
      <c r="L1030">
        <v>1</v>
      </c>
      <c r="M1030">
        <v>0</v>
      </c>
      <c r="N1030" s="1">
        <f t="shared" si="66"/>
        <v>2</v>
      </c>
      <c r="O1030" s="1" t="str">
        <f t="shared" si="67"/>
        <v>With Family</v>
      </c>
      <c r="P1030">
        <v>24.15</v>
      </c>
      <c r="Q1030" s="1" t="str" cm="1">
        <f t="array" ref="Q1030">_xlfn.IFS(P1030&lt;=50,"Low",P1030&lt;=100,"Medium",P1030&gt;100,"High")</f>
        <v>Low</v>
      </c>
      <c r="R1030" t="s">
        <v>463</v>
      </c>
      <c r="S1030" s="1" t="str" cm="1">
        <f t="array" ref="S1030">_xlfn.IFS(R1030="S","Southampton",R1030="C","Cherbourg",R1030="Q","Queenstown")</f>
        <v>Queenstown</v>
      </c>
    </row>
    <row r="1031" spans="1:19" x14ac:dyDescent="0.3">
      <c r="A1031">
        <v>1030</v>
      </c>
      <c r="B1031">
        <v>3</v>
      </c>
      <c r="C1031" s="1" t="str" cm="1">
        <f t="array" ref="C1031">_xlfn.IFS(B1031=1,"First Class",B1031=2,"Second Class",B1031=3,"Third Class")</f>
        <v>Third Class</v>
      </c>
      <c r="D1031">
        <v>0</v>
      </c>
      <c r="E1031" s="1" t="str">
        <f t="shared" si="64"/>
        <v>Dead</v>
      </c>
      <c r="F1031" t="s">
        <v>1783</v>
      </c>
      <c r="G1031" s="1" t="s">
        <v>2999</v>
      </c>
      <c r="H1031" t="s">
        <v>20</v>
      </c>
      <c r="I1031" s="1" t="str">
        <f t="shared" si="65"/>
        <v>Male</v>
      </c>
      <c r="J1031" s="3">
        <v>29.881137667304014</v>
      </c>
      <c r="K1031" s="3" t="str" cm="1">
        <f t="array" ref="K1031">_xlfn.IFS(J1031&lt;=13,"Child",J1031&lt;=18,"Teenager",J1031&lt;=30,"Young Adult",J1031&lt;=50,"Middle Aged Adult",J1031&gt;50,"Senior")</f>
        <v>Young Adult</v>
      </c>
      <c r="L1031">
        <v>1</v>
      </c>
      <c r="M1031">
        <v>0</v>
      </c>
      <c r="N1031" s="1">
        <f t="shared" si="66"/>
        <v>2</v>
      </c>
      <c r="O1031" s="1" t="str">
        <f t="shared" si="67"/>
        <v>With Family</v>
      </c>
      <c r="P1031">
        <v>24.15</v>
      </c>
      <c r="Q1031" s="1" t="str" cm="1">
        <f t="array" ref="Q1031">_xlfn.IFS(P1031&lt;=50,"Low",P1031&lt;=100,"Medium",P1031&gt;100,"High")</f>
        <v>Low</v>
      </c>
      <c r="R1031" t="s">
        <v>463</v>
      </c>
      <c r="S1031" s="1" t="str" cm="1">
        <f t="array" ref="S1031">_xlfn.IFS(R1031="S","Southampton",R1031="C","Cherbourg",R1031="Q","Queenstown")</f>
        <v>Queenstown</v>
      </c>
    </row>
    <row r="1032" spans="1:19" x14ac:dyDescent="0.3">
      <c r="A1032">
        <v>1031</v>
      </c>
      <c r="B1032">
        <v>3</v>
      </c>
      <c r="C1032" s="1" t="str" cm="1">
        <f t="array" ref="C1032">_xlfn.IFS(B1032=1,"First Class",B1032=2,"Second Class",B1032=3,"Third Class")</f>
        <v>Third Class</v>
      </c>
      <c r="D1032">
        <v>0</v>
      </c>
      <c r="E1032" s="1" t="str">
        <f t="shared" si="64"/>
        <v>Dead</v>
      </c>
      <c r="F1032" t="s">
        <v>1784</v>
      </c>
      <c r="G1032" s="1" t="s">
        <v>2999</v>
      </c>
      <c r="H1032" t="s">
        <v>20</v>
      </c>
      <c r="I1032" s="1" t="str">
        <f t="shared" si="65"/>
        <v>Male</v>
      </c>
      <c r="J1032" s="3">
        <v>29.881137667304014</v>
      </c>
      <c r="K1032" s="3" t="str" cm="1">
        <f t="array" ref="K1032">_xlfn.IFS(J1032&lt;=13,"Child",J1032&lt;=18,"Teenager",J1032&lt;=30,"Young Adult",J1032&lt;=50,"Middle Aged Adult",J1032&gt;50,"Senior")</f>
        <v>Young Adult</v>
      </c>
      <c r="L1032">
        <v>0</v>
      </c>
      <c r="M1032">
        <v>0</v>
      </c>
      <c r="N1032" s="1">
        <f t="shared" si="66"/>
        <v>1</v>
      </c>
      <c r="O1032" s="1" t="str">
        <f t="shared" si="67"/>
        <v>Single</v>
      </c>
      <c r="P1032">
        <v>8.4582999999999995</v>
      </c>
      <c r="Q1032" s="1" t="str" cm="1">
        <f t="array" ref="Q1032">_xlfn.IFS(P1032&lt;=50,"Low",P1032&lt;=100,"Medium",P1032&gt;100,"High")</f>
        <v>Low</v>
      </c>
      <c r="R1032" t="s">
        <v>463</v>
      </c>
      <c r="S1032" s="1" t="str" cm="1">
        <f t="array" ref="S1032">_xlfn.IFS(R1032="S","Southampton",R1032="C","Cherbourg",R1032="Q","Queenstown")</f>
        <v>Queenstown</v>
      </c>
    </row>
    <row r="1033" spans="1:19" x14ac:dyDescent="0.3">
      <c r="A1033">
        <v>1032</v>
      </c>
      <c r="B1033">
        <v>3</v>
      </c>
      <c r="C1033" s="1" t="str" cm="1">
        <f t="array" ref="C1033">_xlfn.IFS(B1033=1,"First Class",B1033=2,"Second Class",B1033=3,"Third Class")</f>
        <v>Third Class</v>
      </c>
      <c r="D1033">
        <v>0</v>
      </c>
      <c r="E1033" s="1" t="str">
        <f t="shared" si="64"/>
        <v>Dead</v>
      </c>
      <c r="F1033" t="s">
        <v>1785</v>
      </c>
      <c r="G1033" s="1" t="s">
        <v>2999</v>
      </c>
      <c r="H1033" t="s">
        <v>20</v>
      </c>
      <c r="I1033" s="1" t="str">
        <f t="shared" si="65"/>
        <v>Male</v>
      </c>
      <c r="J1033" s="3">
        <v>34</v>
      </c>
      <c r="K1033" s="3" t="str" cm="1">
        <f t="array" ref="K1033">_xlfn.IFS(J1033&lt;=13,"Child",J1033&lt;=18,"Teenager",J1033&lt;=30,"Young Adult",J1033&lt;=50,"Middle Aged Adult",J1033&gt;50,"Senior")</f>
        <v>Middle Aged Adult</v>
      </c>
      <c r="L1033">
        <v>0</v>
      </c>
      <c r="M1033">
        <v>0</v>
      </c>
      <c r="N1033" s="1">
        <f t="shared" si="66"/>
        <v>1</v>
      </c>
      <c r="O1033" s="1" t="str">
        <f t="shared" si="67"/>
        <v>Single</v>
      </c>
      <c r="P1033">
        <v>8.0500000000000007</v>
      </c>
      <c r="Q1033" s="1" t="str" cm="1">
        <f t="array" ref="Q1033">_xlfn.IFS(P1033&lt;=50,"Low",P1033&lt;=100,"Medium",P1033&gt;100,"High")</f>
        <v>Low</v>
      </c>
      <c r="R1033" t="s">
        <v>17</v>
      </c>
      <c r="S1033" s="1" t="str" cm="1">
        <f t="array" ref="S1033">_xlfn.IFS(R1033="S","Southampton",R1033="C","Cherbourg",R1033="Q","Queenstown")</f>
        <v>Southampton</v>
      </c>
    </row>
    <row r="1034" spans="1:19" x14ac:dyDescent="0.3">
      <c r="A1034">
        <v>1033</v>
      </c>
      <c r="B1034">
        <v>3</v>
      </c>
      <c r="C1034" s="1" t="str" cm="1">
        <f t="array" ref="C1034">_xlfn.IFS(B1034=1,"First Class",B1034=2,"Second Class",B1034=3,"Third Class")</f>
        <v>Third Class</v>
      </c>
      <c r="D1034">
        <v>0</v>
      </c>
      <c r="E1034" s="1" t="str">
        <f t="shared" si="64"/>
        <v>Dead</v>
      </c>
      <c r="F1034" t="s">
        <v>1786</v>
      </c>
      <c r="G1034" s="1" t="s">
        <v>2999</v>
      </c>
      <c r="H1034" t="s">
        <v>20</v>
      </c>
      <c r="I1034" s="1" t="str">
        <f t="shared" si="65"/>
        <v>Male</v>
      </c>
      <c r="J1034" s="3">
        <v>29.881137667304014</v>
      </c>
      <c r="K1034" s="3" t="str" cm="1">
        <f t="array" ref="K1034">_xlfn.IFS(J1034&lt;=13,"Child",J1034&lt;=18,"Teenager",J1034&lt;=30,"Young Adult",J1034&lt;=50,"Middle Aged Adult",J1034&gt;50,"Senior")</f>
        <v>Young Adult</v>
      </c>
      <c r="L1034">
        <v>0</v>
      </c>
      <c r="M1034">
        <v>0</v>
      </c>
      <c r="N1034" s="1">
        <f t="shared" si="66"/>
        <v>1</v>
      </c>
      <c r="O1034" s="1" t="str">
        <f t="shared" si="67"/>
        <v>Single</v>
      </c>
      <c r="P1034">
        <v>7.75</v>
      </c>
      <c r="Q1034" s="1" t="str" cm="1">
        <f t="array" ref="Q1034">_xlfn.IFS(P1034&lt;=50,"Low",P1034&lt;=100,"Medium",P1034&gt;100,"High")</f>
        <v>Low</v>
      </c>
      <c r="R1034" t="s">
        <v>463</v>
      </c>
      <c r="S1034" s="1" t="str" cm="1">
        <f t="array" ref="S1034">_xlfn.IFS(R1034="S","Southampton",R1034="C","Cherbourg",R1034="Q","Queenstown")</f>
        <v>Queenstown</v>
      </c>
    </row>
    <row r="1035" spans="1:19" x14ac:dyDescent="0.3">
      <c r="A1035">
        <v>1034</v>
      </c>
      <c r="B1035">
        <v>3</v>
      </c>
      <c r="C1035" s="1" t="str" cm="1">
        <f t="array" ref="C1035">_xlfn.IFS(B1035=1,"First Class",B1035=2,"Second Class",B1035=3,"Third Class")</f>
        <v>Third Class</v>
      </c>
      <c r="D1035">
        <v>1</v>
      </c>
      <c r="E1035" s="1" t="str">
        <f t="shared" si="64"/>
        <v>Alive</v>
      </c>
      <c r="F1035" t="s">
        <v>1787</v>
      </c>
      <c r="G1035" s="1" t="s">
        <v>2999</v>
      </c>
      <c r="H1035" t="s">
        <v>20</v>
      </c>
      <c r="I1035" s="1" t="str">
        <f t="shared" si="65"/>
        <v>Male</v>
      </c>
      <c r="J1035" s="3">
        <v>29.881137667304014</v>
      </c>
      <c r="K1035" s="3" t="str" cm="1">
        <f t="array" ref="K1035">_xlfn.IFS(J1035&lt;=13,"Child",J1035&lt;=18,"Teenager",J1035&lt;=30,"Young Adult",J1035&lt;=50,"Middle Aged Adult",J1035&gt;50,"Senior")</f>
        <v>Young Adult</v>
      </c>
      <c r="L1035">
        <v>0</v>
      </c>
      <c r="M1035">
        <v>0</v>
      </c>
      <c r="N1035" s="1">
        <f t="shared" si="66"/>
        <v>1</v>
      </c>
      <c r="O1035" s="1" t="str">
        <f t="shared" si="67"/>
        <v>Single</v>
      </c>
      <c r="P1035">
        <v>7.7750000000000004</v>
      </c>
      <c r="Q1035" s="1" t="str" cm="1">
        <f t="array" ref="Q1035">_xlfn.IFS(P1035&lt;=50,"Low",P1035&lt;=100,"Medium",P1035&gt;100,"High")</f>
        <v>Low</v>
      </c>
      <c r="R1035" t="s">
        <v>17</v>
      </c>
      <c r="S1035" s="1" t="str" cm="1">
        <f t="array" ref="S1035">_xlfn.IFS(R1035="S","Southampton",R1035="C","Cherbourg",R1035="Q","Queenstown")</f>
        <v>Southampton</v>
      </c>
    </row>
    <row r="1036" spans="1:19" x14ac:dyDescent="0.3">
      <c r="A1036">
        <v>1035</v>
      </c>
      <c r="B1036">
        <v>3</v>
      </c>
      <c r="C1036" s="1" t="str" cm="1">
        <f t="array" ref="C1036">_xlfn.IFS(B1036=1,"First Class",B1036=2,"Second Class",B1036=3,"Third Class")</f>
        <v>Third Class</v>
      </c>
      <c r="D1036">
        <v>1</v>
      </c>
      <c r="E1036" s="1" t="str">
        <f t="shared" si="64"/>
        <v>Alive</v>
      </c>
      <c r="F1036" t="s">
        <v>1788</v>
      </c>
      <c r="G1036" s="1" t="s">
        <v>2996</v>
      </c>
      <c r="H1036" t="s">
        <v>20</v>
      </c>
      <c r="I1036" s="1" t="str">
        <f t="shared" si="65"/>
        <v>Male</v>
      </c>
      <c r="J1036" s="3">
        <v>29.881137667304014</v>
      </c>
      <c r="K1036" s="3" t="str" cm="1">
        <f t="array" ref="K1036">_xlfn.IFS(J1036&lt;=13,"Child",J1036&lt;=18,"Teenager",J1036&lt;=30,"Young Adult",J1036&lt;=50,"Middle Aged Adult",J1036&gt;50,"Senior")</f>
        <v>Young Adult</v>
      </c>
      <c r="L1036">
        <v>1</v>
      </c>
      <c r="M1036">
        <v>1</v>
      </c>
      <c r="N1036" s="1">
        <f t="shared" si="66"/>
        <v>3</v>
      </c>
      <c r="O1036" s="1" t="str">
        <f t="shared" si="67"/>
        <v>With Family</v>
      </c>
      <c r="P1036">
        <v>15.245799999999999</v>
      </c>
      <c r="Q1036" s="1" t="str" cm="1">
        <f t="array" ref="Q1036">_xlfn.IFS(P1036&lt;=50,"Low",P1036&lt;=100,"Medium",P1036&gt;100,"High")</f>
        <v>Low</v>
      </c>
      <c r="R1036" t="s">
        <v>41</v>
      </c>
      <c r="S1036" s="1" t="str" cm="1">
        <f t="array" ref="S1036">_xlfn.IFS(R1036="S","Southampton",R1036="C","Cherbourg",R1036="Q","Queenstown")</f>
        <v>Cherbourg</v>
      </c>
    </row>
    <row r="1037" spans="1:19" x14ac:dyDescent="0.3">
      <c r="A1037">
        <v>1036</v>
      </c>
      <c r="B1037">
        <v>3</v>
      </c>
      <c r="C1037" s="1" t="str" cm="1">
        <f t="array" ref="C1037">_xlfn.IFS(B1037=1,"First Class",B1037=2,"Second Class",B1037=3,"Third Class")</f>
        <v>Third Class</v>
      </c>
      <c r="D1037">
        <v>1</v>
      </c>
      <c r="E1037" s="1" t="str">
        <f t="shared" si="64"/>
        <v>Alive</v>
      </c>
      <c r="F1037" t="s">
        <v>1789</v>
      </c>
      <c r="G1037" s="1" t="s">
        <v>2996</v>
      </c>
      <c r="H1037" t="s">
        <v>20</v>
      </c>
      <c r="I1037" s="1" t="str">
        <f t="shared" si="65"/>
        <v>Male</v>
      </c>
      <c r="J1037" s="3">
        <v>29.881137667304014</v>
      </c>
      <c r="K1037" s="3" t="str" cm="1">
        <f t="array" ref="K1037">_xlfn.IFS(J1037&lt;=13,"Child",J1037&lt;=18,"Teenager",J1037&lt;=30,"Young Adult",J1037&lt;=50,"Middle Aged Adult",J1037&gt;50,"Senior")</f>
        <v>Young Adult</v>
      </c>
      <c r="L1037">
        <v>1</v>
      </c>
      <c r="M1037">
        <v>1</v>
      </c>
      <c r="N1037" s="1">
        <f t="shared" si="66"/>
        <v>3</v>
      </c>
      <c r="O1037" s="1" t="str">
        <f t="shared" si="67"/>
        <v>With Family</v>
      </c>
      <c r="P1037">
        <v>15.245799999999999</v>
      </c>
      <c r="Q1037" s="1" t="str" cm="1">
        <f t="array" ref="Q1037">_xlfn.IFS(P1037&lt;=50,"Low",P1037&lt;=100,"Medium",P1037&gt;100,"High")</f>
        <v>Low</v>
      </c>
      <c r="R1037" t="s">
        <v>41</v>
      </c>
      <c r="S1037" s="1" t="str" cm="1">
        <f t="array" ref="S1037">_xlfn.IFS(R1037="S","Southampton",R1037="C","Cherbourg",R1037="Q","Queenstown")</f>
        <v>Cherbourg</v>
      </c>
    </row>
    <row r="1038" spans="1:19" x14ac:dyDescent="0.3">
      <c r="A1038">
        <v>1037</v>
      </c>
      <c r="B1038">
        <v>3</v>
      </c>
      <c r="C1038" s="1" t="str" cm="1">
        <f t="array" ref="C1038">_xlfn.IFS(B1038=1,"First Class",B1038=2,"Second Class",B1038=3,"Third Class")</f>
        <v>Third Class</v>
      </c>
      <c r="D1038">
        <v>1</v>
      </c>
      <c r="E1038" s="1" t="str">
        <f t="shared" si="64"/>
        <v>Alive</v>
      </c>
      <c r="F1038" t="s">
        <v>1790</v>
      </c>
      <c r="G1038" s="1" t="s">
        <v>3001</v>
      </c>
      <c r="H1038" t="s">
        <v>15</v>
      </c>
      <c r="I1038" s="1" t="str">
        <f t="shared" si="65"/>
        <v>Female</v>
      </c>
      <c r="J1038" s="3">
        <v>29.881137667304014</v>
      </c>
      <c r="K1038" s="3" t="str" cm="1">
        <f t="array" ref="K1038">_xlfn.IFS(J1038&lt;=13,"Child",J1038&lt;=18,"Teenager",J1038&lt;=30,"Young Adult",J1038&lt;=50,"Middle Aged Adult",J1038&gt;50,"Senior")</f>
        <v>Young Adult</v>
      </c>
      <c r="L1038">
        <v>0</v>
      </c>
      <c r="M1038">
        <v>2</v>
      </c>
      <c r="N1038" s="1">
        <f t="shared" si="66"/>
        <v>3</v>
      </c>
      <c r="O1038" s="1" t="str">
        <f t="shared" si="67"/>
        <v>With Family</v>
      </c>
      <c r="P1038">
        <v>15.245799999999999</v>
      </c>
      <c r="Q1038" s="1" t="str" cm="1">
        <f t="array" ref="Q1038">_xlfn.IFS(P1038&lt;=50,"Low",P1038&lt;=100,"Medium",P1038&gt;100,"High")</f>
        <v>Low</v>
      </c>
      <c r="R1038" t="s">
        <v>41</v>
      </c>
      <c r="S1038" s="1" t="str" cm="1">
        <f t="array" ref="S1038">_xlfn.IFS(R1038="S","Southampton",R1038="C","Cherbourg",R1038="Q","Queenstown")</f>
        <v>Cherbourg</v>
      </c>
    </row>
    <row r="1039" spans="1:19" x14ac:dyDescent="0.3">
      <c r="A1039">
        <v>1038</v>
      </c>
      <c r="B1039">
        <v>3</v>
      </c>
      <c r="C1039" s="1" t="str" cm="1">
        <f t="array" ref="C1039">_xlfn.IFS(B1039=1,"First Class",B1039=2,"Second Class",B1039=3,"Third Class")</f>
        <v>Third Class</v>
      </c>
      <c r="D1039">
        <v>1</v>
      </c>
      <c r="E1039" s="1" t="str">
        <f t="shared" si="64"/>
        <v>Alive</v>
      </c>
      <c r="F1039" t="s">
        <v>1791</v>
      </c>
      <c r="G1039" s="1" t="s">
        <v>3001</v>
      </c>
      <c r="H1039" t="s">
        <v>15</v>
      </c>
      <c r="I1039" s="1" t="str">
        <f t="shared" si="65"/>
        <v>Female</v>
      </c>
      <c r="J1039" s="3">
        <v>29.881137667304014</v>
      </c>
      <c r="K1039" s="3" t="str" cm="1">
        <f t="array" ref="K1039">_xlfn.IFS(J1039&lt;=13,"Child",J1039&lt;=18,"Teenager",J1039&lt;=30,"Young Adult",J1039&lt;=50,"Middle Aged Adult",J1039&gt;50,"Senior")</f>
        <v>Young Adult</v>
      </c>
      <c r="L1039">
        <v>0</v>
      </c>
      <c r="M1039">
        <v>0</v>
      </c>
      <c r="N1039" s="1">
        <f t="shared" si="66"/>
        <v>1</v>
      </c>
      <c r="O1039" s="1" t="str">
        <f t="shared" si="67"/>
        <v>Single</v>
      </c>
      <c r="P1039">
        <v>7.2291999999999996</v>
      </c>
      <c r="Q1039" s="1" t="str" cm="1">
        <f t="array" ref="Q1039">_xlfn.IFS(P1039&lt;=50,"Low",P1039&lt;=100,"Medium",P1039&gt;100,"High")</f>
        <v>Low</v>
      </c>
      <c r="R1039" t="s">
        <v>41</v>
      </c>
      <c r="S1039" s="1" t="str" cm="1">
        <f t="array" ref="S1039">_xlfn.IFS(R1039="S","Southampton",R1039="C","Cherbourg",R1039="Q","Queenstown")</f>
        <v>Cherbourg</v>
      </c>
    </row>
    <row r="1040" spans="1:19" x14ac:dyDescent="0.3">
      <c r="A1040">
        <v>1039</v>
      </c>
      <c r="B1040">
        <v>3</v>
      </c>
      <c r="C1040" s="1" t="str" cm="1">
        <f t="array" ref="C1040">_xlfn.IFS(B1040=1,"First Class",B1040=2,"Second Class",B1040=3,"Third Class")</f>
        <v>Third Class</v>
      </c>
      <c r="D1040">
        <v>0</v>
      </c>
      <c r="E1040" s="1" t="str">
        <f t="shared" si="64"/>
        <v>Dead</v>
      </c>
      <c r="F1040" t="s">
        <v>1792</v>
      </c>
      <c r="G1040" s="1" t="s">
        <v>2999</v>
      </c>
      <c r="H1040" t="s">
        <v>20</v>
      </c>
      <c r="I1040" s="1" t="str">
        <f t="shared" si="65"/>
        <v>Male</v>
      </c>
      <c r="J1040" s="3">
        <v>29.881137667304014</v>
      </c>
      <c r="K1040" s="3" t="str" cm="1">
        <f t="array" ref="K1040">_xlfn.IFS(J1040&lt;=13,"Child",J1040&lt;=18,"Teenager",J1040&lt;=30,"Young Adult",J1040&lt;=50,"Middle Aged Adult",J1040&gt;50,"Senior")</f>
        <v>Young Adult</v>
      </c>
      <c r="L1040">
        <v>0</v>
      </c>
      <c r="M1040">
        <v>0</v>
      </c>
      <c r="N1040" s="1">
        <f t="shared" si="66"/>
        <v>1</v>
      </c>
      <c r="O1040" s="1" t="str">
        <f t="shared" si="67"/>
        <v>Single</v>
      </c>
      <c r="P1040">
        <v>8.0500000000000007</v>
      </c>
      <c r="Q1040" s="1" t="str" cm="1">
        <f t="array" ref="Q1040">_xlfn.IFS(P1040&lt;=50,"Low",P1040&lt;=100,"Medium",P1040&gt;100,"High")</f>
        <v>Low</v>
      </c>
      <c r="R1040" t="s">
        <v>17</v>
      </c>
      <c r="S1040" s="1" t="str" cm="1">
        <f t="array" ref="S1040">_xlfn.IFS(R1040="S","Southampton",R1040="C","Cherbourg",R1040="Q","Queenstown")</f>
        <v>Southampton</v>
      </c>
    </row>
    <row r="1041" spans="1:19" x14ac:dyDescent="0.3">
      <c r="A1041">
        <v>1040</v>
      </c>
      <c r="B1041">
        <v>3</v>
      </c>
      <c r="C1041" s="1" t="str" cm="1">
        <f t="array" ref="C1041">_xlfn.IFS(B1041=1,"First Class",B1041=2,"Second Class",B1041=3,"Third Class")</f>
        <v>Third Class</v>
      </c>
      <c r="D1041">
        <v>1</v>
      </c>
      <c r="E1041" s="1" t="str">
        <f t="shared" si="64"/>
        <v>Alive</v>
      </c>
      <c r="F1041" t="s">
        <v>1793</v>
      </c>
      <c r="G1041" s="1" t="s">
        <v>2994</v>
      </c>
      <c r="H1041" t="s">
        <v>15</v>
      </c>
      <c r="I1041" s="1" t="str">
        <f t="shared" si="65"/>
        <v>Female</v>
      </c>
      <c r="J1041" s="3">
        <v>29.881137667304014</v>
      </c>
      <c r="K1041" s="3" t="str" cm="1">
        <f t="array" ref="K1041">_xlfn.IFS(J1041&lt;=13,"Child",J1041&lt;=18,"Teenager",J1041&lt;=30,"Young Adult",J1041&lt;=50,"Middle Aged Adult",J1041&gt;50,"Senior")</f>
        <v>Young Adult</v>
      </c>
      <c r="L1041">
        <v>0</v>
      </c>
      <c r="M1041">
        <v>0</v>
      </c>
      <c r="N1041" s="1">
        <f t="shared" si="66"/>
        <v>1</v>
      </c>
      <c r="O1041" s="1" t="str">
        <f t="shared" si="67"/>
        <v>Single</v>
      </c>
      <c r="P1041">
        <v>7.7332999999999998</v>
      </c>
      <c r="Q1041" s="1" t="str" cm="1">
        <f t="array" ref="Q1041">_xlfn.IFS(P1041&lt;=50,"Low",P1041&lt;=100,"Medium",P1041&gt;100,"High")</f>
        <v>Low</v>
      </c>
      <c r="R1041" t="s">
        <v>463</v>
      </c>
      <c r="S1041" s="1" t="str" cm="1">
        <f t="array" ref="S1041">_xlfn.IFS(R1041="S","Southampton",R1041="C","Cherbourg",R1041="Q","Queenstown")</f>
        <v>Queenstown</v>
      </c>
    </row>
    <row r="1042" spans="1:19" x14ac:dyDescent="0.3">
      <c r="A1042">
        <v>1041</v>
      </c>
      <c r="B1042">
        <v>3</v>
      </c>
      <c r="C1042" s="1" t="str" cm="1">
        <f t="array" ref="C1042">_xlfn.IFS(B1042=1,"First Class",B1042=2,"Second Class",B1042=3,"Third Class")</f>
        <v>Third Class</v>
      </c>
      <c r="D1042">
        <v>1</v>
      </c>
      <c r="E1042" s="1" t="str">
        <f t="shared" si="64"/>
        <v>Alive</v>
      </c>
      <c r="F1042" t="s">
        <v>1794</v>
      </c>
      <c r="G1042" s="1" t="s">
        <v>2994</v>
      </c>
      <c r="H1042" t="s">
        <v>15</v>
      </c>
      <c r="I1042" s="1" t="str">
        <f t="shared" si="65"/>
        <v>Female</v>
      </c>
      <c r="J1042" s="3">
        <v>24</v>
      </c>
      <c r="K1042" s="3" t="str" cm="1">
        <f t="array" ref="K1042">_xlfn.IFS(J1042&lt;=13,"Child",J1042&lt;=18,"Teenager",J1042&lt;=30,"Young Adult",J1042&lt;=50,"Middle Aged Adult",J1042&gt;50,"Senior")</f>
        <v>Young Adult</v>
      </c>
      <c r="L1042">
        <v>0</v>
      </c>
      <c r="M1042">
        <v>0</v>
      </c>
      <c r="N1042" s="1">
        <f t="shared" si="66"/>
        <v>1</v>
      </c>
      <c r="O1042" s="1" t="str">
        <f t="shared" si="67"/>
        <v>Single</v>
      </c>
      <c r="P1042">
        <v>7.75</v>
      </c>
      <c r="Q1042" s="1" t="str" cm="1">
        <f t="array" ref="Q1042">_xlfn.IFS(P1042&lt;=50,"Low",P1042&lt;=100,"Medium",P1042&gt;100,"High")</f>
        <v>Low</v>
      </c>
      <c r="R1042" t="s">
        <v>463</v>
      </c>
      <c r="S1042" s="1" t="str" cm="1">
        <f t="array" ref="S1042">_xlfn.IFS(R1042="S","Southampton",R1042="C","Cherbourg",R1042="Q","Queenstown")</f>
        <v>Queenstown</v>
      </c>
    </row>
    <row r="1043" spans="1:19" x14ac:dyDescent="0.3">
      <c r="A1043">
        <v>1042</v>
      </c>
      <c r="B1043">
        <v>3</v>
      </c>
      <c r="C1043" s="1" t="str" cm="1">
        <f t="array" ref="C1043">_xlfn.IFS(B1043=1,"First Class",B1043=2,"Second Class",B1043=3,"Third Class")</f>
        <v>Third Class</v>
      </c>
      <c r="D1043">
        <v>0</v>
      </c>
      <c r="E1043" s="1" t="str">
        <f t="shared" si="64"/>
        <v>Dead</v>
      </c>
      <c r="F1043" t="s">
        <v>1795</v>
      </c>
      <c r="G1043" s="1" t="s">
        <v>2999</v>
      </c>
      <c r="H1043" t="s">
        <v>20</v>
      </c>
      <c r="I1043" s="1" t="str">
        <f t="shared" si="65"/>
        <v>Male</v>
      </c>
      <c r="J1043" s="3">
        <v>29.881137667304014</v>
      </c>
      <c r="K1043" s="3" t="str" cm="1">
        <f t="array" ref="K1043">_xlfn.IFS(J1043&lt;=13,"Child",J1043&lt;=18,"Teenager",J1043&lt;=30,"Young Adult",J1043&lt;=50,"Middle Aged Adult",J1043&gt;50,"Senior")</f>
        <v>Young Adult</v>
      </c>
      <c r="L1043">
        <v>0</v>
      </c>
      <c r="M1043">
        <v>0</v>
      </c>
      <c r="N1043" s="1">
        <f t="shared" si="66"/>
        <v>1</v>
      </c>
      <c r="O1043" s="1" t="str">
        <f t="shared" si="67"/>
        <v>Single</v>
      </c>
      <c r="P1043">
        <v>8.0500000000000007</v>
      </c>
      <c r="Q1043" s="1" t="str" cm="1">
        <f t="array" ref="Q1043">_xlfn.IFS(P1043&lt;=50,"Low",P1043&lt;=100,"Medium",P1043&gt;100,"High")</f>
        <v>Low</v>
      </c>
      <c r="R1043" t="s">
        <v>17</v>
      </c>
      <c r="S1043" s="1" t="str" cm="1">
        <f t="array" ref="S1043">_xlfn.IFS(R1043="S","Southampton",R1043="C","Cherbourg",R1043="Q","Queenstown")</f>
        <v>Southampton</v>
      </c>
    </row>
    <row r="1044" spans="1:19" x14ac:dyDescent="0.3">
      <c r="A1044">
        <v>1043</v>
      </c>
      <c r="B1044">
        <v>3</v>
      </c>
      <c r="C1044" s="1" t="str" cm="1">
        <f t="array" ref="C1044">_xlfn.IFS(B1044=1,"First Class",B1044=2,"Second Class",B1044=3,"Third Class")</f>
        <v>Third Class</v>
      </c>
      <c r="D1044">
        <v>1</v>
      </c>
      <c r="E1044" s="1" t="str">
        <f t="shared" si="64"/>
        <v>Alive</v>
      </c>
      <c r="F1044" t="s">
        <v>1797</v>
      </c>
      <c r="G1044" s="1" t="s">
        <v>2994</v>
      </c>
      <c r="H1044" t="s">
        <v>15</v>
      </c>
      <c r="I1044" s="1" t="str">
        <f t="shared" si="65"/>
        <v>Female</v>
      </c>
      <c r="J1044" s="3">
        <v>29.881137667304014</v>
      </c>
      <c r="K1044" s="3" t="str" cm="1">
        <f t="array" ref="K1044">_xlfn.IFS(J1044&lt;=13,"Child",J1044&lt;=18,"Teenager",J1044&lt;=30,"Young Adult",J1044&lt;=50,"Middle Aged Adult",J1044&gt;50,"Senior")</f>
        <v>Young Adult</v>
      </c>
      <c r="L1044">
        <v>1</v>
      </c>
      <c r="M1044">
        <v>0</v>
      </c>
      <c r="N1044" s="1">
        <f t="shared" si="66"/>
        <v>2</v>
      </c>
      <c r="O1044" s="1" t="str">
        <f t="shared" si="67"/>
        <v>With Family</v>
      </c>
      <c r="P1044">
        <v>15.5</v>
      </c>
      <c r="Q1044" s="1" t="str" cm="1">
        <f t="array" ref="Q1044">_xlfn.IFS(P1044&lt;=50,"Low",P1044&lt;=100,"Medium",P1044&gt;100,"High")</f>
        <v>Low</v>
      </c>
      <c r="R1044" t="s">
        <v>463</v>
      </c>
      <c r="S1044" s="1" t="str" cm="1">
        <f t="array" ref="S1044">_xlfn.IFS(R1044="S","Southampton",R1044="C","Cherbourg",R1044="Q","Queenstown")</f>
        <v>Queenstown</v>
      </c>
    </row>
    <row r="1045" spans="1:19" x14ac:dyDescent="0.3">
      <c r="A1045">
        <v>1044</v>
      </c>
      <c r="B1045">
        <v>3</v>
      </c>
      <c r="C1045" s="1" t="str" cm="1">
        <f t="array" ref="C1045">_xlfn.IFS(B1045=1,"First Class",B1045=2,"Second Class",B1045=3,"Third Class")</f>
        <v>Third Class</v>
      </c>
      <c r="D1045">
        <v>1</v>
      </c>
      <c r="E1045" s="1" t="str">
        <f t="shared" si="64"/>
        <v>Alive</v>
      </c>
      <c r="F1045" t="s">
        <v>1798</v>
      </c>
      <c r="G1045" s="1" t="s">
        <v>2994</v>
      </c>
      <c r="H1045" t="s">
        <v>15</v>
      </c>
      <c r="I1045" s="1" t="str">
        <f t="shared" si="65"/>
        <v>Female</v>
      </c>
      <c r="J1045" s="3">
        <v>29.881137667304014</v>
      </c>
      <c r="K1045" s="3" t="str" cm="1">
        <f t="array" ref="K1045">_xlfn.IFS(J1045&lt;=13,"Child",J1045&lt;=18,"Teenager",J1045&lt;=30,"Young Adult",J1045&lt;=50,"Middle Aged Adult",J1045&gt;50,"Senior")</f>
        <v>Young Adult</v>
      </c>
      <c r="L1045">
        <v>1</v>
      </c>
      <c r="M1045">
        <v>0</v>
      </c>
      <c r="N1045" s="1">
        <f t="shared" si="66"/>
        <v>2</v>
      </c>
      <c r="O1045" s="1" t="str">
        <f t="shared" si="67"/>
        <v>With Family</v>
      </c>
      <c r="P1045">
        <v>15.5</v>
      </c>
      <c r="Q1045" s="1" t="str" cm="1">
        <f t="array" ref="Q1045">_xlfn.IFS(P1045&lt;=50,"Low",P1045&lt;=100,"Medium",P1045&gt;100,"High")</f>
        <v>Low</v>
      </c>
      <c r="R1045" t="s">
        <v>463</v>
      </c>
      <c r="S1045" s="1" t="str" cm="1">
        <f t="array" ref="S1045">_xlfn.IFS(R1045="S","Southampton",R1045="C","Cherbourg",R1045="Q","Queenstown")</f>
        <v>Queenstown</v>
      </c>
    </row>
    <row r="1046" spans="1:19" x14ac:dyDescent="0.3">
      <c r="A1046">
        <v>1045</v>
      </c>
      <c r="B1046">
        <v>3</v>
      </c>
      <c r="C1046" s="1" t="str" cm="1">
        <f t="array" ref="C1046">_xlfn.IFS(B1046=1,"First Class",B1046=2,"Second Class",B1046=3,"Third Class")</f>
        <v>Third Class</v>
      </c>
      <c r="D1046">
        <v>1</v>
      </c>
      <c r="E1046" s="1" t="str">
        <f t="shared" si="64"/>
        <v>Alive</v>
      </c>
      <c r="F1046" t="s">
        <v>1799</v>
      </c>
      <c r="G1046" s="1" t="s">
        <v>2994</v>
      </c>
      <c r="H1046" t="s">
        <v>15</v>
      </c>
      <c r="I1046" s="1" t="str">
        <f t="shared" si="65"/>
        <v>Female</v>
      </c>
      <c r="J1046" s="3">
        <v>29.881137667304014</v>
      </c>
      <c r="K1046" s="3" t="str" cm="1">
        <f t="array" ref="K1046">_xlfn.IFS(J1046&lt;=13,"Child",J1046&lt;=18,"Teenager",J1046&lt;=30,"Young Adult",J1046&lt;=50,"Middle Aged Adult",J1046&gt;50,"Senior")</f>
        <v>Young Adult</v>
      </c>
      <c r="L1046">
        <v>0</v>
      </c>
      <c r="M1046">
        <v>0</v>
      </c>
      <c r="N1046" s="1">
        <f t="shared" si="66"/>
        <v>1</v>
      </c>
      <c r="O1046" s="1" t="str">
        <f t="shared" si="67"/>
        <v>Single</v>
      </c>
      <c r="P1046">
        <v>15.5</v>
      </c>
      <c r="Q1046" s="1" t="str" cm="1">
        <f t="array" ref="Q1046">_xlfn.IFS(P1046&lt;=50,"Low",P1046&lt;=100,"Medium",P1046&gt;100,"High")</f>
        <v>Low</v>
      </c>
      <c r="R1046" t="s">
        <v>463</v>
      </c>
      <c r="S1046" s="1" t="str" cm="1">
        <f t="array" ref="S1046">_xlfn.IFS(R1046="S","Southampton",R1046="C","Cherbourg",R1046="Q","Queenstown")</f>
        <v>Queenstown</v>
      </c>
    </row>
    <row r="1047" spans="1:19" x14ac:dyDescent="0.3">
      <c r="A1047">
        <v>1046</v>
      </c>
      <c r="B1047">
        <v>3</v>
      </c>
      <c r="C1047" s="1" t="str" cm="1">
        <f t="array" ref="C1047">_xlfn.IFS(B1047=1,"First Class",B1047=2,"Second Class",B1047=3,"Third Class")</f>
        <v>Third Class</v>
      </c>
      <c r="D1047">
        <v>0</v>
      </c>
      <c r="E1047" s="1" t="str">
        <f t="shared" si="64"/>
        <v>Dead</v>
      </c>
      <c r="F1047" t="s">
        <v>1800</v>
      </c>
      <c r="G1047" s="1" t="s">
        <v>2999</v>
      </c>
      <c r="H1047" t="s">
        <v>20</v>
      </c>
      <c r="I1047" s="1" t="str">
        <f t="shared" si="65"/>
        <v>Male</v>
      </c>
      <c r="J1047" s="3">
        <v>18</v>
      </c>
      <c r="K1047" s="3" t="str" cm="1">
        <f t="array" ref="K1047">_xlfn.IFS(J1047&lt;=13,"Child",J1047&lt;=18,"Teenager",J1047&lt;=30,"Young Adult",J1047&lt;=50,"Middle Aged Adult",J1047&gt;50,"Senior")</f>
        <v>Teenager</v>
      </c>
      <c r="L1047">
        <v>0</v>
      </c>
      <c r="M1047">
        <v>0</v>
      </c>
      <c r="N1047" s="1">
        <f t="shared" si="66"/>
        <v>1</v>
      </c>
      <c r="O1047" s="1" t="str">
        <f t="shared" si="67"/>
        <v>Single</v>
      </c>
      <c r="P1047">
        <v>7.75</v>
      </c>
      <c r="Q1047" s="1" t="str" cm="1">
        <f t="array" ref="Q1047">_xlfn.IFS(P1047&lt;=50,"Low",P1047&lt;=100,"Medium",P1047&gt;100,"High")</f>
        <v>Low</v>
      </c>
      <c r="R1047" t="s">
        <v>17</v>
      </c>
      <c r="S1047" s="1" t="str" cm="1">
        <f t="array" ref="S1047">_xlfn.IFS(R1047="S","Southampton",R1047="C","Cherbourg",R1047="Q","Queenstown")</f>
        <v>Southampton</v>
      </c>
    </row>
    <row r="1048" spans="1:19" x14ac:dyDescent="0.3">
      <c r="A1048">
        <v>1047</v>
      </c>
      <c r="B1048">
        <v>3</v>
      </c>
      <c r="C1048" s="1" t="str" cm="1">
        <f t="array" ref="C1048">_xlfn.IFS(B1048=1,"First Class",B1048=2,"Second Class",B1048=3,"Third Class")</f>
        <v>Third Class</v>
      </c>
      <c r="D1048">
        <v>0</v>
      </c>
      <c r="E1048" s="1" t="str">
        <f t="shared" si="64"/>
        <v>Dead</v>
      </c>
      <c r="F1048" t="s">
        <v>1801</v>
      </c>
      <c r="G1048" s="1" t="s">
        <v>2999</v>
      </c>
      <c r="H1048" t="s">
        <v>20</v>
      </c>
      <c r="I1048" s="1" t="str">
        <f t="shared" si="65"/>
        <v>Male</v>
      </c>
      <c r="J1048" s="3">
        <v>22</v>
      </c>
      <c r="K1048" s="3" t="str" cm="1">
        <f t="array" ref="K1048">_xlfn.IFS(J1048&lt;=13,"Child",J1048&lt;=18,"Teenager",J1048&lt;=30,"Young Adult",J1048&lt;=50,"Middle Aged Adult",J1048&gt;50,"Senior")</f>
        <v>Young Adult</v>
      </c>
      <c r="L1048">
        <v>0</v>
      </c>
      <c r="M1048">
        <v>0</v>
      </c>
      <c r="N1048" s="1">
        <f t="shared" si="66"/>
        <v>1</v>
      </c>
      <c r="O1048" s="1" t="str">
        <f t="shared" si="67"/>
        <v>Single</v>
      </c>
      <c r="P1048">
        <v>7.8958000000000004</v>
      </c>
      <c r="Q1048" s="1" t="str" cm="1">
        <f t="array" ref="Q1048">_xlfn.IFS(P1048&lt;=50,"Low",P1048&lt;=100,"Medium",P1048&gt;100,"High")</f>
        <v>Low</v>
      </c>
      <c r="R1048" t="s">
        <v>17</v>
      </c>
      <c r="S1048" s="1" t="str" cm="1">
        <f t="array" ref="S1048">_xlfn.IFS(R1048="S","Southampton",R1048="C","Cherbourg",R1048="Q","Queenstown")</f>
        <v>Southampton</v>
      </c>
    </row>
    <row r="1049" spans="1:19" x14ac:dyDescent="0.3">
      <c r="A1049">
        <v>1048</v>
      </c>
      <c r="B1049">
        <v>3</v>
      </c>
      <c r="C1049" s="1" t="str" cm="1">
        <f t="array" ref="C1049">_xlfn.IFS(B1049=1,"First Class",B1049=2,"Second Class",B1049=3,"Third Class")</f>
        <v>Third Class</v>
      </c>
      <c r="D1049">
        <v>1</v>
      </c>
      <c r="E1049" s="1" t="str">
        <f t="shared" si="64"/>
        <v>Alive</v>
      </c>
      <c r="F1049" t="s">
        <v>1802</v>
      </c>
      <c r="G1049" s="1" t="s">
        <v>2994</v>
      </c>
      <c r="H1049" t="s">
        <v>15</v>
      </c>
      <c r="I1049" s="1" t="str">
        <f t="shared" si="65"/>
        <v>Female</v>
      </c>
      <c r="J1049" s="3">
        <v>15</v>
      </c>
      <c r="K1049" s="3" t="str" cm="1">
        <f t="array" ref="K1049">_xlfn.IFS(J1049&lt;=13,"Child",J1049&lt;=18,"Teenager",J1049&lt;=30,"Young Adult",J1049&lt;=50,"Middle Aged Adult",J1049&gt;50,"Senior")</f>
        <v>Teenager</v>
      </c>
      <c r="L1049">
        <v>0</v>
      </c>
      <c r="M1049">
        <v>0</v>
      </c>
      <c r="N1049" s="1">
        <f t="shared" si="66"/>
        <v>1</v>
      </c>
      <c r="O1049" s="1" t="str">
        <f t="shared" si="67"/>
        <v>Single</v>
      </c>
      <c r="P1049">
        <v>7.2249999999999996</v>
      </c>
      <c r="Q1049" s="1" t="str" cm="1">
        <f t="array" ref="Q1049">_xlfn.IFS(P1049&lt;=50,"Low",P1049&lt;=100,"Medium",P1049&gt;100,"High")</f>
        <v>Low</v>
      </c>
      <c r="R1049" t="s">
        <v>41</v>
      </c>
      <c r="S1049" s="1" t="str" cm="1">
        <f t="array" ref="S1049">_xlfn.IFS(R1049="S","Southampton",R1049="C","Cherbourg",R1049="Q","Queenstown")</f>
        <v>Cherbourg</v>
      </c>
    </row>
    <row r="1050" spans="1:19" x14ac:dyDescent="0.3">
      <c r="A1050">
        <v>1049</v>
      </c>
      <c r="B1050">
        <v>3</v>
      </c>
      <c r="C1050" s="1" t="str" cm="1">
        <f t="array" ref="C1050">_xlfn.IFS(B1050=1,"First Class",B1050=2,"Second Class",B1050=3,"Third Class")</f>
        <v>Third Class</v>
      </c>
      <c r="D1050">
        <v>1</v>
      </c>
      <c r="E1050" s="1" t="str">
        <f t="shared" si="64"/>
        <v>Alive</v>
      </c>
      <c r="F1050" t="s">
        <v>1803</v>
      </c>
      <c r="G1050" s="1" t="s">
        <v>2994</v>
      </c>
      <c r="H1050" t="s">
        <v>15</v>
      </c>
      <c r="I1050" s="1" t="str">
        <f t="shared" si="65"/>
        <v>Female</v>
      </c>
      <c r="J1050" s="3">
        <v>1</v>
      </c>
      <c r="K1050" s="3" t="str" cm="1">
        <f t="array" ref="K1050">_xlfn.IFS(J1050&lt;=13,"Child",J1050&lt;=18,"Teenager",J1050&lt;=30,"Young Adult",J1050&lt;=50,"Middle Aged Adult",J1050&gt;50,"Senior")</f>
        <v>Child</v>
      </c>
      <c r="L1050">
        <v>0</v>
      </c>
      <c r="M1050">
        <v>2</v>
      </c>
      <c r="N1050" s="1">
        <f t="shared" si="66"/>
        <v>3</v>
      </c>
      <c r="O1050" s="1" t="str">
        <f t="shared" si="67"/>
        <v>With Family</v>
      </c>
      <c r="P1050">
        <v>15.7417</v>
      </c>
      <c r="Q1050" s="1" t="str" cm="1">
        <f t="array" ref="Q1050">_xlfn.IFS(P1050&lt;=50,"Low",P1050&lt;=100,"Medium",P1050&gt;100,"High")</f>
        <v>Low</v>
      </c>
      <c r="R1050" t="s">
        <v>41</v>
      </c>
      <c r="S1050" s="1" t="str" cm="1">
        <f t="array" ref="S1050">_xlfn.IFS(R1050="S","Southampton",R1050="C","Cherbourg",R1050="Q","Queenstown")</f>
        <v>Cherbourg</v>
      </c>
    </row>
    <row r="1051" spans="1:19" x14ac:dyDescent="0.3">
      <c r="A1051">
        <v>1050</v>
      </c>
      <c r="B1051">
        <v>3</v>
      </c>
      <c r="C1051" s="1" t="str" cm="1">
        <f t="array" ref="C1051">_xlfn.IFS(B1051=1,"First Class",B1051=2,"Second Class",B1051=3,"Third Class")</f>
        <v>Third Class</v>
      </c>
      <c r="D1051">
        <v>1</v>
      </c>
      <c r="E1051" s="1" t="str">
        <f t="shared" si="64"/>
        <v>Alive</v>
      </c>
      <c r="F1051" t="s">
        <v>1804</v>
      </c>
      <c r="G1051" s="1" t="s">
        <v>2999</v>
      </c>
      <c r="H1051" t="s">
        <v>20</v>
      </c>
      <c r="I1051" s="1" t="str">
        <f t="shared" si="65"/>
        <v>Male</v>
      </c>
      <c r="J1051" s="3">
        <v>20</v>
      </c>
      <c r="K1051" s="3" t="str" cm="1">
        <f t="array" ref="K1051">_xlfn.IFS(J1051&lt;=13,"Child",J1051&lt;=18,"Teenager",J1051&lt;=30,"Young Adult",J1051&lt;=50,"Middle Aged Adult",J1051&gt;50,"Senior")</f>
        <v>Young Adult</v>
      </c>
      <c r="L1051">
        <v>1</v>
      </c>
      <c r="M1051">
        <v>1</v>
      </c>
      <c r="N1051" s="1">
        <f t="shared" si="66"/>
        <v>3</v>
      </c>
      <c r="O1051" s="1" t="str">
        <f t="shared" si="67"/>
        <v>With Family</v>
      </c>
      <c r="P1051">
        <v>15.7417</v>
      </c>
      <c r="Q1051" s="1" t="str" cm="1">
        <f t="array" ref="Q1051">_xlfn.IFS(P1051&lt;=50,"Low",P1051&lt;=100,"Medium",P1051&gt;100,"High")</f>
        <v>Low</v>
      </c>
      <c r="R1051" t="s">
        <v>41</v>
      </c>
      <c r="S1051" s="1" t="str" cm="1">
        <f t="array" ref="S1051">_xlfn.IFS(R1051="S","Southampton",R1051="C","Cherbourg",R1051="Q","Queenstown")</f>
        <v>Cherbourg</v>
      </c>
    </row>
    <row r="1052" spans="1:19" x14ac:dyDescent="0.3">
      <c r="A1052">
        <v>1051</v>
      </c>
      <c r="B1052">
        <v>3</v>
      </c>
      <c r="C1052" s="1" t="str" cm="1">
        <f t="array" ref="C1052">_xlfn.IFS(B1052=1,"First Class",B1052=2,"Second Class",B1052=3,"Third Class")</f>
        <v>Third Class</v>
      </c>
      <c r="D1052">
        <v>1</v>
      </c>
      <c r="E1052" s="1" t="str">
        <f t="shared" si="64"/>
        <v>Alive</v>
      </c>
      <c r="F1052" t="s">
        <v>1805</v>
      </c>
      <c r="G1052" s="1" t="s">
        <v>3001</v>
      </c>
      <c r="H1052" t="s">
        <v>15</v>
      </c>
      <c r="I1052" s="1" t="str">
        <f t="shared" si="65"/>
        <v>Female</v>
      </c>
      <c r="J1052" s="3">
        <v>19</v>
      </c>
      <c r="K1052" s="3" t="str" cm="1">
        <f t="array" ref="K1052">_xlfn.IFS(J1052&lt;=13,"Child",J1052&lt;=18,"Teenager",J1052&lt;=30,"Young Adult",J1052&lt;=50,"Middle Aged Adult",J1052&gt;50,"Senior")</f>
        <v>Young Adult</v>
      </c>
      <c r="L1052">
        <v>1</v>
      </c>
      <c r="M1052">
        <v>1</v>
      </c>
      <c r="N1052" s="1">
        <f t="shared" si="66"/>
        <v>3</v>
      </c>
      <c r="O1052" s="1" t="str">
        <f t="shared" si="67"/>
        <v>With Family</v>
      </c>
      <c r="P1052">
        <v>15.7417</v>
      </c>
      <c r="Q1052" s="1" t="str" cm="1">
        <f t="array" ref="Q1052">_xlfn.IFS(P1052&lt;=50,"Low",P1052&lt;=100,"Medium",P1052&gt;100,"High")</f>
        <v>Low</v>
      </c>
      <c r="R1052" t="s">
        <v>41</v>
      </c>
      <c r="S1052" s="1" t="str" cm="1">
        <f t="array" ref="S1052">_xlfn.IFS(R1052="S","Southampton",R1052="C","Cherbourg",R1052="Q","Queenstown")</f>
        <v>Cherbourg</v>
      </c>
    </row>
    <row r="1053" spans="1:19" x14ac:dyDescent="0.3">
      <c r="A1053">
        <v>1052</v>
      </c>
      <c r="B1053">
        <v>3</v>
      </c>
      <c r="C1053" s="1" t="str" cm="1">
        <f t="array" ref="C1053">_xlfn.IFS(B1053=1,"First Class",B1053=2,"Second Class",B1053=3,"Third Class")</f>
        <v>Third Class</v>
      </c>
      <c r="D1053">
        <v>0</v>
      </c>
      <c r="E1053" s="1" t="str">
        <f t="shared" si="64"/>
        <v>Dead</v>
      </c>
      <c r="F1053" t="s">
        <v>1806</v>
      </c>
      <c r="G1053" s="1" t="s">
        <v>2999</v>
      </c>
      <c r="H1053" t="s">
        <v>20</v>
      </c>
      <c r="I1053" s="1" t="str">
        <f t="shared" si="65"/>
        <v>Male</v>
      </c>
      <c r="J1053" s="3">
        <v>33</v>
      </c>
      <c r="K1053" s="3" t="str" cm="1">
        <f t="array" ref="K1053">_xlfn.IFS(J1053&lt;=13,"Child",J1053&lt;=18,"Teenager",J1053&lt;=30,"Young Adult",J1053&lt;=50,"Middle Aged Adult",J1053&gt;50,"Senior")</f>
        <v>Middle Aged Adult</v>
      </c>
      <c r="L1053">
        <v>0</v>
      </c>
      <c r="M1053">
        <v>0</v>
      </c>
      <c r="N1053" s="1">
        <f t="shared" si="66"/>
        <v>1</v>
      </c>
      <c r="O1053" s="1" t="str">
        <f t="shared" si="67"/>
        <v>Single</v>
      </c>
      <c r="P1053">
        <v>8.0500000000000007</v>
      </c>
      <c r="Q1053" s="1" t="str" cm="1">
        <f t="array" ref="Q1053">_xlfn.IFS(P1053&lt;=50,"Low",P1053&lt;=100,"Medium",P1053&gt;100,"High")</f>
        <v>Low</v>
      </c>
      <c r="R1053" t="s">
        <v>17</v>
      </c>
      <c r="S1053" s="1" t="str" cm="1">
        <f t="array" ref="S1053">_xlfn.IFS(R1053="S","Southampton",R1053="C","Cherbourg",R1053="Q","Queenstown")</f>
        <v>Southampton</v>
      </c>
    </row>
    <row r="1054" spans="1:19" x14ac:dyDescent="0.3">
      <c r="A1054">
        <v>1053</v>
      </c>
      <c r="B1054">
        <v>3</v>
      </c>
      <c r="C1054" s="1" t="str" cm="1">
        <f t="array" ref="C1054">_xlfn.IFS(B1054=1,"First Class",B1054=2,"Second Class",B1054=3,"Third Class")</f>
        <v>Third Class</v>
      </c>
      <c r="D1054">
        <v>0</v>
      </c>
      <c r="E1054" s="1" t="str">
        <f t="shared" si="64"/>
        <v>Dead</v>
      </c>
      <c r="F1054" t="s">
        <v>1808</v>
      </c>
      <c r="G1054" s="1" t="s">
        <v>2999</v>
      </c>
      <c r="H1054" t="s">
        <v>20</v>
      </c>
      <c r="I1054" s="1" t="str">
        <f t="shared" si="65"/>
        <v>Male</v>
      </c>
      <c r="J1054" s="3">
        <v>29.881137667304014</v>
      </c>
      <c r="K1054" s="3" t="str" cm="1">
        <f t="array" ref="K1054">_xlfn.IFS(J1054&lt;=13,"Child",J1054&lt;=18,"Teenager",J1054&lt;=30,"Young Adult",J1054&lt;=50,"Middle Aged Adult",J1054&gt;50,"Senior")</f>
        <v>Young Adult</v>
      </c>
      <c r="L1054">
        <v>0</v>
      </c>
      <c r="M1054">
        <v>0</v>
      </c>
      <c r="N1054" s="1">
        <f t="shared" si="66"/>
        <v>1</v>
      </c>
      <c r="O1054" s="1" t="str">
        <f t="shared" si="67"/>
        <v>Single</v>
      </c>
      <c r="P1054">
        <v>7.8958000000000004</v>
      </c>
      <c r="Q1054" s="1" t="str" cm="1">
        <f t="array" ref="Q1054">_xlfn.IFS(P1054&lt;=50,"Low",P1054&lt;=100,"Medium",P1054&gt;100,"High")</f>
        <v>Low</v>
      </c>
      <c r="R1054" t="s">
        <v>17</v>
      </c>
      <c r="S1054" s="1" t="str" cm="1">
        <f t="array" ref="S1054">_xlfn.IFS(R1054="S","Southampton",R1054="C","Cherbourg",R1054="Q","Queenstown")</f>
        <v>Southampton</v>
      </c>
    </row>
    <row r="1055" spans="1:19" x14ac:dyDescent="0.3">
      <c r="A1055">
        <v>1054</v>
      </c>
      <c r="B1055">
        <v>3</v>
      </c>
      <c r="C1055" s="1" t="str" cm="1">
        <f t="array" ref="C1055">_xlfn.IFS(B1055=1,"First Class",B1055=2,"Second Class",B1055=3,"Third Class")</f>
        <v>Third Class</v>
      </c>
      <c r="D1055">
        <v>0</v>
      </c>
      <c r="E1055" s="1" t="str">
        <f t="shared" si="64"/>
        <v>Dead</v>
      </c>
      <c r="F1055" t="s">
        <v>1809</v>
      </c>
      <c r="G1055" s="1" t="s">
        <v>2999</v>
      </c>
      <c r="H1055" t="s">
        <v>20</v>
      </c>
      <c r="I1055" s="1" t="str">
        <f t="shared" si="65"/>
        <v>Male</v>
      </c>
      <c r="J1055" s="3">
        <v>29.881137667304014</v>
      </c>
      <c r="K1055" s="3" t="str" cm="1">
        <f t="array" ref="K1055">_xlfn.IFS(J1055&lt;=13,"Child",J1055&lt;=18,"Teenager",J1055&lt;=30,"Young Adult",J1055&lt;=50,"Middle Aged Adult",J1055&gt;50,"Senior")</f>
        <v>Young Adult</v>
      </c>
      <c r="L1055">
        <v>0</v>
      </c>
      <c r="M1055">
        <v>0</v>
      </c>
      <c r="N1055" s="1">
        <f t="shared" si="66"/>
        <v>1</v>
      </c>
      <c r="O1055" s="1" t="str">
        <f t="shared" si="67"/>
        <v>Single</v>
      </c>
      <c r="P1055">
        <v>7.2291999999999996</v>
      </c>
      <c r="Q1055" s="1" t="str" cm="1">
        <f t="array" ref="Q1055">_xlfn.IFS(P1055&lt;=50,"Low",P1055&lt;=100,"Medium",P1055&gt;100,"High")</f>
        <v>Low</v>
      </c>
      <c r="R1055" t="s">
        <v>41</v>
      </c>
      <c r="S1055" s="1" t="str" cm="1">
        <f t="array" ref="S1055">_xlfn.IFS(R1055="S","Southampton",R1055="C","Cherbourg",R1055="Q","Queenstown")</f>
        <v>Cherbourg</v>
      </c>
    </row>
    <row r="1056" spans="1:19" x14ac:dyDescent="0.3">
      <c r="A1056">
        <v>1055</v>
      </c>
      <c r="B1056">
        <v>3</v>
      </c>
      <c r="C1056" s="1" t="str" cm="1">
        <f t="array" ref="C1056">_xlfn.IFS(B1056=1,"First Class",B1056=2,"Second Class",B1056=3,"Third Class")</f>
        <v>Third Class</v>
      </c>
      <c r="D1056">
        <v>0</v>
      </c>
      <c r="E1056" s="1" t="str">
        <f t="shared" si="64"/>
        <v>Dead</v>
      </c>
      <c r="F1056" t="s">
        <v>1810</v>
      </c>
      <c r="G1056" s="1" t="s">
        <v>2994</v>
      </c>
      <c r="H1056" t="s">
        <v>15</v>
      </c>
      <c r="I1056" s="1" t="str">
        <f t="shared" si="65"/>
        <v>Female</v>
      </c>
      <c r="J1056" s="3">
        <v>29.881137667304014</v>
      </c>
      <c r="K1056" s="3" t="str" cm="1">
        <f t="array" ref="K1056">_xlfn.IFS(J1056&lt;=13,"Child",J1056&lt;=18,"Teenager",J1056&lt;=30,"Young Adult",J1056&lt;=50,"Middle Aged Adult",J1056&gt;50,"Senior")</f>
        <v>Young Adult</v>
      </c>
      <c r="L1056">
        <v>0</v>
      </c>
      <c r="M1056">
        <v>0</v>
      </c>
      <c r="N1056" s="1">
        <f t="shared" si="66"/>
        <v>1</v>
      </c>
      <c r="O1056" s="1" t="str">
        <f t="shared" si="67"/>
        <v>Single</v>
      </c>
      <c r="P1056">
        <v>7.75</v>
      </c>
      <c r="Q1056" s="1" t="str" cm="1">
        <f t="array" ref="Q1056">_xlfn.IFS(P1056&lt;=50,"Low",P1056&lt;=100,"Medium",P1056&gt;100,"High")</f>
        <v>Low</v>
      </c>
      <c r="R1056" t="s">
        <v>463</v>
      </c>
      <c r="S1056" s="1" t="str" cm="1">
        <f t="array" ref="S1056">_xlfn.IFS(R1056="S","Southampton",R1056="C","Cherbourg",R1056="Q","Queenstown")</f>
        <v>Queenstown</v>
      </c>
    </row>
    <row r="1057" spans="1:19" x14ac:dyDescent="0.3">
      <c r="A1057">
        <v>1056</v>
      </c>
      <c r="B1057">
        <v>3</v>
      </c>
      <c r="C1057" s="1" t="str" cm="1">
        <f t="array" ref="C1057">_xlfn.IFS(B1057=1,"First Class",B1057=2,"Second Class",B1057=3,"Third Class")</f>
        <v>Third Class</v>
      </c>
      <c r="D1057">
        <v>0</v>
      </c>
      <c r="E1057" s="1" t="str">
        <f t="shared" si="64"/>
        <v>Dead</v>
      </c>
      <c r="F1057" t="s">
        <v>1811</v>
      </c>
      <c r="G1057" s="1" t="s">
        <v>2999</v>
      </c>
      <c r="H1057" t="s">
        <v>20</v>
      </c>
      <c r="I1057" s="1" t="str">
        <f t="shared" si="65"/>
        <v>Male</v>
      </c>
      <c r="J1057" s="3">
        <v>29.881137667304014</v>
      </c>
      <c r="K1057" s="3" t="str" cm="1">
        <f t="array" ref="K1057">_xlfn.IFS(J1057&lt;=13,"Child",J1057&lt;=18,"Teenager",J1057&lt;=30,"Young Adult",J1057&lt;=50,"Middle Aged Adult",J1057&gt;50,"Senior")</f>
        <v>Young Adult</v>
      </c>
      <c r="L1057">
        <v>0</v>
      </c>
      <c r="M1057">
        <v>0</v>
      </c>
      <c r="N1057" s="1">
        <f t="shared" si="66"/>
        <v>1</v>
      </c>
      <c r="O1057" s="1" t="str">
        <f t="shared" si="67"/>
        <v>Single</v>
      </c>
      <c r="P1057">
        <v>7.8958000000000004</v>
      </c>
      <c r="Q1057" s="1" t="str" cm="1">
        <f t="array" ref="Q1057">_xlfn.IFS(P1057&lt;=50,"Low",P1057&lt;=100,"Medium",P1057&gt;100,"High")</f>
        <v>Low</v>
      </c>
      <c r="R1057" t="s">
        <v>17</v>
      </c>
      <c r="S1057" s="1" t="str" cm="1">
        <f t="array" ref="S1057">_xlfn.IFS(R1057="S","Southampton",R1057="C","Cherbourg",R1057="Q","Queenstown")</f>
        <v>Southampton</v>
      </c>
    </row>
    <row r="1058" spans="1:19" x14ac:dyDescent="0.3">
      <c r="A1058">
        <v>1057</v>
      </c>
      <c r="B1058">
        <v>3</v>
      </c>
      <c r="C1058" s="1" t="str" cm="1">
        <f t="array" ref="C1058">_xlfn.IFS(B1058=1,"First Class",B1058=2,"Second Class",B1058=3,"Third Class")</f>
        <v>Third Class</v>
      </c>
      <c r="D1058">
        <v>1</v>
      </c>
      <c r="E1058" s="1" t="str">
        <f t="shared" si="64"/>
        <v>Alive</v>
      </c>
      <c r="F1058" t="s">
        <v>1812</v>
      </c>
      <c r="G1058" s="1" t="s">
        <v>2996</v>
      </c>
      <c r="H1058" t="s">
        <v>20</v>
      </c>
      <c r="I1058" s="1" t="str">
        <f t="shared" si="65"/>
        <v>Male</v>
      </c>
      <c r="J1058" s="3">
        <v>12</v>
      </c>
      <c r="K1058" s="3" t="str" cm="1">
        <f t="array" ref="K1058">_xlfn.IFS(J1058&lt;=13,"Child",J1058&lt;=18,"Teenager",J1058&lt;=30,"Young Adult",J1058&lt;=50,"Middle Aged Adult",J1058&gt;50,"Senior")</f>
        <v>Child</v>
      </c>
      <c r="L1058">
        <v>1</v>
      </c>
      <c r="M1058">
        <v>0</v>
      </c>
      <c r="N1058" s="1">
        <f t="shared" si="66"/>
        <v>2</v>
      </c>
      <c r="O1058" s="1" t="str">
        <f t="shared" si="67"/>
        <v>With Family</v>
      </c>
      <c r="P1058">
        <v>11.2417</v>
      </c>
      <c r="Q1058" s="1" t="str" cm="1">
        <f t="array" ref="Q1058">_xlfn.IFS(P1058&lt;=50,"Low",P1058&lt;=100,"Medium",P1058&gt;100,"High")</f>
        <v>Low</v>
      </c>
      <c r="R1058" t="s">
        <v>41</v>
      </c>
      <c r="S1058" s="1" t="str" cm="1">
        <f t="array" ref="S1058">_xlfn.IFS(R1058="S","Southampton",R1058="C","Cherbourg",R1058="Q","Queenstown")</f>
        <v>Cherbourg</v>
      </c>
    </row>
    <row r="1059" spans="1:19" x14ac:dyDescent="0.3">
      <c r="A1059">
        <v>1058</v>
      </c>
      <c r="B1059">
        <v>3</v>
      </c>
      <c r="C1059" s="1" t="str" cm="1">
        <f t="array" ref="C1059">_xlfn.IFS(B1059=1,"First Class",B1059=2,"Second Class",B1059=3,"Third Class")</f>
        <v>Third Class</v>
      </c>
      <c r="D1059">
        <v>1</v>
      </c>
      <c r="E1059" s="1" t="str">
        <f t="shared" si="64"/>
        <v>Alive</v>
      </c>
      <c r="F1059" t="s">
        <v>1813</v>
      </c>
      <c r="G1059" s="1" t="s">
        <v>2994</v>
      </c>
      <c r="H1059" t="s">
        <v>15</v>
      </c>
      <c r="I1059" s="1" t="str">
        <f t="shared" si="65"/>
        <v>Female</v>
      </c>
      <c r="J1059" s="3">
        <v>14</v>
      </c>
      <c r="K1059" s="3" t="str" cm="1">
        <f t="array" ref="K1059">_xlfn.IFS(J1059&lt;=13,"Child",J1059&lt;=18,"Teenager",J1059&lt;=30,"Young Adult",J1059&lt;=50,"Middle Aged Adult",J1059&gt;50,"Senior")</f>
        <v>Teenager</v>
      </c>
      <c r="L1059">
        <v>1</v>
      </c>
      <c r="M1059">
        <v>0</v>
      </c>
      <c r="N1059" s="1">
        <f t="shared" si="66"/>
        <v>2</v>
      </c>
      <c r="O1059" s="1" t="str">
        <f t="shared" si="67"/>
        <v>With Family</v>
      </c>
      <c r="P1059">
        <v>11.2417</v>
      </c>
      <c r="Q1059" s="1" t="str" cm="1">
        <f t="array" ref="Q1059">_xlfn.IFS(P1059&lt;=50,"Low",P1059&lt;=100,"Medium",P1059&gt;100,"High")</f>
        <v>Low</v>
      </c>
      <c r="R1059" t="s">
        <v>41</v>
      </c>
      <c r="S1059" s="1" t="str" cm="1">
        <f t="array" ref="S1059">_xlfn.IFS(R1059="S","Southampton",R1059="C","Cherbourg",R1059="Q","Queenstown")</f>
        <v>Cherbourg</v>
      </c>
    </row>
    <row r="1060" spans="1:19" x14ac:dyDescent="0.3">
      <c r="A1060">
        <v>1059</v>
      </c>
      <c r="B1060">
        <v>3</v>
      </c>
      <c r="C1060" s="1" t="str" cm="1">
        <f t="array" ref="C1060">_xlfn.IFS(B1060=1,"First Class",B1060=2,"Second Class",B1060=3,"Third Class")</f>
        <v>Third Class</v>
      </c>
      <c r="D1060">
        <v>0</v>
      </c>
      <c r="E1060" s="1" t="str">
        <f t="shared" si="64"/>
        <v>Dead</v>
      </c>
      <c r="F1060" t="s">
        <v>1814</v>
      </c>
      <c r="G1060" s="1" t="s">
        <v>2994</v>
      </c>
      <c r="H1060" t="s">
        <v>15</v>
      </c>
      <c r="I1060" s="1" t="str">
        <f t="shared" si="65"/>
        <v>Female</v>
      </c>
      <c r="J1060" s="3">
        <v>29</v>
      </c>
      <c r="K1060" s="3" t="str" cm="1">
        <f t="array" ref="K1060">_xlfn.IFS(J1060&lt;=13,"Child",J1060&lt;=18,"Teenager",J1060&lt;=30,"Young Adult",J1060&lt;=50,"Middle Aged Adult",J1060&gt;50,"Senior")</f>
        <v>Young Adult</v>
      </c>
      <c r="L1060">
        <v>0</v>
      </c>
      <c r="M1060">
        <v>0</v>
      </c>
      <c r="N1060" s="1">
        <f t="shared" si="66"/>
        <v>1</v>
      </c>
      <c r="O1060" s="1" t="str">
        <f t="shared" si="67"/>
        <v>Single</v>
      </c>
      <c r="P1060">
        <v>7.9249999999999998</v>
      </c>
      <c r="Q1060" s="1" t="str" cm="1">
        <f t="array" ref="Q1060">_xlfn.IFS(P1060&lt;=50,"Low",P1060&lt;=100,"Medium",P1060&gt;100,"High")</f>
        <v>Low</v>
      </c>
      <c r="R1060" t="s">
        <v>17</v>
      </c>
      <c r="S1060" s="1" t="str" cm="1">
        <f t="array" ref="S1060">_xlfn.IFS(R1060="S","Southampton",R1060="C","Cherbourg",R1060="Q","Queenstown")</f>
        <v>Southampton</v>
      </c>
    </row>
    <row r="1061" spans="1:19" x14ac:dyDescent="0.3">
      <c r="A1061">
        <v>1060</v>
      </c>
      <c r="B1061">
        <v>3</v>
      </c>
      <c r="C1061" s="1" t="str" cm="1">
        <f t="array" ref="C1061">_xlfn.IFS(B1061=1,"First Class",B1061=2,"Second Class",B1061=3,"Third Class")</f>
        <v>Third Class</v>
      </c>
      <c r="D1061">
        <v>0</v>
      </c>
      <c r="E1061" s="1" t="str">
        <f t="shared" si="64"/>
        <v>Dead</v>
      </c>
      <c r="F1061" t="s">
        <v>1815</v>
      </c>
      <c r="G1061" s="1" t="s">
        <v>2999</v>
      </c>
      <c r="H1061" t="s">
        <v>20</v>
      </c>
      <c r="I1061" s="1" t="str">
        <f t="shared" si="65"/>
        <v>Male</v>
      </c>
      <c r="J1061" s="3">
        <v>28</v>
      </c>
      <c r="K1061" s="3" t="str" cm="1">
        <f t="array" ref="K1061">_xlfn.IFS(J1061&lt;=13,"Child",J1061&lt;=18,"Teenager",J1061&lt;=30,"Young Adult",J1061&lt;=50,"Middle Aged Adult",J1061&gt;50,"Senior")</f>
        <v>Young Adult</v>
      </c>
      <c r="L1061">
        <v>0</v>
      </c>
      <c r="M1061">
        <v>0</v>
      </c>
      <c r="N1061" s="1">
        <f t="shared" si="66"/>
        <v>1</v>
      </c>
      <c r="O1061" s="1" t="str">
        <f t="shared" si="67"/>
        <v>Single</v>
      </c>
      <c r="P1061">
        <v>8.0500000000000007</v>
      </c>
      <c r="Q1061" s="1" t="str" cm="1">
        <f t="array" ref="Q1061">_xlfn.IFS(P1061&lt;=50,"Low",P1061&lt;=100,"Medium",P1061&gt;100,"High")</f>
        <v>Low</v>
      </c>
      <c r="R1061" t="s">
        <v>17</v>
      </c>
      <c r="S1061" s="1" t="str" cm="1">
        <f t="array" ref="S1061">_xlfn.IFS(R1061="S","Southampton",R1061="C","Cherbourg",R1061="Q","Queenstown")</f>
        <v>Southampton</v>
      </c>
    </row>
    <row r="1062" spans="1:19" x14ac:dyDescent="0.3">
      <c r="A1062">
        <v>1061</v>
      </c>
      <c r="B1062">
        <v>3</v>
      </c>
      <c r="C1062" s="1" t="str" cm="1">
        <f t="array" ref="C1062">_xlfn.IFS(B1062=1,"First Class",B1062=2,"Second Class",B1062=3,"Third Class")</f>
        <v>Third Class</v>
      </c>
      <c r="D1062">
        <v>1</v>
      </c>
      <c r="E1062" s="1" t="str">
        <f t="shared" si="64"/>
        <v>Alive</v>
      </c>
      <c r="F1062" t="s">
        <v>1816</v>
      </c>
      <c r="G1062" s="1" t="s">
        <v>2994</v>
      </c>
      <c r="H1062" t="s">
        <v>15</v>
      </c>
      <c r="I1062" s="1" t="str">
        <f t="shared" si="65"/>
        <v>Female</v>
      </c>
      <c r="J1062" s="3">
        <v>18</v>
      </c>
      <c r="K1062" s="3" t="str" cm="1">
        <f t="array" ref="K1062">_xlfn.IFS(J1062&lt;=13,"Child",J1062&lt;=18,"Teenager",J1062&lt;=30,"Young Adult",J1062&lt;=50,"Middle Aged Adult",J1062&gt;50,"Senior")</f>
        <v>Teenager</v>
      </c>
      <c r="L1062">
        <v>0</v>
      </c>
      <c r="M1062">
        <v>0</v>
      </c>
      <c r="N1062" s="1">
        <f t="shared" si="66"/>
        <v>1</v>
      </c>
      <c r="O1062" s="1" t="str">
        <f t="shared" si="67"/>
        <v>Single</v>
      </c>
      <c r="P1062">
        <v>7.7750000000000004</v>
      </c>
      <c r="Q1062" s="1" t="str" cm="1">
        <f t="array" ref="Q1062">_xlfn.IFS(P1062&lt;=50,"Low",P1062&lt;=100,"Medium",P1062&gt;100,"High")</f>
        <v>Low</v>
      </c>
      <c r="R1062" t="s">
        <v>17</v>
      </c>
      <c r="S1062" s="1" t="str" cm="1">
        <f t="array" ref="S1062">_xlfn.IFS(R1062="S","Southampton",R1062="C","Cherbourg",R1062="Q","Queenstown")</f>
        <v>Southampton</v>
      </c>
    </row>
    <row r="1063" spans="1:19" x14ac:dyDescent="0.3">
      <c r="A1063">
        <v>1062</v>
      </c>
      <c r="B1063">
        <v>3</v>
      </c>
      <c r="C1063" s="1" t="str" cm="1">
        <f t="array" ref="C1063">_xlfn.IFS(B1063=1,"First Class",B1063=2,"Second Class",B1063=3,"Third Class")</f>
        <v>Third Class</v>
      </c>
      <c r="D1063">
        <v>1</v>
      </c>
      <c r="E1063" s="1" t="str">
        <f t="shared" si="64"/>
        <v>Alive</v>
      </c>
      <c r="F1063" t="s">
        <v>1817</v>
      </c>
      <c r="G1063" s="1" t="s">
        <v>2994</v>
      </c>
      <c r="H1063" t="s">
        <v>15</v>
      </c>
      <c r="I1063" s="1" t="str">
        <f t="shared" si="65"/>
        <v>Female</v>
      </c>
      <c r="J1063" s="3">
        <v>26</v>
      </c>
      <c r="K1063" s="3" t="str" cm="1">
        <f t="array" ref="K1063">_xlfn.IFS(J1063&lt;=13,"Child",J1063&lt;=18,"Teenager",J1063&lt;=30,"Young Adult",J1063&lt;=50,"Middle Aged Adult",J1063&gt;50,"Senior")</f>
        <v>Young Adult</v>
      </c>
      <c r="L1063">
        <v>0</v>
      </c>
      <c r="M1063">
        <v>0</v>
      </c>
      <c r="N1063" s="1">
        <f t="shared" si="66"/>
        <v>1</v>
      </c>
      <c r="O1063" s="1" t="str">
        <f t="shared" si="67"/>
        <v>Single</v>
      </c>
      <c r="P1063">
        <v>7.8541999999999996</v>
      </c>
      <c r="Q1063" s="1" t="str" cm="1">
        <f t="array" ref="Q1063">_xlfn.IFS(P1063&lt;=50,"Low",P1063&lt;=100,"Medium",P1063&gt;100,"High")</f>
        <v>Low</v>
      </c>
      <c r="R1063" t="s">
        <v>17</v>
      </c>
      <c r="S1063" s="1" t="str" cm="1">
        <f t="array" ref="S1063">_xlfn.IFS(R1063="S","Southampton",R1063="C","Cherbourg",R1063="Q","Queenstown")</f>
        <v>Southampton</v>
      </c>
    </row>
    <row r="1064" spans="1:19" x14ac:dyDescent="0.3">
      <c r="A1064">
        <v>1063</v>
      </c>
      <c r="B1064">
        <v>3</v>
      </c>
      <c r="C1064" s="1" t="str" cm="1">
        <f t="array" ref="C1064">_xlfn.IFS(B1064=1,"First Class",B1064=2,"Second Class",B1064=3,"Third Class")</f>
        <v>Third Class</v>
      </c>
      <c r="D1064">
        <v>0</v>
      </c>
      <c r="E1064" s="1" t="str">
        <f t="shared" si="64"/>
        <v>Dead</v>
      </c>
      <c r="F1064" t="s">
        <v>1818</v>
      </c>
      <c r="G1064" s="1" t="s">
        <v>2999</v>
      </c>
      <c r="H1064" t="s">
        <v>20</v>
      </c>
      <c r="I1064" s="1" t="str">
        <f t="shared" si="65"/>
        <v>Male</v>
      </c>
      <c r="J1064" s="3">
        <v>21</v>
      </c>
      <c r="K1064" s="3" t="str" cm="1">
        <f t="array" ref="K1064">_xlfn.IFS(J1064&lt;=13,"Child",J1064&lt;=18,"Teenager",J1064&lt;=30,"Young Adult",J1064&lt;=50,"Middle Aged Adult",J1064&gt;50,"Senior")</f>
        <v>Young Adult</v>
      </c>
      <c r="L1064">
        <v>0</v>
      </c>
      <c r="M1064">
        <v>0</v>
      </c>
      <c r="N1064" s="1">
        <f t="shared" si="66"/>
        <v>1</v>
      </c>
      <c r="O1064" s="1" t="str">
        <f t="shared" si="67"/>
        <v>Single</v>
      </c>
      <c r="P1064">
        <v>7.8541999999999996</v>
      </c>
      <c r="Q1064" s="1" t="str" cm="1">
        <f t="array" ref="Q1064">_xlfn.IFS(P1064&lt;=50,"Low",P1064&lt;=100,"Medium",P1064&gt;100,"High")</f>
        <v>Low</v>
      </c>
      <c r="R1064" t="s">
        <v>17</v>
      </c>
      <c r="S1064" s="1" t="str" cm="1">
        <f t="array" ref="S1064">_xlfn.IFS(R1064="S","Southampton",R1064="C","Cherbourg",R1064="Q","Queenstown")</f>
        <v>Southampton</v>
      </c>
    </row>
    <row r="1065" spans="1:19" x14ac:dyDescent="0.3">
      <c r="A1065">
        <v>1064</v>
      </c>
      <c r="B1065">
        <v>3</v>
      </c>
      <c r="C1065" s="1" t="str" cm="1">
        <f t="array" ref="C1065">_xlfn.IFS(B1065=1,"First Class",B1065=2,"Second Class",B1065=3,"Third Class")</f>
        <v>Third Class</v>
      </c>
      <c r="D1065">
        <v>0</v>
      </c>
      <c r="E1065" s="1" t="str">
        <f t="shared" si="64"/>
        <v>Dead</v>
      </c>
      <c r="F1065" t="s">
        <v>1819</v>
      </c>
      <c r="G1065" s="1" t="s">
        <v>2999</v>
      </c>
      <c r="H1065" t="s">
        <v>20</v>
      </c>
      <c r="I1065" s="1" t="str">
        <f t="shared" si="65"/>
        <v>Male</v>
      </c>
      <c r="J1065" s="3">
        <v>41</v>
      </c>
      <c r="K1065" s="3" t="str" cm="1">
        <f t="array" ref="K1065">_xlfn.IFS(J1065&lt;=13,"Child",J1065&lt;=18,"Teenager",J1065&lt;=30,"Young Adult",J1065&lt;=50,"Middle Aged Adult",J1065&gt;50,"Senior")</f>
        <v>Middle Aged Adult</v>
      </c>
      <c r="L1065">
        <v>0</v>
      </c>
      <c r="M1065">
        <v>0</v>
      </c>
      <c r="N1065" s="1">
        <f t="shared" si="66"/>
        <v>1</v>
      </c>
      <c r="O1065" s="1" t="str">
        <f t="shared" si="67"/>
        <v>Single</v>
      </c>
      <c r="P1065">
        <v>7.125</v>
      </c>
      <c r="Q1065" s="1" t="str" cm="1">
        <f t="array" ref="Q1065">_xlfn.IFS(P1065&lt;=50,"Low",P1065&lt;=100,"Medium",P1065&gt;100,"High")</f>
        <v>Low</v>
      </c>
      <c r="R1065" t="s">
        <v>17</v>
      </c>
      <c r="S1065" s="1" t="str" cm="1">
        <f t="array" ref="S1065">_xlfn.IFS(R1065="S","Southampton",R1065="C","Cherbourg",R1065="Q","Queenstown")</f>
        <v>Southampton</v>
      </c>
    </row>
    <row r="1066" spans="1:19" x14ac:dyDescent="0.3">
      <c r="A1066">
        <v>1065</v>
      </c>
      <c r="B1066">
        <v>3</v>
      </c>
      <c r="C1066" s="1" t="str" cm="1">
        <f t="array" ref="C1066">_xlfn.IFS(B1066=1,"First Class",B1066=2,"Second Class",B1066=3,"Third Class")</f>
        <v>Third Class</v>
      </c>
      <c r="D1066">
        <v>1</v>
      </c>
      <c r="E1066" s="1" t="str">
        <f t="shared" si="64"/>
        <v>Alive</v>
      </c>
      <c r="F1066" t="s">
        <v>1822</v>
      </c>
      <c r="G1066" s="1" t="s">
        <v>2999</v>
      </c>
      <c r="H1066" t="s">
        <v>20</v>
      </c>
      <c r="I1066" s="1" t="str">
        <f t="shared" si="65"/>
        <v>Male</v>
      </c>
      <c r="J1066" s="3">
        <v>39</v>
      </c>
      <c r="K1066" s="3" t="str" cm="1">
        <f t="array" ref="K1066">_xlfn.IFS(J1066&lt;=13,"Child",J1066&lt;=18,"Teenager",J1066&lt;=30,"Young Adult",J1066&lt;=50,"Middle Aged Adult",J1066&gt;50,"Senior")</f>
        <v>Middle Aged Adult</v>
      </c>
      <c r="L1066">
        <v>0</v>
      </c>
      <c r="M1066">
        <v>0</v>
      </c>
      <c r="N1066" s="1">
        <f t="shared" si="66"/>
        <v>1</v>
      </c>
      <c r="O1066" s="1" t="str">
        <f t="shared" si="67"/>
        <v>Single</v>
      </c>
      <c r="P1066">
        <v>7.9249999999999998</v>
      </c>
      <c r="Q1066" s="1" t="str" cm="1">
        <f t="array" ref="Q1066">_xlfn.IFS(P1066&lt;=50,"Low",P1066&lt;=100,"Medium",P1066&gt;100,"High")</f>
        <v>Low</v>
      </c>
      <c r="R1066" t="s">
        <v>17</v>
      </c>
      <c r="S1066" s="1" t="str" cm="1">
        <f t="array" ref="S1066">_xlfn.IFS(R1066="S","Southampton",R1066="C","Cherbourg",R1066="Q","Queenstown")</f>
        <v>Southampton</v>
      </c>
    </row>
    <row r="1067" spans="1:19" x14ac:dyDescent="0.3">
      <c r="A1067">
        <v>1066</v>
      </c>
      <c r="B1067">
        <v>3</v>
      </c>
      <c r="C1067" s="1" t="str" cm="1">
        <f t="array" ref="C1067">_xlfn.IFS(B1067=1,"First Class",B1067=2,"Second Class",B1067=3,"Third Class")</f>
        <v>Third Class</v>
      </c>
      <c r="D1067">
        <v>0</v>
      </c>
      <c r="E1067" s="1" t="str">
        <f t="shared" si="64"/>
        <v>Dead</v>
      </c>
      <c r="F1067" t="s">
        <v>1824</v>
      </c>
      <c r="G1067" s="1" t="s">
        <v>2999</v>
      </c>
      <c r="H1067" t="s">
        <v>20</v>
      </c>
      <c r="I1067" s="1" t="str">
        <f t="shared" si="65"/>
        <v>Male</v>
      </c>
      <c r="J1067" s="3">
        <v>21</v>
      </c>
      <c r="K1067" s="3" t="str" cm="1">
        <f t="array" ref="K1067">_xlfn.IFS(J1067&lt;=13,"Child",J1067&lt;=18,"Teenager",J1067&lt;=30,"Young Adult",J1067&lt;=50,"Middle Aged Adult",J1067&gt;50,"Senior")</f>
        <v>Young Adult</v>
      </c>
      <c r="L1067">
        <v>0</v>
      </c>
      <c r="M1067">
        <v>0</v>
      </c>
      <c r="N1067" s="1">
        <f t="shared" si="66"/>
        <v>1</v>
      </c>
      <c r="O1067" s="1" t="str">
        <f t="shared" si="67"/>
        <v>Single</v>
      </c>
      <c r="P1067">
        <v>7.8</v>
      </c>
      <c r="Q1067" s="1" t="str" cm="1">
        <f t="array" ref="Q1067">_xlfn.IFS(P1067&lt;=50,"Low",P1067&lt;=100,"Medium",P1067&gt;100,"High")</f>
        <v>Low</v>
      </c>
      <c r="R1067" t="s">
        <v>17</v>
      </c>
      <c r="S1067" s="1" t="str" cm="1">
        <f t="array" ref="S1067">_xlfn.IFS(R1067="S","Southampton",R1067="C","Cherbourg",R1067="Q","Queenstown")</f>
        <v>Southampton</v>
      </c>
    </row>
    <row r="1068" spans="1:19" x14ac:dyDescent="0.3">
      <c r="A1068">
        <v>1067</v>
      </c>
      <c r="B1068">
        <v>3</v>
      </c>
      <c r="C1068" s="1" t="str" cm="1">
        <f t="array" ref="C1068">_xlfn.IFS(B1068=1,"First Class",B1068=2,"Second Class",B1068=3,"Third Class")</f>
        <v>Third Class</v>
      </c>
      <c r="D1068">
        <v>0</v>
      </c>
      <c r="E1068" s="1" t="str">
        <f t="shared" si="64"/>
        <v>Dead</v>
      </c>
      <c r="F1068" t="s">
        <v>1826</v>
      </c>
      <c r="G1068" s="1" t="s">
        <v>2999</v>
      </c>
      <c r="H1068" t="s">
        <v>20</v>
      </c>
      <c r="I1068" s="1" t="str">
        <f t="shared" si="65"/>
        <v>Male</v>
      </c>
      <c r="J1068" s="3">
        <v>28.5</v>
      </c>
      <c r="K1068" s="3" t="str" cm="1">
        <f t="array" ref="K1068">_xlfn.IFS(J1068&lt;=13,"Child",J1068&lt;=18,"Teenager",J1068&lt;=30,"Young Adult",J1068&lt;=50,"Middle Aged Adult",J1068&gt;50,"Senior")</f>
        <v>Young Adult</v>
      </c>
      <c r="L1068">
        <v>0</v>
      </c>
      <c r="M1068">
        <v>0</v>
      </c>
      <c r="N1068" s="1">
        <f t="shared" si="66"/>
        <v>1</v>
      </c>
      <c r="O1068" s="1" t="str">
        <f t="shared" si="67"/>
        <v>Single</v>
      </c>
      <c r="P1068">
        <v>7.2291999999999996</v>
      </c>
      <c r="Q1068" s="1" t="str" cm="1">
        <f t="array" ref="Q1068">_xlfn.IFS(P1068&lt;=50,"Low",P1068&lt;=100,"Medium",P1068&gt;100,"High")</f>
        <v>Low</v>
      </c>
      <c r="R1068" t="s">
        <v>41</v>
      </c>
      <c r="S1068" s="1" t="str" cm="1">
        <f t="array" ref="S1068">_xlfn.IFS(R1068="S","Southampton",R1068="C","Cherbourg",R1068="Q","Queenstown")</f>
        <v>Cherbourg</v>
      </c>
    </row>
    <row r="1069" spans="1:19" x14ac:dyDescent="0.3">
      <c r="A1069">
        <v>1068</v>
      </c>
      <c r="B1069">
        <v>3</v>
      </c>
      <c r="C1069" s="1" t="str" cm="1">
        <f t="array" ref="C1069">_xlfn.IFS(B1069=1,"First Class",B1069=2,"Second Class",B1069=3,"Third Class")</f>
        <v>Third Class</v>
      </c>
      <c r="D1069">
        <v>1</v>
      </c>
      <c r="E1069" s="1" t="str">
        <f t="shared" si="64"/>
        <v>Alive</v>
      </c>
      <c r="F1069" t="s">
        <v>1827</v>
      </c>
      <c r="G1069" s="1" t="s">
        <v>2994</v>
      </c>
      <c r="H1069" t="s">
        <v>15</v>
      </c>
      <c r="I1069" s="1" t="str">
        <f t="shared" si="65"/>
        <v>Female</v>
      </c>
      <c r="J1069" s="3">
        <v>22</v>
      </c>
      <c r="K1069" s="3" t="str" cm="1">
        <f t="array" ref="K1069">_xlfn.IFS(J1069&lt;=13,"Child",J1069&lt;=18,"Teenager",J1069&lt;=30,"Young Adult",J1069&lt;=50,"Middle Aged Adult",J1069&gt;50,"Senior")</f>
        <v>Young Adult</v>
      </c>
      <c r="L1069">
        <v>0</v>
      </c>
      <c r="M1069">
        <v>0</v>
      </c>
      <c r="N1069" s="1">
        <f t="shared" si="66"/>
        <v>1</v>
      </c>
      <c r="O1069" s="1" t="str">
        <f t="shared" si="67"/>
        <v>Single</v>
      </c>
      <c r="P1069">
        <v>7.75</v>
      </c>
      <c r="Q1069" s="1" t="str" cm="1">
        <f t="array" ref="Q1069">_xlfn.IFS(P1069&lt;=50,"Low",P1069&lt;=100,"Medium",P1069&gt;100,"High")</f>
        <v>Low</v>
      </c>
      <c r="R1069" t="s">
        <v>17</v>
      </c>
      <c r="S1069" s="1" t="str" cm="1">
        <f t="array" ref="S1069">_xlfn.IFS(R1069="S","Southampton",R1069="C","Cherbourg",R1069="Q","Queenstown")</f>
        <v>Southampton</v>
      </c>
    </row>
    <row r="1070" spans="1:19" x14ac:dyDescent="0.3">
      <c r="A1070">
        <v>1069</v>
      </c>
      <c r="B1070">
        <v>3</v>
      </c>
      <c r="C1070" s="1" t="str" cm="1">
        <f t="array" ref="C1070">_xlfn.IFS(B1070=1,"First Class",B1070=2,"Second Class",B1070=3,"Third Class")</f>
        <v>Third Class</v>
      </c>
      <c r="D1070">
        <v>0</v>
      </c>
      <c r="E1070" s="1" t="str">
        <f t="shared" si="64"/>
        <v>Dead</v>
      </c>
      <c r="F1070" t="s">
        <v>1828</v>
      </c>
      <c r="G1070" s="1" t="s">
        <v>2999</v>
      </c>
      <c r="H1070" t="s">
        <v>20</v>
      </c>
      <c r="I1070" s="1" t="str">
        <f t="shared" si="65"/>
        <v>Male</v>
      </c>
      <c r="J1070" s="3">
        <v>61</v>
      </c>
      <c r="K1070" s="3" t="str" cm="1">
        <f t="array" ref="K1070">_xlfn.IFS(J1070&lt;=13,"Child",J1070&lt;=18,"Teenager",J1070&lt;=30,"Young Adult",J1070&lt;=50,"Middle Aged Adult",J1070&gt;50,"Senior")</f>
        <v>Senior</v>
      </c>
      <c r="L1070">
        <v>0</v>
      </c>
      <c r="M1070">
        <v>0</v>
      </c>
      <c r="N1070" s="1">
        <f t="shared" si="66"/>
        <v>1</v>
      </c>
      <c r="O1070" s="1" t="str">
        <f t="shared" si="67"/>
        <v>Single</v>
      </c>
      <c r="P1070">
        <v>6.2374999999999998</v>
      </c>
      <c r="Q1070" s="1" t="str" cm="1">
        <f t="array" ref="Q1070">_xlfn.IFS(P1070&lt;=50,"Low",P1070&lt;=100,"Medium",P1070&gt;100,"High")</f>
        <v>Low</v>
      </c>
      <c r="R1070" t="s">
        <v>17</v>
      </c>
      <c r="S1070" s="1" t="str" cm="1">
        <f t="array" ref="S1070">_xlfn.IFS(R1070="S","Southampton",R1070="C","Cherbourg",R1070="Q","Queenstown")</f>
        <v>Southampton</v>
      </c>
    </row>
    <row r="1071" spans="1:19" x14ac:dyDescent="0.3">
      <c r="A1071">
        <v>1070</v>
      </c>
      <c r="B1071">
        <v>3</v>
      </c>
      <c r="C1071" s="1" t="str" cm="1">
        <f t="array" ref="C1071">_xlfn.IFS(B1071=1,"First Class",B1071=2,"Second Class",B1071=3,"Third Class")</f>
        <v>Third Class</v>
      </c>
      <c r="D1071">
        <v>0</v>
      </c>
      <c r="E1071" s="1" t="str">
        <f t="shared" si="64"/>
        <v>Dead</v>
      </c>
      <c r="F1071" t="s">
        <v>1829</v>
      </c>
      <c r="G1071" s="1" t="s">
        <v>2999</v>
      </c>
      <c r="H1071" t="s">
        <v>20</v>
      </c>
      <c r="I1071" s="1" t="str">
        <f t="shared" si="65"/>
        <v>Male</v>
      </c>
      <c r="J1071" s="3">
        <v>29.881137667304014</v>
      </c>
      <c r="K1071" s="3" t="str" cm="1">
        <f t="array" ref="K1071">_xlfn.IFS(J1071&lt;=13,"Child",J1071&lt;=18,"Teenager",J1071&lt;=30,"Young Adult",J1071&lt;=50,"Middle Aged Adult",J1071&gt;50,"Senior")</f>
        <v>Young Adult</v>
      </c>
      <c r="L1071">
        <v>1</v>
      </c>
      <c r="M1071">
        <v>0</v>
      </c>
      <c r="N1071" s="1">
        <f t="shared" si="66"/>
        <v>2</v>
      </c>
      <c r="O1071" s="1" t="str">
        <f t="shared" si="67"/>
        <v>With Family</v>
      </c>
      <c r="P1071">
        <v>15.5</v>
      </c>
      <c r="Q1071" s="1" t="str" cm="1">
        <f t="array" ref="Q1071">_xlfn.IFS(P1071&lt;=50,"Low",P1071&lt;=100,"Medium",P1071&gt;100,"High")</f>
        <v>Low</v>
      </c>
      <c r="R1071" t="s">
        <v>463</v>
      </c>
      <c r="S1071" s="1" t="str" cm="1">
        <f t="array" ref="S1071">_xlfn.IFS(R1071="S","Southampton",R1071="C","Cherbourg",R1071="Q","Queenstown")</f>
        <v>Queenstown</v>
      </c>
    </row>
    <row r="1072" spans="1:19" x14ac:dyDescent="0.3">
      <c r="A1072">
        <v>1071</v>
      </c>
      <c r="B1072">
        <v>3</v>
      </c>
      <c r="C1072" s="1" t="str" cm="1">
        <f t="array" ref="C1072">_xlfn.IFS(B1072=1,"First Class",B1072=2,"Second Class",B1072=3,"Third Class")</f>
        <v>Third Class</v>
      </c>
      <c r="D1072">
        <v>0</v>
      </c>
      <c r="E1072" s="1" t="str">
        <f t="shared" si="64"/>
        <v>Dead</v>
      </c>
      <c r="F1072" t="s">
        <v>1830</v>
      </c>
      <c r="G1072" s="1" t="s">
        <v>2999</v>
      </c>
      <c r="H1072" t="s">
        <v>20</v>
      </c>
      <c r="I1072" s="1" t="str">
        <f t="shared" si="65"/>
        <v>Male</v>
      </c>
      <c r="J1072" s="3">
        <v>29.881137667304014</v>
      </c>
      <c r="K1072" s="3" t="str" cm="1">
        <f t="array" ref="K1072">_xlfn.IFS(J1072&lt;=13,"Child",J1072&lt;=18,"Teenager",J1072&lt;=30,"Young Adult",J1072&lt;=50,"Middle Aged Adult",J1072&gt;50,"Senior")</f>
        <v>Young Adult</v>
      </c>
      <c r="L1072">
        <v>0</v>
      </c>
      <c r="M1072">
        <v>0</v>
      </c>
      <c r="N1072" s="1">
        <f t="shared" si="66"/>
        <v>1</v>
      </c>
      <c r="O1072" s="1" t="str">
        <f t="shared" si="67"/>
        <v>Single</v>
      </c>
      <c r="P1072">
        <v>7.8292000000000002</v>
      </c>
      <c r="Q1072" s="1" t="str" cm="1">
        <f t="array" ref="Q1072">_xlfn.IFS(P1072&lt;=50,"Low",P1072&lt;=100,"Medium",P1072&gt;100,"High")</f>
        <v>Low</v>
      </c>
      <c r="R1072" t="s">
        <v>463</v>
      </c>
      <c r="S1072" s="1" t="str" cm="1">
        <f t="array" ref="S1072">_xlfn.IFS(R1072="S","Southampton",R1072="C","Cherbourg",R1072="Q","Queenstown")</f>
        <v>Queenstown</v>
      </c>
    </row>
    <row r="1073" spans="1:19" x14ac:dyDescent="0.3">
      <c r="A1073">
        <v>1072</v>
      </c>
      <c r="B1073">
        <v>3</v>
      </c>
      <c r="C1073" s="1" t="str" cm="1">
        <f t="array" ref="C1073">_xlfn.IFS(B1073=1,"First Class",B1073=2,"Second Class",B1073=3,"Third Class")</f>
        <v>Third Class</v>
      </c>
      <c r="D1073">
        <v>1</v>
      </c>
      <c r="E1073" s="1" t="str">
        <f t="shared" si="64"/>
        <v>Alive</v>
      </c>
      <c r="F1073" t="s">
        <v>1831</v>
      </c>
      <c r="G1073" s="1" t="s">
        <v>3001</v>
      </c>
      <c r="H1073" t="s">
        <v>15</v>
      </c>
      <c r="I1073" s="1" t="str">
        <f t="shared" si="65"/>
        <v>Female</v>
      </c>
      <c r="J1073" s="3">
        <v>29.881137667304014</v>
      </c>
      <c r="K1073" s="3" t="str" cm="1">
        <f t="array" ref="K1073">_xlfn.IFS(J1073&lt;=13,"Child",J1073&lt;=18,"Teenager",J1073&lt;=30,"Young Adult",J1073&lt;=50,"Middle Aged Adult",J1073&gt;50,"Senior")</f>
        <v>Young Adult</v>
      </c>
      <c r="L1073">
        <v>1</v>
      </c>
      <c r="M1073">
        <v>0</v>
      </c>
      <c r="N1073" s="1">
        <f t="shared" si="66"/>
        <v>2</v>
      </c>
      <c r="O1073" s="1" t="str">
        <f t="shared" si="67"/>
        <v>With Family</v>
      </c>
      <c r="P1073">
        <v>15.5</v>
      </c>
      <c r="Q1073" s="1" t="str" cm="1">
        <f t="array" ref="Q1073">_xlfn.IFS(P1073&lt;=50,"Low",P1073&lt;=100,"Medium",P1073&gt;100,"High")</f>
        <v>Low</v>
      </c>
      <c r="R1073" t="s">
        <v>463</v>
      </c>
      <c r="S1073" s="1" t="str" cm="1">
        <f t="array" ref="S1073">_xlfn.IFS(R1073="S","Southampton",R1073="C","Cherbourg",R1073="Q","Queenstown")</f>
        <v>Queenstown</v>
      </c>
    </row>
    <row r="1074" spans="1:19" x14ac:dyDescent="0.3">
      <c r="A1074">
        <v>1073</v>
      </c>
      <c r="B1074">
        <v>3</v>
      </c>
      <c r="C1074" s="1" t="str" cm="1">
        <f t="array" ref="C1074">_xlfn.IFS(B1074=1,"First Class",B1074=2,"Second Class",B1074=3,"Third Class")</f>
        <v>Third Class</v>
      </c>
      <c r="D1074">
        <v>0</v>
      </c>
      <c r="E1074" s="1" t="str">
        <f t="shared" si="64"/>
        <v>Dead</v>
      </c>
      <c r="F1074" t="s">
        <v>1832</v>
      </c>
      <c r="G1074" s="1" t="s">
        <v>2999</v>
      </c>
      <c r="H1074" t="s">
        <v>20</v>
      </c>
      <c r="I1074" s="1" t="str">
        <f t="shared" si="65"/>
        <v>Male</v>
      </c>
      <c r="J1074" s="3">
        <v>29.881137667304014</v>
      </c>
      <c r="K1074" s="3" t="str" cm="1">
        <f t="array" ref="K1074">_xlfn.IFS(J1074&lt;=13,"Child",J1074&lt;=18,"Teenager",J1074&lt;=30,"Young Adult",J1074&lt;=50,"Middle Aged Adult",J1074&gt;50,"Senior")</f>
        <v>Young Adult</v>
      </c>
      <c r="L1074">
        <v>0</v>
      </c>
      <c r="M1074">
        <v>0</v>
      </c>
      <c r="N1074" s="1">
        <f t="shared" si="66"/>
        <v>1</v>
      </c>
      <c r="O1074" s="1" t="str">
        <f t="shared" si="67"/>
        <v>Single</v>
      </c>
      <c r="P1074">
        <v>7.7332999999999998</v>
      </c>
      <c r="Q1074" s="1" t="str" cm="1">
        <f t="array" ref="Q1074">_xlfn.IFS(P1074&lt;=50,"Low",P1074&lt;=100,"Medium",P1074&gt;100,"High")</f>
        <v>Low</v>
      </c>
      <c r="R1074" t="s">
        <v>463</v>
      </c>
      <c r="S1074" s="1" t="str" cm="1">
        <f t="array" ref="S1074">_xlfn.IFS(R1074="S","Southampton",R1074="C","Cherbourg",R1074="Q","Queenstown")</f>
        <v>Queenstown</v>
      </c>
    </row>
    <row r="1075" spans="1:19" x14ac:dyDescent="0.3">
      <c r="A1075">
        <v>1074</v>
      </c>
      <c r="B1075">
        <v>3</v>
      </c>
      <c r="C1075" s="1" t="str" cm="1">
        <f t="array" ref="C1075">_xlfn.IFS(B1075=1,"First Class",B1075=2,"Second Class",B1075=3,"Third Class")</f>
        <v>Third Class</v>
      </c>
      <c r="D1075">
        <v>0</v>
      </c>
      <c r="E1075" s="1" t="str">
        <f t="shared" si="64"/>
        <v>Dead</v>
      </c>
      <c r="F1075" t="s">
        <v>1833</v>
      </c>
      <c r="G1075" s="1" t="s">
        <v>2999</v>
      </c>
      <c r="H1075" t="s">
        <v>20</v>
      </c>
      <c r="I1075" s="1" t="str">
        <f t="shared" si="65"/>
        <v>Male</v>
      </c>
      <c r="J1075" s="3">
        <v>29.881137667304014</v>
      </c>
      <c r="K1075" s="3" t="str" cm="1">
        <f t="array" ref="K1075">_xlfn.IFS(J1075&lt;=13,"Child",J1075&lt;=18,"Teenager",J1075&lt;=30,"Young Adult",J1075&lt;=50,"Middle Aged Adult",J1075&gt;50,"Senior")</f>
        <v>Young Adult</v>
      </c>
      <c r="L1075">
        <v>0</v>
      </c>
      <c r="M1075">
        <v>0</v>
      </c>
      <c r="N1075" s="1">
        <f t="shared" si="66"/>
        <v>1</v>
      </c>
      <c r="O1075" s="1" t="str">
        <f t="shared" si="67"/>
        <v>Single</v>
      </c>
      <c r="P1075">
        <v>7.75</v>
      </c>
      <c r="Q1075" s="1" t="str" cm="1">
        <f t="array" ref="Q1075">_xlfn.IFS(P1075&lt;=50,"Low",P1075&lt;=100,"Medium",P1075&gt;100,"High")</f>
        <v>Low</v>
      </c>
      <c r="R1075" t="s">
        <v>463</v>
      </c>
      <c r="S1075" s="1" t="str" cm="1">
        <f t="array" ref="S1075">_xlfn.IFS(R1075="S","Southampton",R1075="C","Cherbourg",R1075="Q","Queenstown")</f>
        <v>Queenstown</v>
      </c>
    </row>
    <row r="1076" spans="1:19" x14ac:dyDescent="0.3">
      <c r="A1076">
        <v>1075</v>
      </c>
      <c r="B1076">
        <v>3</v>
      </c>
      <c r="C1076" s="1" t="str" cm="1">
        <f t="array" ref="C1076">_xlfn.IFS(B1076=1,"First Class",B1076=2,"Second Class",B1076=3,"Third Class")</f>
        <v>Third Class</v>
      </c>
      <c r="D1076">
        <v>0</v>
      </c>
      <c r="E1076" s="1" t="str">
        <f t="shared" si="64"/>
        <v>Dead</v>
      </c>
      <c r="F1076" t="s">
        <v>1834</v>
      </c>
      <c r="G1076" s="1" t="s">
        <v>2999</v>
      </c>
      <c r="H1076" t="s">
        <v>20</v>
      </c>
      <c r="I1076" s="1" t="str">
        <f t="shared" si="65"/>
        <v>Male</v>
      </c>
      <c r="J1076" s="3">
        <v>29.881137667304014</v>
      </c>
      <c r="K1076" s="3" t="str" cm="1">
        <f t="array" ref="K1076">_xlfn.IFS(J1076&lt;=13,"Child",J1076&lt;=18,"Teenager",J1076&lt;=30,"Young Adult",J1076&lt;=50,"Middle Aged Adult",J1076&gt;50,"Senior")</f>
        <v>Young Adult</v>
      </c>
      <c r="L1076">
        <v>0</v>
      </c>
      <c r="M1076">
        <v>0</v>
      </c>
      <c r="N1076" s="1">
        <f t="shared" si="66"/>
        <v>1</v>
      </c>
      <c r="O1076" s="1" t="str">
        <f t="shared" si="67"/>
        <v>Single</v>
      </c>
      <c r="P1076">
        <v>7.75</v>
      </c>
      <c r="Q1076" s="1" t="str" cm="1">
        <f t="array" ref="Q1076">_xlfn.IFS(P1076&lt;=50,"Low",P1076&lt;=100,"Medium",P1076&gt;100,"High")</f>
        <v>Low</v>
      </c>
      <c r="R1076" t="s">
        <v>463</v>
      </c>
      <c r="S1076" s="1" t="str" cm="1">
        <f t="array" ref="S1076">_xlfn.IFS(R1076="S","Southampton",R1076="C","Cherbourg",R1076="Q","Queenstown")</f>
        <v>Queenstown</v>
      </c>
    </row>
    <row r="1077" spans="1:19" x14ac:dyDescent="0.3">
      <c r="A1077">
        <v>1076</v>
      </c>
      <c r="B1077">
        <v>3</v>
      </c>
      <c r="C1077" s="1" t="str" cm="1">
        <f t="array" ref="C1077">_xlfn.IFS(B1077=1,"First Class",B1077=2,"Second Class",B1077=3,"Third Class")</f>
        <v>Third Class</v>
      </c>
      <c r="D1077">
        <v>0</v>
      </c>
      <c r="E1077" s="1" t="str">
        <f t="shared" si="64"/>
        <v>Dead</v>
      </c>
      <c r="F1077" t="s">
        <v>1835</v>
      </c>
      <c r="G1077" s="1" t="s">
        <v>2999</v>
      </c>
      <c r="H1077" t="s">
        <v>20</v>
      </c>
      <c r="I1077" s="1" t="str">
        <f t="shared" si="65"/>
        <v>Male</v>
      </c>
      <c r="J1077" s="3">
        <v>23</v>
      </c>
      <c r="K1077" s="3" t="str" cm="1">
        <f t="array" ref="K1077">_xlfn.IFS(J1077&lt;=13,"Child",J1077&lt;=18,"Teenager",J1077&lt;=30,"Young Adult",J1077&lt;=50,"Middle Aged Adult",J1077&gt;50,"Senior")</f>
        <v>Young Adult</v>
      </c>
      <c r="L1077">
        <v>0</v>
      </c>
      <c r="M1077">
        <v>0</v>
      </c>
      <c r="N1077" s="1">
        <f t="shared" si="66"/>
        <v>1</v>
      </c>
      <c r="O1077" s="1" t="str">
        <f t="shared" si="67"/>
        <v>Single</v>
      </c>
      <c r="P1077">
        <v>9.2249999999999996</v>
      </c>
      <c r="Q1077" s="1" t="str" cm="1">
        <f t="array" ref="Q1077">_xlfn.IFS(P1077&lt;=50,"Low",P1077&lt;=100,"Medium",P1077&gt;100,"High")</f>
        <v>Low</v>
      </c>
      <c r="R1077" t="s">
        <v>17</v>
      </c>
      <c r="S1077" s="1" t="str" cm="1">
        <f t="array" ref="S1077">_xlfn.IFS(R1077="S","Southampton",R1077="C","Cherbourg",R1077="Q","Queenstown")</f>
        <v>Southampton</v>
      </c>
    </row>
    <row r="1078" spans="1:19" x14ac:dyDescent="0.3">
      <c r="A1078">
        <v>1077</v>
      </c>
      <c r="B1078">
        <v>3</v>
      </c>
      <c r="C1078" s="1" t="str" cm="1">
        <f t="array" ref="C1078">_xlfn.IFS(B1078=1,"First Class",B1078=2,"Second Class",B1078=3,"Third Class")</f>
        <v>Third Class</v>
      </c>
      <c r="D1078">
        <v>0</v>
      </c>
      <c r="E1078" s="1" t="str">
        <f t="shared" si="64"/>
        <v>Dead</v>
      </c>
      <c r="F1078" t="s">
        <v>1836</v>
      </c>
      <c r="G1078" s="1" t="s">
        <v>3520</v>
      </c>
      <c r="H1078" t="s">
        <v>15</v>
      </c>
      <c r="I1078" s="1" t="str">
        <f t="shared" si="65"/>
        <v>Female</v>
      </c>
      <c r="J1078" s="3">
        <v>29.881137667304014</v>
      </c>
      <c r="K1078" s="3" t="str" cm="1">
        <f t="array" ref="K1078">_xlfn.IFS(J1078&lt;=13,"Child",J1078&lt;=18,"Teenager",J1078&lt;=30,"Young Adult",J1078&lt;=50,"Middle Aged Adult",J1078&gt;50,"Senior")</f>
        <v>Young Adult</v>
      </c>
      <c r="L1078">
        <v>0</v>
      </c>
      <c r="M1078">
        <v>0</v>
      </c>
      <c r="N1078" s="1">
        <f t="shared" si="66"/>
        <v>1</v>
      </c>
      <c r="O1078" s="1" t="str">
        <f t="shared" si="67"/>
        <v>Single</v>
      </c>
      <c r="P1078">
        <v>7.75</v>
      </c>
      <c r="Q1078" s="1" t="str" cm="1">
        <f t="array" ref="Q1078">_xlfn.IFS(P1078&lt;=50,"Low",P1078&lt;=100,"Medium",P1078&gt;100,"High")</f>
        <v>Low</v>
      </c>
      <c r="R1078" t="s">
        <v>463</v>
      </c>
      <c r="S1078" s="1" t="str" cm="1">
        <f t="array" ref="S1078">_xlfn.IFS(R1078="S","Southampton",R1078="C","Cherbourg",R1078="Q","Queenstown")</f>
        <v>Queenstown</v>
      </c>
    </row>
    <row r="1079" spans="1:19" x14ac:dyDescent="0.3">
      <c r="A1079">
        <v>1078</v>
      </c>
      <c r="B1079">
        <v>3</v>
      </c>
      <c r="C1079" s="1" t="str" cm="1">
        <f t="array" ref="C1079">_xlfn.IFS(B1079=1,"First Class",B1079=2,"Second Class",B1079=3,"Third Class")</f>
        <v>Third Class</v>
      </c>
      <c r="D1079">
        <v>1</v>
      </c>
      <c r="E1079" s="1" t="str">
        <f t="shared" si="64"/>
        <v>Alive</v>
      </c>
      <c r="F1079" t="s">
        <v>1837</v>
      </c>
      <c r="G1079" s="1" t="s">
        <v>2994</v>
      </c>
      <c r="H1079" t="s">
        <v>15</v>
      </c>
      <c r="I1079" s="1" t="str">
        <f t="shared" si="65"/>
        <v>Female</v>
      </c>
      <c r="J1079" s="3">
        <v>29.881137667304014</v>
      </c>
      <c r="K1079" s="3" t="str" cm="1">
        <f t="array" ref="K1079">_xlfn.IFS(J1079&lt;=13,"Child",J1079&lt;=18,"Teenager",J1079&lt;=30,"Young Adult",J1079&lt;=50,"Middle Aged Adult",J1079&gt;50,"Senior")</f>
        <v>Young Adult</v>
      </c>
      <c r="L1079">
        <v>0</v>
      </c>
      <c r="M1079">
        <v>0</v>
      </c>
      <c r="N1079" s="1">
        <f t="shared" si="66"/>
        <v>1</v>
      </c>
      <c r="O1079" s="1" t="str">
        <f t="shared" si="67"/>
        <v>Single</v>
      </c>
      <c r="P1079">
        <v>7.75</v>
      </c>
      <c r="Q1079" s="1" t="str" cm="1">
        <f t="array" ref="Q1079">_xlfn.IFS(P1079&lt;=50,"Low",P1079&lt;=100,"Medium",P1079&gt;100,"High")</f>
        <v>Low</v>
      </c>
      <c r="R1079" t="s">
        <v>463</v>
      </c>
      <c r="S1079" s="1" t="str" cm="1">
        <f t="array" ref="S1079">_xlfn.IFS(R1079="S","Southampton",R1079="C","Cherbourg",R1079="Q","Queenstown")</f>
        <v>Queenstown</v>
      </c>
    </row>
    <row r="1080" spans="1:19" x14ac:dyDescent="0.3">
      <c r="A1080">
        <v>1079</v>
      </c>
      <c r="B1080">
        <v>3</v>
      </c>
      <c r="C1080" s="1" t="str" cm="1">
        <f t="array" ref="C1080">_xlfn.IFS(B1080=1,"First Class",B1080=2,"Second Class",B1080=3,"Third Class")</f>
        <v>Third Class</v>
      </c>
      <c r="D1080">
        <v>1</v>
      </c>
      <c r="E1080" s="1" t="str">
        <f t="shared" si="64"/>
        <v>Alive</v>
      </c>
      <c r="F1080" t="s">
        <v>1838</v>
      </c>
      <c r="G1080" s="1" t="s">
        <v>2994</v>
      </c>
      <c r="H1080" t="s">
        <v>15</v>
      </c>
      <c r="I1080" s="1" t="str">
        <f t="shared" si="65"/>
        <v>Female</v>
      </c>
      <c r="J1080" s="3">
        <v>29.881137667304014</v>
      </c>
      <c r="K1080" s="3" t="str" cm="1">
        <f t="array" ref="K1080">_xlfn.IFS(J1080&lt;=13,"Child",J1080&lt;=18,"Teenager",J1080&lt;=30,"Young Adult",J1080&lt;=50,"Middle Aged Adult",J1080&gt;50,"Senior")</f>
        <v>Young Adult</v>
      </c>
      <c r="L1080">
        <v>0</v>
      </c>
      <c r="M1080">
        <v>0</v>
      </c>
      <c r="N1080" s="1">
        <f t="shared" si="66"/>
        <v>1</v>
      </c>
      <c r="O1080" s="1" t="str">
        <f t="shared" si="67"/>
        <v>Single</v>
      </c>
      <c r="P1080">
        <v>7.8792</v>
      </c>
      <c r="Q1080" s="1" t="str" cm="1">
        <f t="array" ref="Q1080">_xlfn.IFS(P1080&lt;=50,"Low",P1080&lt;=100,"Medium",P1080&gt;100,"High")</f>
        <v>Low</v>
      </c>
      <c r="R1080" t="s">
        <v>463</v>
      </c>
      <c r="S1080" s="1" t="str" cm="1">
        <f t="array" ref="S1080">_xlfn.IFS(R1080="S","Southampton",R1080="C","Cherbourg",R1080="Q","Queenstown")</f>
        <v>Queenstown</v>
      </c>
    </row>
    <row r="1081" spans="1:19" x14ac:dyDescent="0.3">
      <c r="A1081">
        <v>1080</v>
      </c>
      <c r="B1081">
        <v>3</v>
      </c>
      <c r="C1081" s="1" t="str" cm="1">
        <f t="array" ref="C1081">_xlfn.IFS(B1081=1,"First Class",B1081=2,"Second Class",B1081=3,"Third Class")</f>
        <v>Third Class</v>
      </c>
      <c r="D1081">
        <v>1</v>
      </c>
      <c r="E1081" s="1" t="str">
        <f t="shared" si="64"/>
        <v>Alive</v>
      </c>
      <c r="F1081" t="s">
        <v>1839</v>
      </c>
      <c r="G1081" s="1" t="s">
        <v>2994</v>
      </c>
      <c r="H1081" t="s">
        <v>15</v>
      </c>
      <c r="I1081" s="1" t="str">
        <f t="shared" si="65"/>
        <v>Female</v>
      </c>
      <c r="J1081" s="3">
        <v>22</v>
      </c>
      <c r="K1081" s="3" t="str" cm="1">
        <f t="array" ref="K1081">_xlfn.IFS(J1081&lt;=13,"Child",J1081&lt;=18,"Teenager",J1081&lt;=30,"Young Adult",J1081&lt;=50,"Middle Aged Adult",J1081&gt;50,"Senior")</f>
        <v>Young Adult</v>
      </c>
      <c r="L1081">
        <v>0</v>
      </c>
      <c r="M1081">
        <v>0</v>
      </c>
      <c r="N1081" s="1">
        <f t="shared" si="66"/>
        <v>1</v>
      </c>
      <c r="O1081" s="1" t="str">
        <f t="shared" si="67"/>
        <v>Single</v>
      </c>
      <c r="P1081">
        <v>7.7750000000000004</v>
      </c>
      <c r="Q1081" s="1" t="str" cm="1">
        <f t="array" ref="Q1081">_xlfn.IFS(P1081&lt;=50,"Low",P1081&lt;=100,"Medium",P1081&gt;100,"High")</f>
        <v>Low</v>
      </c>
      <c r="R1081" t="s">
        <v>17</v>
      </c>
      <c r="S1081" s="1" t="str" cm="1">
        <f t="array" ref="S1081">_xlfn.IFS(R1081="S","Southampton",R1081="C","Cherbourg",R1081="Q","Queenstown")</f>
        <v>Southampton</v>
      </c>
    </row>
    <row r="1082" spans="1:19" x14ac:dyDescent="0.3">
      <c r="A1082">
        <v>1081</v>
      </c>
      <c r="B1082">
        <v>3</v>
      </c>
      <c r="C1082" s="1" t="str" cm="1">
        <f t="array" ref="C1082">_xlfn.IFS(B1082=1,"First Class",B1082=2,"Second Class",B1082=3,"Third Class")</f>
        <v>Third Class</v>
      </c>
      <c r="D1082">
        <v>1</v>
      </c>
      <c r="E1082" s="1" t="str">
        <f t="shared" si="64"/>
        <v>Alive</v>
      </c>
      <c r="F1082" t="s">
        <v>1840</v>
      </c>
      <c r="G1082" s="1" t="s">
        <v>2999</v>
      </c>
      <c r="H1082" t="s">
        <v>20</v>
      </c>
      <c r="I1082" s="1" t="str">
        <f t="shared" si="65"/>
        <v>Male</v>
      </c>
      <c r="J1082" s="3">
        <v>29.881137667304014</v>
      </c>
      <c r="K1082" s="3" t="str" cm="1">
        <f t="array" ref="K1082">_xlfn.IFS(J1082&lt;=13,"Child",J1082&lt;=18,"Teenager",J1082&lt;=30,"Young Adult",J1082&lt;=50,"Middle Aged Adult",J1082&gt;50,"Senior")</f>
        <v>Young Adult</v>
      </c>
      <c r="L1082">
        <v>0</v>
      </c>
      <c r="M1082">
        <v>0</v>
      </c>
      <c r="N1082" s="1">
        <f t="shared" si="66"/>
        <v>1</v>
      </c>
      <c r="O1082" s="1" t="str">
        <f t="shared" si="67"/>
        <v>Single</v>
      </c>
      <c r="P1082">
        <v>7.75</v>
      </c>
      <c r="Q1082" s="1" t="str" cm="1">
        <f t="array" ref="Q1082">_xlfn.IFS(P1082&lt;=50,"Low",P1082&lt;=100,"Medium",P1082&gt;100,"High")</f>
        <v>Low</v>
      </c>
      <c r="R1082" t="s">
        <v>463</v>
      </c>
      <c r="S1082" s="1" t="str" cm="1">
        <f t="array" ref="S1082">_xlfn.IFS(R1082="S","Southampton",R1082="C","Cherbourg",R1082="Q","Queenstown")</f>
        <v>Queenstown</v>
      </c>
    </row>
    <row r="1083" spans="1:19" x14ac:dyDescent="0.3">
      <c r="A1083">
        <v>1082</v>
      </c>
      <c r="B1083">
        <v>3</v>
      </c>
      <c r="C1083" s="1" t="str" cm="1">
        <f t="array" ref="C1083">_xlfn.IFS(B1083=1,"First Class",B1083=2,"Second Class",B1083=3,"Third Class")</f>
        <v>Third Class</v>
      </c>
      <c r="D1083">
        <v>1</v>
      </c>
      <c r="E1083" s="1" t="str">
        <f t="shared" si="64"/>
        <v>Alive</v>
      </c>
      <c r="F1083" t="s">
        <v>1841</v>
      </c>
      <c r="G1083" s="1" t="s">
        <v>2994</v>
      </c>
      <c r="H1083" t="s">
        <v>15</v>
      </c>
      <c r="I1083" s="1" t="str">
        <f t="shared" si="65"/>
        <v>Female</v>
      </c>
      <c r="J1083" s="3">
        <v>29.881137667304014</v>
      </c>
      <c r="K1083" s="3" t="str" cm="1">
        <f t="array" ref="K1083">_xlfn.IFS(J1083&lt;=13,"Child",J1083&lt;=18,"Teenager",J1083&lt;=30,"Young Adult",J1083&lt;=50,"Middle Aged Adult",J1083&gt;50,"Senior")</f>
        <v>Young Adult</v>
      </c>
      <c r="L1083">
        <v>0</v>
      </c>
      <c r="M1083">
        <v>0</v>
      </c>
      <c r="N1083" s="1">
        <f t="shared" si="66"/>
        <v>1</v>
      </c>
      <c r="O1083" s="1" t="str">
        <f t="shared" si="67"/>
        <v>Single</v>
      </c>
      <c r="P1083">
        <v>7.8292000000000002</v>
      </c>
      <c r="Q1083" s="1" t="str" cm="1">
        <f t="array" ref="Q1083">_xlfn.IFS(P1083&lt;=50,"Low",P1083&lt;=100,"Medium",P1083&gt;100,"High")</f>
        <v>Low</v>
      </c>
      <c r="R1083" t="s">
        <v>463</v>
      </c>
      <c r="S1083" s="1" t="str" cm="1">
        <f t="array" ref="S1083">_xlfn.IFS(R1083="S","Southampton",R1083="C","Cherbourg",R1083="Q","Queenstown")</f>
        <v>Queenstown</v>
      </c>
    </row>
    <row r="1084" spans="1:19" x14ac:dyDescent="0.3">
      <c r="A1084">
        <v>1083</v>
      </c>
      <c r="B1084">
        <v>3</v>
      </c>
      <c r="C1084" s="1" t="str" cm="1">
        <f t="array" ref="C1084">_xlfn.IFS(B1084=1,"First Class",B1084=2,"Second Class",B1084=3,"Third Class")</f>
        <v>Third Class</v>
      </c>
      <c r="D1084">
        <v>1</v>
      </c>
      <c r="E1084" s="1" t="str">
        <f t="shared" si="64"/>
        <v>Alive</v>
      </c>
      <c r="F1084" t="s">
        <v>1842</v>
      </c>
      <c r="G1084" s="1" t="s">
        <v>2996</v>
      </c>
      <c r="H1084" t="s">
        <v>20</v>
      </c>
      <c r="I1084" s="1" t="str">
        <f t="shared" si="65"/>
        <v>Male</v>
      </c>
      <c r="J1084" s="3">
        <v>9</v>
      </c>
      <c r="K1084" s="3" t="str" cm="1">
        <f t="array" ref="K1084">_xlfn.IFS(J1084&lt;=13,"Child",J1084&lt;=18,"Teenager",J1084&lt;=30,"Young Adult",J1084&lt;=50,"Middle Aged Adult",J1084&gt;50,"Senior")</f>
        <v>Child</v>
      </c>
      <c r="L1084">
        <v>0</v>
      </c>
      <c r="M1084">
        <v>1</v>
      </c>
      <c r="N1084" s="1">
        <f t="shared" si="66"/>
        <v>2</v>
      </c>
      <c r="O1084" s="1" t="str">
        <f t="shared" si="67"/>
        <v>With Family</v>
      </c>
      <c r="P1084">
        <v>3.1707999999999998</v>
      </c>
      <c r="Q1084" s="1" t="str" cm="1">
        <f t="array" ref="Q1084">_xlfn.IFS(P1084&lt;=50,"Low",P1084&lt;=100,"Medium",P1084&gt;100,"High")</f>
        <v>Low</v>
      </c>
      <c r="R1084" t="s">
        <v>17</v>
      </c>
      <c r="S1084" s="1" t="str" cm="1">
        <f t="array" ref="S1084">_xlfn.IFS(R1084="S","Southampton",R1084="C","Cherbourg",R1084="Q","Queenstown")</f>
        <v>Southampton</v>
      </c>
    </row>
    <row r="1085" spans="1:19" x14ac:dyDescent="0.3">
      <c r="A1085">
        <v>1084</v>
      </c>
      <c r="B1085">
        <v>3</v>
      </c>
      <c r="C1085" s="1" t="str" cm="1">
        <f t="array" ref="C1085">_xlfn.IFS(B1085=1,"First Class",B1085=2,"Second Class",B1085=3,"Third Class")</f>
        <v>Third Class</v>
      </c>
      <c r="D1085">
        <v>0</v>
      </c>
      <c r="E1085" s="1" t="str">
        <f t="shared" si="64"/>
        <v>Dead</v>
      </c>
      <c r="F1085" t="s">
        <v>1844</v>
      </c>
      <c r="G1085" s="1" t="s">
        <v>2999</v>
      </c>
      <c r="H1085" t="s">
        <v>20</v>
      </c>
      <c r="I1085" s="1" t="str">
        <f t="shared" si="65"/>
        <v>Male</v>
      </c>
      <c r="J1085" s="3">
        <v>28</v>
      </c>
      <c r="K1085" s="3" t="str" cm="1">
        <f t="array" ref="K1085">_xlfn.IFS(J1085&lt;=13,"Child",J1085&lt;=18,"Teenager",J1085&lt;=30,"Young Adult",J1085&lt;=50,"Middle Aged Adult",J1085&gt;50,"Senior")</f>
        <v>Young Adult</v>
      </c>
      <c r="L1085">
        <v>0</v>
      </c>
      <c r="M1085">
        <v>0</v>
      </c>
      <c r="N1085" s="1">
        <f t="shared" si="66"/>
        <v>1</v>
      </c>
      <c r="O1085" s="1" t="str">
        <f t="shared" si="67"/>
        <v>Single</v>
      </c>
      <c r="P1085">
        <v>22.524999999999999</v>
      </c>
      <c r="Q1085" s="1" t="str" cm="1">
        <f t="array" ref="Q1085">_xlfn.IFS(P1085&lt;=50,"Low",P1085&lt;=100,"Medium",P1085&gt;100,"High")</f>
        <v>Low</v>
      </c>
      <c r="R1085" t="s">
        <v>17</v>
      </c>
      <c r="S1085" s="1" t="str" cm="1">
        <f t="array" ref="S1085">_xlfn.IFS(R1085="S","Southampton",R1085="C","Cherbourg",R1085="Q","Queenstown")</f>
        <v>Southampton</v>
      </c>
    </row>
    <row r="1086" spans="1:19" x14ac:dyDescent="0.3">
      <c r="A1086">
        <v>1085</v>
      </c>
      <c r="B1086">
        <v>3</v>
      </c>
      <c r="C1086" s="1" t="str" cm="1">
        <f t="array" ref="C1086">_xlfn.IFS(B1086=1,"First Class",B1086=2,"Second Class",B1086=3,"Third Class")</f>
        <v>Third Class</v>
      </c>
      <c r="D1086">
        <v>0</v>
      </c>
      <c r="E1086" s="1" t="str">
        <f t="shared" si="64"/>
        <v>Dead</v>
      </c>
      <c r="F1086" t="s">
        <v>1845</v>
      </c>
      <c r="G1086" s="1" t="s">
        <v>2999</v>
      </c>
      <c r="H1086" t="s">
        <v>20</v>
      </c>
      <c r="I1086" s="1" t="str">
        <f t="shared" si="65"/>
        <v>Male</v>
      </c>
      <c r="J1086" s="3">
        <v>42</v>
      </c>
      <c r="K1086" s="3" t="str" cm="1">
        <f t="array" ref="K1086">_xlfn.IFS(J1086&lt;=13,"Child",J1086&lt;=18,"Teenager",J1086&lt;=30,"Young Adult",J1086&lt;=50,"Middle Aged Adult",J1086&gt;50,"Senior")</f>
        <v>Middle Aged Adult</v>
      </c>
      <c r="L1086">
        <v>0</v>
      </c>
      <c r="M1086">
        <v>1</v>
      </c>
      <c r="N1086" s="1">
        <f t="shared" si="66"/>
        <v>2</v>
      </c>
      <c r="O1086" s="1" t="str">
        <f t="shared" si="67"/>
        <v>With Family</v>
      </c>
      <c r="P1086">
        <v>8.4041999999999994</v>
      </c>
      <c r="Q1086" s="1" t="str" cm="1">
        <f t="array" ref="Q1086">_xlfn.IFS(P1086&lt;=50,"Low",P1086&lt;=100,"Medium",P1086&gt;100,"High")</f>
        <v>Low</v>
      </c>
      <c r="R1086" t="s">
        <v>17</v>
      </c>
      <c r="S1086" s="1" t="str" cm="1">
        <f t="array" ref="S1086">_xlfn.IFS(R1086="S","Southampton",R1086="C","Cherbourg",R1086="Q","Queenstown")</f>
        <v>Southampton</v>
      </c>
    </row>
    <row r="1087" spans="1:19" x14ac:dyDescent="0.3">
      <c r="A1087">
        <v>1086</v>
      </c>
      <c r="B1087">
        <v>3</v>
      </c>
      <c r="C1087" s="1" t="str" cm="1">
        <f t="array" ref="C1087">_xlfn.IFS(B1087=1,"First Class",B1087=2,"Second Class",B1087=3,"Third Class")</f>
        <v>Third Class</v>
      </c>
      <c r="D1087">
        <v>0</v>
      </c>
      <c r="E1087" s="1" t="str">
        <f t="shared" si="64"/>
        <v>Dead</v>
      </c>
      <c r="F1087" t="s">
        <v>1846</v>
      </c>
      <c r="G1087" s="1" t="s">
        <v>2999</v>
      </c>
      <c r="H1087" t="s">
        <v>20</v>
      </c>
      <c r="I1087" s="1" t="str">
        <f t="shared" si="65"/>
        <v>Male</v>
      </c>
      <c r="J1087" s="3">
        <v>29.881137667304014</v>
      </c>
      <c r="K1087" s="3" t="str" cm="1">
        <f t="array" ref="K1087">_xlfn.IFS(J1087&lt;=13,"Child",J1087&lt;=18,"Teenager",J1087&lt;=30,"Young Adult",J1087&lt;=50,"Middle Aged Adult",J1087&gt;50,"Senior")</f>
        <v>Young Adult</v>
      </c>
      <c r="L1087">
        <v>0</v>
      </c>
      <c r="M1087">
        <v>0</v>
      </c>
      <c r="N1087" s="1">
        <f t="shared" si="66"/>
        <v>1</v>
      </c>
      <c r="O1087" s="1" t="str">
        <f t="shared" si="67"/>
        <v>Single</v>
      </c>
      <c r="P1087">
        <v>7.3125</v>
      </c>
      <c r="Q1087" s="1" t="str" cm="1">
        <f t="array" ref="Q1087">_xlfn.IFS(P1087&lt;=50,"Low",P1087&lt;=100,"Medium",P1087&gt;100,"High")</f>
        <v>Low</v>
      </c>
      <c r="R1087" t="s">
        <v>17</v>
      </c>
      <c r="S1087" s="1" t="str" cm="1">
        <f t="array" ref="S1087">_xlfn.IFS(R1087="S","Southampton",R1087="C","Cherbourg",R1087="Q","Queenstown")</f>
        <v>Southampton</v>
      </c>
    </row>
    <row r="1088" spans="1:19" x14ac:dyDescent="0.3">
      <c r="A1088">
        <v>1087</v>
      </c>
      <c r="B1088">
        <v>3</v>
      </c>
      <c r="C1088" s="1" t="str" cm="1">
        <f t="array" ref="C1088">_xlfn.IFS(B1088=1,"First Class",B1088=2,"Second Class",B1088=3,"Third Class")</f>
        <v>Third Class</v>
      </c>
      <c r="D1088">
        <v>0</v>
      </c>
      <c r="E1088" s="1" t="str">
        <f t="shared" si="64"/>
        <v>Dead</v>
      </c>
      <c r="F1088" t="s">
        <v>1848</v>
      </c>
      <c r="G1088" s="1" t="s">
        <v>2994</v>
      </c>
      <c r="H1088" t="s">
        <v>15</v>
      </c>
      <c r="I1088" s="1" t="str">
        <f t="shared" si="65"/>
        <v>Female</v>
      </c>
      <c r="J1088" s="3">
        <v>31</v>
      </c>
      <c r="K1088" s="3" t="str" cm="1">
        <f t="array" ref="K1088">_xlfn.IFS(J1088&lt;=13,"Child",J1088&lt;=18,"Teenager",J1088&lt;=30,"Young Adult",J1088&lt;=50,"Middle Aged Adult",J1088&gt;50,"Senior")</f>
        <v>Middle Aged Adult</v>
      </c>
      <c r="L1088">
        <v>0</v>
      </c>
      <c r="M1088">
        <v>0</v>
      </c>
      <c r="N1088" s="1">
        <f t="shared" si="66"/>
        <v>1</v>
      </c>
      <c r="O1088" s="1" t="str">
        <f t="shared" si="67"/>
        <v>Single</v>
      </c>
      <c r="P1088">
        <v>7.8541999999999996</v>
      </c>
      <c r="Q1088" s="1" t="str" cm="1">
        <f t="array" ref="Q1088">_xlfn.IFS(P1088&lt;=50,"Low",P1088&lt;=100,"Medium",P1088&gt;100,"High")</f>
        <v>Low</v>
      </c>
      <c r="R1088" t="s">
        <v>17</v>
      </c>
      <c r="S1088" s="1" t="str" cm="1">
        <f t="array" ref="S1088">_xlfn.IFS(R1088="S","Southampton",R1088="C","Cherbourg",R1088="Q","Queenstown")</f>
        <v>Southampton</v>
      </c>
    </row>
    <row r="1089" spans="1:19" x14ac:dyDescent="0.3">
      <c r="A1089">
        <v>1088</v>
      </c>
      <c r="B1089">
        <v>3</v>
      </c>
      <c r="C1089" s="1" t="str" cm="1">
        <f t="array" ref="C1089">_xlfn.IFS(B1089=1,"First Class",B1089=2,"Second Class",B1089=3,"Third Class")</f>
        <v>Third Class</v>
      </c>
      <c r="D1089">
        <v>0</v>
      </c>
      <c r="E1089" s="1" t="str">
        <f t="shared" si="64"/>
        <v>Dead</v>
      </c>
      <c r="F1089" t="s">
        <v>1849</v>
      </c>
      <c r="G1089" s="1" t="s">
        <v>2999</v>
      </c>
      <c r="H1089" t="s">
        <v>20</v>
      </c>
      <c r="I1089" s="1" t="str">
        <f t="shared" si="65"/>
        <v>Male</v>
      </c>
      <c r="J1089" s="3">
        <v>28</v>
      </c>
      <c r="K1089" s="3" t="str" cm="1">
        <f t="array" ref="K1089">_xlfn.IFS(J1089&lt;=13,"Child",J1089&lt;=18,"Teenager",J1089&lt;=30,"Young Adult",J1089&lt;=50,"Middle Aged Adult",J1089&gt;50,"Senior")</f>
        <v>Young Adult</v>
      </c>
      <c r="L1089">
        <v>0</v>
      </c>
      <c r="M1089">
        <v>0</v>
      </c>
      <c r="N1089" s="1">
        <f t="shared" si="66"/>
        <v>1</v>
      </c>
      <c r="O1089" s="1" t="str">
        <f t="shared" si="67"/>
        <v>Single</v>
      </c>
      <c r="P1089">
        <v>7.8541999999999996</v>
      </c>
      <c r="Q1089" s="1" t="str" cm="1">
        <f t="array" ref="Q1089">_xlfn.IFS(P1089&lt;=50,"Low",P1089&lt;=100,"Medium",P1089&gt;100,"High")</f>
        <v>Low</v>
      </c>
      <c r="R1089" t="s">
        <v>17</v>
      </c>
      <c r="S1089" s="1" t="str" cm="1">
        <f t="array" ref="S1089">_xlfn.IFS(R1089="S","Southampton",R1089="C","Cherbourg",R1089="Q","Queenstown")</f>
        <v>Southampton</v>
      </c>
    </row>
    <row r="1090" spans="1:19" x14ac:dyDescent="0.3">
      <c r="A1090">
        <v>1089</v>
      </c>
      <c r="B1090">
        <v>3</v>
      </c>
      <c r="C1090" s="1" t="str" cm="1">
        <f t="array" ref="C1090">_xlfn.IFS(B1090=1,"First Class",B1090=2,"Second Class",B1090=3,"Third Class")</f>
        <v>Third Class</v>
      </c>
      <c r="D1090">
        <v>1</v>
      </c>
      <c r="E1090" s="1" t="str">
        <f t="shared" si="64"/>
        <v>Alive</v>
      </c>
      <c r="F1090" t="s">
        <v>1850</v>
      </c>
      <c r="G1090" s="1" t="s">
        <v>2999</v>
      </c>
      <c r="H1090" t="s">
        <v>20</v>
      </c>
      <c r="I1090" s="1" t="str">
        <f t="shared" si="65"/>
        <v>Male</v>
      </c>
      <c r="J1090" s="3">
        <v>32</v>
      </c>
      <c r="K1090" s="3" t="str" cm="1">
        <f t="array" ref="K1090">_xlfn.IFS(J1090&lt;=13,"Child",J1090&lt;=18,"Teenager",J1090&lt;=30,"Young Adult",J1090&lt;=50,"Middle Aged Adult",J1090&gt;50,"Senior")</f>
        <v>Middle Aged Adult</v>
      </c>
      <c r="L1090">
        <v>0</v>
      </c>
      <c r="M1090">
        <v>0</v>
      </c>
      <c r="N1090" s="1">
        <f t="shared" si="66"/>
        <v>1</v>
      </c>
      <c r="O1090" s="1" t="str">
        <f t="shared" si="67"/>
        <v>Single</v>
      </c>
      <c r="P1090">
        <v>7.7750000000000004</v>
      </c>
      <c r="Q1090" s="1" t="str" cm="1">
        <f t="array" ref="Q1090">_xlfn.IFS(P1090&lt;=50,"Low",P1090&lt;=100,"Medium",P1090&gt;100,"High")</f>
        <v>Low</v>
      </c>
      <c r="R1090" t="s">
        <v>17</v>
      </c>
      <c r="S1090" s="1" t="str" cm="1">
        <f t="array" ref="S1090">_xlfn.IFS(R1090="S","Southampton",R1090="C","Cherbourg",R1090="Q","Queenstown")</f>
        <v>Southampton</v>
      </c>
    </row>
    <row r="1091" spans="1:19" x14ac:dyDescent="0.3">
      <c r="A1091">
        <v>1090</v>
      </c>
      <c r="B1091">
        <v>3</v>
      </c>
      <c r="C1091" s="1" t="str" cm="1">
        <f t="array" ref="C1091">_xlfn.IFS(B1091=1,"First Class",B1091=2,"Second Class",B1091=3,"Third Class")</f>
        <v>Third Class</v>
      </c>
      <c r="D1091">
        <v>0</v>
      </c>
      <c r="E1091" s="1" t="str">
        <f t="shared" ref="E1091:E1154" si="68">IF(D1091=0,"Dead","Alive")</f>
        <v>Dead</v>
      </c>
      <c r="F1091" t="s">
        <v>1851</v>
      </c>
      <c r="G1091" s="1" t="s">
        <v>2999</v>
      </c>
      <c r="H1091" t="s">
        <v>20</v>
      </c>
      <c r="I1091" s="1" t="str">
        <f t="shared" ref="I1091:I1154" si="69">PROPER(H1091)</f>
        <v>Male</v>
      </c>
      <c r="J1091" s="3">
        <v>20</v>
      </c>
      <c r="K1091" s="3" t="str" cm="1">
        <f t="array" ref="K1091">_xlfn.IFS(J1091&lt;=13,"Child",J1091&lt;=18,"Teenager",J1091&lt;=30,"Young Adult",J1091&lt;=50,"Middle Aged Adult",J1091&gt;50,"Senior")</f>
        <v>Young Adult</v>
      </c>
      <c r="L1091">
        <v>0</v>
      </c>
      <c r="M1091">
        <v>0</v>
      </c>
      <c r="N1091" s="1">
        <f t="shared" ref="N1091:N1154" si="70">L1091+M1091+1</f>
        <v>1</v>
      </c>
      <c r="O1091" s="1" t="str">
        <f t="shared" ref="O1091:O1154" si="71">IF(N1091=1,"Single","With Family")</f>
        <v>Single</v>
      </c>
      <c r="P1091">
        <v>9.2249999999999996</v>
      </c>
      <c r="Q1091" s="1" t="str" cm="1">
        <f t="array" ref="Q1091">_xlfn.IFS(P1091&lt;=50,"Low",P1091&lt;=100,"Medium",P1091&gt;100,"High")</f>
        <v>Low</v>
      </c>
      <c r="R1091" t="s">
        <v>17</v>
      </c>
      <c r="S1091" s="1" t="str" cm="1">
        <f t="array" ref="S1091">_xlfn.IFS(R1091="S","Southampton",R1091="C","Cherbourg",R1091="Q","Queenstown")</f>
        <v>Southampton</v>
      </c>
    </row>
    <row r="1092" spans="1:19" x14ac:dyDescent="0.3">
      <c r="A1092">
        <v>1091</v>
      </c>
      <c r="B1092">
        <v>3</v>
      </c>
      <c r="C1092" s="1" t="str" cm="1">
        <f t="array" ref="C1092">_xlfn.IFS(B1092=1,"First Class",B1092=2,"Second Class",B1092=3,"Third Class")</f>
        <v>Third Class</v>
      </c>
      <c r="D1092">
        <v>0</v>
      </c>
      <c r="E1092" s="1" t="str">
        <f t="shared" si="68"/>
        <v>Dead</v>
      </c>
      <c r="F1092" t="s">
        <v>1853</v>
      </c>
      <c r="G1092" s="1" t="s">
        <v>2994</v>
      </c>
      <c r="H1092" t="s">
        <v>15</v>
      </c>
      <c r="I1092" s="1" t="str">
        <f t="shared" si="69"/>
        <v>Female</v>
      </c>
      <c r="J1092" s="3">
        <v>23</v>
      </c>
      <c r="K1092" s="3" t="str" cm="1">
        <f t="array" ref="K1092">_xlfn.IFS(J1092&lt;=13,"Child",J1092&lt;=18,"Teenager",J1092&lt;=30,"Young Adult",J1092&lt;=50,"Middle Aged Adult",J1092&gt;50,"Senior")</f>
        <v>Young Adult</v>
      </c>
      <c r="L1092">
        <v>0</v>
      </c>
      <c r="M1092">
        <v>0</v>
      </c>
      <c r="N1092" s="1">
        <f t="shared" si="70"/>
        <v>1</v>
      </c>
      <c r="O1092" s="1" t="str">
        <f t="shared" si="71"/>
        <v>Single</v>
      </c>
      <c r="P1092">
        <v>8.6624999999999996</v>
      </c>
      <c r="Q1092" s="1" t="str" cm="1">
        <f t="array" ref="Q1092">_xlfn.IFS(P1092&lt;=50,"Low",P1092&lt;=100,"Medium",P1092&gt;100,"High")</f>
        <v>Low</v>
      </c>
      <c r="R1092" t="s">
        <v>17</v>
      </c>
      <c r="S1092" s="1" t="str" cm="1">
        <f t="array" ref="S1092">_xlfn.IFS(R1092="S","Southampton",R1092="C","Cherbourg",R1092="Q","Queenstown")</f>
        <v>Southampton</v>
      </c>
    </row>
    <row r="1093" spans="1:19" x14ac:dyDescent="0.3">
      <c r="A1093">
        <v>1092</v>
      </c>
      <c r="B1093">
        <v>3</v>
      </c>
      <c r="C1093" s="1" t="str" cm="1">
        <f t="array" ref="C1093">_xlfn.IFS(B1093=1,"First Class",B1093=2,"Second Class",B1093=3,"Third Class")</f>
        <v>Third Class</v>
      </c>
      <c r="D1093">
        <v>0</v>
      </c>
      <c r="E1093" s="1" t="str">
        <f t="shared" si="68"/>
        <v>Dead</v>
      </c>
      <c r="F1093" t="s">
        <v>1854</v>
      </c>
      <c r="G1093" s="1" t="s">
        <v>2994</v>
      </c>
      <c r="H1093" t="s">
        <v>15</v>
      </c>
      <c r="I1093" s="1" t="str">
        <f t="shared" si="69"/>
        <v>Female</v>
      </c>
      <c r="J1093" s="3">
        <v>20</v>
      </c>
      <c r="K1093" s="3" t="str" cm="1">
        <f t="array" ref="K1093">_xlfn.IFS(J1093&lt;=13,"Child",J1093&lt;=18,"Teenager",J1093&lt;=30,"Young Adult",J1093&lt;=50,"Middle Aged Adult",J1093&gt;50,"Senior")</f>
        <v>Young Adult</v>
      </c>
      <c r="L1093">
        <v>0</v>
      </c>
      <c r="M1093">
        <v>0</v>
      </c>
      <c r="N1093" s="1">
        <f t="shared" si="70"/>
        <v>1</v>
      </c>
      <c r="O1093" s="1" t="str">
        <f t="shared" si="71"/>
        <v>Single</v>
      </c>
      <c r="P1093">
        <v>8.6624999999999996</v>
      </c>
      <c r="Q1093" s="1" t="str" cm="1">
        <f t="array" ref="Q1093">_xlfn.IFS(P1093&lt;=50,"Low",P1093&lt;=100,"Medium",P1093&gt;100,"High")</f>
        <v>Low</v>
      </c>
      <c r="R1093" t="s">
        <v>17</v>
      </c>
      <c r="S1093" s="1" t="str" cm="1">
        <f t="array" ref="S1093">_xlfn.IFS(R1093="S","Southampton",R1093="C","Cherbourg",R1093="Q","Queenstown")</f>
        <v>Southampton</v>
      </c>
    </row>
    <row r="1094" spans="1:19" x14ac:dyDescent="0.3">
      <c r="A1094">
        <v>1093</v>
      </c>
      <c r="B1094">
        <v>3</v>
      </c>
      <c r="C1094" s="1" t="str" cm="1">
        <f t="array" ref="C1094">_xlfn.IFS(B1094=1,"First Class",B1094=2,"Second Class",B1094=3,"Third Class")</f>
        <v>Third Class</v>
      </c>
      <c r="D1094">
        <v>0</v>
      </c>
      <c r="E1094" s="1" t="str">
        <f t="shared" si="68"/>
        <v>Dead</v>
      </c>
      <c r="F1094" t="s">
        <v>1855</v>
      </c>
      <c r="G1094" s="1" t="s">
        <v>2999</v>
      </c>
      <c r="H1094" t="s">
        <v>20</v>
      </c>
      <c r="I1094" s="1" t="str">
        <f t="shared" si="69"/>
        <v>Male</v>
      </c>
      <c r="J1094" s="3">
        <v>20</v>
      </c>
      <c r="K1094" s="3" t="str" cm="1">
        <f t="array" ref="K1094">_xlfn.IFS(J1094&lt;=13,"Child",J1094&lt;=18,"Teenager",J1094&lt;=30,"Young Adult",J1094&lt;=50,"Middle Aged Adult",J1094&gt;50,"Senior")</f>
        <v>Young Adult</v>
      </c>
      <c r="L1094">
        <v>0</v>
      </c>
      <c r="M1094">
        <v>0</v>
      </c>
      <c r="N1094" s="1">
        <f t="shared" si="70"/>
        <v>1</v>
      </c>
      <c r="O1094" s="1" t="str">
        <f t="shared" si="71"/>
        <v>Single</v>
      </c>
      <c r="P1094">
        <v>8.6624999999999996</v>
      </c>
      <c r="Q1094" s="1" t="str" cm="1">
        <f t="array" ref="Q1094">_xlfn.IFS(P1094&lt;=50,"Low",P1094&lt;=100,"Medium",P1094&gt;100,"High")</f>
        <v>Low</v>
      </c>
      <c r="R1094" t="s">
        <v>17</v>
      </c>
      <c r="S1094" s="1" t="str" cm="1">
        <f t="array" ref="S1094">_xlfn.IFS(R1094="S","Southampton",R1094="C","Cherbourg",R1094="Q","Queenstown")</f>
        <v>Southampton</v>
      </c>
    </row>
    <row r="1095" spans="1:19" x14ac:dyDescent="0.3">
      <c r="A1095">
        <v>1094</v>
      </c>
      <c r="B1095">
        <v>3</v>
      </c>
      <c r="C1095" s="1" t="str" cm="1">
        <f t="array" ref="C1095">_xlfn.IFS(B1095=1,"First Class",B1095=2,"Second Class",B1095=3,"Third Class")</f>
        <v>Third Class</v>
      </c>
      <c r="D1095">
        <v>0</v>
      </c>
      <c r="E1095" s="1" t="str">
        <f t="shared" si="68"/>
        <v>Dead</v>
      </c>
      <c r="F1095" t="s">
        <v>1856</v>
      </c>
      <c r="G1095" s="1" t="s">
        <v>2999</v>
      </c>
      <c r="H1095" t="s">
        <v>20</v>
      </c>
      <c r="I1095" s="1" t="str">
        <f t="shared" si="69"/>
        <v>Male</v>
      </c>
      <c r="J1095" s="3">
        <v>16</v>
      </c>
      <c r="K1095" s="3" t="str" cm="1">
        <f t="array" ref="K1095">_xlfn.IFS(J1095&lt;=13,"Child",J1095&lt;=18,"Teenager",J1095&lt;=30,"Young Adult",J1095&lt;=50,"Middle Aged Adult",J1095&gt;50,"Senior")</f>
        <v>Teenager</v>
      </c>
      <c r="L1095">
        <v>0</v>
      </c>
      <c r="M1095">
        <v>0</v>
      </c>
      <c r="N1095" s="1">
        <f t="shared" si="70"/>
        <v>1</v>
      </c>
      <c r="O1095" s="1" t="str">
        <f t="shared" si="71"/>
        <v>Single</v>
      </c>
      <c r="P1095">
        <v>9.2166999999999994</v>
      </c>
      <c r="Q1095" s="1" t="str" cm="1">
        <f t="array" ref="Q1095">_xlfn.IFS(P1095&lt;=50,"Low",P1095&lt;=100,"Medium",P1095&gt;100,"High")</f>
        <v>Low</v>
      </c>
      <c r="R1095" t="s">
        <v>17</v>
      </c>
      <c r="S1095" s="1" t="str" cm="1">
        <f t="array" ref="S1095">_xlfn.IFS(R1095="S","Southampton",R1095="C","Cherbourg",R1095="Q","Queenstown")</f>
        <v>Southampton</v>
      </c>
    </row>
    <row r="1096" spans="1:19" x14ac:dyDescent="0.3">
      <c r="A1096">
        <v>1095</v>
      </c>
      <c r="B1096">
        <v>3</v>
      </c>
      <c r="C1096" s="1" t="str" cm="1">
        <f t="array" ref="C1096">_xlfn.IFS(B1096=1,"First Class",B1096=2,"Second Class",B1096=3,"Third Class")</f>
        <v>Third Class</v>
      </c>
      <c r="D1096">
        <v>1</v>
      </c>
      <c r="E1096" s="1" t="str">
        <f t="shared" si="68"/>
        <v>Alive</v>
      </c>
      <c r="F1096" t="s">
        <v>1857</v>
      </c>
      <c r="G1096" s="1" t="s">
        <v>3001</v>
      </c>
      <c r="H1096" t="s">
        <v>15</v>
      </c>
      <c r="I1096" s="1" t="str">
        <f t="shared" si="69"/>
        <v>Female</v>
      </c>
      <c r="J1096" s="3">
        <v>31</v>
      </c>
      <c r="K1096" s="3" t="str" cm="1">
        <f t="array" ref="K1096">_xlfn.IFS(J1096&lt;=13,"Child",J1096&lt;=18,"Teenager",J1096&lt;=30,"Young Adult",J1096&lt;=50,"Middle Aged Adult",J1096&gt;50,"Senior")</f>
        <v>Middle Aged Adult</v>
      </c>
      <c r="L1096">
        <v>0</v>
      </c>
      <c r="M1096">
        <v>0</v>
      </c>
      <c r="N1096" s="1">
        <f t="shared" si="70"/>
        <v>1</v>
      </c>
      <c r="O1096" s="1" t="str">
        <f t="shared" si="71"/>
        <v>Single</v>
      </c>
      <c r="P1096">
        <v>8.6832999999999991</v>
      </c>
      <c r="Q1096" s="1" t="str" cm="1">
        <f t="array" ref="Q1096">_xlfn.IFS(P1096&lt;=50,"Low",P1096&lt;=100,"Medium",P1096&gt;100,"High")</f>
        <v>Low</v>
      </c>
      <c r="R1096" t="s">
        <v>17</v>
      </c>
      <c r="S1096" s="1" t="str" cm="1">
        <f t="array" ref="S1096">_xlfn.IFS(R1096="S","Southampton",R1096="C","Cherbourg",R1096="Q","Queenstown")</f>
        <v>Southampton</v>
      </c>
    </row>
    <row r="1097" spans="1:19" x14ac:dyDescent="0.3">
      <c r="A1097">
        <v>1096</v>
      </c>
      <c r="B1097">
        <v>3</v>
      </c>
      <c r="C1097" s="1" t="str" cm="1">
        <f t="array" ref="C1097">_xlfn.IFS(B1097=1,"First Class",B1097=2,"Second Class",B1097=3,"Third Class")</f>
        <v>Third Class</v>
      </c>
      <c r="D1097">
        <v>0</v>
      </c>
      <c r="E1097" s="1" t="str">
        <f t="shared" si="68"/>
        <v>Dead</v>
      </c>
      <c r="F1097" t="s">
        <v>1858</v>
      </c>
      <c r="G1097" s="1" t="s">
        <v>2994</v>
      </c>
      <c r="H1097" t="s">
        <v>15</v>
      </c>
      <c r="I1097" s="1" t="str">
        <f t="shared" si="69"/>
        <v>Female</v>
      </c>
      <c r="J1097" s="3">
        <v>29.881137667304014</v>
      </c>
      <c r="K1097" s="3" t="str" cm="1">
        <f t="array" ref="K1097">_xlfn.IFS(J1097&lt;=13,"Child",J1097&lt;=18,"Teenager",J1097&lt;=30,"Young Adult",J1097&lt;=50,"Middle Aged Adult",J1097&gt;50,"Senior")</f>
        <v>Young Adult</v>
      </c>
      <c r="L1097">
        <v>0</v>
      </c>
      <c r="M1097">
        <v>0</v>
      </c>
      <c r="N1097" s="1">
        <f t="shared" si="70"/>
        <v>1</v>
      </c>
      <c r="O1097" s="1" t="str">
        <f t="shared" si="71"/>
        <v>Single</v>
      </c>
      <c r="P1097">
        <v>7.6292</v>
      </c>
      <c r="Q1097" s="1" t="str" cm="1">
        <f t="array" ref="Q1097">_xlfn.IFS(P1097&lt;=50,"Low",P1097&lt;=100,"Medium",P1097&gt;100,"High")</f>
        <v>Low</v>
      </c>
      <c r="R1097" t="s">
        <v>463</v>
      </c>
      <c r="S1097" s="1" t="str" cm="1">
        <f t="array" ref="S1097">_xlfn.IFS(R1097="S","Southampton",R1097="C","Cherbourg",R1097="Q","Queenstown")</f>
        <v>Queenstown</v>
      </c>
    </row>
    <row r="1098" spans="1:19" x14ac:dyDescent="0.3">
      <c r="A1098">
        <v>1097</v>
      </c>
      <c r="B1098">
        <v>3</v>
      </c>
      <c r="C1098" s="1" t="str" cm="1">
        <f t="array" ref="C1098">_xlfn.IFS(B1098=1,"First Class",B1098=2,"Second Class",B1098=3,"Third Class")</f>
        <v>Third Class</v>
      </c>
      <c r="D1098">
        <v>0</v>
      </c>
      <c r="E1098" s="1" t="str">
        <f t="shared" si="68"/>
        <v>Dead</v>
      </c>
      <c r="F1098" t="s">
        <v>1859</v>
      </c>
      <c r="G1098" s="1" t="s">
        <v>2996</v>
      </c>
      <c r="H1098" t="s">
        <v>20</v>
      </c>
      <c r="I1098" s="1" t="str">
        <f t="shared" si="69"/>
        <v>Male</v>
      </c>
      <c r="J1098" s="3">
        <v>2</v>
      </c>
      <c r="K1098" s="3" t="str" cm="1">
        <f t="array" ref="K1098">_xlfn.IFS(J1098&lt;=13,"Child",J1098&lt;=18,"Teenager",J1098&lt;=30,"Young Adult",J1098&lt;=50,"Middle Aged Adult",J1098&gt;50,"Senior")</f>
        <v>Child</v>
      </c>
      <c r="L1098">
        <v>3</v>
      </c>
      <c r="M1098">
        <v>1</v>
      </c>
      <c r="N1098" s="1">
        <f t="shared" si="70"/>
        <v>5</v>
      </c>
      <c r="O1098" s="1" t="str">
        <f t="shared" si="71"/>
        <v>With Family</v>
      </c>
      <c r="P1098">
        <v>21.074999999999999</v>
      </c>
      <c r="Q1098" s="1" t="str" cm="1">
        <f t="array" ref="Q1098">_xlfn.IFS(P1098&lt;=50,"Low",P1098&lt;=100,"Medium",P1098&gt;100,"High")</f>
        <v>Low</v>
      </c>
      <c r="R1098" t="s">
        <v>17</v>
      </c>
      <c r="S1098" s="1" t="str" cm="1">
        <f t="array" ref="S1098">_xlfn.IFS(R1098="S","Southampton",R1098="C","Cherbourg",R1098="Q","Queenstown")</f>
        <v>Southampton</v>
      </c>
    </row>
    <row r="1099" spans="1:19" x14ac:dyDescent="0.3">
      <c r="A1099">
        <v>1098</v>
      </c>
      <c r="B1099">
        <v>3</v>
      </c>
      <c r="C1099" s="1" t="str" cm="1">
        <f t="array" ref="C1099">_xlfn.IFS(B1099=1,"First Class",B1099=2,"Second Class",B1099=3,"Third Class")</f>
        <v>Third Class</v>
      </c>
      <c r="D1099">
        <v>0</v>
      </c>
      <c r="E1099" s="1" t="str">
        <f t="shared" si="68"/>
        <v>Dead</v>
      </c>
      <c r="F1099" t="s">
        <v>1860</v>
      </c>
      <c r="G1099" s="1" t="s">
        <v>2996</v>
      </c>
      <c r="H1099" t="s">
        <v>20</v>
      </c>
      <c r="I1099" s="1" t="str">
        <f t="shared" si="69"/>
        <v>Male</v>
      </c>
      <c r="J1099" s="3">
        <v>6</v>
      </c>
      <c r="K1099" s="3" t="str" cm="1">
        <f t="array" ref="K1099">_xlfn.IFS(J1099&lt;=13,"Child",J1099&lt;=18,"Teenager",J1099&lt;=30,"Young Adult",J1099&lt;=50,"Middle Aged Adult",J1099&gt;50,"Senior")</f>
        <v>Child</v>
      </c>
      <c r="L1099">
        <v>3</v>
      </c>
      <c r="M1099">
        <v>1</v>
      </c>
      <c r="N1099" s="1">
        <f t="shared" si="70"/>
        <v>5</v>
      </c>
      <c r="O1099" s="1" t="str">
        <f t="shared" si="71"/>
        <v>With Family</v>
      </c>
      <c r="P1099">
        <v>21.074999999999999</v>
      </c>
      <c r="Q1099" s="1" t="str" cm="1">
        <f t="array" ref="Q1099">_xlfn.IFS(P1099&lt;=50,"Low",P1099&lt;=100,"Medium",P1099&gt;100,"High")</f>
        <v>Low</v>
      </c>
      <c r="R1099" t="s">
        <v>17</v>
      </c>
      <c r="S1099" s="1" t="str" cm="1">
        <f t="array" ref="S1099">_xlfn.IFS(R1099="S","Southampton",R1099="C","Cherbourg",R1099="Q","Queenstown")</f>
        <v>Southampton</v>
      </c>
    </row>
    <row r="1100" spans="1:19" x14ac:dyDescent="0.3">
      <c r="A1100">
        <v>1099</v>
      </c>
      <c r="B1100">
        <v>3</v>
      </c>
      <c r="C1100" s="1" t="str" cm="1">
        <f t="array" ref="C1100">_xlfn.IFS(B1100=1,"First Class",B1100=2,"Second Class",B1100=3,"Third Class")</f>
        <v>Third Class</v>
      </c>
      <c r="D1100">
        <v>0</v>
      </c>
      <c r="E1100" s="1" t="str">
        <f t="shared" si="68"/>
        <v>Dead</v>
      </c>
      <c r="F1100" t="s">
        <v>1861</v>
      </c>
      <c r="G1100" s="1" t="s">
        <v>2994</v>
      </c>
      <c r="H1100" t="s">
        <v>15</v>
      </c>
      <c r="I1100" s="1" t="str">
        <f t="shared" si="69"/>
        <v>Female</v>
      </c>
      <c r="J1100" s="3">
        <v>3</v>
      </c>
      <c r="K1100" s="3" t="str" cm="1">
        <f t="array" ref="K1100">_xlfn.IFS(J1100&lt;=13,"Child",J1100&lt;=18,"Teenager",J1100&lt;=30,"Young Adult",J1100&lt;=50,"Middle Aged Adult",J1100&gt;50,"Senior")</f>
        <v>Child</v>
      </c>
      <c r="L1100">
        <v>3</v>
      </c>
      <c r="M1100">
        <v>1</v>
      </c>
      <c r="N1100" s="1">
        <f t="shared" si="70"/>
        <v>5</v>
      </c>
      <c r="O1100" s="1" t="str">
        <f t="shared" si="71"/>
        <v>With Family</v>
      </c>
      <c r="P1100">
        <v>21.074999999999999</v>
      </c>
      <c r="Q1100" s="1" t="str" cm="1">
        <f t="array" ref="Q1100">_xlfn.IFS(P1100&lt;=50,"Low",P1100&lt;=100,"Medium",P1100&gt;100,"High")</f>
        <v>Low</v>
      </c>
      <c r="R1100" t="s">
        <v>17</v>
      </c>
      <c r="S1100" s="1" t="str" cm="1">
        <f t="array" ref="S1100">_xlfn.IFS(R1100="S","Southampton",R1100="C","Cherbourg",R1100="Q","Queenstown")</f>
        <v>Southampton</v>
      </c>
    </row>
    <row r="1101" spans="1:19" x14ac:dyDescent="0.3">
      <c r="A1101">
        <v>1100</v>
      </c>
      <c r="B1101">
        <v>3</v>
      </c>
      <c r="C1101" s="1" t="str" cm="1">
        <f t="array" ref="C1101">_xlfn.IFS(B1101=1,"First Class",B1101=2,"Second Class",B1101=3,"Third Class")</f>
        <v>Third Class</v>
      </c>
      <c r="D1101">
        <v>0</v>
      </c>
      <c r="E1101" s="1" t="str">
        <f t="shared" si="68"/>
        <v>Dead</v>
      </c>
      <c r="F1101" t="s">
        <v>1862</v>
      </c>
      <c r="G1101" s="1" t="s">
        <v>2994</v>
      </c>
      <c r="H1101" t="s">
        <v>15</v>
      </c>
      <c r="I1101" s="1" t="str">
        <f t="shared" si="69"/>
        <v>Female</v>
      </c>
      <c r="J1101" s="3">
        <v>8</v>
      </c>
      <c r="K1101" s="3" t="str" cm="1">
        <f t="array" ref="K1101">_xlfn.IFS(J1101&lt;=13,"Child",J1101&lt;=18,"Teenager",J1101&lt;=30,"Young Adult",J1101&lt;=50,"Middle Aged Adult",J1101&gt;50,"Senior")</f>
        <v>Child</v>
      </c>
      <c r="L1101">
        <v>3</v>
      </c>
      <c r="M1101">
        <v>1</v>
      </c>
      <c r="N1101" s="1">
        <f t="shared" si="70"/>
        <v>5</v>
      </c>
      <c r="O1101" s="1" t="str">
        <f t="shared" si="71"/>
        <v>With Family</v>
      </c>
      <c r="P1101">
        <v>21.074999999999999</v>
      </c>
      <c r="Q1101" s="1" t="str" cm="1">
        <f t="array" ref="Q1101">_xlfn.IFS(P1101&lt;=50,"Low",P1101&lt;=100,"Medium",P1101&gt;100,"High")</f>
        <v>Low</v>
      </c>
      <c r="R1101" t="s">
        <v>17</v>
      </c>
      <c r="S1101" s="1" t="str" cm="1">
        <f t="array" ref="S1101">_xlfn.IFS(R1101="S","Southampton",R1101="C","Cherbourg",R1101="Q","Queenstown")</f>
        <v>Southampton</v>
      </c>
    </row>
    <row r="1102" spans="1:19" x14ac:dyDescent="0.3">
      <c r="A1102">
        <v>1101</v>
      </c>
      <c r="B1102">
        <v>3</v>
      </c>
      <c r="C1102" s="1" t="str" cm="1">
        <f t="array" ref="C1102">_xlfn.IFS(B1102=1,"First Class",B1102=2,"Second Class",B1102=3,"Third Class")</f>
        <v>Third Class</v>
      </c>
      <c r="D1102">
        <v>0</v>
      </c>
      <c r="E1102" s="1" t="str">
        <f t="shared" si="68"/>
        <v>Dead</v>
      </c>
      <c r="F1102" t="s">
        <v>1863</v>
      </c>
      <c r="G1102" s="1" t="s">
        <v>3001</v>
      </c>
      <c r="H1102" t="s">
        <v>15</v>
      </c>
      <c r="I1102" s="1" t="str">
        <f t="shared" si="69"/>
        <v>Female</v>
      </c>
      <c r="J1102" s="3">
        <v>29</v>
      </c>
      <c r="K1102" s="3" t="str" cm="1">
        <f t="array" ref="K1102">_xlfn.IFS(J1102&lt;=13,"Child",J1102&lt;=18,"Teenager",J1102&lt;=30,"Young Adult",J1102&lt;=50,"Middle Aged Adult",J1102&gt;50,"Senior")</f>
        <v>Young Adult</v>
      </c>
      <c r="L1102">
        <v>0</v>
      </c>
      <c r="M1102">
        <v>4</v>
      </c>
      <c r="N1102" s="1">
        <f t="shared" si="70"/>
        <v>5</v>
      </c>
      <c r="O1102" s="1" t="str">
        <f t="shared" si="71"/>
        <v>With Family</v>
      </c>
      <c r="P1102">
        <v>21.074999999999999</v>
      </c>
      <c r="Q1102" s="1" t="str" cm="1">
        <f t="array" ref="Q1102">_xlfn.IFS(P1102&lt;=50,"Low",P1102&lt;=100,"Medium",P1102&gt;100,"High")</f>
        <v>Low</v>
      </c>
      <c r="R1102" t="s">
        <v>17</v>
      </c>
      <c r="S1102" s="1" t="str" cm="1">
        <f t="array" ref="S1102">_xlfn.IFS(R1102="S","Southampton",R1102="C","Cherbourg",R1102="Q","Queenstown")</f>
        <v>Southampton</v>
      </c>
    </row>
    <row r="1103" spans="1:19" x14ac:dyDescent="0.3">
      <c r="A1103">
        <v>1102</v>
      </c>
      <c r="B1103">
        <v>3</v>
      </c>
      <c r="C1103" s="1" t="str" cm="1">
        <f t="array" ref="C1103">_xlfn.IFS(B1103=1,"First Class",B1103=2,"Second Class",B1103=3,"Third Class")</f>
        <v>Third Class</v>
      </c>
      <c r="D1103">
        <v>0</v>
      </c>
      <c r="E1103" s="1" t="str">
        <f t="shared" si="68"/>
        <v>Dead</v>
      </c>
      <c r="F1103" t="s">
        <v>1864</v>
      </c>
      <c r="G1103" s="1" t="s">
        <v>2996</v>
      </c>
      <c r="H1103" t="s">
        <v>20</v>
      </c>
      <c r="I1103" s="1" t="str">
        <f t="shared" si="69"/>
        <v>Male</v>
      </c>
      <c r="J1103" s="3">
        <v>1</v>
      </c>
      <c r="K1103" s="3" t="str" cm="1">
        <f t="array" ref="K1103">_xlfn.IFS(J1103&lt;=13,"Child",J1103&lt;=18,"Teenager",J1103&lt;=30,"Young Adult",J1103&lt;=50,"Middle Aged Adult",J1103&gt;50,"Senior")</f>
        <v>Child</v>
      </c>
      <c r="L1103">
        <v>4</v>
      </c>
      <c r="M1103">
        <v>1</v>
      </c>
      <c r="N1103" s="1">
        <f t="shared" si="70"/>
        <v>6</v>
      </c>
      <c r="O1103" s="1" t="str">
        <f t="shared" si="71"/>
        <v>With Family</v>
      </c>
      <c r="P1103">
        <v>39.6875</v>
      </c>
      <c r="Q1103" s="1" t="str" cm="1">
        <f t="array" ref="Q1103">_xlfn.IFS(P1103&lt;=50,"Low",P1103&lt;=100,"Medium",P1103&gt;100,"High")</f>
        <v>Low</v>
      </c>
      <c r="R1103" t="s">
        <v>17</v>
      </c>
      <c r="S1103" s="1" t="str" cm="1">
        <f t="array" ref="S1103">_xlfn.IFS(R1103="S","Southampton",R1103="C","Cherbourg",R1103="Q","Queenstown")</f>
        <v>Southampton</v>
      </c>
    </row>
    <row r="1104" spans="1:19" x14ac:dyDescent="0.3">
      <c r="A1104">
        <v>1103</v>
      </c>
      <c r="B1104">
        <v>3</v>
      </c>
      <c r="C1104" s="1" t="str" cm="1">
        <f t="array" ref="C1104">_xlfn.IFS(B1104=1,"First Class",B1104=2,"Second Class",B1104=3,"Third Class")</f>
        <v>Third Class</v>
      </c>
      <c r="D1104">
        <v>0</v>
      </c>
      <c r="E1104" s="1" t="str">
        <f t="shared" si="68"/>
        <v>Dead</v>
      </c>
      <c r="F1104" t="s">
        <v>1865</v>
      </c>
      <c r="G1104" s="1" t="s">
        <v>2996</v>
      </c>
      <c r="H1104" t="s">
        <v>20</v>
      </c>
      <c r="I1104" s="1" t="str">
        <f t="shared" si="69"/>
        <v>Male</v>
      </c>
      <c r="J1104" s="3">
        <v>7</v>
      </c>
      <c r="K1104" s="3" t="str" cm="1">
        <f t="array" ref="K1104">_xlfn.IFS(J1104&lt;=13,"Child",J1104&lt;=18,"Teenager",J1104&lt;=30,"Young Adult",J1104&lt;=50,"Middle Aged Adult",J1104&gt;50,"Senior")</f>
        <v>Child</v>
      </c>
      <c r="L1104">
        <v>4</v>
      </c>
      <c r="M1104">
        <v>1</v>
      </c>
      <c r="N1104" s="1">
        <f t="shared" si="70"/>
        <v>6</v>
      </c>
      <c r="O1104" s="1" t="str">
        <f t="shared" si="71"/>
        <v>With Family</v>
      </c>
      <c r="P1104">
        <v>39.6875</v>
      </c>
      <c r="Q1104" s="1" t="str" cm="1">
        <f t="array" ref="Q1104">_xlfn.IFS(P1104&lt;=50,"Low",P1104&lt;=100,"Medium",P1104&gt;100,"High")</f>
        <v>Low</v>
      </c>
      <c r="R1104" t="s">
        <v>17</v>
      </c>
      <c r="S1104" s="1" t="str" cm="1">
        <f t="array" ref="S1104">_xlfn.IFS(R1104="S","Southampton",R1104="C","Cherbourg",R1104="Q","Queenstown")</f>
        <v>Southampton</v>
      </c>
    </row>
    <row r="1105" spans="1:19" x14ac:dyDescent="0.3">
      <c r="A1105">
        <v>1104</v>
      </c>
      <c r="B1105">
        <v>3</v>
      </c>
      <c r="C1105" s="1" t="str" cm="1">
        <f t="array" ref="C1105">_xlfn.IFS(B1105=1,"First Class",B1105=2,"Second Class",B1105=3,"Third Class")</f>
        <v>Third Class</v>
      </c>
      <c r="D1105">
        <v>0</v>
      </c>
      <c r="E1105" s="1" t="str">
        <f t="shared" si="68"/>
        <v>Dead</v>
      </c>
      <c r="F1105" t="s">
        <v>1866</v>
      </c>
      <c r="G1105" s="1" t="s">
        <v>2996</v>
      </c>
      <c r="H1105" t="s">
        <v>20</v>
      </c>
      <c r="I1105" s="1" t="str">
        <f t="shared" si="69"/>
        <v>Male</v>
      </c>
      <c r="J1105" s="3">
        <v>2</v>
      </c>
      <c r="K1105" s="3" t="str" cm="1">
        <f t="array" ref="K1105">_xlfn.IFS(J1105&lt;=13,"Child",J1105&lt;=18,"Teenager",J1105&lt;=30,"Young Adult",J1105&lt;=50,"Middle Aged Adult",J1105&gt;50,"Senior")</f>
        <v>Child</v>
      </c>
      <c r="L1105">
        <v>4</v>
      </c>
      <c r="M1105">
        <v>1</v>
      </c>
      <c r="N1105" s="1">
        <f t="shared" si="70"/>
        <v>6</v>
      </c>
      <c r="O1105" s="1" t="str">
        <f t="shared" si="71"/>
        <v>With Family</v>
      </c>
      <c r="P1105">
        <v>39.6875</v>
      </c>
      <c r="Q1105" s="1" t="str" cm="1">
        <f t="array" ref="Q1105">_xlfn.IFS(P1105&lt;=50,"Low",P1105&lt;=100,"Medium",P1105&gt;100,"High")</f>
        <v>Low</v>
      </c>
      <c r="R1105" t="s">
        <v>17</v>
      </c>
      <c r="S1105" s="1" t="str" cm="1">
        <f t="array" ref="S1105">_xlfn.IFS(R1105="S","Southampton",R1105="C","Cherbourg",R1105="Q","Queenstown")</f>
        <v>Southampton</v>
      </c>
    </row>
    <row r="1106" spans="1:19" x14ac:dyDescent="0.3">
      <c r="A1106">
        <v>1105</v>
      </c>
      <c r="B1106">
        <v>3</v>
      </c>
      <c r="C1106" s="1" t="str" cm="1">
        <f t="array" ref="C1106">_xlfn.IFS(B1106=1,"First Class",B1106=2,"Second Class",B1106=3,"Third Class")</f>
        <v>Third Class</v>
      </c>
      <c r="D1106">
        <v>0</v>
      </c>
      <c r="E1106" s="1" t="str">
        <f t="shared" si="68"/>
        <v>Dead</v>
      </c>
      <c r="F1106" t="s">
        <v>1867</v>
      </c>
      <c r="G1106" s="1" t="s">
        <v>2999</v>
      </c>
      <c r="H1106" t="s">
        <v>20</v>
      </c>
      <c r="I1106" s="1" t="str">
        <f t="shared" si="69"/>
        <v>Male</v>
      </c>
      <c r="J1106" s="3">
        <v>16</v>
      </c>
      <c r="K1106" s="3" t="str" cm="1">
        <f t="array" ref="K1106">_xlfn.IFS(J1106&lt;=13,"Child",J1106&lt;=18,"Teenager",J1106&lt;=30,"Young Adult",J1106&lt;=50,"Middle Aged Adult",J1106&gt;50,"Senior")</f>
        <v>Teenager</v>
      </c>
      <c r="L1106">
        <v>4</v>
      </c>
      <c r="M1106">
        <v>1</v>
      </c>
      <c r="N1106" s="1">
        <f t="shared" si="70"/>
        <v>6</v>
      </c>
      <c r="O1106" s="1" t="str">
        <f t="shared" si="71"/>
        <v>With Family</v>
      </c>
      <c r="P1106">
        <v>39.6875</v>
      </c>
      <c r="Q1106" s="1" t="str" cm="1">
        <f t="array" ref="Q1106">_xlfn.IFS(P1106&lt;=50,"Low",P1106&lt;=100,"Medium",P1106&gt;100,"High")</f>
        <v>Low</v>
      </c>
      <c r="R1106" t="s">
        <v>17</v>
      </c>
      <c r="S1106" s="1" t="str" cm="1">
        <f t="array" ref="S1106">_xlfn.IFS(R1106="S","Southampton",R1106="C","Cherbourg",R1106="Q","Queenstown")</f>
        <v>Southampton</v>
      </c>
    </row>
    <row r="1107" spans="1:19" x14ac:dyDescent="0.3">
      <c r="A1107">
        <v>1106</v>
      </c>
      <c r="B1107">
        <v>3</v>
      </c>
      <c r="C1107" s="1" t="str" cm="1">
        <f t="array" ref="C1107">_xlfn.IFS(B1107=1,"First Class",B1107=2,"Second Class",B1107=3,"Third Class")</f>
        <v>Third Class</v>
      </c>
      <c r="D1107">
        <v>0</v>
      </c>
      <c r="E1107" s="1" t="str">
        <f t="shared" si="68"/>
        <v>Dead</v>
      </c>
      <c r="F1107" t="s">
        <v>1868</v>
      </c>
      <c r="G1107" s="1" t="s">
        <v>2999</v>
      </c>
      <c r="H1107" t="s">
        <v>20</v>
      </c>
      <c r="I1107" s="1" t="str">
        <f t="shared" si="69"/>
        <v>Male</v>
      </c>
      <c r="J1107" s="3">
        <v>14</v>
      </c>
      <c r="K1107" s="3" t="str" cm="1">
        <f t="array" ref="K1107">_xlfn.IFS(J1107&lt;=13,"Child",J1107&lt;=18,"Teenager",J1107&lt;=30,"Young Adult",J1107&lt;=50,"Middle Aged Adult",J1107&gt;50,"Senior")</f>
        <v>Teenager</v>
      </c>
      <c r="L1107">
        <v>4</v>
      </c>
      <c r="M1107">
        <v>1</v>
      </c>
      <c r="N1107" s="1">
        <f t="shared" si="70"/>
        <v>6</v>
      </c>
      <c r="O1107" s="1" t="str">
        <f t="shared" si="71"/>
        <v>With Family</v>
      </c>
      <c r="P1107">
        <v>39.6875</v>
      </c>
      <c r="Q1107" s="1" t="str" cm="1">
        <f t="array" ref="Q1107">_xlfn.IFS(P1107&lt;=50,"Low",P1107&lt;=100,"Medium",P1107&gt;100,"High")</f>
        <v>Low</v>
      </c>
      <c r="R1107" t="s">
        <v>17</v>
      </c>
      <c r="S1107" s="1" t="str" cm="1">
        <f t="array" ref="S1107">_xlfn.IFS(R1107="S","Southampton",R1107="C","Cherbourg",R1107="Q","Queenstown")</f>
        <v>Southampton</v>
      </c>
    </row>
    <row r="1108" spans="1:19" x14ac:dyDescent="0.3">
      <c r="A1108">
        <v>1107</v>
      </c>
      <c r="B1108">
        <v>3</v>
      </c>
      <c r="C1108" s="1" t="str" cm="1">
        <f t="array" ref="C1108">_xlfn.IFS(B1108=1,"First Class",B1108=2,"Second Class",B1108=3,"Third Class")</f>
        <v>Third Class</v>
      </c>
      <c r="D1108">
        <v>0</v>
      </c>
      <c r="E1108" s="1" t="str">
        <f t="shared" si="68"/>
        <v>Dead</v>
      </c>
      <c r="F1108" t="s">
        <v>1869</v>
      </c>
      <c r="G1108" s="1" t="s">
        <v>3001</v>
      </c>
      <c r="H1108" t="s">
        <v>15</v>
      </c>
      <c r="I1108" s="1" t="str">
        <f t="shared" si="69"/>
        <v>Female</v>
      </c>
      <c r="J1108" s="3">
        <v>41</v>
      </c>
      <c r="K1108" s="3" t="str" cm="1">
        <f t="array" ref="K1108">_xlfn.IFS(J1108&lt;=13,"Child",J1108&lt;=18,"Teenager",J1108&lt;=30,"Young Adult",J1108&lt;=50,"Middle Aged Adult",J1108&gt;50,"Senior")</f>
        <v>Middle Aged Adult</v>
      </c>
      <c r="L1108">
        <v>0</v>
      </c>
      <c r="M1108">
        <v>5</v>
      </c>
      <c r="N1108" s="1">
        <f t="shared" si="70"/>
        <v>6</v>
      </c>
      <c r="O1108" s="1" t="str">
        <f t="shared" si="71"/>
        <v>With Family</v>
      </c>
      <c r="P1108">
        <v>39.6875</v>
      </c>
      <c r="Q1108" s="1" t="str" cm="1">
        <f t="array" ref="Q1108">_xlfn.IFS(P1108&lt;=50,"Low",P1108&lt;=100,"Medium",P1108&gt;100,"High")</f>
        <v>Low</v>
      </c>
      <c r="R1108" t="s">
        <v>17</v>
      </c>
      <c r="S1108" s="1" t="str" cm="1">
        <f t="array" ref="S1108">_xlfn.IFS(R1108="S","Southampton",R1108="C","Cherbourg",R1108="Q","Queenstown")</f>
        <v>Southampton</v>
      </c>
    </row>
    <row r="1109" spans="1:19" x14ac:dyDescent="0.3">
      <c r="A1109">
        <v>1108</v>
      </c>
      <c r="B1109">
        <v>3</v>
      </c>
      <c r="C1109" s="1" t="str" cm="1">
        <f t="array" ref="C1109">_xlfn.IFS(B1109=1,"First Class",B1109=2,"Second Class",B1109=3,"Third Class")</f>
        <v>Third Class</v>
      </c>
      <c r="D1109">
        <v>0</v>
      </c>
      <c r="E1109" s="1" t="str">
        <f t="shared" si="68"/>
        <v>Dead</v>
      </c>
      <c r="F1109" t="s">
        <v>1870</v>
      </c>
      <c r="G1109" s="1" t="s">
        <v>2999</v>
      </c>
      <c r="H1109" t="s">
        <v>20</v>
      </c>
      <c r="I1109" s="1" t="str">
        <f t="shared" si="69"/>
        <v>Male</v>
      </c>
      <c r="J1109" s="3">
        <v>21</v>
      </c>
      <c r="K1109" s="3" t="str" cm="1">
        <f t="array" ref="K1109">_xlfn.IFS(J1109&lt;=13,"Child",J1109&lt;=18,"Teenager",J1109&lt;=30,"Young Adult",J1109&lt;=50,"Middle Aged Adult",J1109&gt;50,"Senior")</f>
        <v>Young Adult</v>
      </c>
      <c r="L1109">
        <v>0</v>
      </c>
      <c r="M1109">
        <v>0</v>
      </c>
      <c r="N1109" s="1">
        <f t="shared" si="70"/>
        <v>1</v>
      </c>
      <c r="O1109" s="1" t="str">
        <f t="shared" si="71"/>
        <v>Single</v>
      </c>
      <c r="P1109">
        <v>8.6624999999999996</v>
      </c>
      <c r="Q1109" s="1" t="str" cm="1">
        <f t="array" ref="Q1109">_xlfn.IFS(P1109&lt;=50,"Low",P1109&lt;=100,"Medium",P1109&gt;100,"High")</f>
        <v>Low</v>
      </c>
      <c r="R1109" t="s">
        <v>17</v>
      </c>
      <c r="S1109" s="1" t="str" cm="1">
        <f t="array" ref="S1109">_xlfn.IFS(R1109="S","Southampton",R1109="C","Cherbourg",R1109="Q","Queenstown")</f>
        <v>Southampton</v>
      </c>
    </row>
    <row r="1110" spans="1:19" x14ac:dyDescent="0.3">
      <c r="A1110">
        <v>1109</v>
      </c>
      <c r="B1110">
        <v>3</v>
      </c>
      <c r="C1110" s="1" t="str" cm="1">
        <f t="array" ref="C1110">_xlfn.IFS(B1110=1,"First Class",B1110=2,"Second Class",B1110=3,"Third Class")</f>
        <v>Third Class</v>
      </c>
      <c r="D1110">
        <v>0</v>
      </c>
      <c r="E1110" s="1" t="str">
        <f t="shared" si="68"/>
        <v>Dead</v>
      </c>
      <c r="F1110" t="s">
        <v>1871</v>
      </c>
      <c r="G1110" s="1" t="s">
        <v>2999</v>
      </c>
      <c r="H1110" t="s">
        <v>20</v>
      </c>
      <c r="I1110" s="1" t="str">
        <f t="shared" si="69"/>
        <v>Male</v>
      </c>
      <c r="J1110" s="3">
        <v>19</v>
      </c>
      <c r="K1110" s="3" t="str" cm="1">
        <f t="array" ref="K1110">_xlfn.IFS(J1110&lt;=13,"Child",J1110&lt;=18,"Teenager",J1110&lt;=30,"Young Adult",J1110&lt;=50,"Middle Aged Adult",J1110&gt;50,"Senior")</f>
        <v>Young Adult</v>
      </c>
      <c r="L1110">
        <v>0</v>
      </c>
      <c r="M1110">
        <v>0</v>
      </c>
      <c r="N1110" s="1">
        <f t="shared" si="70"/>
        <v>1</v>
      </c>
      <c r="O1110" s="1" t="str">
        <f t="shared" si="71"/>
        <v>Single</v>
      </c>
      <c r="P1110">
        <v>14.5</v>
      </c>
      <c r="Q1110" s="1" t="str" cm="1">
        <f t="array" ref="Q1110">_xlfn.IFS(P1110&lt;=50,"Low",P1110&lt;=100,"Medium",P1110&gt;100,"High")</f>
        <v>Low</v>
      </c>
      <c r="R1110" t="s">
        <v>17</v>
      </c>
      <c r="S1110" s="1" t="str" cm="1">
        <f t="array" ref="S1110">_xlfn.IFS(R1110="S","Southampton",R1110="C","Cherbourg",R1110="Q","Queenstown")</f>
        <v>Southampton</v>
      </c>
    </row>
    <row r="1111" spans="1:19" x14ac:dyDescent="0.3">
      <c r="A1111">
        <v>1110</v>
      </c>
      <c r="B1111">
        <v>3</v>
      </c>
      <c r="C1111" s="1" t="str" cm="1">
        <f t="array" ref="C1111">_xlfn.IFS(B1111=1,"First Class",B1111=2,"Second Class",B1111=3,"Third Class")</f>
        <v>Third Class</v>
      </c>
      <c r="D1111">
        <v>0</v>
      </c>
      <c r="E1111" s="1" t="str">
        <f t="shared" si="68"/>
        <v>Dead</v>
      </c>
      <c r="F1111" t="s">
        <v>1872</v>
      </c>
      <c r="G1111" s="1" t="s">
        <v>2999</v>
      </c>
      <c r="H1111" t="s">
        <v>20</v>
      </c>
      <c r="I1111" s="1" t="str">
        <f t="shared" si="69"/>
        <v>Male</v>
      </c>
      <c r="J1111" s="3">
        <v>29.881137667304014</v>
      </c>
      <c r="K1111" s="3" t="str" cm="1">
        <f t="array" ref="K1111">_xlfn.IFS(J1111&lt;=13,"Child",J1111&lt;=18,"Teenager",J1111&lt;=30,"Young Adult",J1111&lt;=50,"Middle Aged Adult",J1111&gt;50,"Senior")</f>
        <v>Young Adult</v>
      </c>
      <c r="L1111">
        <v>0</v>
      </c>
      <c r="M1111">
        <v>0</v>
      </c>
      <c r="N1111" s="1">
        <f t="shared" si="70"/>
        <v>1</v>
      </c>
      <c r="O1111" s="1" t="str">
        <f t="shared" si="71"/>
        <v>Single</v>
      </c>
      <c r="P1111">
        <v>8.7125000000000004</v>
      </c>
      <c r="Q1111" s="1" t="str" cm="1">
        <f t="array" ref="Q1111">_xlfn.IFS(P1111&lt;=50,"Low",P1111&lt;=100,"Medium",P1111&gt;100,"High")</f>
        <v>Low</v>
      </c>
      <c r="R1111" t="s">
        <v>41</v>
      </c>
      <c r="S1111" s="1" t="str" cm="1">
        <f t="array" ref="S1111">_xlfn.IFS(R1111="S","Southampton",R1111="C","Cherbourg",R1111="Q","Queenstown")</f>
        <v>Cherbourg</v>
      </c>
    </row>
    <row r="1112" spans="1:19" x14ac:dyDescent="0.3">
      <c r="A1112">
        <v>1111</v>
      </c>
      <c r="B1112">
        <v>3</v>
      </c>
      <c r="C1112" s="1" t="str" cm="1">
        <f t="array" ref="C1112">_xlfn.IFS(B1112=1,"First Class",B1112=2,"Second Class",B1112=3,"Third Class")</f>
        <v>Third Class</v>
      </c>
      <c r="D1112">
        <v>0</v>
      </c>
      <c r="E1112" s="1" t="str">
        <f t="shared" si="68"/>
        <v>Dead</v>
      </c>
      <c r="F1112" t="s">
        <v>1873</v>
      </c>
      <c r="G1112" s="1" t="s">
        <v>2999</v>
      </c>
      <c r="H1112" t="s">
        <v>20</v>
      </c>
      <c r="I1112" s="1" t="str">
        <f t="shared" si="69"/>
        <v>Male</v>
      </c>
      <c r="J1112" s="3">
        <v>32</v>
      </c>
      <c r="K1112" s="3" t="str" cm="1">
        <f t="array" ref="K1112">_xlfn.IFS(J1112&lt;=13,"Child",J1112&lt;=18,"Teenager",J1112&lt;=30,"Young Adult",J1112&lt;=50,"Middle Aged Adult",J1112&gt;50,"Senior")</f>
        <v>Middle Aged Adult</v>
      </c>
      <c r="L1112">
        <v>0</v>
      </c>
      <c r="M1112">
        <v>0</v>
      </c>
      <c r="N1112" s="1">
        <f t="shared" si="70"/>
        <v>1</v>
      </c>
      <c r="O1112" s="1" t="str">
        <f t="shared" si="71"/>
        <v>Single</v>
      </c>
      <c r="P1112">
        <v>7.8958000000000004</v>
      </c>
      <c r="Q1112" s="1" t="str" cm="1">
        <f t="array" ref="Q1112">_xlfn.IFS(P1112&lt;=50,"Low",P1112&lt;=100,"Medium",P1112&gt;100,"High")</f>
        <v>Low</v>
      </c>
      <c r="R1112" t="s">
        <v>17</v>
      </c>
      <c r="S1112" s="1" t="str" cm="1">
        <f t="array" ref="S1112">_xlfn.IFS(R1112="S","Southampton",R1112="C","Cherbourg",R1112="Q","Queenstown")</f>
        <v>Southampton</v>
      </c>
    </row>
    <row r="1113" spans="1:19" x14ac:dyDescent="0.3">
      <c r="A1113">
        <v>1112</v>
      </c>
      <c r="B1113">
        <v>3</v>
      </c>
      <c r="C1113" s="1" t="str" cm="1">
        <f t="array" ref="C1113">_xlfn.IFS(B1113=1,"First Class",B1113=2,"Second Class",B1113=3,"Third Class")</f>
        <v>Third Class</v>
      </c>
      <c r="D1113">
        <v>0</v>
      </c>
      <c r="E1113" s="1" t="str">
        <f t="shared" si="68"/>
        <v>Dead</v>
      </c>
      <c r="F1113" t="s">
        <v>1874</v>
      </c>
      <c r="G1113" s="1" t="s">
        <v>2996</v>
      </c>
      <c r="H1113" t="s">
        <v>20</v>
      </c>
      <c r="I1113" s="1" t="str">
        <f t="shared" si="69"/>
        <v>Male</v>
      </c>
      <c r="J1113" s="3">
        <v>0.75</v>
      </c>
      <c r="K1113" s="3" t="str" cm="1">
        <f t="array" ref="K1113">_xlfn.IFS(J1113&lt;=13,"Child",J1113&lt;=18,"Teenager",J1113&lt;=30,"Young Adult",J1113&lt;=50,"Middle Aged Adult",J1113&gt;50,"Senior")</f>
        <v>Child</v>
      </c>
      <c r="L1113">
        <v>1</v>
      </c>
      <c r="M1113">
        <v>1</v>
      </c>
      <c r="N1113" s="1">
        <f t="shared" si="70"/>
        <v>3</v>
      </c>
      <c r="O1113" s="1" t="str">
        <f t="shared" si="71"/>
        <v>With Family</v>
      </c>
      <c r="P1113">
        <v>13.775</v>
      </c>
      <c r="Q1113" s="1" t="str" cm="1">
        <f t="array" ref="Q1113">_xlfn.IFS(P1113&lt;=50,"Low",P1113&lt;=100,"Medium",P1113&gt;100,"High")</f>
        <v>Low</v>
      </c>
      <c r="R1113" t="s">
        <v>17</v>
      </c>
      <c r="S1113" s="1" t="str" cm="1">
        <f t="array" ref="S1113">_xlfn.IFS(R1113="S","Southampton",R1113="C","Cherbourg",R1113="Q","Queenstown")</f>
        <v>Southampton</v>
      </c>
    </row>
    <row r="1114" spans="1:19" x14ac:dyDescent="0.3">
      <c r="A1114">
        <v>1113</v>
      </c>
      <c r="B1114">
        <v>3</v>
      </c>
      <c r="C1114" s="1" t="str" cm="1">
        <f t="array" ref="C1114">_xlfn.IFS(B1114=1,"First Class",B1114=2,"Second Class",B1114=3,"Third Class")</f>
        <v>Third Class</v>
      </c>
      <c r="D1114">
        <v>0</v>
      </c>
      <c r="E1114" s="1" t="str">
        <f t="shared" si="68"/>
        <v>Dead</v>
      </c>
      <c r="F1114" t="s">
        <v>1876</v>
      </c>
      <c r="G1114" s="1" t="s">
        <v>2994</v>
      </c>
      <c r="H1114" t="s">
        <v>15</v>
      </c>
      <c r="I1114" s="1" t="str">
        <f t="shared" si="69"/>
        <v>Female</v>
      </c>
      <c r="J1114" s="3">
        <v>3</v>
      </c>
      <c r="K1114" s="3" t="str" cm="1">
        <f t="array" ref="K1114">_xlfn.IFS(J1114&lt;=13,"Child",J1114&lt;=18,"Teenager",J1114&lt;=30,"Young Adult",J1114&lt;=50,"Middle Aged Adult",J1114&gt;50,"Senior")</f>
        <v>Child</v>
      </c>
      <c r="L1114">
        <v>1</v>
      </c>
      <c r="M1114">
        <v>1</v>
      </c>
      <c r="N1114" s="1">
        <f t="shared" si="70"/>
        <v>3</v>
      </c>
      <c r="O1114" s="1" t="str">
        <f t="shared" si="71"/>
        <v>With Family</v>
      </c>
      <c r="P1114">
        <v>13.775</v>
      </c>
      <c r="Q1114" s="1" t="str" cm="1">
        <f t="array" ref="Q1114">_xlfn.IFS(P1114&lt;=50,"Low",P1114&lt;=100,"Medium",P1114&gt;100,"High")</f>
        <v>Low</v>
      </c>
      <c r="R1114" t="s">
        <v>17</v>
      </c>
      <c r="S1114" s="1" t="str" cm="1">
        <f t="array" ref="S1114">_xlfn.IFS(R1114="S","Southampton",R1114="C","Cherbourg",R1114="Q","Queenstown")</f>
        <v>Southampton</v>
      </c>
    </row>
    <row r="1115" spans="1:19" x14ac:dyDescent="0.3">
      <c r="A1115">
        <v>1114</v>
      </c>
      <c r="B1115">
        <v>3</v>
      </c>
      <c r="C1115" s="1" t="str" cm="1">
        <f t="array" ref="C1115">_xlfn.IFS(B1115=1,"First Class",B1115=2,"Second Class",B1115=3,"Third Class")</f>
        <v>Third Class</v>
      </c>
      <c r="D1115">
        <v>0</v>
      </c>
      <c r="E1115" s="1" t="str">
        <f t="shared" si="68"/>
        <v>Dead</v>
      </c>
      <c r="F1115" t="s">
        <v>1877</v>
      </c>
      <c r="G1115" s="1" t="s">
        <v>3001</v>
      </c>
      <c r="H1115" t="s">
        <v>15</v>
      </c>
      <c r="I1115" s="1" t="str">
        <f t="shared" si="69"/>
        <v>Female</v>
      </c>
      <c r="J1115" s="3">
        <v>26</v>
      </c>
      <c r="K1115" s="3" t="str" cm="1">
        <f t="array" ref="K1115">_xlfn.IFS(J1115&lt;=13,"Child",J1115&lt;=18,"Teenager",J1115&lt;=30,"Young Adult",J1115&lt;=50,"Middle Aged Adult",J1115&gt;50,"Senior")</f>
        <v>Young Adult</v>
      </c>
      <c r="L1115">
        <v>0</v>
      </c>
      <c r="M1115">
        <v>2</v>
      </c>
      <c r="N1115" s="1">
        <f t="shared" si="70"/>
        <v>3</v>
      </c>
      <c r="O1115" s="1" t="str">
        <f t="shared" si="71"/>
        <v>With Family</v>
      </c>
      <c r="P1115">
        <v>13.775</v>
      </c>
      <c r="Q1115" s="1" t="str" cm="1">
        <f t="array" ref="Q1115">_xlfn.IFS(P1115&lt;=50,"Low",P1115&lt;=100,"Medium",P1115&gt;100,"High")</f>
        <v>Low</v>
      </c>
      <c r="R1115" t="s">
        <v>17</v>
      </c>
      <c r="S1115" s="1" t="str" cm="1">
        <f t="array" ref="S1115">_xlfn.IFS(R1115="S","Southampton",R1115="C","Cherbourg",R1115="Q","Queenstown")</f>
        <v>Southampton</v>
      </c>
    </row>
    <row r="1116" spans="1:19" x14ac:dyDescent="0.3">
      <c r="A1116">
        <v>1115</v>
      </c>
      <c r="B1116">
        <v>3</v>
      </c>
      <c r="C1116" s="1" t="str" cm="1">
        <f t="array" ref="C1116">_xlfn.IFS(B1116=1,"First Class",B1116=2,"Second Class",B1116=3,"Third Class")</f>
        <v>Third Class</v>
      </c>
      <c r="D1116">
        <v>0</v>
      </c>
      <c r="E1116" s="1" t="str">
        <f t="shared" si="68"/>
        <v>Dead</v>
      </c>
      <c r="F1116" t="s">
        <v>1878</v>
      </c>
      <c r="G1116" s="1" t="s">
        <v>2999</v>
      </c>
      <c r="H1116" t="s">
        <v>20</v>
      </c>
      <c r="I1116" s="1" t="str">
        <f t="shared" si="69"/>
        <v>Male</v>
      </c>
      <c r="J1116" s="3">
        <v>29.881137667304014</v>
      </c>
      <c r="K1116" s="3" t="str" cm="1">
        <f t="array" ref="K1116">_xlfn.IFS(J1116&lt;=13,"Child",J1116&lt;=18,"Teenager",J1116&lt;=30,"Young Adult",J1116&lt;=50,"Middle Aged Adult",J1116&gt;50,"Senior")</f>
        <v>Young Adult</v>
      </c>
      <c r="L1116">
        <v>0</v>
      </c>
      <c r="M1116">
        <v>0</v>
      </c>
      <c r="N1116" s="1">
        <f t="shared" si="70"/>
        <v>1</v>
      </c>
      <c r="O1116" s="1" t="str">
        <f t="shared" si="71"/>
        <v>Single</v>
      </c>
      <c r="P1116">
        <v>7</v>
      </c>
      <c r="Q1116" s="1" t="str" cm="1">
        <f t="array" ref="Q1116">_xlfn.IFS(P1116&lt;=50,"Low",P1116&lt;=100,"Medium",P1116&gt;100,"High")</f>
        <v>Low</v>
      </c>
      <c r="R1116" t="s">
        <v>17</v>
      </c>
      <c r="S1116" s="1" t="str" cm="1">
        <f t="array" ref="S1116">_xlfn.IFS(R1116="S","Southampton",R1116="C","Cherbourg",R1116="Q","Queenstown")</f>
        <v>Southampton</v>
      </c>
    </row>
    <row r="1117" spans="1:19" x14ac:dyDescent="0.3">
      <c r="A1117">
        <v>1116</v>
      </c>
      <c r="B1117">
        <v>3</v>
      </c>
      <c r="C1117" s="1" t="str" cm="1">
        <f t="array" ref="C1117">_xlfn.IFS(B1117=1,"First Class",B1117=2,"Second Class",B1117=3,"Third Class")</f>
        <v>Third Class</v>
      </c>
      <c r="D1117">
        <v>0</v>
      </c>
      <c r="E1117" s="1" t="str">
        <f t="shared" si="68"/>
        <v>Dead</v>
      </c>
      <c r="F1117" t="s">
        <v>1879</v>
      </c>
      <c r="G1117" s="1" t="s">
        <v>2999</v>
      </c>
      <c r="H1117" t="s">
        <v>20</v>
      </c>
      <c r="I1117" s="1" t="str">
        <f t="shared" si="69"/>
        <v>Male</v>
      </c>
      <c r="J1117" s="3">
        <v>29.881137667304014</v>
      </c>
      <c r="K1117" s="3" t="str" cm="1">
        <f t="array" ref="K1117">_xlfn.IFS(J1117&lt;=13,"Child",J1117&lt;=18,"Teenager",J1117&lt;=30,"Young Adult",J1117&lt;=50,"Middle Aged Adult",J1117&gt;50,"Senior")</f>
        <v>Young Adult</v>
      </c>
      <c r="L1117">
        <v>0</v>
      </c>
      <c r="M1117">
        <v>0</v>
      </c>
      <c r="N1117" s="1">
        <f t="shared" si="70"/>
        <v>1</v>
      </c>
      <c r="O1117" s="1" t="str">
        <f t="shared" si="71"/>
        <v>Single</v>
      </c>
      <c r="P1117">
        <v>7.7750000000000004</v>
      </c>
      <c r="Q1117" s="1" t="str" cm="1">
        <f t="array" ref="Q1117">_xlfn.IFS(P1117&lt;=50,"Low",P1117&lt;=100,"Medium",P1117&gt;100,"High")</f>
        <v>Low</v>
      </c>
      <c r="R1117" t="s">
        <v>17</v>
      </c>
      <c r="S1117" s="1" t="str" cm="1">
        <f t="array" ref="S1117">_xlfn.IFS(R1117="S","Southampton",R1117="C","Cherbourg",R1117="Q","Queenstown")</f>
        <v>Southampton</v>
      </c>
    </row>
    <row r="1118" spans="1:19" x14ac:dyDescent="0.3">
      <c r="A1118">
        <v>1117</v>
      </c>
      <c r="B1118">
        <v>3</v>
      </c>
      <c r="C1118" s="1" t="str" cm="1">
        <f t="array" ref="C1118">_xlfn.IFS(B1118=1,"First Class",B1118=2,"Second Class",B1118=3,"Third Class")</f>
        <v>Third Class</v>
      </c>
      <c r="D1118">
        <v>0</v>
      </c>
      <c r="E1118" s="1" t="str">
        <f t="shared" si="68"/>
        <v>Dead</v>
      </c>
      <c r="F1118" t="s">
        <v>1880</v>
      </c>
      <c r="G1118" s="1" t="s">
        <v>2999</v>
      </c>
      <c r="H1118" t="s">
        <v>20</v>
      </c>
      <c r="I1118" s="1" t="str">
        <f t="shared" si="69"/>
        <v>Male</v>
      </c>
      <c r="J1118" s="3">
        <v>29.881137667304014</v>
      </c>
      <c r="K1118" s="3" t="str" cm="1">
        <f t="array" ref="K1118">_xlfn.IFS(J1118&lt;=13,"Child",J1118&lt;=18,"Teenager",J1118&lt;=30,"Young Adult",J1118&lt;=50,"Middle Aged Adult",J1118&gt;50,"Senior")</f>
        <v>Young Adult</v>
      </c>
      <c r="L1118">
        <v>0</v>
      </c>
      <c r="M1118">
        <v>0</v>
      </c>
      <c r="N1118" s="1">
        <f t="shared" si="70"/>
        <v>1</v>
      </c>
      <c r="O1118" s="1" t="str">
        <f t="shared" si="71"/>
        <v>Single</v>
      </c>
      <c r="P1118">
        <v>8.0500000000000007</v>
      </c>
      <c r="Q1118" s="1" t="str" cm="1">
        <f t="array" ref="Q1118">_xlfn.IFS(P1118&lt;=50,"Low",P1118&lt;=100,"Medium",P1118&gt;100,"High")</f>
        <v>Low</v>
      </c>
      <c r="R1118" t="s">
        <v>17</v>
      </c>
      <c r="S1118" s="1" t="str" cm="1">
        <f t="array" ref="S1118">_xlfn.IFS(R1118="S","Southampton",R1118="C","Cherbourg",R1118="Q","Queenstown")</f>
        <v>Southampton</v>
      </c>
    </row>
    <row r="1119" spans="1:19" x14ac:dyDescent="0.3">
      <c r="A1119">
        <v>1118</v>
      </c>
      <c r="B1119">
        <v>3</v>
      </c>
      <c r="C1119" s="1" t="str" cm="1">
        <f t="array" ref="C1119">_xlfn.IFS(B1119=1,"First Class",B1119=2,"Second Class",B1119=3,"Third Class")</f>
        <v>Third Class</v>
      </c>
      <c r="D1119">
        <v>0</v>
      </c>
      <c r="E1119" s="1" t="str">
        <f t="shared" si="68"/>
        <v>Dead</v>
      </c>
      <c r="F1119" t="s">
        <v>1882</v>
      </c>
      <c r="G1119" s="1" t="s">
        <v>2999</v>
      </c>
      <c r="H1119" t="s">
        <v>20</v>
      </c>
      <c r="I1119" s="1" t="str">
        <f t="shared" si="69"/>
        <v>Male</v>
      </c>
      <c r="J1119" s="3">
        <v>21</v>
      </c>
      <c r="K1119" s="3" t="str" cm="1">
        <f t="array" ref="K1119">_xlfn.IFS(J1119&lt;=13,"Child",J1119&lt;=18,"Teenager",J1119&lt;=30,"Young Adult",J1119&lt;=50,"Middle Aged Adult",J1119&gt;50,"Senior")</f>
        <v>Young Adult</v>
      </c>
      <c r="L1119">
        <v>0</v>
      </c>
      <c r="M1119">
        <v>0</v>
      </c>
      <c r="N1119" s="1">
        <f t="shared" si="70"/>
        <v>1</v>
      </c>
      <c r="O1119" s="1" t="str">
        <f t="shared" si="71"/>
        <v>Single</v>
      </c>
      <c r="P1119">
        <v>7.9249999999999998</v>
      </c>
      <c r="Q1119" s="1" t="str" cm="1">
        <f t="array" ref="Q1119">_xlfn.IFS(P1119&lt;=50,"Low",P1119&lt;=100,"Medium",P1119&gt;100,"High")</f>
        <v>Low</v>
      </c>
      <c r="R1119" t="s">
        <v>17</v>
      </c>
      <c r="S1119" s="1" t="str" cm="1">
        <f t="array" ref="S1119">_xlfn.IFS(R1119="S","Southampton",R1119="C","Cherbourg",R1119="Q","Queenstown")</f>
        <v>Southampton</v>
      </c>
    </row>
    <row r="1120" spans="1:19" x14ac:dyDescent="0.3">
      <c r="A1120">
        <v>1119</v>
      </c>
      <c r="B1120">
        <v>3</v>
      </c>
      <c r="C1120" s="1" t="str" cm="1">
        <f t="array" ref="C1120">_xlfn.IFS(B1120=1,"First Class",B1120=2,"Second Class",B1120=3,"Third Class")</f>
        <v>Third Class</v>
      </c>
      <c r="D1120">
        <v>0</v>
      </c>
      <c r="E1120" s="1" t="str">
        <f t="shared" si="68"/>
        <v>Dead</v>
      </c>
      <c r="F1120" t="s">
        <v>1884</v>
      </c>
      <c r="G1120" s="1" t="s">
        <v>2999</v>
      </c>
      <c r="H1120" t="s">
        <v>20</v>
      </c>
      <c r="I1120" s="1" t="str">
        <f t="shared" si="69"/>
        <v>Male</v>
      </c>
      <c r="J1120" s="3">
        <v>25</v>
      </c>
      <c r="K1120" s="3" t="str" cm="1">
        <f t="array" ref="K1120">_xlfn.IFS(J1120&lt;=13,"Child",J1120&lt;=18,"Teenager",J1120&lt;=30,"Young Adult",J1120&lt;=50,"Middle Aged Adult",J1120&gt;50,"Senior")</f>
        <v>Young Adult</v>
      </c>
      <c r="L1120">
        <v>0</v>
      </c>
      <c r="M1120">
        <v>0</v>
      </c>
      <c r="N1120" s="1">
        <f t="shared" si="70"/>
        <v>1</v>
      </c>
      <c r="O1120" s="1" t="str">
        <f t="shared" si="71"/>
        <v>Single</v>
      </c>
      <c r="P1120">
        <v>7.9249999999999998</v>
      </c>
      <c r="Q1120" s="1" t="str" cm="1">
        <f t="array" ref="Q1120">_xlfn.IFS(P1120&lt;=50,"Low",P1120&lt;=100,"Medium",P1120&gt;100,"High")</f>
        <v>Low</v>
      </c>
      <c r="R1120" t="s">
        <v>17</v>
      </c>
      <c r="S1120" s="1" t="str" cm="1">
        <f t="array" ref="S1120">_xlfn.IFS(R1120="S","Southampton",R1120="C","Cherbourg",R1120="Q","Queenstown")</f>
        <v>Southampton</v>
      </c>
    </row>
    <row r="1121" spans="1:19" x14ac:dyDescent="0.3">
      <c r="A1121">
        <v>1120</v>
      </c>
      <c r="B1121">
        <v>3</v>
      </c>
      <c r="C1121" s="1" t="str" cm="1">
        <f t="array" ref="C1121">_xlfn.IFS(B1121=1,"First Class",B1121=2,"Second Class",B1121=3,"Third Class")</f>
        <v>Third Class</v>
      </c>
      <c r="D1121">
        <v>0</v>
      </c>
      <c r="E1121" s="1" t="str">
        <f t="shared" si="68"/>
        <v>Dead</v>
      </c>
      <c r="F1121" t="s">
        <v>1886</v>
      </c>
      <c r="G1121" s="1" t="s">
        <v>2999</v>
      </c>
      <c r="H1121" t="s">
        <v>20</v>
      </c>
      <c r="I1121" s="1" t="str">
        <f t="shared" si="69"/>
        <v>Male</v>
      </c>
      <c r="J1121" s="3">
        <v>22</v>
      </c>
      <c r="K1121" s="3" t="str" cm="1">
        <f t="array" ref="K1121">_xlfn.IFS(J1121&lt;=13,"Child",J1121&lt;=18,"Teenager",J1121&lt;=30,"Young Adult",J1121&lt;=50,"Middle Aged Adult",J1121&gt;50,"Senior")</f>
        <v>Young Adult</v>
      </c>
      <c r="L1121">
        <v>0</v>
      </c>
      <c r="M1121">
        <v>0</v>
      </c>
      <c r="N1121" s="1">
        <f t="shared" si="70"/>
        <v>1</v>
      </c>
      <c r="O1121" s="1" t="str">
        <f t="shared" si="71"/>
        <v>Single</v>
      </c>
      <c r="P1121">
        <v>7.25</v>
      </c>
      <c r="Q1121" s="1" t="str" cm="1">
        <f t="array" ref="Q1121">_xlfn.IFS(P1121&lt;=50,"Low",P1121&lt;=100,"Medium",P1121&gt;100,"High")</f>
        <v>Low</v>
      </c>
      <c r="R1121" t="s">
        <v>17</v>
      </c>
      <c r="S1121" s="1" t="str" cm="1">
        <f t="array" ref="S1121">_xlfn.IFS(R1121="S","Southampton",R1121="C","Cherbourg",R1121="Q","Queenstown")</f>
        <v>Southampton</v>
      </c>
    </row>
    <row r="1122" spans="1:19" x14ac:dyDescent="0.3">
      <c r="A1122">
        <v>1121</v>
      </c>
      <c r="B1122">
        <v>3</v>
      </c>
      <c r="C1122" s="1" t="str" cm="1">
        <f t="array" ref="C1122">_xlfn.IFS(B1122=1,"First Class",B1122=2,"Second Class",B1122=3,"Third Class")</f>
        <v>Third Class</v>
      </c>
      <c r="D1122">
        <v>1</v>
      </c>
      <c r="E1122" s="1" t="str">
        <f t="shared" si="68"/>
        <v>Alive</v>
      </c>
      <c r="F1122" t="s">
        <v>1888</v>
      </c>
      <c r="G1122" s="1" t="s">
        <v>2999</v>
      </c>
      <c r="H1122" t="s">
        <v>20</v>
      </c>
      <c r="I1122" s="1" t="str">
        <f t="shared" si="69"/>
        <v>Male</v>
      </c>
      <c r="J1122" s="3">
        <v>25</v>
      </c>
      <c r="K1122" s="3" t="str" cm="1">
        <f t="array" ref="K1122">_xlfn.IFS(J1122&lt;=13,"Child",J1122&lt;=18,"Teenager",J1122&lt;=30,"Young Adult",J1122&lt;=50,"Middle Aged Adult",J1122&gt;50,"Senior")</f>
        <v>Young Adult</v>
      </c>
      <c r="L1122">
        <v>1</v>
      </c>
      <c r="M1122">
        <v>0</v>
      </c>
      <c r="N1122" s="1">
        <f t="shared" si="70"/>
        <v>2</v>
      </c>
      <c r="O1122" s="1" t="str">
        <f t="shared" si="71"/>
        <v>With Family</v>
      </c>
      <c r="P1122">
        <v>7.7750000000000004</v>
      </c>
      <c r="Q1122" s="1" t="str" cm="1">
        <f t="array" ref="Q1122">_xlfn.IFS(P1122&lt;=50,"Low",P1122&lt;=100,"Medium",P1122&gt;100,"High")</f>
        <v>Low</v>
      </c>
      <c r="R1122" t="s">
        <v>17</v>
      </c>
      <c r="S1122" s="1" t="str" cm="1">
        <f t="array" ref="S1122">_xlfn.IFS(R1122="S","Southampton",R1122="C","Cherbourg",R1122="Q","Queenstown")</f>
        <v>Southampton</v>
      </c>
    </row>
    <row r="1123" spans="1:19" x14ac:dyDescent="0.3">
      <c r="A1123">
        <v>1122</v>
      </c>
      <c r="B1123">
        <v>3</v>
      </c>
      <c r="C1123" s="1" t="str" cm="1">
        <f t="array" ref="C1123">_xlfn.IFS(B1123=1,"First Class",B1123=2,"Second Class",B1123=3,"Third Class")</f>
        <v>Third Class</v>
      </c>
      <c r="D1123">
        <v>1</v>
      </c>
      <c r="E1123" s="1" t="str">
        <f t="shared" si="68"/>
        <v>Alive</v>
      </c>
      <c r="F1123" t="s">
        <v>1889</v>
      </c>
      <c r="G1123" s="1" t="s">
        <v>2996</v>
      </c>
      <c r="H1123" t="s">
        <v>20</v>
      </c>
      <c r="I1123" s="1" t="str">
        <f t="shared" si="69"/>
        <v>Male</v>
      </c>
      <c r="J1123" s="3">
        <v>29.881137667304014</v>
      </c>
      <c r="K1123" s="3" t="str" cm="1">
        <f t="array" ref="K1123">_xlfn.IFS(J1123&lt;=13,"Child",J1123&lt;=18,"Teenager",J1123&lt;=30,"Young Adult",J1123&lt;=50,"Middle Aged Adult",J1123&gt;50,"Senior")</f>
        <v>Young Adult</v>
      </c>
      <c r="L1123">
        <v>1</v>
      </c>
      <c r="M1123">
        <v>1</v>
      </c>
      <c r="N1123" s="1">
        <f t="shared" si="70"/>
        <v>3</v>
      </c>
      <c r="O1123" s="1" t="str">
        <f t="shared" si="71"/>
        <v>With Family</v>
      </c>
      <c r="P1123">
        <v>22.3583</v>
      </c>
      <c r="Q1123" s="1" t="str" cm="1">
        <f t="array" ref="Q1123">_xlfn.IFS(P1123&lt;=50,"Low",P1123&lt;=100,"Medium",P1123&gt;100,"High")</f>
        <v>Low</v>
      </c>
      <c r="R1123" t="s">
        <v>41</v>
      </c>
      <c r="S1123" s="1" t="str" cm="1">
        <f t="array" ref="S1123">_xlfn.IFS(R1123="S","Southampton",R1123="C","Cherbourg",R1123="Q","Queenstown")</f>
        <v>Cherbourg</v>
      </c>
    </row>
    <row r="1124" spans="1:19" x14ac:dyDescent="0.3">
      <c r="A1124">
        <v>1123</v>
      </c>
      <c r="B1124">
        <v>3</v>
      </c>
      <c r="C1124" s="1" t="str" cm="1">
        <f t="array" ref="C1124">_xlfn.IFS(B1124=1,"First Class",B1124=2,"Second Class",B1124=3,"Third Class")</f>
        <v>Third Class</v>
      </c>
      <c r="D1124">
        <v>1</v>
      </c>
      <c r="E1124" s="1" t="str">
        <f t="shared" si="68"/>
        <v>Alive</v>
      </c>
      <c r="F1124" t="s">
        <v>1890</v>
      </c>
      <c r="G1124" s="1" t="s">
        <v>2994</v>
      </c>
      <c r="H1124" t="s">
        <v>15</v>
      </c>
      <c r="I1124" s="1" t="str">
        <f t="shared" si="69"/>
        <v>Female</v>
      </c>
      <c r="J1124" s="3">
        <v>29.881137667304014</v>
      </c>
      <c r="K1124" s="3" t="str" cm="1">
        <f t="array" ref="K1124">_xlfn.IFS(J1124&lt;=13,"Child",J1124&lt;=18,"Teenager",J1124&lt;=30,"Young Adult",J1124&lt;=50,"Middle Aged Adult",J1124&gt;50,"Senior")</f>
        <v>Young Adult</v>
      </c>
      <c r="L1124">
        <v>1</v>
      </c>
      <c r="M1124">
        <v>1</v>
      </c>
      <c r="N1124" s="1">
        <f t="shared" si="70"/>
        <v>3</v>
      </c>
      <c r="O1124" s="1" t="str">
        <f t="shared" si="71"/>
        <v>With Family</v>
      </c>
      <c r="P1124">
        <v>22.3583</v>
      </c>
      <c r="Q1124" s="1" t="str" cm="1">
        <f t="array" ref="Q1124">_xlfn.IFS(P1124&lt;=50,"Low",P1124&lt;=100,"Medium",P1124&gt;100,"High")</f>
        <v>Low</v>
      </c>
      <c r="R1124" t="s">
        <v>41</v>
      </c>
      <c r="S1124" s="1" t="str" cm="1">
        <f t="array" ref="S1124">_xlfn.IFS(R1124="S","Southampton",R1124="C","Cherbourg",R1124="Q","Queenstown")</f>
        <v>Cherbourg</v>
      </c>
    </row>
    <row r="1125" spans="1:19" x14ac:dyDescent="0.3">
      <c r="A1125">
        <v>1124</v>
      </c>
      <c r="B1125">
        <v>3</v>
      </c>
      <c r="C1125" s="1" t="str" cm="1">
        <f t="array" ref="C1125">_xlfn.IFS(B1125=1,"First Class",B1125=2,"Second Class",B1125=3,"Third Class")</f>
        <v>Third Class</v>
      </c>
      <c r="D1125">
        <v>1</v>
      </c>
      <c r="E1125" s="1" t="str">
        <f t="shared" si="68"/>
        <v>Alive</v>
      </c>
      <c r="F1125" t="s">
        <v>1892</v>
      </c>
      <c r="G1125" s="1" t="s">
        <v>3001</v>
      </c>
      <c r="H1125" t="s">
        <v>15</v>
      </c>
      <c r="I1125" s="1" t="str">
        <f t="shared" si="69"/>
        <v>Female</v>
      </c>
      <c r="J1125" s="3">
        <v>29.881137667304014</v>
      </c>
      <c r="K1125" s="3" t="str" cm="1">
        <f t="array" ref="K1125">_xlfn.IFS(J1125&lt;=13,"Child",J1125&lt;=18,"Teenager",J1125&lt;=30,"Young Adult",J1125&lt;=50,"Middle Aged Adult",J1125&gt;50,"Senior")</f>
        <v>Young Adult</v>
      </c>
      <c r="L1125">
        <v>0</v>
      </c>
      <c r="M1125">
        <v>2</v>
      </c>
      <c r="N1125" s="1">
        <f t="shared" si="70"/>
        <v>3</v>
      </c>
      <c r="O1125" s="1" t="str">
        <f t="shared" si="71"/>
        <v>With Family</v>
      </c>
      <c r="P1125">
        <v>22.3583</v>
      </c>
      <c r="Q1125" s="1" t="str" cm="1">
        <f t="array" ref="Q1125">_xlfn.IFS(P1125&lt;=50,"Low",P1125&lt;=100,"Medium",P1125&gt;100,"High")</f>
        <v>Low</v>
      </c>
      <c r="R1125" t="s">
        <v>41</v>
      </c>
      <c r="S1125" s="1" t="str" cm="1">
        <f t="array" ref="S1125">_xlfn.IFS(R1125="S","Southampton",R1125="C","Cherbourg",R1125="Q","Queenstown")</f>
        <v>Cherbourg</v>
      </c>
    </row>
    <row r="1126" spans="1:19" x14ac:dyDescent="0.3">
      <c r="A1126">
        <v>1125</v>
      </c>
      <c r="B1126">
        <v>3</v>
      </c>
      <c r="C1126" s="1" t="str" cm="1">
        <f t="array" ref="C1126">_xlfn.IFS(B1126=1,"First Class",B1126=2,"Second Class",B1126=3,"Third Class")</f>
        <v>Third Class</v>
      </c>
      <c r="D1126">
        <v>0</v>
      </c>
      <c r="E1126" s="1" t="str">
        <f t="shared" si="68"/>
        <v>Dead</v>
      </c>
      <c r="F1126" t="s">
        <v>1893</v>
      </c>
      <c r="G1126" s="1" t="s">
        <v>2994</v>
      </c>
      <c r="H1126" t="s">
        <v>15</v>
      </c>
      <c r="I1126" s="1" t="str">
        <f t="shared" si="69"/>
        <v>Female</v>
      </c>
      <c r="J1126" s="3">
        <v>29.881137667304014</v>
      </c>
      <c r="K1126" s="3" t="str" cm="1">
        <f t="array" ref="K1126">_xlfn.IFS(J1126&lt;=13,"Child",J1126&lt;=18,"Teenager",J1126&lt;=30,"Young Adult",J1126&lt;=50,"Middle Aged Adult",J1126&gt;50,"Senior")</f>
        <v>Young Adult</v>
      </c>
      <c r="L1126">
        <v>0</v>
      </c>
      <c r="M1126">
        <v>0</v>
      </c>
      <c r="N1126" s="1">
        <f t="shared" si="70"/>
        <v>1</v>
      </c>
      <c r="O1126" s="1" t="str">
        <f t="shared" si="71"/>
        <v>Single</v>
      </c>
      <c r="P1126">
        <v>8.1374999999999993</v>
      </c>
      <c r="Q1126" s="1" t="str" cm="1">
        <f t="array" ref="Q1126">_xlfn.IFS(P1126&lt;=50,"Low",P1126&lt;=100,"Medium",P1126&gt;100,"High")</f>
        <v>Low</v>
      </c>
      <c r="R1126" t="s">
        <v>463</v>
      </c>
      <c r="S1126" s="1" t="str" cm="1">
        <f t="array" ref="S1126">_xlfn.IFS(R1126="S","Southampton",R1126="C","Cherbourg",R1126="Q","Queenstown")</f>
        <v>Queenstown</v>
      </c>
    </row>
    <row r="1127" spans="1:19" x14ac:dyDescent="0.3">
      <c r="A1127">
        <v>1126</v>
      </c>
      <c r="B1127">
        <v>3</v>
      </c>
      <c r="C1127" s="1" t="str" cm="1">
        <f t="array" ref="C1127">_xlfn.IFS(B1127=1,"First Class",B1127=2,"Second Class",B1127=3,"Third Class")</f>
        <v>Third Class</v>
      </c>
      <c r="D1127">
        <v>0</v>
      </c>
      <c r="E1127" s="1" t="str">
        <f t="shared" si="68"/>
        <v>Dead</v>
      </c>
      <c r="F1127" t="s">
        <v>1894</v>
      </c>
      <c r="G1127" s="1" t="s">
        <v>2999</v>
      </c>
      <c r="H1127" t="s">
        <v>20</v>
      </c>
      <c r="I1127" s="1" t="str">
        <f t="shared" si="69"/>
        <v>Male</v>
      </c>
      <c r="J1127" s="3">
        <v>24</v>
      </c>
      <c r="K1127" s="3" t="str" cm="1">
        <f t="array" ref="K1127">_xlfn.IFS(J1127&lt;=13,"Child",J1127&lt;=18,"Teenager",J1127&lt;=30,"Young Adult",J1127&lt;=50,"Middle Aged Adult",J1127&gt;50,"Senior")</f>
        <v>Young Adult</v>
      </c>
      <c r="L1127">
        <v>0</v>
      </c>
      <c r="M1127">
        <v>0</v>
      </c>
      <c r="N1127" s="1">
        <f t="shared" si="70"/>
        <v>1</v>
      </c>
      <c r="O1127" s="1" t="str">
        <f t="shared" si="71"/>
        <v>Single</v>
      </c>
      <c r="P1127">
        <v>8.0500000000000007</v>
      </c>
      <c r="Q1127" s="1" t="str" cm="1">
        <f t="array" ref="Q1127">_xlfn.IFS(P1127&lt;=50,"Low",P1127&lt;=100,"Medium",P1127&gt;100,"High")</f>
        <v>Low</v>
      </c>
      <c r="R1127" t="s">
        <v>17</v>
      </c>
      <c r="S1127" s="1" t="str" cm="1">
        <f t="array" ref="S1127">_xlfn.IFS(R1127="S","Southampton",R1127="C","Cherbourg",R1127="Q","Queenstown")</f>
        <v>Southampton</v>
      </c>
    </row>
    <row r="1128" spans="1:19" x14ac:dyDescent="0.3">
      <c r="A1128">
        <v>1127</v>
      </c>
      <c r="B1128">
        <v>3</v>
      </c>
      <c r="C1128" s="1" t="str" cm="1">
        <f t="array" ref="C1128">_xlfn.IFS(B1128=1,"First Class",B1128=2,"Second Class",B1128=3,"Third Class")</f>
        <v>Third Class</v>
      </c>
      <c r="D1128">
        <v>0</v>
      </c>
      <c r="E1128" s="1" t="str">
        <f t="shared" si="68"/>
        <v>Dead</v>
      </c>
      <c r="F1128" t="s">
        <v>1895</v>
      </c>
      <c r="G1128" s="1" t="s">
        <v>2994</v>
      </c>
      <c r="H1128" t="s">
        <v>15</v>
      </c>
      <c r="I1128" s="1" t="str">
        <f t="shared" si="69"/>
        <v>Female</v>
      </c>
      <c r="J1128" s="3">
        <v>28</v>
      </c>
      <c r="K1128" s="3" t="str" cm="1">
        <f t="array" ref="K1128">_xlfn.IFS(J1128&lt;=13,"Child",J1128&lt;=18,"Teenager",J1128&lt;=30,"Young Adult",J1128&lt;=50,"Middle Aged Adult",J1128&gt;50,"Senior")</f>
        <v>Young Adult</v>
      </c>
      <c r="L1128">
        <v>0</v>
      </c>
      <c r="M1128">
        <v>0</v>
      </c>
      <c r="N1128" s="1">
        <f t="shared" si="70"/>
        <v>1</v>
      </c>
      <c r="O1128" s="1" t="str">
        <f t="shared" si="71"/>
        <v>Single</v>
      </c>
      <c r="P1128">
        <v>7.8958000000000004</v>
      </c>
      <c r="Q1128" s="1" t="str" cm="1">
        <f t="array" ref="Q1128">_xlfn.IFS(P1128&lt;=50,"Low",P1128&lt;=100,"Medium",P1128&gt;100,"High")</f>
        <v>Low</v>
      </c>
      <c r="R1128" t="s">
        <v>17</v>
      </c>
      <c r="S1128" s="1" t="str" cm="1">
        <f t="array" ref="S1128">_xlfn.IFS(R1128="S","Southampton",R1128="C","Cherbourg",R1128="Q","Queenstown")</f>
        <v>Southampton</v>
      </c>
    </row>
    <row r="1129" spans="1:19" x14ac:dyDescent="0.3">
      <c r="A1129">
        <v>1128</v>
      </c>
      <c r="B1129">
        <v>3</v>
      </c>
      <c r="C1129" s="1" t="str" cm="1">
        <f t="array" ref="C1129">_xlfn.IFS(B1129=1,"First Class",B1129=2,"Second Class",B1129=3,"Third Class")</f>
        <v>Third Class</v>
      </c>
      <c r="D1129">
        <v>0</v>
      </c>
      <c r="E1129" s="1" t="str">
        <f t="shared" si="68"/>
        <v>Dead</v>
      </c>
      <c r="F1129" t="s">
        <v>1896</v>
      </c>
      <c r="G1129" s="1" t="s">
        <v>2999</v>
      </c>
      <c r="H1129" t="s">
        <v>20</v>
      </c>
      <c r="I1129" s="1" t="str">
        <f t="shared" si="69"/>
        <v>Male</v>
      </c>
      <c r="J1129" s="3">
        <v>19</v>
      </c>
      <c r="K1129" s="3" t="str" cm="1">
        <f t="array" ref="K1129">_xlfn.IFS(J1129&lt;=13,"Child",J1129&lt;=18,"Teenager",J1129&lt;=30,"Young Adult",J1129&lt;=50,"Middle Aged Adult",J1129&gt;50,"Senior")</f>
        <v>Young Adult</v>
      </c>
      <c r="L1129">
        <v>0</v>
      </c>
      <c r="M1129">
        <v>0</v>
      </c>
      <c r="N1129" s="1">
        <f t="shared" si="70"/>
        <v>1</v>
      </c>
      <c r="O1129" s="1" t="str">
        <f t="shared" si="71"/>
        <v>Single</v>
      </c>
      <c r="P1129">
        <v>7.8958000000000004</v>
      </c>
      <c r="Q1129" s="1" t="str" cm="1">
        <f t="array" ref="Q1129">_xlfn.IFS(P1129&lt;=50,"Low",P1129&lt;=100,"Medium",P1129&gt;100,"High")</f>
        <v>Low</v>
      </c>
      <c r="R1129" t="s">
        <v>17</v>
      </c>
      <c r="S1129" s="1" t="str" cm="1">
        <f t="array" ref="S1129">_xlfn.IFS(R1129="S","Southampton",R1129="C","Cherbourg",R1129="Q","Queenstown")</f>
        <v>Southampton</v>
      </c>
    </row>
    <row r="1130" spans="1:19" x14ac:dyDescent="0.3">
      <c r="A1130">
        <v>1129</v>
      </c>
      <c r="B1130">
        <v>3</v>
      </c>
      <c r="C1130" s="1" t="str" cm="1">
        <f t="array" ref="C1130">_xlfn.IFS(B1130=1,"First Class",B1130=2,"Second Class",B1130=3,"Third Class")</f>
        <v>Third Class</v>
      </c>
      <c r="D1130">
        <v>0</v>
      </c>
      <c r="E1130" s="1" t="str">
        <f t="shared" si="68"/>
        <v>Dead</v>
      </c>
      <c r="F1130" t="s">
        <v>1897</v>
      </c>
      <c r="G1130" s="1" t="s">
        <v>2999</v>
      </c>
      <c r="H1130" t="s">
        <v>20</v>
      </c>
      <c r="I1130" s="1" t="str">
        <f t="shared" si="69"/>
        <v>Male</v>
      </c>
      <c r="J1130" s="3">
        <v>29.881137667304014</v>
      </c>
      <c r="K1130" s="3" t="str" cm="1">
        <f t="array" ref="K1130">_xlfn.IFS(J1130&lt;=13,"Child",J1130&lt;=18,"Teenager",J1130&lt;=30,"Young Adult",J1130&lt;=50,"Middle Aged Adult",J1130&gt;50,"Senior")</f>
        <v>Young Adult</v>
      </c>
      <c r="L1130">
        <v>0</v>
      </c>
      <c r="M1130">
        <v>0</v>
      </c>
      <c r="N1130" s="1">
        <f t="shared" si="70"/>
        <v>1</v>
      </c>
      <c r="O1130" s="1" t="str">
        <f t="shared" si="71"/>
        <v>Single</v>
      </c>
      <c r="P1130">
        <v>7.8958000000000004</v>
      </c>
      <c r="Q1130" s="1" t="str" cm="1">
        <f t="array" ref="Q1130">_xlfn.IFS(P1130&lt;=50,"Low",P1130&lt;=100,"Medium",P1130&gt;100,"High")</f>
        <v>Low</v>
      </c>
      <c r="R1130" t="s">
        <v>17</v>
      </c>
      <c r="S1130" s="1" t="str" cm="1">
        <f t="array" ref="S1130">_xlfn.IFS(R1130="S","Southampton",R1130="C","Cherbourg",R1130="Q","Queenstown")</f>
        <v>Southampton</v>
      </c>
    </row>
    <row r="1131" spans="1:19" x14ac:dyDescent="0.3">
      <c r="A1131">
        <v>1130</v>
      </c>
      <c r="B1131">
        <v>3</v>
      </c>
      <c r="C1131" s="1" t="str" cm="1">
        <f t="array" ref="C1131">_xlfn.IFS(B1131=1,"First Class",B1131=2,"Second Class",B1131=3,"Third Class")</f>
        <v>Third Class</v>
      </c>
      <c r="D1131">
        <v>0</v>
      </c>
      <c r="E1131" s="1" t="str">
        <f t="shared" si="68"/>
        <v>Dead</v>
      </c>
      <c r="F1131" t="s">
        <v>1898</v>
      </c>
      <c r="G1131" s="1" t="s">
        <v>2999</v>
      </c>
      <c r="H1131" t="s">
        <v>20</v>
      </c>
      <c r="I1131" s="1" t="str">
        <f t="shared" si="69"/>
        <v>Male</v>
      </c>
      <c r="J1131" s="3">
        <v>25</v>
      </c>
      <c r="K1131" s="3" t="str" cm="1">
        <f t="array" ref="K1131">_xlfn.IFS(J1131&lt;=13,"Child",J1131&lt;=18,"Teenager",J1131&lt;=30,"Young Adult",J1131&lt;=50,"Middle Aged Adult",J1131&gt;50,"Senior")</f>
        <v>Young Adult</v>
      </c>
      <c r="L1131">
        <v>1</v>
      </c>
      <c r="M1131">
        <v>0</v>
      </c>
      <c r="N1131" s="1">
        <f t="shared" si="70"/>
        <v>2</v>
      </c>
      <c r="O1131" s="1" t="str">
        <f t="shared" si="71"/>
        <v>With Family</v>
      </c>
      <c r="P1131">
        <v>7.7750000000000004</v>
      </c>
      <c r="Q1131" s="1" t="str" cm="1">
        <f t="array" ref="Q1131">_xlfn.IFS(P1131&lt;=50,"Low",P1131&lt;=100,"Medium",P1131&gt;100,"High")</f>
        <v>Low</v>
      </c>
      <c r="R1131" t="s">
        <v>17</v>
      </c>
      <c r="S1131" s="1" t="str" cm="1">
        <f t="array" ref="S1131">_xlfn.IFS(R1131="S","Southampton",R1131="C","Cherbourg",R1131="Q","Queenstown")</f>
        <v>Southampton</v>
      </c>
    </row>
    <row r="1132" spans="1:19" x14ac:dyDescent="0.3">
      <c r="A1132">
        <v>1131</v>
      </c>
      <c r="B1132">
        <v>3</v>
      </c>
      <c r="C1132" s="1" t="str" cm="1">
        <f t="array" ref="C1132">_xlfn.IFS(B1132=1,"First Class",B1132=2,"Second Class",B1132=3,"Third Class")</f>
        <v>Third Class</v>
      </c>
      <c r="D1132">
        <v>0</v>
      </c>
      <c r="E1132" s="1" t="str">
        <f t="shared" si="68"/>
        <v>Dead</v>
      </c>
      <c r="F1132" t="s">
        <v>1899</v>
      </c>
      <c r="G1132" s="1" t="s">
        <v>2994</v>
      </c>
      <c r="H1132" t="s">
        <v>15</v>
      </c>
      <c r="I1132" s="1" t="str">
        <f t="shared" si="69"/>
        <v>Female</v>
      </c>
      <c r="J1132" s="3">
        <v>18</v>
      </c>
      <c r="K1132" s="3" t="str" cm="1">
        <f t="array" ref="K1132">_xlfn.IFS(J1132&lt;=13,"Child",J1132&lt;=18,"Teenager",J1132&lt;=30,"Young Adult",J1132&lt;=50,"Middle Aged Adult",J1132&gt;50,"Senior")</f>
        <v>Teenager</v>
      </c>
      <c r="L1132">
        <v>0</v>
      </c>
      <c r="M1132">
        <v>0</v>
      </c>
      <c r="N1132" s="1">
        <f t="shared" si="70"/>
        <v>1</v>
      </c>
      <c r="O1132" s="1" t="str">
        <f t="shared" si="71"/>
        <v>Single</v>
      </c>
      <c r="P1132">
        <v>7.7750000000000004</v>
      </c>
      <c r="Q1132" s="1" t="str" cm="1">
        <f t="array" ref="Q1132">_xlfn.IFS(P1132&lt;=50,"Low",P1132&lt;=100,"Medium",P1132&gt;100,"High")</f>
        <v>Low</v>
      </c>
      <c r="R1132" t="s">
        <v>17</v>
      </c>
      <c r="S1132" s="1" t="str" cm="1">
        <f t="array" ref="S1132">_xlfn.IFS(R1132="S","Southampton",R1132="C","Cherbourg",R1132="Q","Queenstown")</f>
        <v>Southampton</v>
      </c>
    </row>
    <row r="1133" spans="1:19" x14ac:dyDescent="0.3">
      <c r="A1133">
        <v>1132</v>
      </c>
      <c r="B1133">
        <v>3</v>
      </c>
      <c r="C1133" s="1" t="str" cm="1">
        <f t="array" ref="C1133">_xlfn.IFS(B1133=1,"First Class",B1133=2,"Second Class",B1133=3,"Third Class")</f>
        <v>Third Class</v>
      </c>
      <c r="D1133">
        <v>1</v>
      </c>
      <c r="E1133" s="1" t="str">
        <f t="shared" si="68"/>
        <v>Alive</v>
      </c>
      <c r="F1133" t="s">
        <v>1900</v>
      </c>
      <c r="G1133" s="1" t="s">
        <v>2999</v>
      </c>
      <c r="H1133" t="s">
        <v>20</v>
      </c>
      <c r="I1133" s="1" t="str">
        <f t="shared" si="69"/>
        <v>Male</v>
      </c>
      <c r="J1133" s="3">
        <v>32</v>
      </c>
      <c r="K1133" s="3" t="str" cm="1">
        <f t="array" ref="K1133">_xlfn.IFS(J1133&lt;=13,"Child",J1133&lt;=18,"Teenager",J1133&lt;=30,"Young Adult",J1133&lt;=50,"Middle Aged Adult",J1133&gt;50,"Senior")</f>
        <v>Middle Aged Adult</v>
      </c>
      <c r="L1133">
        <v>0</v>
      </c>
      <c r="M1133">
        <v>0</v>
      </c>
      <c r="N1133" s="1">
        <f t="shared" si="70"/>
        <v>1</v>
      </c>
      <c r="O1133" s="1" t="str">
        <f t="shared" si="71"/>
        <v>Single</v>
      </c>
      <c r="P1133">
        <v>8.0500000000000007</v>
      </c>
      <c r="Q1133" s="1" t="str" cm="1">
        <f t="array" ref="Q1133">_xlfn.IFS(P1133&lt;=50,"Low",P1133&lt;=100,"Medium",P1133&gt;100,"High")</f>
        <v>Low</v>
      </c>
      <c r="R1133" t="s">
        <v>17</v>
      </c>
      <c r="S1133" s="1" t="str" cm="1">
        <f t="array" ref="S1133">_xlfn.IFS(R1133="S","Southampton",R1133="C","Cherbourg",R1133="Q","Queenstown")</f>
        <v>Southampton</v>
      </c>
    </row>
    <row r="1134" spans="1:19" x14ac:dyDescent="0.3">
      <c r="A1134">
        <v>1133</v>
      </c>
      <c r="B1134">
        <v>3</v>
      </c>
      <c r="C1134" s="1" t="str" cm="1">
        <f t="array" ref="C1134">_xlfn.IFS(B1134=1,"First Class",B1134=2,"Second Class",B1134=3,"Third Class")</f>
        <v>Third Class</v>
      </c>
      <c r="D1134">
        <v>0</v>
      </c>
      <c r="E1134" s="1" t="str">
        <f t="shared" si="68"/>
        <v>Dead</v>
      </c>
      <c r="F1134" t="s">
        <v>1903</v>
      </c>
      <c r="G1134" s="1" t="s">
        <v>2999</v>
      </c>
      <c r="H1134" t="s">
        <v>20</v>
      </c>
      <c r="I1134" s="1" t="str">
        <f t="shared" si="69"/>
        <v>Male</v>
      </c>
      <c r="J1134" s="3">
        <v>29.881137667304014</v>
      </c>
      <c r="K1134" s="3" t="str" cm="1">
        <f t="array" ref="K1134">_xlfn.IFS(J1134&lt;=13,"Child",J1134&lt;=18,"Teenager",J1134&lt;=30,"Young Adult",J1134&lt;=50,"Middle Aged Adult",J1134&gt;50,"Senior")</f>
        <v>Young Adult</v>
      </c>
      <c r="L1134">
        <v>0</v>
      </c>
      <c r="M1134">
        <v>0</v>
      </c>
      <c r="N1134" s="1">
        <f t="shared" si="70"/>
        <v>1</v>
      </c>
      <c r="O1134" s="1" t="str">
        <f t="shared" si="71"/>
        <v>Single</v>
      </c>
      <c r="P1134">
        <v>7.8958000000000004</v>
      </c>
      <c r="Q1134" s="1" t="str" cm="1">
        <f t="array" ref="Q1134">_xlfn.IFS(P1134&lt;=50,"Low",P1134&lt;=100,"Medium",P1134&gt;100,"High")</f>
        <v>Low</v>
      </c>
      <c r="R1134" t="s">
        <v>17</v>
      </c>
      <c r="S1134" s="1" t="str" cm="1">
        <f t="array" ref="S1134">_xlfn.IFS(R1134="S","Southampton",R1134="C","Cherbourg",R1134="Q","Queenstown")</f>
        <v>Southampton</v>
      </c>
    </row>
    <row r="1135" spans="1:19" x14ac:dyDescent="0.3">
      <c r="A1135">
        <v>1134</v>
      </c>
      <c r="B1135">
        <v>3</v>
      </c>
      <c r="C1135" s="1" t="str" cm="1">
        <f t="array" ref="C1135">_xlfn.IFS(B1135=1,"First Class",B1135=2,"Second Class",B1135=3,"Third Class")</f>
        <v>Third Class</v>
      </c>
      <c r="D1135">
        <v>0</v>
      </c>
      <c r="E1135" s="1" t="str">
        <f t="shared" si="68"/>
        <v>Dead</v>
      </c>
      <c r="F1135" t="s">
        <v>1904</v>
      </c>
      <c r="G1135" s="1" t="s">
        <v>2999</v>
      </c>
      <c r="H1135" t="s">
        <v>20</v>
      </c>
      <c r="I1135" s="1" t="str">
        <f t="shared" si="69"/>
        <v>Male</v>
      </c>
      <c r="J1135" s="3">
        <v>17</v>
      </c>
      <c r="K1135" s="3" t="str" cm="1">
        <f t="array" ref="K1135">_xlfn.IFS(J1135&lt;=13,"Child",J1135&lt;=18,"Teenager",J1135&lt;=30,"Young Adult",J1135&lt;=50,"Middle Aged Adult",J1135&gt;50,"Senior")</f>
        <v>Teenager</v>
      </c>
      <c r="L1135">
        <v>0</v>
      </c>
      <c r="M1135">
        <v>0</v>
      </c>
      <c r="N1135" s="1">
        <f t="shared" si="70"/>
        <v>1</v>
      </c>
      <c r="O1135" s="1" t="str">
        <f t="shared" si="71"/>
        <v>Single</v>
      </c>
      <c r="P1135">
        <v>8.6624999999999996</v>
      </c>
      <c r="Q1135" s="1" t="str" cm="1">
        <f t="array" ref="Q1135">_xlfn.IFS(P1135&lt;=50,"Low",P1135&lt;=100,"Medium",P1135&gt;100,"High")</f>
        <v>Low</v>
      </c>
      <c r="R1135" t="s">
        <v>17</v>
      </c>
      <c r="S1135" s="1" t="str" cm="1">
        <f t="array" ref="S1135">_xlfn.IFS(R1135="S","Southampton",R1135="C","Cherbourg",R1135="Q","Queenstown")</f>
        <v>Southampton</v>
      </c>
    </row>
    <row r="1136" spans="1:19" x14ac:dyDescent="0.3">
      <c r="A1136">
        <v>1135</v>
      </c>
      <c r="B1136">
        <v>3</v>
      </c>
      <c r="C1136" s="1" t="str" cm="1">
        <f t="array" ref="C1136">_xlfn.IFS(B1136=1,"First Class",B1136=2,"Second Class",B1136=3,"Third Class")</f>
        <v>Third Class</v>
      </c>
      <c r="D1136">
        <v>0</v>
      </c>
      <c r="E1136" s="1" t="str">
        <f t="shared" si="68"/>
        <v>Dead</v>
      </c>
      <c r="F1136" t="s">
        <v>1905</v>
      </c>
      <c r="G1136" s="1" t="s">
        <v>2999</v>
      </c>
      <c r="H1136" t="s">
        <v>20</v>
      </c>
      <c r="I1136" s="1" t="str">
        <f t="shared" si="69"/>
        <v>Male</v>
      </c>
      <c r="J1136" s="3">
        <v>24</v>
      </c>
      <c r="K1136" s="3" t="str" cm="1">
        <f t="array" ref="K1136">_xlfn.IFS(J1136&lt;=13,"Child",J1136&lt;=18,"Teenager",J1136&lt;=30,"Young Adult",J1136&lt;=50,"Middle Aged Adult",J1136&gt;50,"Senior")</f>
        <v>Young Adult</v>
      </c>
      <c r="L1136">
        <v>0</v>
      </c>
      <c r="M1136">
        <v>0</v>
      </c>
      <c r="N1136" s="1">
        <f t="shared" si="70"/>
        <v>1</v>
      </c>
      <c r="O1136" s="1" t="str">
        <f t="shared" si="71"/>
        <v>Single</v>
      </c>
      <c r="P1136">
        <v>8.6624999999999996</v>
      </c>
      <c r="Q1136" s="1" t="str" cm="1">
        <f t="array" ref="Q1136">_xlfn.IFS(P1136&lt;=50,"Low",P1136&lt;=100,"Medium",P1136&gt;100,"High")</f>
        <v>Low</v>
      </c>
      <c r="R1136" t="s">
        <v>17</v>
      </c>
      <c r="S1136" s="1" t="str" cm="1">
        <f t="array" ref="S1136">_xlfn.IFS(R1136="S","Southampton",R1136="C","Cherbourg",R1136="Q","Queenstown")</f>
        <v>Southampton</v>
      </c>
    </row>
    <row r="1137" spans="1:19" x14ac:dyDescent="0.3">
      <c r="A1137">
        <v>1136</v>
      </c>
      <c r="B1137">
        <v>3</v>
      </c>
      <c r="C1137" s="1" t="str" cm="1">
        <f t="array" ref="C1137">_xlfn.IFS(B1137=1,"First Class",B1137=2,"Second Class",B1137=3,"Third Class")</f>
        <v>Third Class</v>
      </c>
      <c r="D1137">
        <v>0</v>
      </c>
      <c r="E1137" s="1" t="str">
        <f t="shared" si="68"/>
        <v>Dead</v>
      </c>
      <c r="F1137" t="s">
        <v>1906</v>
      </c>
      <c r="G1137" s="1" t="s">
        <v>2999</v>
      </c>
      <c r="H1137" t="s">
        <v>20</v>
      </c>
      <c r="I1137" s="1" t="str">
        <f t="shared" si="69"/>
        <v>Male</v>
      </c>
      <c r="J1137" s="3">
        <v>29.881137667304014</v>
      </c>
      <c r="K1137" s="3" t="str" cm="1">
        <f t="array" ref="K1137">_xlfn.IFS(J1137&lt;=13,"Child",J1137&lt;=18,"Teenager",J1137&lt;=30,"Young Adult",J1137&lt;=50,"Middle Aged Adult",J1137&gt;50,"Senior")</f>
        <v>Young Adult</v>
      </c>
      <c r="L1137">
        <v>0</v>
      </c>
      <c r="M1137">
        <v>0</v>
      </c>
      <c r="N1137" s="1">
        <f t="shared" si="70"/>
        <v>1</v>
      </c>
      <c r="O1137" s="1" t="str">
        <f t="shared" si="71"/>
        <v>Single</v>
      </c>
      <c r="P1137">
        <v>7.8958000000000004</v>
      </c>
      <c r="Q1137" s="1" t="str" cm="1">
        <f t="array" ref="Q1137">_xlfn.IFS(P1137&lt;=50,"Low",P1137&lt;=100,"Medium",P1137&gt;100,"High")</f>
        <v>Low</v>
      </c>
      <c r="R1137" t="s">
        <v>17</v>
      </c>
      <c r="S1137" s="1" t="str" cm="1">
        <f t="array" ref="S1137">_xlfn.IFS(R1137="S","Southampton",R1137="C","Cherbourg",R1137="Q","Queenstown")</f>
        <v>Southampton</v>
      </c>
    </row>
    <row r="1138" spans="1:19" x14ac:dyDescent="0.3">
      <c r="A1138">
        <v>1137</v>
      </c>
      <c r="B1138">
        <v>3</v>
      </c>
      <c r="C1138" s="1" t="str" cm="1">
        <f t="array" ref="C1138">_xlfn.IFS(B1138=1,"First Class",B1138=2,"Second Class",B1138=3,"Third Class")</f>
        <v>Third Class</v>
      </c>
      <c r="D1138">
        <v>0</v>
      </c>
      <c r="E1138" s="1" t="str">
        <f t="shared" si="68"/>
        <v>Dead</v>
      </c>
      <c r="F1138" t="s">
        <v>1907</v>
      </c>
      <c r="G1138" s="1" t="s">
        <v>3001</v>
      </c>
      <c r="H1138" t="s">
        <v>15</v>
      </c>
      <c r="I1138" s="1" t="str">
        <f t="shared" si="69"/>
        <v>Female</v>
      </c>
      <c r="J1138" s="3">
        <v>29.881137667304014</v>
      </c>
      <c r="K1138" s="3" t="str" cm="1">
        <f t="array" ref="K1138">_xlfn.IFS(J1138&lt;=13,"Child",J1138&lt;=18,"Teenager",J1138&lt;=30,"Young Adult",J1138&lt;=50,"Middle Aged Adult",J1138&gt;50,"Senior")</f>
        <v>Young Adult</v>
      </c>
      <c r="L1138">
        <v>0</v>
      </c>
      <c r="M1138">
        <v>0</v>
      </c>
      <c r="N1138" s="1">
        <f t="shared" si="70"/>
        <v>1</v>
      </c>
      <c r="O1138" s="1" t="str">
        <f t="shared" si="71"/>
        <v>Single</v>
      </c>
      <c r="P1138">
        <v>8.1125000000000007</v>
      </c>
      <c r="Q1138" s="1" t="str" cm="1">
        <f t="array" ref="Q1138">_xlfn.IFS(P1138&lt;=50,"Low",P1138&lt;=100,"Medium",P1138&gt;100,"High")</f>
        <v>Low</v>
      </c>
      <c r="R1138" t="s">
        <v>17</v>
      </c>
      <c r="S1138" s="1" t="str" cm="1">
        <f t="array" ref="S1138">_xlfn.IFS(R1138="S","Southampton",R1138="C","Cherbourg",R1138="Q","Queenstown")</f>
        <v>Southampton</v>
      </c>
    </row>
    <row r="1139" spans="1:19" x14ac:dyDescent="0.3">
      <c r="A1139">
        <v>1138</v>
      </c>
      <c r="B1139">
        <v>3</v>
      </c>
      <c r="C1139" s="1" t="str" cm="1">
        <f t="array" ref="C1139">_xlfn.IFS(B1139=1,"First Class",B1139=2,"Second Class",B1139=3,"Third Class")</f>
        <v>Third Class</v>
      </c>
      <c r="D1139">
        <v>0</v>
      </c>
      <c r="E1139" s="1" t="str">
        <f t="shared" si="68"/>
        <v>Dead</v>
      </c>
      <c r="F1139" t="s">
        <v>1908</v>
      </c>
      <c r="G1139" s="1" t="s">
        <v>2999</v>
      </c>
      <c r="H1139" t="s">
        <v>20</v>
      </c>
      <c r="I1139" s="1" t="str">
        <f t="shared" si="69"/>
        <v>Male</v>
      </c>
      <c r="J1139" s="3">
        <v>29.881137667304014</v>
      </c>
      <c r="K1139" s="3" t="str" cm="1">
        <f t="array" ref="K1139">_xlfn.IFS(J1139&lt;=13,"Child",J1139&lt;=18,"Teenager",J1139&lt;=30,"Young Adult",J1139&lt;=50,"Middle Aged Adult",J1139&gt;50,"Senior")</f>
        <v>Young Adult</v>
      </c>
      <c r="L1139">
        <v>0</v>
      </c>
      <c r="M1139">
        <v>0</v>
      </c>
      <c r="N1139" s="1">
        <f t="shared" si="70"/>
        <v>1</v>
      </c>
      <c r="O1139" s="1" t="str">
        <f t="shared" si="71"/>
        <v>Single</v>
      </c>
      <c r="P1139">
        <v>7.2291999999999996</v>
      </c>
      <c r="Q1139" s="1" t="str" cm="1">
        <f t="array" ref="Q1139">_xlfn.IFS(P1139&lt;=50,"Low",P1139&lt;=100,"Medium",P1139&gt;100,"High")</f>
        <v>Low</v>
      </c>
      <c r="R1139" t="s">
        <v>41</v>
      </c>
      <c r="S1139" s="1" t="str" cm="1">
        <f t="array" ref="S1139">_xlfn.IFS(R1139="S","Southampton",R1139="C","Cherbourg",R1139="Q","Queenstown")</f>
        <v>Cherbourg</v>
      </c>
    </row>
    <row r="1140" spans="1:19" x14ac:dyDescent="0.3">
      <c r="A1140">
        <v>1139</v>
      </c>
      <c r="B1140">
        <v>3</v>
      </c>
      <c r="C1140" s="1" t="str" cm="1">
        <f t="array" ref="C1140">_xlfn.IFS(B1140=1,"First Class",B1140=2,"Second Class",B1140=3,"Third Class")</f>
        <v>Third Class</v>
      </c>
      <c r="D1140">
        <v>0</v>
      </c>
      <c r="E1140" s="1" t="str">
        <f t="shared" si="68"/>
        <v>Dead</v>
      </c>
      <c r="F1140" t="s">
        <v>1909</v>
      </c>
      <c r="G1140" s="1" t="s">
        <v>2999</v>
      </c>
      <c r="H1140" t="s">
        <v>20</v>
      </c>
      <c r="I1140" s="1" t="str">
        <f t="shared" si="69"/>
        <v>Male</v>
      </c>
      <c r="J1140" s="3">
        <v>29.881137667304014</v>
      </c>
      <c r="K1140" s="3" t="str" cm="1">
        <f t="array" ref="K1140">_xlfn.IFS(J1140&lt;=13,"Child",J1140&lt;=18,"Teenager",J1140&lt;=30,"Young Adult",J1140&lt;=50,"Middle Aged Adult",J1140&gt;50,"Senior")</f>
        <v>Young Adult</v>
      </c>
      <c r="L1140">
        <v>0</v>
      </c>
      <c r="M1140">
        <v>0</v>
      </c>
      <c r="N1140" s="1">
        <f t="shared" si="70"/>
        <v>1</v>
      </c>
      <c r="O1140" s="1" t="str">
        <f t="shared" si="71"/>
        <v>Single</v>
      </c>
      <c r="P1140">
        <v>7.25</v>
      </c>
      <c r="Q1140" s="1" t="str" cm="1">
        <f t="array" ref="Q1140">_xlfn.IFS(P1140&lt;=50,"Low",P1140&lt;=100,"Medium",P1140&gt;100,"High")</f>
        <v>Low</v>
      </c>
      <c r="R1140" t="s">
        <v>17</v>
      </c>
      <c r="S1140" s="1" t="str" cm="1">
        <f t="array" ref="S1140">_xlfn.IFS(R1140="S","Southampton",R1140="C","Cherbourg",R1140="Q","Queenstown")</f>
        <v>Southampton</v>
      </c>
    </row>
    <row r="1141" spans="1:19" x14ac:dyDescent="0.3">
      <c r="A1141">
        <v>1140</v>
      </c>
      <c r="B1141">
        <v>3</v>
      </c>
      <c r="C1141" s="1" t="str" cm="1">
        <f t="array" ref="C1141">_xlfn.IFS(B1141=1,"First Class",B1141=2,"Second Class",B1141=3,"Third Class")</f>
        <v>Third Class</v>
      </c>
      <c r="D1141">
        <v>0</v>
      </c>
      <c r="E1141" s="1" t="str">
        <f t="shared" si="68"/>
        <v>Dead</v>
      </c>
      <c r="F1141" t="s">
        <v>1910</v>
      </c>
      <c r="G1141" s="1" t="s">
        <v>2999</v>
      </c>
      <c r="H1141" t="s">
        <v>20</v>
      </c>
      <c r="I1141" s="1" t="str">
        <f t="shared" si="69"/>
        <v>Male</v>
      </c>
      <c r="J1141" s="3">
        <v>38</v>
      </c>
      <c r="K1141" s="3" t="str" cm="1">
        <f t="array" ref="K1141">_xlfn.IFS(J1141&lt;=13,"Child",J1141&lt;=18,"Teenager",J1141&lt;=30,"Young Adult",J1141&lt;=50,"Middle Aged Adult",J1141&gt;50,"Senior")</f>
        <v>Middle Aged Adult</v>
      </c>
      <c r="L1141">
        <v>0</v>
      </c>
      <c r="M1141">
        <v>0</v>
      </c>
      <c r="N1141" s="1">
        <f t="shared" si="70"/>
        <v>1</v>
      </c>
      <c r="O1141" s="1" t="str">
        <f t="shared" si="71"/>
        <v>Single</v>
      </c>
      <c r="P1141">
        <v>7.8958000000000004</v>
      </c>
      <c r="Q1141" s="1" t="str" cm="1">
        <f t="array" ref="Q1141">_xlfn.IFS(P1141&lt;=50,"Low",P1141&lt;=100,"Medium",P1141&gt;100,"High")</f>
        <v>Low</v>
      </c>
      <c r="R1141" t="s">
        <v>17</v>
      </c>
      <c r="S1141" s="1" t="str" cm="1">
        <f t="array" ref="S1141">_xlfn.IFS(R1141="S","Southampton",R1141="C","Cherbourg",R1141="Q","Queenstown")</f>
        <v>Southampton</v>
      </c>
    </row>
    <row r="1142" spans="1:19" x14ac:dyDescent="0.3">
      <c r="A1142">
        <v>1141</v>
      </c>
      <c r="B1142">
        <v>3</v>
      </c>
      <c r="C1142" s="1" t="str" cm="1">
        <f t="array" ref="C1142">_xlfn.IFS(B1142=1,"First Class",B1142=2,"Second Class",B1142=3,"Third Class")</f>
        <v>Third Class</v>
      </c>
      <c r="D1142">
        <v>0</v>
      </c>
      <c r="E1142" s="1" t="str">
        <f t="shared" si="68"/>
        <v>Dead</v>
      </c>
      <c r="F1142" t="s">
        <v>1911</v>
      </c>
      <c r="G1142" s="1" t="s">
        <v>2999</v>
      </c>
      <c r="H1142" t="s">
        <v>20</v>
      </c>
      <c r="I1142" s="1" t="str">
        <f t="shared" si="69"/>
        <v>Male</v>
      </c>
      <c r="J1142" s="3">
        <v>21</v>
      </c>
      <c r="K1142" s="3" t="str" cm="1">
        <f t="array" ref="K1142">_xlfn.IFS(J1142&lt;=13,"Child",J1142&lt;=18,"Teenager",J1142&lt;=30,"Young Adult",J1142&lt;=50,"Middle Aged Adult",J1142&gt;50,"Senior")</f>
        <v>Young Adult</v>
      </c>
      <c r="L1142">
        <v>0</v>
      </c>
      <c r="M1142">
        <v>0</v>
      </c>
      <c r="N1142" s="1">
        <f t="shared" si="70"/>
        <v>1</v>
      </c>
      <c r="O1142" s="1" t="str">
        <f t="shared" si="71"/>
        <v>Single</v>
      </c>
      <c r="P1142">
        <v>8.0500000000000007</v>
      </c>
      <c r="Q1142" s="1" t="str" cm="1">
        <f t="array" ref="Q1142">_xlfn.IFS(P1142&lt;=50,"Low",P1142&lt;=100,"Medium",P1142&gt;100,"High")</f>
        <v>Low</v>
      </c>
      <c r="R1142" t="s">
        <v>17</v>
      </c>
      <c r="S1142" s="1" t="str" cm="1">
        <f t="array" ref="S1142">_xlfn.IFS(R1142="S","Southampton",R1142="C","Cherbourg",R1142="Q","Queenstown")</f>
        <v>Southampton</v>
      </c>
    </row>
    <row r="1143" spans="1:19" x14ac:dyDescent="0.3">
      <c r="A1143">
        <v>1142</v>
      </c>
      <c r="B1143">
        <v>3</v>
      </c>
      <c r="C1143" s="1" t="str" cm="1">
        <f t="array" ref="C1143">_xlfn.IFS(B1143=1,"First Class",B1143=2,"Second Class",B1143=3,"Third Class")</f>
        <v>Third Class</v>
      </c>
      <c r="D1143">
        <v>0</v>
      </c>
      <c r="E1143" s="1" t="str">
        <f t="shared" si="68"/>
        <v>Dead</v>
      </c>
      <c r="F1143" t="s">
        <v>1912</v>
      </c>
      <c r="G1143" s="1" t="s">
        <v>2996</v>
      </c>
      <c r="H1143" t="s">
        <v>20</v>
      </c>
      <c r="I1143" s="1" t="str">
        <f t="shared" si="69"/>
        <v>Male</v>
      </c>
      <c r="J1143" s="3">
        <v>10</v>
      </c>
      <c r="K1143" s="3" t="str" cm="1">
        <f t="array" ref="K1143">_xlfn.IFS(J1143&lt;=13,"Child",J1143&lt;=18,"Teenager",J1143&lt;=30,"Young Adult",J1143&lt;=50,"Middle Aged Adult",J1143&gt;50,"Senior")</f>
        <v>Child</v>
      </c>
      <c r="L1143">
        <v>4</v>
      </c>
      <c r="M1143">
        <v>1</v>
      </c>
      <c r="N1143" s="1">
        <f t="shared" si="70"/>
        <v>6</v>
      </c>
      <c r="O1143" s="1" t="str">
        <f t="shared" si="71"/>
        <v>With Family</v>
      </c>
      <c r="P1143">
        <v>29.125</v>
      </c>
      <c r="Q1143" s="1" t="str" cm="1">
        <f t="array" ref="Q1143">_xlfn.IFS(P1143&lt;=50,"Low",P1143&lt;=100,"Medium",P1143&gt;100,"High")</f>
        <v>Low</v>
      </c>
      <c r="R1143" t="s">
        <v>463</v>
      </c>
      <c r="S1143" s="1" t="str" cm="1">
        <f t="array" ref="S1143">_xlfn.IFS(R1143="S","Southampton",R1143="C","Cherbourg",R1143="Q","Queenstown")</f>
        <v>Queenstown</v>
      </c>
    </row>
    <row r="1144" spans="1:19" x14ac:dyDescent="0.3">
      <c r="A1144">
        <v>1143</v>
      </c>
      <c r="B1144">
        <v>3</v>
      </c>
      <c r="C1144" s="1" t="str" cm="1">
        <f t="array" ref="C1144">_xlfn.IFS(B1144=1,"First Class",B1144=2,"Second Class",B1144=3,"Third Class")</f>
        <v>Third Class</v>
      </c>
      <c r="D1144">
        <v>0</v>
      </c>
      <c r="E1144" s="1" t="str">
        <f t="shared" si="68"/>
        <v>Dead</v>
      </c>
      <c r="F1144" t="s">
        <v>1913</v>
      </c>
      <c r="G1144" s="1" t="s">
        <v>2996</v>
      </c>
      <c r="H1144" t="s">
        <v>20</v>
      </c>
      <c r="I1144" s="1" t="str">
        <f t="shared" si="69"/>
        <v>Male</v>
      </c>
      <c r="J1144" s="3">
        <v>4</v>
      </c>
      <c r="K1144" s="3" t="str" cm="1">
        <f t="array" ref="K1144">_xlfn.IFS(J1144&lt;=13,"Child",J1144&lt;=18,"Teenager",J1144&lt;=30,"Young Adult",J1144&lt;=50,"Middle Aged Adult",J1144&gt;50,"Senior")</f>
        <v>Child</v>
      </c>
      <c r="L1144">
        <v>4</v>
      </c>
      <c r="M1144">
        <v>1</v>
      </c>
      <c r="N1144" s="1">
        <f t="shared" si="70"/>
        <v>6</v>
      </c>
      <c r="O1144" s="1" t="str">
        <f t="shared" si="71"/>
        <v>With Family</v>
      </c>
      <c r="P1144">
        <v>29.125</v>
      </c>
      <c r="Q1144" s="1" t="str" cm="1">
        <f t="array" ref="Q1144">_xlfn.IFS(P1144&lt;=50,"Low",P1144&lt;=100,"Medium",P1144&gt;100,"High")</f>
        <v>Low</v>
      </c>
      <c r="R1144" t="s">
        <v>463</v>
      </c>
      <c r="S1144" s="1" t="str" cm="1">
        <f t="array" ref="S1144">_xlfn.IFS(R1144="S","Southampton",R1144="C","Cherbourg",R1144="Q","Queenstown")</f>
        <v>Queenstown</v>
      </c>
    </row>
    <row r="1145" spans="1:19" x14ac:dyDescent="0.3">
      <c r="A1145">
        <v>1144</v>
      </c>
      <c r="B1145">
        <v>3</v>
      </c>
      <c r="C1145" s="1" t="str" cm="1">
        <f t="array" ref="C1145">_xlfn.IFS(B1145=1,"First Class",B1145=2,"Second Class",B1145=3,"Third Class")</f>
        <v>Third Class</v>
      </c>
      <c r="D1145">
        <v>0</v>
      </c>
      <c r="E1145" s="1" t="str">
        <f t="shared" si="68"/>
        <v>Dead</v>
      </c>
      <c r="F1145" t="s">
        <v>1914</v>
      </c>
      <c r="G1145" s="1" t="s">
        <v>2996</v>
      </c>
      <c r="H1145" t="s">
        <v>20</v>
      </c>
      <c r="I1145" s="1" t="str">
        <f t="shared" si="69"/>
        <v>Male</v>
      </c>
      <c r="J1145" s="3">
        <v>7</v>
      </c>
      <c r="K1145" s="3" t="str" cm="1">
        <f t="array" ref="K1145">_xlfn.IFS(J1145&lt;=13,"Child",J1145&lt;=18,"Teenager",J1145&lt;=30,"Young Adult",J1145&lt;=50,"Middle Aged Adult",J1145&gt;50,"Senior")</f>
        <v>Child</v>
      </c>
      <c r="L1145">
        <v>4</v>
      </c>
      <c r="M1145">
        <v>1</v>
      </c>
      <c r="N1145" s="1">
        <f t="shared" si="70"/>
        <v>6</v>
      </c>
      <c r="O1145" s="1" t="str">
        <f t="shared" si="71"/>
        <v>With Family</v>
      </c>
      <c r="P1145">
        <v>29.125</v>
      </c>
      <c r="Q1145" s="1" t="str" cm="1">
        <f t="array" ref="Q1145">_xlfn.IFS(P1145&lt;=50,"Low",P1145&lt;=100,"Medium",P1145&gt;100,"High")</f>
        <v>Low</v>
      </c>
      <c r="R1145" t="s">
        <v>463</v>
      </c>
      <c r="S1145" s="1" t="str" cm="1">
        <f t="array" ref="S1145">_xlfn.IFS(R1145="S","Southampton",R1145="C","Cherbourg",R1145="Q","Queenstown")</f>
        <v>Queenstown</v>
      </c>
    </row>
    <row r="1146" spans="1:19" x14ac:dyDescent="0.3">
      <c r="A1146">
        <v>1145</v>
      </c>
      <c r="B1146">
        <v>3</v>
      </c>
      <c r="C1146" s="1" t="str" cm="1">
        <f t="array" ref="C1146">_xlfn.IFS(B1146=1,"First Class",B1146=2,"Second Class",B1146=3,"Third Class")</f>
        <v>Third Class</v>
      </c>
      <c r="D1146">
        <v>0</v>
      </c>
      <c r="E1146" s="1" t="str">
        <f t="shared" si="68"/>
        <v>Dead</v>
      </c>
      <c r="F1146" t="s">
        <v>1915</v>
      </c>
      <c r="G1146" s="1" t="s">
        <v>2996</v>
      </c>
      <c r="H1146" t="s">
        <v>20</v>
      </c>
      <c r="I1146" s="1" t="str">
        <f t="shared" si="69"/>
        <v>Male</v>
      </c>
      <c r="J1146" s="3">
        <v>2</v>
      </c>
      <c r="K1146" s="3" t="str" cm="1">
        <f t="array" ref="K1146">_xlfn.IFS(J1146&lt;=13,"Child",J1146&lt;=18,"Teenager",J1146&lt;=30,"Young Adult",J1146&lt;=50,"Middle Aged Adult",J1146&gt;50,"Senior")</f>
        <v>Child</v>
      </c>
      <c r="L1146">
        <v>4</v>
      </c>
      <c r="M1146">
        <v>1</v>
      </c>
      <c r="N1146" s="1">
        <f t="shared" si="70"/>
        <v>6</v>
      </c>
      <c r="O1146" s="1" t="str">
        <f t="shared" si="71"/>
        <v>With Family</v>
      </c>
      <c r="P1146">
        <v>29.125</v>
      </c>
      <c r="Q1146" s="1" t="str" cm="1">
        <f t="array" ref="Q1146">_xlfn.IFS(P1146&lt;=50,"Low",P1146&lt;=100,"Medium",P1146&gt;100,"High")</f>
        <v>Low</v>
      </c>
      <c r="R1146" t="s">
        <v>463</v>
      </c>
      <c r="S1146" s="1" t="str" cm="1">
        <f t="array" ref="S1146">_xlfn.IFS(R1146="S","Southampton",R1146="C","Cherbourg",R1146="Q","Queenstown")</f>
        <v>Queenstown</v>
      </c>
    </row>
    <row r="1147" spans="1:19" x14ac:dyDescent="0.3">
      <c r="A1147">
        <v>1146</v>
      </c>
      <c r="B1147">
        <v>3</v>
      </c>
      <c r="C1147" s="1" t="str" cm="1">
        <f t="array" ref="C1147">_xlfn.IFS(B1147=1,"First Class",B1147=2,"Second Class",B1147=3,"Third Class")</f>
        <v>Third Class</v>
      </c>
      <c r="D1147">
        <v>0</v>
      </c>
      <c r="E1147" s="1" t="str">
        <f t="shared" si="68"/>
        <v>Dead</v>
      </c>
      <c r="F1147" t="s">
        <v>1916</v>
      </c>
      <c r="G1147" s="1" t="s">
        <v>2996</v>
      </c>
      <c r="H1147" t="s">
        <v>20</v>
      </c>
      <c r="I1147" s="1" t="str">
        <f t="shared" si="69"/>
        <v>Male</v>
      </c>
      <c r="J1147" s="3">
        <v>8</v>
      </c>
      <c r="K1147" s="3" t="str" cm="1">
        <f t="array" ref="K1147">_xlfn.IFS(J1147&lt;=13,"Child",J1147&lt;=18,"Teenager",J1147&lt;=30,"Young Adult",J1147&lt;=50,"Middle Aged Adult",J1147&gt;50,"Senior")</f>
        <v>Child</v>
      </c>
      <c r="L1147">
        <v>4</v>
      </c>
      <c r="M1147">
        <v>1</v>
      </c>
      <c r="N1147" s="1">
        <f t="shared" si="70"/>
        <v>6</v>
      </c>
      <c r="O1147" s="1" t="str">
        <f t="shared" si="71"/>
        <v>With Family</v>
      </c>
      <c r="P1147">
        <v>29.125</v>
      </c>
      <c r="Q1147" s="1" t="str" cm="1">
        <f t="array" ref="Q1147">_xlfn.IFS(P1147&lt;=50,"Low",P1147&lt;=100,"Medium",P1147&gt;100,"High")</f>
        <v>Low</v>
      </c>
      <c r="R1147" t="s">
        <v>463</v>
      </c>
      <c r="S1147" s="1" t="str" cm="1">
        <f t="array" ref="S1147">_xlfn.IFS(R1147="S","Southampton",R1147="C","Cherbourg",R1147="Q","Queenstown")</f>
        <v>Queenstown</v>
      </c>
    </row>
    <row r="1148" spans="1:19" x14ac:dyDescent="0.3">
      <c r="A1148">
        <v>1147</v>
      </c>
      <c r="B1148">
        <v>3</v>
      </c>
      <c r="C1148" s="1" t="str" cm="1">
        <f t="array" ref="C1148">_xlfn.IFS(B1148=1,"First Class",B1148=2,"Second Class",B1148=3,"Third Class")</f>
        <v>Third Class</v>
      </c>
      <c r="D1148">
        <v>0</v>
      </c>
      <c r="E1148" s="1" t="str">
        <f t="shared" si="68"/>
        <v>Dead</v>
      </c>
      <c r="F1148" t="s">
        <v>1917</v>
      </c>
      <c r="G1148" s="1" t="s">
        <v>3001</v>
      </c>
      <c r="H1148" t="s">
        <v>15</v>
      </c>
      <c r="I1148" s="1" t="str">
        <f t="shared" si="69"/>
        <v>Female</v>
      </c>
      <c r="J1148" s="3">
        <v>39</v>
      </c>
      <c r="K1148" s="3" t="str" cm="1">
        <f t="array" ref="K1148">_xlfn.IFS(J1148&lt;=13,"Child",J1148&lt;=18,"Teenager",J1148&lt;=30,"Young Adult",J1148&lt;=50,"Middle Aged Adult",J1148&gt;50,"Senior")</f>
        <v>Middle Aged Adult</v>
      </c>
      <c r="L1148">
        <v>0</v>
      </c>
      <c r="M1148">
        <v>5</v>
      </c>
      <c r="N1148" s="1">
        <f t="shared" si="70"/>
        <v>6</v>
      </c>
      <c r="O1148" s="1" t="str">
        <f t="shared" si="71"/>
        <v>With Family</v>
      </c>
      <c r="P1148">
        <v>29.125</v>
      </c>
      <c r="Q1148" s="1" t="str" cm="1">
        <f t="array" ref="Q1148">_xlfn.IFS(P1148&lt;=50,"Low",P1148&lt;=100,"Medium",P1148&gt;100,"High")</f>
        <v>Low</v>
      </c>
      <c r="R1148" t="s">
        <v>463</v>
      </c>
      <c r="S1148" s="1" t="str" cm="1">
        <f t="array" ref="S1148">_xlfn.IFS(R1148="S","Southampton",R1148="C","Cherbourg",R1148="Q","Queenstown")</f>
        <v>Queenstown</v>
      </c>
    </row>
    <row r="1149" spans="1:19" x14ac:dyDescent="0.3">
      <c r="A1149">
        <v>1148</v>
      </c>
      <c r="B1149">
        <v>3</v>
      </c>
      <c r="C1149" s="1" t="str" cm="1">
        <f t="array" ref="C1149">_xlfn.IFS(B1149=1,"First Class",B1149=2,"Second Class",B1149=3,"Third Class")</f>
        <v>Third Class</v>
      </c>
      <c r="D1149">
        <v>0</v>
      </c>
      <c r="E1149" s="1" t="str">
        <f t="shared" si="68"/>
        <v>Dead</v>
      </c>
      <c r="F1149" t="s">
        <v>1918</v>
      </c>
      <c r="G1149" s="1" t="s">
        <v>2994</v>
      </c>
      <c r="H1149" t="s">
        <v>15</v>
      </c>
      <c r="I1149" s="1" t="str">
        <f t="shared" si="69"/>
        <v>Female</v>
      </c>
      <c r="J1149" s="3">
        <v>22</v>
      </c>
      <c r="K1149" s="3" t="str" cm="1">
        <f t="array" ref="K1149">_xlfn.IFS(J1149&lt;=13,"Child",J1149&lt;=18,"Teenager",J1149&lt;=30,"Young Adult",J1149&lt;=50,"Middle Aged Adult",J1149&gt;50,"Senior")</f>
        <v>Young Adult</v>
      </c>
      <c r="L1149">
        <v>0</v>
      </c>
      <c r="M1149">
        <v>0</v>
      </c>
      <c r="N1149" s="1">
        <f t="shared" si="70"/>
        <v>1</v>
      </c>
      <c r="O1149" s="1" t="str">
        <f t="shared" si="71"/>
        <v>Single</v>
      </c>
      <c r="P1149">
        <v>39.6875</v>
      </c>
      <c r="Q1149" s="1" t="str" cm="1">
        <f t="array" ref="Q1149">_xlfn.IFS(P1149&lt;=50,"Low",P1149&lt;=100,"Medium",P1149&gt;100,"High")</f>
        <v>Low</v>
      </c>
      <c r="R1149" t="s">
        <v>17</v>
      </c>
      <c r="S1149" s="1" t="str" cm="1">
        <f t="array" ref="S1149">_xlfn.IFS(R1149="S","Southampton",R1149="C","Cherbourg",R1149="Q","Queenstown")</f>
        <v>Southampton</v>
      </c>
    </row>
    <row r="1150" spans="1:19" x14ac:dyDescent="0.3">
      <c r="A1150">
        <v>1149</v>
      </c>
      <c r="B1150">
        <v>3</v>
      </c>
      <c r="C1150" s="1" t="str" cm="1">
        <f t="array" ref="C1150">_xlfn.IFS(B1150=1,"First Class",B1150=2,"Second Class",B1150=3,"Third Class")</f>
        <v>Third Class</v>
      </c>
      <c r="D1150">
        <v>0</v>
      </c>
      <c r="E1150" s="1" t="str">
        <f t="shared" si="68"/>
        <v>Dead</v>
      </c>
      <c r="F1150" t="s">
        <v>1919</v>
      </c>
      <c r="G1150" s="1" t="s">
        <v>2999</v>
      </c>
      <c r="H1150" t="s">
        <v>20</v>
      </c>
      <c r="I1150" s="1" t="str">
        <f t="shared" si="69"/>
        <v>Male</v>
      </c>
      <c r="J1150" s="3">
        <v>35</v>
      </c>
      <c r="K1150" s="3" t="str" cm="1">
        <f t="array" ref="K1150">_xlfn.IFS(J1150&lt;=13,"Child",J1150&lt;=18,"Teenager",J1150&lt;=30,"Young Adult",J1150&lt;=50,"Middle Aged Adult",J1150&gt;50,"Senior")</f>
        <v>Middle Aged Adult</v>
      </c>
      <c r="L1150">
        <v>0</v>
      </c>
      <c r="M1150">
        <v>0</v>
      </c>
      <c r="N1150" s="1">
        <f t="shared" si="70"/>
        <v>1</v>
      </c>
      <c r="O1150" s="1" t="str">
        <f t="shared" si="71"/>
        <v>Single</v>
      </c>
      <c r="P1150">
        <v>7.125</v>
      </c>
      <c r="Q1150" s="1" t="str" cm="1">
        <f t="array" ref="Q1150">_xlfn.IFS(P1150&lt;=50,"Low",P1150&lt;=100,"Medium",P1150&gt;100,"High")</f>
        <v>Low</v>
      </c>
      <c r="R1150" t="s">
        <v>17</v>
      </c>
      <c r="S1150" s="1" t="str" cm="1">
        <f t="array" ref="S1150">_xlfn.IFS(R1150="S","Southampton",R1150="C","Cherbourg",R1150="Q","Queenstown")</f>
        <v>Southampton</v>
      </c>
    </row>
    <row r="1151" spans="1:19" x14ac:dyDescent="0.3">
      <c r="A1151">
        <v>1150</v>
      </c>
      <c r="B1151">
        <v>3</v>
      </c>
      <c r="C1151" s="1" t="str" cm="1">
        <f t="array" ref="C1151">_xlfn.IFS(B1151=1,"First Class",B1151=2,"Second Class",B1151=3,"Third Class")</f>
        <v>Third Class</v>
      </c>
      <c r="D1151">
        <v>1</v>
      </c>
      <c r="E1151" s="1" t="str">
        <f t="shared" si="68"/>
        <v>Alive</v>
      </c>
      <c r="F1151" t="s">
        <v>1921</v>
      </c>
      <c r="G1151" s="1" t="s">
        <v>2994</v>
      </c>
      <c r="H1151" t="s">
        <v>15</v>
      </c>
      <c r="I1151" s="1" t="str">
        <f t="shared" si="69"/>
        <v>Female</v>
      </c>
      <c r="J1151" s="3">
        <v>29.881137667304014</v>
      </c>
      <c r="K1151" s="3" t="str" cm="1">
        <f t="array" ref="K1151">_xlfn.IFS(J1151&lt;=13,"Child",J1151&lt;=18,"Teenager",J1151&lt;=30,"Young Adult",J1151&lt;=50,"Middle Aged Adult",J1151&gt;50,"Senior")</f>
        <v>Young Adult</v>
      </c>
      <c r="L1151">
        <v>0</v>
      </c>
      <c r="M1151">
        <v>0</v>
      </c>
      <c r="N1151" s="1">
        <f t="shared" si="70"/>
        <v>1</v>
      </c>
      <c r="O1151" s="1" t="str">
        <f t="shared" si="71"/>
        <v>Single</v>
      </c>
      <c r="P1151">
        <v>7.7207999999999997</v>
      </c>
      <c r="Q1151" s="1" t="str" cm="1">
        <f t="array" ref="Q1151">_xlfn.IFS(P1151&lt;=50,"Low",P1151&lt;=100,"Medium",P1151&gt;100,"High")</f>
        <v>Low</v>
      </c>
      <c r="R1151" t="s">
        <v>463</v>
      </c>
      <c r="S1151" s="1" t="str" cm="1">
        <f t="array" ref="S1151">_xlfn.IFS(R1151="S","Southampton",R1151="C","Cherbourg",R1151="Q","Queenstown")</f>
        <v>Queenstown</v>
      </c>
    </row>
    <row r="1152" spans="1:19" x14ac:dyDescent="0.3">
      <c r="A1152">
        <v>1151</v>
      </c>
      <c r="B1152">
        <v>3</v>
      </c>
      <c r="C1152" s="1" t="str" cm="1">
        <f t="array" ref="C1152">_xlfn.IFS(B1152=1,"First Class",B1152=2,"Second Class",B1152=3,"Third Class")</f>
        <v>Third Class</v>
      </c>
      <c r="D1152">
        <v>0</v>
      </c>
      <c r="E1152" s="1" t="str">
        <f t="shared" si="68"/>
        <v>Dead</v>
      </c>
      <c r="F1152" t="s">
        <v>1922</v>
      </c>
      <c r="G1152" s="1" t="s">
        <v>2999</v>
      </c>
      <c r="H1152" t="s">
        <v>20</v>
      </c>
      <c r="I1152" s="1" t="str">
        <f t="shared" si="69"/>
        <v>Male</v>
      </c>
      <c r="J1152" s="3">
        <v>29.881137667304014</v>
      </c>
      <c r="K1152" s="3" t="str" cm="1">
        <f t="array" ref="K1152">_xlfn.IFS(J1152&lt;=13,"Child",J1152&lt;=18,"Teenager",J1152&lt;=30,"Young Adult",J1152&lt;=50,"Middle Aged Adult",J1152&gt;50,"Senior")</f>
        <v>Young Adult</v>
      </c>
      <c r="L1152">
        <v>0</v>
      </c>
      <c r="M1152">
        <v>0</v>
      </c>
      <c r="N1152" s="1">
        <f t="shared" si="70"/>
        <v>1</v>
      </c>
      <c r="O1152" s="1" t="str">
        <f t="shared" si="71"/>
        <v>Single</v>
      </c>
      <c r="P1152">
        <v>14.5</v>
      </c>
      <c r="Q1152" s="1" t="str" cm="1">
        <f t="array" ref="Q1152">_xlfn.IFS(P1152&lt;=50,"Low",P1152&lt;=100,"Medium",P1152&gt;100,"High")</f>
        <v>Low</v>
      </c>
      <c r="R1152" t="s">
        <v>17</v>
      </c>
      <c r="S1152" s="1" t="str" cm="1">
        <f t="array" ref="S1152">_xlfn.IFS(R1152="S","Southampton",R1152="C","Cherbourg",R1152="Q","Queenstown")</f>
        <v>Southampton</v>
      </c>
    </row>
    <row r="1153" spans="1:19" x14ac:dyDescent="0.3">
      <c r="A1153">
        <v>1152</v>
      </c>
      <c r="B1153">
        <v>3</v>
      </c>
      <c r="C1153" s="1" t="str" cm="1">
        <f t="array" ref="C1153">_xlfn.IFS(B1153=1,"First Class",B1153=2,"Second Class",B1153=3,"Third Class")</f>
        <v>Third Class</v>
      </c>
      <c r="D1153">
        <v>0</v>
      </c>
      <c r="E1153" s="1" t="str">
        <f t="shared" si="68"/>
        <v>Dead</v>
      </c>
      <c r="F1153" t="s">
        <v>1923</v>
      </c>
      <c r="G1153" s="1" t="s">
        <v>3001</v>
      </c>
      <c r="H1153" t="s">
        <v>15</v>
      </c>
      <c r="I1153" s="1" t="str">
        <f t="shared" si="69"/>
        <v>Female</v>
      </c>
      <c r="J1153" s="3">
        <v>29.881137667304014</v>
      </c>
      <c r="K1153" s="3" t="str" cm="1">
        <f t="array" ref="K1153">_xlfn.IFS(J1153&lt;=13,"Child",J1153&lt;=18,"Teenager",J1153&lt;=30,"Young Adult",J1153&lt;=50,"Middle Aged Adult",J1153&gt;50,"Senior")</f>
        <v>Young Adult</v>
      </c>
      <c r="L1153">
        <v>0</v>
      </c>
      <c r="M1153">
        <v>0</v>
      </c>
      <c r="N1153" s="1">
        <f t="shared" si="70"/>
        <v>1</v>
      </c>
      <c r="O1153" s="1" t="str">
        <f t="shared" si="71"/>
        <v>Single</v>
      </c>
      <c r="P1153">
        <v>14.5</v>
      </c>
      <c r="Q1153" s="1" t="str" cm="1">
        <f t="array" ref="Q1153">_xlfn.IFS(P1153&lt;=50,"Low",P1153&lt;=100,"Medium",P1153&gt;100,"High")</f>
        <v>Low</v>
      </c>
      <c r="R1153" t="s">
        <v>17</v>
      </c>
      <c r="S1153" s="1" t="str" cm="1">
        <f t="array" ref="S1153">_xlfn.IFS(R1153="S","Southampton",R1153="C","Cherbourg",R1153="Q","Queenstown")</f>
        <v>Southampton</v>
      </c>
    </row>
    <row r="1154" spans="1:19" x14ac:dyDescent="0.3">
      <c r="A1154">
        <v>1153</v>
      </c>
      <c r="B1154">
        <v>3</v>
      </c>
      <c r="C1154" s="1" t="str" cm="1">
        <f t="array" ref="C1154">_xlfn.IFS(B1154=1,"First Class",B1154=2,"Second Class",B1154=3,"Third Class")</f>
        <v>Third Class</v>
      </c>
      <c r="D1154">
        <v>0</v>
      </c>
      <c r="E1154" s="1" t="str">
        <f t="shared" si="68"/>
        <v>Dead</v>
      </c>
      <c r="F1154" t="s">
        <v>1924</v>
      </c>
      <c r="G1154" s="1" t="s">
        <v>2999</v>
      </c>
      <c r="H1154" t="s">
        <v>20</v>
      </c>
      <c r="I1154" s="1" t="str">
        <f t="shared" si="69"/>
        <v>Male</v>
      </c>
      <c r="J1154" s="3">
        <v>50</v>
      </c>
      <c r="K1154" s="3" t="str" cm="1">
        <f t="array" ref="K1154">_xlfn.IFS(J1154&lt;=13,"Child",J1154&lt;=18,"Teenager",J1154&lt;=30,"Young Adult",J1154&lt;=50,"Middle Aged Adult",J1154&gt;50,"Senior")</f>
        <v>Middle Aged Adult</v>
      </c>
      <c r="L1154">
        <v>1</v>
      </c>
      <c r="M1154">
        <v>0</v>
      </c>
      <c r="N1154" s="1">
        <f t="shared" si="70"/>
        <v>2</v>
      </c>
      <c r="O1154" s="1" t="str">
        <f t="shared" si="71"/>
        <v>With Family</v>
      </c>
      <c r="P1154">
        <v>14.5</v>
      </c>
      <c r="Q1154" s="1" t="str" cm="1">
        <f t="array" ref="Q1154">_xlfn.IFS(P1154&lt;=50,"Low",P1154&lt;=100,"Medium",P1154&gt;100,"High")</f>
        <v>Low</v>
      </c>
      <c r="R1154" t="s">
        <v>17</v>
      </c>
      <c r="S1154" s="1" t="str" cm="1">
        <f t="array" ref="S1154">_xlfn.IFS(R1154="S","Southampton",R1154="C","Cherbourg",R1154="Q","Queenstown")</f>
        <v>Southampton</v>
      </c>
    </row>
    <row r="1155" spans="1:19" x14ac:dyDescent="0.3">
      <c r="A1155">
        <v>1154</v>
      </c>
      <c r="B1155">
        <v>3</v>
      </c>
      <c r="C1155" s="1" t="str" cm="1">
        <f t="array" ref="C1155">_xlfn.IFS(B1155=1,"First Class",B1155=2,"Second Class",B1155=3,"Third Class")</f>
        <v>Third Class</v>
      </c>
      <c r="D1155">
        <v>0</v>
      </c>
      <c r="E1155" s="1" t="str">
        <f t="shared" ref="E1155:E1218" si="72">IF(D1155=0,"Dead","Alive")</f>
        <v>Dead</v>
      </c>
      <c r="F1155" t="s">
        <v>1926</v>
      </c>
      <c r="G1155" s="1" t="s">
        <v>3001</v>
      </c>
      <c r="H1155" t="s">
        <v>15</v>
      </c>
      <c r="I1155" s="1" t="str">
        <f t="shared" ref="I1155:I1218" si="73">PROPER(H1155)</f>
        <v>Female</v>
      </c>
      <c r="J1155" s="3">
        <v>47</v>
      </c>
      <c r="K1155" s="3" t="str" cm="1">
        <f t="array" ref="K1155">_xlfn.IFS(J1155&lt;=13,"Child",J1155&lt;=18,"Teenager",J1155&lt;=30,"Young Adult",J1155&lt;=50,"Middle Aged Adult",J1155&gt;50,"Senior")</f>
        <v>Middle Aged Adult</v>
      </c>
      <c r="L1155">
        <v>1</v>
      </c>
      <c r="M1155">
        <v>0</v>
      </c>
      <c r="N1155" s="1">
        <f t="shared" ref="N1155:N1218" si="74">L1155+M1155+1</f>
        <v>2</v>
      </c>
      <c r="O1155" s="1" t="str">
        <f t="shared" ref="O1155:O1218" si="75">IF(N1155=1,"Single","With Family")</f>
        <v>With Family</v>
      </c>
      <c r="P1155">
        <v>14.5</v>
      </c>
      <c r="Q1155" s="1" t="str" cm="1">
        <f t="array" ref="Q1155">_xlfn.IFS(P1155&lt;=50,"Low",P1155&lt;=100,"Medium",P1155&gt;100,"High")</f>
        <v>Low</v>
      </c>
      <c r="R1155" t="s">
        <v>17</v>
      </c>
      <c r="S1155" s="1" t="str" cm="1">
        <f t="array" ref="S1155">_xlfn.IFS(R1155="S","Southampton",R1155="C","Cherbourg",R1155="Q","Queenstown")</f>
        <v>Southampton</v>
      </c>
    </row>
    <row r="1156" spans="1:19" x14ac:dyDescent="0.3">
      <c r="A1156">
        <v>1155</v>
      </c>
      <c r="B1156">
        <v>3</v>
      </c>
      <c r="C1156" s="1" t="str" cm="1">
        <f t="array" ref="C1156">_xlfn.IFS(B1156=1,"First Class",B1156=2,"Second Class",B1156=3,"Third Class")</f>
        <v>Third Class</v>
      </c>
      <c r="D1156">
        <v>0</v>
      </c>
      <c r="E1156" s="1" t="str">
        <f t="shared" si="72"/>
        <v>Dead</v>
      </c>
      <c r="F1156" t="s">
        <v>1927</v>
      </c>
      <c r="G1156" s="1" t="s">
        <v>2999</v>
      </c>
      <c r="H1156" t="s">
        <v>20</v>
      </c>
      <c r="I1156" s="1" t="str">
        <f t="shared" si="73"/>
        <v>Male</v>
      </c>
      <c r="J1156" s="3">
        <v>29.881137667304014</v>
      </c>
      <c r="K1156" s="3" t="str" cm="1">
        <f t="array" ref="K1156">_xlfn.IFS(J1156&lt;=13,"Child",J1156&lt;=18,"Teenager",J1156&lt;=30,"Young Adult",J1156&lt;=50,"Middle Aged Adult",J1156&gt;50,"Senior")</f>
        <v>Young Adult</v>
      </c>
      <c r="L1156">
        <v>0</v>
      </c>
      <c r="M1156">
        <v>0</v>
      </c>
      <c r="N1156" s="1">
        <f t="shared" si="74"/>
        <v>1</v>
      </c>
      <c r="O1156" s="1" t="str">
        <f t="shared" si="75"/>
        <v>Single</v>
      </c>
      <c r="P1156">
        <v>8.0500000000000007</v>
      </c>
      <c r="Q1156" s="1" t="str" cm="1">
        <f t="array" ref="Q1156">_xlfn.IFS(P1156&lt;=50,"Low",P1156&lt;=100,"Medium",P1156&gt;100,"High")</f>
        <v>Low</v>
      </c>
      <c r="R1156" t="s">
        <v>17</v>
      </c>
      <c r="S1156" s="1" t="str" cm="1">
        <f t="array" ref="S1156">_xlfn.IFS(R1156="S","Southampton",R1156="C","Cherbourg",R1156="Q","Queenstown")</f>
        <v>Southampton</v>
      </c>
    </row>
    <row r="1157" spans="1:19" x14ac:dyDescent="0.3">
      <c r="A1157">
        <v>1156</v>
      </c>
      <c r="B1157">
        <v>3</v>
      </c>
      <c r="C1157" s="1" t="str" cm="1">
        <f t="array" ref="C1157">_xlfn.IFS(B1157=1,"First Class",B1157=2,"Second Class",B1157=3,"Third Class")</f>
        <v>Third Class</v>
      </c>
      <c r="D1157">
        <v>0</v>
      </c>
      <c r="E1157" s="1" t="str">
        <f t="shared" si="72"/>
        <v>Dead</v>
      </c>
      <c r="F1157" t="s">
        <v>1929</v>
      </c>
      <c r="G1157" s="1" t="s">
        <v>2999</v>
      </c>
      <c r="H1157" t="s">
        <v>20</v>
      </c>
      <c r="I1157" s="1" t="str">
        <f t="shared" si="73"/>
        <v>Male</v>
      </c>
      <c r="J1157" s="3">
        <v>29.881137667304014</v>
      </c>
      <c r="K1157" s="3" t="str" cm="1">
        <f t="array" ref="K1157">_xlfn.IFS(J1157&lt;=13,"Child",J1157&lt;=18,"Teenager",J1157&lt;=30,"Young Adult",J1157&lt;=50,"Middle Aged Adult",J1157&gt;50,"Senior")</f>
        <v>Young Adult</v>
      </c>
      <c r="L1157">
        <v>0</v>
      </c>
      <c r="M1157">
        <v>0</v>
      </c>
      <c r="N1157" s="1">
        <f t="shared" si="74"/>
        <v>1</v>
      </c>
      <c r="O1157" s="1" t="str">
        <f t="shared" si="75"/>
        <v>Single</v>
      </c>
      <c r="P1157">
        <v>7.7750000000000004</v>
      </c>
      <c r="Q1157" s="1" t="str" cm="1">
        <f t="array" ref="Q1157">_xlfn.IFS(P1157&lt;=50,"Low",P1157&lt;=100,"Medium",P1157&gt;100,"High")</f>
        <v>Low</v>
      </c>
      <c r="R1157" t="s">
        <v>17</v>
      </c>
      <c r="S1157" s="1" t="str" cm="1">
        <f t="array" ref="S1157">_xlfn.IFS(R1157="S","Southampton",R1157="C","Cherbourg",R1157="Q","Queenstown")</f>
        <v>Southampton</v>
      </c>
    </row>
    <row r="1158" spans="1:19" x14ac:dyDescent="0.3">
      <c r="A1158">
        <v>1157</v>
      </c>
      <c r="B1158">
        <v>3</v>
      </c>
      <c r="C1158" s="1" t="str" cm="1">
        <f t="array" ref="C1158">_xlfn.IFS(B1158=1,"First Class",B1158=2,"Second Class",B1158=3,"Third Class")</f>
        <v>Third Class</v>
      </c>
      <c r="D1158">
        <v>0</v>
      </c>
      <c r="E1158" s="1" t="str">
        <f t="shared" si="72"/>
        <v>Dead</v>
      </c>
      <c r="F1158" t="s">
        <v>1930</v>
      </c>
      <c r="G1158" s="1" t="s">
        <v>2994</v>
      </c>
      <c r="H1158" t="s">
        <v>15</v>
      </c>
      <c r="I1158" s="1" t="str">
        <f t="shared" si="73"/>
        <v>Female</v>
      </c>
      <c r="J1158" s="3">
        <v>2</v>
      </c>
      <c r="K1158" s="3" t="str" cm="1">
        <f t="array" ref="K1158">_xlfn.IFS(J1158&lt;=13,"Child",J1158&lt;=18,"Teenager",J1158&lt;=30,"Young Adult",J1158&lt;=50,"Middle Aged Adult",J1158&gt;50,"Senior")</f>
        <v>Child</v>
      </c>
      <c r="L1158">
        <v>1</v>
      </c>
      <c r="M1158">
        <v>1</v>
      </c>
      <c r="N1158" s="1">
        <f t="shared" si="74"/>
        <v>3</v>
      </c>
      <c r="O1158" s="1" t="str">
        <f t="shared" si="75"/>
        <v>With Family</v>
      </c>
      <c r="P1158">
        <v>20.212499999999999</v>
      </c>
      <c r="Q1158" s="1" t="str" cm="1">
        <f t="array" ref="Q1158">_xlfn.IFS(P1158&lt;=50,"Low",P1158&lt;=100,"Medium",P1158&gt;100,"High")</f>
        <v>Low</v>
      </c>
      <c r="R1158" t="s">
        <v>17</v>
      </c>
      <c r="S1158" s="1" t="str" cm="1">
        <f t="array" ref="S1158">_xlfn.IFS(R1158="S","Southampton",R1158="C","Cherbourg",R1158="Q","Queenstown")</f>
        <v>Southampton</v>
      </c>
    </row>
    <row r="1159" spans="1:19" x14ac:dyDescent="0.3">
      <c r="A1159">
        <v>1158</v>
      </c>
      <c r="B1159">
        <v>3</v>
      </c>
      <c r="C1159" s="1" t="str" cm="1">
        <f t="array" ref="C1159">_xlfn.IFS(B1159=1,"First Class",B1159=2,"Second Class",B1159=3,"Third Class")</f>
        <v>Third Class</v>
      </c>
      <c r="D1159">
        <v>0</v>
      </c>
      <c r="E1159" s="1" t="str">
        <f t="shared" si="72"/>
        <v>Dead</v>
      </c>
      <c r="F1159" t="s">
        <v>1931</v>
      </c>
      <c r="G1159" s="1" t="s">
        <v>2999</v>
      </c>
      <c r="H1159" t="s">
        <v>20</v>
      </c>
      <c r="I1159" s="1" t="str">
        <f t="shared" si="73"/>
        <v>Male</v>
      </c>
      <c r="J1159" s="3">
        <v>18</v>
      </c>
      <c r="K1159" s="3" t="str" cm="1">
        <f t="array" ref="K1159">_xlfn.IFS(J1159&lt;=13,"Child",J1159&lt;=18,"Teenager",J1159&lt;=30,"Young Adult",J1159&lt;=50,"Middle Aged Adult",J1159&gt;50,"Senior")</f>
        <v>Teenager</v>
      </c>
      <c r="L1159">
        <v>1</v>
      </c>
      <c r="M1159">
        <v>1</v>
      </c>
      <c r="N1159" s="1">
        <f t="shared" si="74"/>
        <v>3</v>
      </c>
      <c r="O1159" s="1" t="str">
        <f t="shared" si="75"/>
        <v>With Family</v>
      </c>
      <c r="P1159">
        <v>20.212499999999999</v>
      </c>
      <c r="Q1159" s="1" t="str" cm="1">
        <f t="array" ref="Q1159">_xlfn.IFS(P1159&lt;=50,"Low",P1159&lt;=100,"Medium",P1159&gt;100,"High")</f>
        <v>Low</v>
      </c>
      <c r="R1159" t="s">
        <v>17</v>
      </c>
      <c r="S1159" s="1" t="str" cm="1">
        <f t="array" ref="S1159">_xlfn.IFS(R1159="S","Southampton",R1159="C","Cherbourg",R1159="Q","Queenstown")</f>
        <v>Southampton</v>
      </c>
    </row>
    <row r="1160" spans="1:19" x14ac:dyDescent="0.3">
      <c r="A1160">
        <v>1159</v>
      </c>
      <c r="B1160">
        <v>3</v>
      </c>
      <c r="C1160" s="1" t="str" cm="1">
        <f t="array" ref="C1160">_xlfn.IFS(B1160=1,"First Class",B1160=2,"Second Class",B1160=3,"Third Class")</f>
        <v>Third Class</v>
      </c>
      <c r="D1160">
        <v>0</v>
      </c>
      <c r="E1160" s="1" t="str">
        <f t="shared" si="72"/>
        <v>Dead</v>
      </c>
      <c r="F1160" t="s">
        <v>1932</v>
      </c>
      <c r="G1160" s="1" t="s">
        <v>3001</v>
      </c>
      <c r="H1160" t="s">
        <v>15</v>
      </c>
      <c r="I1160" s="1" t="str">
        <f t="shared" si="73"/>
        <v>Female</v>
      </c>
      <c r="J1160" s="3">
        <v>41</v>
      </c>
      <c r="K1160" s="3" t="str" cm="1">
        <f t="array" ref="K1160">_xlfn.IFS(J1160&lt;=13,"Child",J1160&lt;=18,"Teenager",J1160&lt;=30,"Young Adult",J1160&lt;=50,"Middle Aged Adult",J1160&gt;50,"Senior")</f>
        <v>Middle Aged Adult</v>
      </c>
      <c r="L1160">
        <v>0</v>
      </c>
      <c r="M1160">
        <v>2</v>
      </c>
      <c r="N1160" s="1">
        <f t="shared" si="74"/>
        <v>3</v>
      </c>
      <c r="O1160" s="1" t="str">
        <f t="shared" si="75"/>
        <v>With Family</v>
      </c>
      <c r="P1160">
        <v>20.212499999999999</v>
      </c>
      <c r="Q1160" s="1" t="str" cm="1">
        <f t="array" ref="Q1160">_xlfn.IFS(P1160&lt;=50,"Low",P1160&lt;=100,"Medium",P1160&gt;100,"High")</f>
        <v>Low</v>
      </c>
      <c r="R1160" t="s">
        <v>17</v>
      </c>
      <c r="S1160" s="1" t="str" cm="1">
        <f t="array" ref="S1160">_xlfn.IFS(R1160="S","Southampton",R1160="C","Cherbourg",R1160="Q","Queenstown")</f>
        <v>Southampton</v>
      </c>
    </row>
    <row r="1161" spans="1:19" x14ac:dyDescent="0.3">
      <c r="A1161">
        <v>1160</v>
      </c>
      <c r="B1161">
        <v>3</v>
      </c>
      <c r="C1161" s="1" t="str" cm="1">
        <f t="array" ref="C1161">_xlfn.IFS(B1161=1,"First Class",B1161=2,"Second Class",B1161=3,"Third Class")</f>
        <v>Third Class</v>
      </c>
      <c r="D1161">
        <v>1</v>
      </c>
      <c r="E1161" s="1" t="str">
        <f t="shared" si="72"/>
        <v>Alive</v>
      </c>
      <c r="F1161" t="s">
        <v>1933</v>
      </c>
      <c r="G1161" s="1" t="s">
        <v>2994</v>
      </c>
      <c r="H1161" t="s">
        <v>15</v>
      </c>
      <c r="I1161" s="1" t="str">
        <f t="shared" si="73"/>
        <v>Female</v>
      </c>
      <c r="J1161" s="3">
        <v>29.881137667304014</v>
      </c>
      <c r="K1161" s="3" t="str" cm="1">
        <f t="array" ref="K1161">_xlfn.IFS(J1161&lt;=13,"Child",J1161&lt;=18,"Teenager",J1161&lt;=30,"Young Adult",J1161&lt;=50,"Middle Aged Adult",J1161&gt;50,"Senior")</f>
        <v>Young Adult</v>
      </c>
      <c r="L1161">
        <v>0</v>
      </c>
      <c r="M1161">
        <v>0</v>
      </c>
      <c r="N1161" s="1">
        <f t="shared" si="74"/>
        <v>1</v>
      </c>
      <c r="O1161" s="1" t="str">
        <f t="shared" si="75"/>
        <v>Single</v>
      </c>
      <c r="P1161">
        <v>8.0500000000000007</v>
      </c>
      <c r="Q1161" s="1" t="str" cm="1">
        <f t="array" ref="Q1161">_xlfn.IFS(P1161&lt;=50,"Low",P1161&lt;=100,"Medium",P1161&gt;100,"High")</f>
        <v>Low</v>
      </c>
      <c r="R1161" t="s">
        <v>17</v>
      </c>
      <c r="S1161" s="1" t="str" cm="1">
        <f t="array" ref="S1161">_xlfn.IFS(R1161="S","Southampton",R1161="C","Cherbourg",R1161="Q","Queenstown")</f>
        <v>Southampton</v>
      </c>
    </row>
    <row r="1162" spans="1:19" x14ac:dyDescent="0.3">
      <c r="A1162">
        <v>1161</v>
      </c>
      <c r="B1162">
        <v>3</v>
      </c>
      <c r="C1162" s="1" t="str" cm="1">
        <f t="array" ref="C1162">_xlfn.IFS(B1162=1,"First Class",B1162=2,"Second Class",B1162=3,"Third Class")</f>
        <v>Third Class</v>
      </c>
      <c r="D1162">
        <v>0</v>
      </c>
      <c r="E1162" s="1" t="str">
        <f t="shared" si="72"/>
        <v>Dead</v>
      </c>
      <c r="F1162" t="s">
        <v>1934</v>
      </c>
      <c r="G1162" s="1" t="s">
        <v>2999</v>
      </c>
      <c r="H1162" t="s">
        <v>20</v>
      </c>
      <c r="I1162" s="1" t="str">
        <f t="shared" si="73"/>
        <v>Male</v>
      </c>
      <c r="J1162" s="3">
        <v>50</v>
      </c>
      <c r="K1162" s="3" t="str" cm="1">
        <f t="array" ref="K1162">_xlfn.IFS(J1162&lt;=13,"Child",J1162&lt;=18,"Teenager",J1162&lt;=30,"Young Adult",J1162&lt;=50,"Middle Aged Adult",J1162&gt;50,"Senior")</f>
        <v>Middle Aged Adult</v>
      </c>
      <c r="L1162">
        <v>0</v>
      </c>
      <c r="M1162">
        <v>0</v>
      </c>
      <c r="N1162" s="1">
        <f t="shared" si="74"/>
        <v>1</v>
      </c>
      <c r="O1162" s="1" t="str">
        <f t="shared" si="75"/>
        <v>Single</v>
      </c>
      <c r="P1162">
        <v>8.0500000000000007</v>
      </c>
      <c r="Q1162" s="1" t="str" cm="1">
        <f t="array" ref="Q1162">_xlfn.IFS(P1162&lt;=50,"Low",P1162&lt;=100,"Medium",P1162&gt;100,"High")</f>
        <v>Low</v>
      </c>
      <c r="R1162" t="s">
        <v>17</v>
      </c>
      <c r="S1162" s="1" t="str" cm="1">
        <f t="array" ref="S1162">_xlfn.IFS(R1162="S","Southampton",R1162="C","Cherbourg",R1162="Q","Queenstown")</f>
        <v>Southampton</v>
      </c>
    </row>
    <row r="1163" spans="1:19" x14ac:dyDescent="0.3">
      <c r="A1163">
        <v>1162</v>
      </c>
      <c r="B1163">
        <v>3</v>
      </c>
      <c r="C1163" s="1" t="str" cm="1">
        <f t="array" ref="C1163">_xlfn.IFS(B1163=1,"First Class",B1163=2,"Second Class",B1163=3,"Third Class")</f>
        <v>Third Class</v>
      </c>
      <c r="D1163">
        <v>0</v>
      </c>
      <c r="E1163" s="1" t="str">
        <f t="shared" si="72"/>
        <v>Dead</v>
      </c>
      <c r="F1163" t="s">
        <v>1936</v>
      </c>
      <c r="G1163" s="1" t="s">
        <v>2999</v>
      </c>
      <c r="H1163" t="s">
        <v>20</v>
      </c>
      <c r="I1163" s="1" t="str">
        <f t="shared" si="73"/>
        <v>Male</v>
      </c>
      <c r="J1163" s="3">
        <v>16</v>
      </c>
      <c r="K1163" s="3" t="str" cm="1">
        <f t="array" ref="K1163">_xlfn.IFS(J1163&lt;=13,"Child",J1163&lt;=18,"Teenager",J1163&lt;=30,"Young Adult",J1163&lt;=50,"Middle Aged Adult",J1163&gt;50,"Senior")</f>
        <v>Teenager</v>
      </c>
      <c r="L1163">
        <v>0</v>
      </c>
      <c r="M1163">
        <v>0</v>
      </c>
      <c r="N1163" s="1">
        <f t="shared" si="74"/>
        <v>1</v>
      </c>
      <c r="O1163" s="1" t="str">
        <f t="shared" si="75"/>
        <v>Single</v>
      </c>
      <c r="P1163">
        <v>8.0500000000000007</v>
      </c>
      <c r="Q1163" s="1" t="str" cm="1">
        <f t="array" ref="Q1163">_xlfn.IFS(P1163&lt;=50,"Low",P1163&lt;=100,"Medium",P1163&gt;100,"High")</f>
        <v>Low</v>
      </c>
      <c r="R1163" t="s">
        <v>17</v>
      </c>
      <c r="S1163" s="1" t="str" cm="1">
        <f t="array" ref="S1163">_xlfn.IFS(R1163="S","Southampton",R1163="C","Cherbourg",R1163="Q","Queenstown")</f>
        <v>Southampton</v>
      </c>
    </row>
    <row r="1164" spans="1:19" x14ac:dyDescent="0.3">
      <c r="A1164">
        <v>1163</v>
      </c>
      <c r="B1164">
        <v>3</v>
      </c>
      <c r="C1164" s="1" t="str" cm="1">
        <f t="array" ref="C1164">_xlfn.IFS(B1164=1,"First Class",B1164=2,"Second Class",B1164=3,"Third Class")</f>
        <v>Third Class</v>
      </c>
      <c r="D1164">
        <v>1</v>
      </c>
      <c r="E1164" s="1" t="str">
        <f t="shared" si="72"/>
        <v>Alive</v>
      </c>
      <c r="F1164" t="s">
        <v>1938</v>
      </c>
      <c r="G1164" s="1" t="s">
        <v>2999</v>
      </c>
      <c r="H1164" t="s">
        <v>20</v>
      </c>
      <c r="I1164" s="1" t="str">
        <f t="shared" si="73"/>
        <v>Male</v>
      </c>
      <c r="J1164" s="3">
        <v>29.881137667304014</v>
      </c>
      <c r="K1164" s="3" t="str" cm="1">
        <f t="array" ref="K1164">_xlfn.IFS(J1164&lt;=13,"Child",J1164&lt;=18,"Teenager",J1164&lt;=30,"Young Adult",J1164&lt;=50,"Middle Aged Adult",J1164&gt;50,"Senior")</f>
        <v>Young Adult</v>
      </c>
      <c r="L1164">
        <v>0</v>
      </c>
      <c r="M1164">
        <v>0</v>
      </c>
      <c r="N1164" s="1">
        <f t="shared" si="74"/>
        <v>1</v>
      </c>
      <c r="O1164" s="1" t="str">
        <f t="shared" si="75"/>
        <v>Single</v>
      </c>
      <c r="P1164">
        <v>7.75</v>
      </c>
      <c r="Q1164" s="1" t="str" cm="1">
        <f t="array" ref="Q1164">_xlfn.IFS(P1164&lt;=50,"Low",P1164&lt;=100,"Medium",P1164&gt;100,"High")</f>
        <v>Low</v>
      </c>
      <c r="R1164" t="s">
        <v>463</v>
      </c>
      <c r="S1164" s="1" t="str" cm="1">
        <f t="array" ref="S1164">_xlfn.IFS(R1164="S","Southampton",R1164="C","Cherbourg",R1164="Q","Queenstown")</f>
        <v>Queenstown</v>
      </c>
    </row>
    <row r="1165" spans="1:19" x14ac:dyDescent="0.3">
      <c r="A1165">
        <v>1164</v>
      </c>
      <c r="B1165">
        <v>3</v>
      </c>
      <c r="C1165" s="1" t="str" cm="1">
        <f t="array" ref="C1165">_xlfn.IFS(B1165=1,"First Class",B1165=2,"Second Class",B1165=3,"Third Class")</f>
        <v>Third Class</v>
      </c>
      <c r="D1165">
        <v>0</v>
      </c>
      <c r="E1165" s="1" t="str">
        <f t="shared" si="72"/>
        <v>Dead</v>
      </c>
      <c r="F1165" t="s">
        <v>1939</v>
      </c>
      <c r="G1165" s="1" t="s">
        <v>2999</v>
      </c>
      <c r="H1165" t="s">
        <v>20</v>
      </c>
      <c r="I1165" s="1" t="str">
        <f t="shared" si="73"/>
        <v>Male</v>
      </c>
      <c r="J1165" s="3">
        <v>29.881137667304014</v>
      </c>
      <c r="K1165" s="3" t="str" cm="1">
        <f t="array" ref="K1165">_xlfn.IFS(J1165&lt;=13,"Child",J1165&lt;=18,"Teenager",J1165&lt;=30,"Young Adult",J1165&lt;=50,"Middle Aged Adult",J1165&gt;50,"Senior")</f>
        <v>Young Adult</v>
      </c>
      <c r="L1165">
        <v>0</v>
      </c>
      <c r="M1165">
        <v>0</v>
      </c>
      <c r="N1165" s="1">
        <f t="shared" si="74"/>
        <v>1</v>
      </c>
      <c r="O1165" s="1" t="str">
        <f t="shared" si="75"/>
        <v>Single</v>
      </c>
      <c r="P1165">
        <v>24.15</v>
      </c>
      <c r="Q1165" s="1" t="str" cm="1">
        <f t="array" ref="Q1165">_xlfn.IFS(P1165&lt;=50,"Low",P1165&lt;=100,"Medium",P1165&gt;100,"High")</f>
        <v>Low</v>
      </c>
      <c r="R1165" t="s">
        <v>463</v>
      </c>
      <c r="S1165" s="1" t="str" cm="1">
        <f t="array" ref="S1165">_xlfn.IFS(R1165="S","Southampton",R1165="C","Cherbourg",R1165="Q","Queenstown")</f>
        <v>Queenstown</v>
      </c>
    </row>
    <row r="1166" spans="1:19" x14ac:dyDescent="0.3">
      <c r="A1166">
        <v>1165</v>
      </c>
      <c r="B1166">
        <v>3</v>
      </c>
      <c r="C1166" s="1" t="str" cm="1">
        <f t="array" ref="C1166">_xlfn.IFS(B1166=1,"First Class",B1166=2,"Second Class",B1166=3,"Third Class")</f>
        <v>Third Class</v>
      </c>
      <c r="D1166">
        <v>0</v>
      </c>
      <c r="E1166" s="1" t="str">
        <f t="shared" si="72"/>
        <v>Dead</v>
      </c>
      <c r="F1166" t="s">
        <v>1940</v>
      </c>
      <c r="G1166" s="1" t="s">
        <v>2999</v>
      </c>
      <c r="H1166" t="s">
        <v>20</v>
      </c>
      <c r="I1166" s="1" t="str">
        <f t="shared" si="73"/>
        <v>Male</v>
      </c>
      <c r="J1166" s="3">
        <v>29.881137667304014</v>
      </c>
      <c r="K1166" s="3" t="str" cm="1">
        <f t="array" ref="K1166">_xlfn.IFS(J1166&lt;=13,"Child",J1166&lt;=18,"Teenager",J1166&lt;=30,"Young Adult",J1166&lt;=50,"Middle Aged Adult",J1166&gt;50,"Senior")</f>
        <v>Young Adult</v>
      </c>
      <c r="L1166">
        <v>0</v>
      </c>
      <c r="M1166">
        <v>0</v>
      </c>
      <c r="N1166" s="1">
        <f t="shared" si="74"/>
        <v>1</v>
      </c>
      <c r="O1166" s="1" t="str">
        <f t="shared" si="75"/>
        <v>Single</v>
      </c>
      <c r="P1166">
        <v>7.2291999999999996</v>
      </c>
      <c r="Q1166" s="1" t="str" cm="1">
        <f t="array" ref="Q1166">_xlfn.IFS(P1166&lt;=50,"Low",P1166&lt;=100,"Medium",P1166&gt;100,"High")</f>
        <v>Low</v>
      </c>
      <c r="R1166" t="s">
        <v>41</v>
      </c>
      <c r="S1166" s="1" t="str" cm="1">
        <f t="array" ref="S1166">_xlfn.IFS(R1166="S","Southampton",R1166="C","Cherbourg",R1166="Q","Queenstown")</f>
        <v>Cherbourg</v>
      </c>
    </row>
    <row r="1167" spans="1:19" x14ac:dyDescent="0.3">
      <c r="A1167">
        <v>1166</v>
      </c>
      <c r="B1167">
        <v>3</v>
      </c>
      <c r="C1167" s="1" t="str" cm="1">
        <f t="array" ref="C1167">_xlfn.IFS(B1167=1,"First Class",B1167=2,"Second Class",B1167=3,"Third Class")</f>
        <v>Third Class</v>
      </c>
      <c r="D1167">
        <v>0</v>
      </c>
      <c r="E1167" s="1" t="str">
        <f t="shared" si="72"/>
        <v>Dead</v>
      </c>
      <c r="F1167" t="s">
        <v>1941</v>
      </c>
      <c r="G1167" s="1" t="s">
        <v>2999</v>
      </c>
      <c r="H1167" t="s">
        <v>20</v>
      </c>
      <c r="I1167" s="1" t="str">
        <f t="shared" si="73"/>
        <v>Male</v>
      </c>
      <c r="J1167" s="3">
        <v>25</v>
      </c>
      <c r="K1167" s="3" t="str" cm="1">
        <f t="array" ref="K1167">_xlfn.IFS(J1167&lt;=13,"Child",J1167&lt;=18,"Teenager",J1167&lt;=30,"Young Adult",J1167&lt;=50,"Middle Aged Adult",J1167&gt;50,"Senior")</f>
        <v>Young Adult</v>
      </c>
      <c r="L1167">
        <v>0</v>
      </c>
      <c r="M1167">
        <v>0</v>
      </c>
      <c r="N1167" s="1">
        <f t="shared" si="74"/>
        <v>1</v>
      </c>
      <c r="O1167" s="1" t="str">
        <f t="shared" si="75"/>
        <v>Single</v>
      </c>
      <c r="P1167">
        <v>7.2249999999999996</v>
      </c>
      <c r="Q1167" s="1" t="str" cm="1">
        <f t="array" ref="Q1167">_xlfn.IFS(P1167&lt;=50,"Low",P1167&lt;=100,"Medium",P1167&gt;100,"High")</f>
        <v>Low</v>
      </c>
      <c r="R1167" t="s">
        <v>41</v>
      </c>
      <c r="S1167" s="1" t="str" cm="1">
        <f t="array" ref="S1167">_xlfn.IFS(R1167="S","Southampton",R1167="C","Cherbourg",R1167="Q","Queenstown")</f>
        <v>Cherbourg</v>
      </c>
    </row>
    <row r="1168" spans="1:19" x14ac:dyDescent="0.3">
      <c r="A1168">
        <v>1167</v>
      </c>
      <c r="B1168">
        <v>3</v>
      </c>
      <c r="C1168" s="1" t="str" cm="1">
        <f t="array" ref="C1168">_xlfn.IFS(B1168=1,"First Class",B1168=2,"Second Class",B1168=3,"Third Class")</f>
        <v>Third Class</v>
      </c>
      <c r="D1168">
        <v>0</v>
      </c>
      <c r="E1168" s="1" t="str">
        <f t="shared" si="72"/>
        <v>Dead</v>
      </c>
      <c r="F1168" t="s">
        <v>1942</v>
      </c>
      <c r="G1168" s="1" t="s">
        <v>2999</v>
      </c>
      <c r="H1168" t="s">
        <v>20</v>
      </c>
      <c r="I1168" s="1" t="str">
        <f t="shared" si="73"/>
        <v>Male</v>
      </c>
      <c r="J1168" s="3">
        <v>29.881137667304014</v>
      </c>
      <c r="K1168" s="3" t="str" cm="1">
        <f t="array" ref="K1168">_xlfn.IFS(J1168&lt;=13,"Child",J1168&lt;=18,"Teenager",J1168&lt;=30,"Young Adult",J1168&lt;=50,"Middle Aged Adult",J1168&gt;50,"Senior")</f>
        <v>Young Adult</v>
      </c>
      <c r="L1168">
        <v>0</v>
      </c>
      <c r="M1168">
        <v>0</v>
      </c>
      <c r="N1168" s="1">
        <f t="shared" si="74"/>
        <v>1</v>
      </c>
      <c r="O1168" s="1" t="str">
        <f t="shared" si="75"/>
        <v>Single</v>
      </c>
      <c r="P1168">
        <v>7.2249999999999996</v>
      </c>
      <c r="Q1168" s="1" t="str" cm="1">
        <f t="array" ref="Q1168">_xlfn.IFS(P1168&lt;=50,"Low",P1168&lt;=100,"Medium",P1168&gt;100,"High")</f>
        <v>Low</v>
      </c>
      <c r="R1168" t="s">
        <v>41</v>
      </c>
      <c r="S1168" s="1" t="str" cm="1">
        <f t="array" ref="S1168">_xlfn.IFS(R1168="S","Southampton",R1168="C","Cherbourg",R1168="Q","Queenstown")</f>
        <v>Cherbourg</v>
      </c>
    </row>
    <row r="1169" spans="1:19" x14ac:dyDescent="0.3">
      <c r="A1169">
        <v>1168</v>
      </c>
      <c r="B1169">
        <v>3</v>
      </c>
      <c r="C1169" s="1" t="str" cm="1">
        <f t="array" ref="C1169">_xlfn.IFS(B1169=1,"First Class",B1169=2,"Second Class",B1169=3,"Third Class")</f>
        <v>Third Class</v>
      </c>
      <c r="D1169">
        <v>0</v>
      </c>
      <c r="E1169" s="1" t="str">
        <f t="shared" si="72"/>
        <v>Dead</v>
      </c>
      <c r="F1169" t="s">
        <v>1943</v>
      </c>
      <c r="G1169" s="1" t="s">
        <v>2999</v>
      </c>
      <c r="H1169" t="s">
        <v>20</v>
      </c>
      <c r="I1169" s="1" t="str">
        <f t="shared" si="73"/>
        <v>Male</v>
      </c>
      <c r="J1169" s="3">
        <v>29.881137667304014</v>
      </c>
      <c r="K1169" s="3" t="str" cm="1">
        <f t="array" ref="K1169">_xlfn.IFS(J1169&lt;=13,"Child",J1169&lt;=18,"Teenager",J1169&lt;=30,"Young Adult",J1169&lt;=50,"Middle Aged Adult",J1169&gt;50,"Senior")</f>
        <v>Young Adult</v>
      </c>
      <c r="L1169">
        <v>0</v>
      </c>
      <c r="M1169">
        <v>0</v>
      </c>
      <c r="N1169" s="1">
        <f t="shared" si="74"/>
        <v>1</v>
      </c>
      <c r="O1169" s="1" t="str">
        <f t="shared" si="75"/>
        <v>Single</v>
      </c>
      <c r="P1169">
        <v>7.7291999999999996</v>
      </c>
      <c r="Q1169" s="1" t="str" cm="1">
        <f t="array" ref="Q1169">_xlfn.IFS(P1169&lt;=50,"Low",P1169&lt;=100,"Medium",P1169&gt;100,"High")</f>
        <v>Low</v>
      </c>
      <c r="R1169" t="s">
        <v>463</v>
      </c>
      <c r="S1169" s="1" t="str" cm="1">
        <f t="array" ref="S1169">_xlfn.IFS(R1169="S","Southampton",R1169="C","Cherbourg",R1169="Q","Queenstown")</f>
        <v>Queenstown</v>
      </c>
    </row>
    <row r="1170" spans="1:19" x14ac:dyDescent="0.3">
      <c r="A1170">
        <v>1169</v>
      </c>
      <c r="B1170">
        <v>3</v>
      </c>
      <c r="C1170" s="1" t="str" cm="1">
        <f t="array" ref="C1170">_xlfn.IFS(B1170=1,"First Class",B1170=2,"Second Class",B1170=3,"Third Class")</f>
        <v>Third Class</v>
      </c>
      <c r="D1170">
        <v>0</v>
      </c>
      <c r="E1170" s="1" t="str">
        <f t="shared" si="72"/>
        <v>Dead</v>
      </c>
      <c r="F1170" t="s">
        <v>1944</v>
      </c>
      <c r="G1170" s="1" t="s">
        <v>2999</v>
      </c>
      <c r="H1170" t="s">
        <v>20</v>
      </c>
      <c r="I1170" s="1" t="str">
        <f t="shared" si="73"/>
        <v>Male</v>
      </c>
      <c r="J1170" s="3">
        <v>29.881137667304014</v>
      </c>
      <c r="K1170" s="3" t="str" cm="1">
        <f t="array" ref="K1170">_xlfn.IFS(J1170&lt;=13,"Child",J1170&lt;=18,"Teenager",J1170&lt;=30,"Young Adult",J1170&lt;=50,"Middle Aged Adult",J1170&gt;50,"Senior")</f>
        <v>Young Adult</v>
      </c>
      <c r="L1170">
        <v>0</v>
      </c>
      <c r="M1170">
        <v>0</v>
      </c>
      <c r="N1170" s="1">
        <f t="shared" si="74"/>
        <v>1</v>
      </c>
      <c r="O1170" s="1" t="str">
        <f t="shared" si="75"/>
        <v>Single</v>
      </c>
      <c r="P1170">
        <v>7.5750000000000002</v>
      </c>
      <c r="Q1170" s="1" t="str" cm="1">
        <f t="array" ref="Q1170">_xlfn.IFS(P1170&lt;=50,"Low",P1170&lt;=100,"Medium",P1170&gt;100,"High")</f>
        <v>Low</v>
      </c>
      <c r="R1170" t="s">
        <v>17</v>
      </c>
      <c r="S1170" s="1" t="str" cm="1">
        <f t="array" ref="S1170">_xlfn.IFS(R1170="S","Southampton",R1170="C","Cherbourg",R1170="Q","Queenstown")</f>
        <v>Southampton</v>
      </c>
    </row>
    <row r="1171" spans="1:19" x14ac:dyDescent="0.3">
      <c r="A1171">
        <v>1170</v>
      </c>
      <c r="B1171">
        <v>3</v>
      </c>
      <c r="C1171" s="1" t="str" cm="1">
        <f t="array" ref="C1171">_xlfn.IFS(B1171=1,"First Class",B1171=2,"Second Class",B1171=3,"Third Class")</f>
        <v>Third Class</v>
      </c>
      <c r="D1171">
        <v>0</v>
      </c>
      <c r="E1171" s="1" t="str">
        <f t="shared" si="72"/>
        <v>Dead</v>
      </c>
      <c r="F1171" t="s">
        <v>1946</v>
      </c>
      <c r="G1171" s="1" t="s">
        <v>2999</v>
      </c>
      <c r="H1171" t="s">
        <v>20</v>
      </c>
      <c r="I1171" s="1" t="str">
        <f t="shared" si="73"/>
        <v>Male</v>
      </c>
      <c r="J1171" s="3">
        <v>38.5</v>
      </c>
      <c r="K1171" s="3" t="str" cm="1">
        <f t="array" ref="K1171">_xlfn.IFS(J1171&lt;=13,"Child",J1171&lt;=18,"Teenager",J1171&lt;=30,"Young Adult",J1171&lt;=50,"Middle Aged Adult",J1171&gt;50,"Senior")</f>
        <v>Middle Aged Adult</v>
      </c>
      <c r="L1171">
        <v>0</v>
      </c>
      <c r="M1171">
        <v>0</v>
      </c>
      <c r="N1171" s="1">
        <f t="shared" si="74"/>
        <v>1</v>
      </c>
      <c r="O1171" s="1" t="str">
        <f t="shared" si="75"/>
        <v>Single</v>
      </c>
      <c r="P1171">
        <v>7.25</v>
      </c>
      <c r="Q1171" s="1" t="str" cm="1">
        <f t="array" ref="Q1171">_xlfn.IFS(P1171&lt;=50,"Low",P1171&lt;=100,"Medium",P1171&gt;100,"High")</f>
        <v>Low</v>
      </c>
      <c r="R1171" t="s">
        <v>17</v>
      </c>
      <c r="S1171" s="1" t="str" cm="1">
        <f t="array" ref="S1171">_xlfn.IFS(R1171="S","Southampton",R1171="C","Cherbourg",R1171="Q","Queenstown")</f>
        <v>Southampton</v>
      </c>
    </row>
    <row r="1172" spans="1:19" x14ac:dyDescent="0.3">
      <c r="A1172">
        <v>1171</v>
      </c>
      <c r="B1172">
        <v>3</v>
      </c>
      <c r="C1172" s="1" t="str" cm="1">
        <f t="array" ref="C1172">_xlfn.IFS(B1172=1,"First Class",B1172=2,"Second Class",B1172=3,"Third Class")</f>
        <v>Third Class</v>
      </c>
      <c r="D1172">
        <v>0</v>
      </c>
      <c r="E1172" s="1" t="str">
        <f t="shared" si="72"/>
        <v>Dead</v>
      </c>
      <c r="F1172" t="s">
        <v>1948</v>
      </c>
      <c r="G1172" s="1" t="s">
        <v>2996</v>
      </c>
      <c r="H1172" t="s">
        <v>20</v>
      </c>
      <c r="I1172" s="1" t="str">
        <f t="shared" si="73"/>
        <v>Male</v>
      </c>
      <c r="J1172" s="3">
        <v>29.881137667304014</v>
      </c>
      <c r="K1172" s="3" t="str" cm="1">
        <f t="array" ref="K1172">_xlfn.IFS(J1172&lt;=13,"Child",J1172&lt;=18,"Teenager",J1172&lt;=30,"Young Adult",J1172&lt;=50,"Middle Aged Adult",J1172&gt;50,"Senior")</f>
        <v>Young Adult</v>
      </c>
      <c r="L1172">
        <v>8</v>
      </c>
      <c r="M1172">
        <v>2</v>
      </c>
      <c r="N1172" s="1">
        <f t="shared" si="74"/>
        <v>11</v>
      </c>
      <c r="O1172" s="1" t="str">
        <f t="shared" si="75"/>
        <v>With Family</v>
      </c>
      <c r="P1172">
        <v>69.55</v>
      </c>
      <c r="Q1172" s="1" t="str" cm="1">
        <f t="array" ref="Q1172">_xlfn.IFS(P1172&lt;=50,"Low",P1172&lt;=100,"Medium",P1172&gt;100,"High")</f>
        <v>Medium</v>
      </c>
      <c r="R1172" t="s">
        <v>17</v>
      </c>
      <c r="S1172" s="1" t="str" cm="1">
        <f t="array" ref="S1172">_xlfn.IFS(R1172="S","Southampton",R1172="C","Cherbourg",R1172="Q","Queenstown")</f>
        <v>Southampton</v>
      </c>
    </row>
    <row r="1173" spans="1:19" x14ac:dyDescent="0.3">
      <c r="A1173">
        <v>1172</v>
      </c>
      <c r="B1173">
        <v>3</v>
      </c>
      <c r="C1173" s="1" t="str" cm="1">
        <f t="array" ref="C1173">_xlfn.IFS(B1173=1,"First Class",B1173=2,"Second Class",B1173=3,"Third Class")</f>
        <v>Third Class</v>
      </c>
      <c r="D1173">
        <v>0</v>
      </c>
      <c r="E1173" s="1" t="str">
        <f t="shared" si="72"/>
        <v>Dead</v>
      </c>
      <c r="F1173" t="s">
        <v>1950</v>
      </c>
      <c r="G1173" s="1" t="s">
        <v>2996</v>
      </c>
      <c r="H1173" t="s">
        <v>20</v>
      </c>
      <c r="I1173" s="1" t="str">
        <f t="shared" si="73"/>
        <v>Male</v>
      </c>
      <c r="J1173" s="3">
        <v>14.5</v>
      </c>
      <c r="K1173" s="3" t="str" cm="1">
        <f t="array" ref="K1173">_xlfn.IFS(J1173&lt;=13,"Child",J1173&lt;=18,"Teenager",J1173&lt;=30,"Young Adult",J1173&lt;=50,"Middle Aged Adult",J1173&gt;50,"Senior")</f>
        <v>Teenager</v>
      </c>
      <c r="L1173">
        <v>8</v>
      </c>
      <c r="M1173">
        <v>2</v>
      </c>
      <c r="N1173" s="1">
        <f t="shared" si="74"/>
        <v>11</v>
      </c>
      <c r="O1173" s="1" t="str">
        <f t="shared" si="75"/>
        <v>With Family</v>
      </c>
      <c r="P1173">
        <v>69.55</v>
      </c>
      <c r="Q1173" s="1" t="str" cm="1">
        <f t="array" ref="Q1173">_xlfn.IFS(P1173&lt;=50,"Low",P1173&lt;=100,"Medium",P1173&gt;100,"High")</f>
        <v>Medium</v>
      </c>
      <c r="R1173" t="s">
        <v>17</v>
      </c>
      <c r="S1173" s="1" t="str" cm="1">
        <f t="array" ref="S1173">_xlfn.IFS(R1173="S","Southampton",R1173="C","Cherbourg",R1173="Q","Queenstown")</f>
        <v>Southampton</v>
      </c>
    </row>
    <row r="1174" spans="1:19" x14ac:dyDescent="0.3">
      <c r="A1174">
        <v>1173</v>
      </c>
      <c r="B1174">
        <v>3</v>
      </c>
      <c r="C1174" s="1" t="str" cm="1">
        <f t="array" ref="C1174">_xlfn.IFS(B1174=1,"First Class",B1174=2,"Second Class",B1174=3,"Third Class")</f>
        <v>Third Class</v>
      </c>
      <c r="D1174">
        <v>0</v>
      </c>
      <c r="E1174" s="1" t="str">
        <f t="shared" si="72"/>
        <v>Dead</v>
      </c>
      <c r="F1174" t="s">
        <v>1951</v>
      </c>
      <c r="G1174" s="1" t="s">
        <v>2994</v>
      </c>
      <c r="H1174" t="s">
        <v>15</v>
      </c>
      <c r="I1174" s="1" t="str">
        <f t="shared" si="73"/>
        <v>Female</v>
      </c>
      <c r="J1174" s="3">
        <v>29.881137667304014</v>
      </c>
      <c r="K1174" s="3" t="str" cm="1">
        <f t="array" ref="K1174">_xlfn.IFS(J1174&lt;=13,"Child",J1174&lt;=18,"Teenager",J1174&lt;=30,"Young Adult",J1174&lt;=50,"Middle Aged Adult",J1174&gt;50,"Senior")</f>
        <v>Young Adult</v>
      </c>
      <c r="L1174">
        <v>8</v>
      </c>
      <c r="M1174">
        <v>2</v>
      </c>
      <c r="N1174" s="1">
        <f t="shared" si="74"/>
        <v>11</v>
      </c>
      <c r="O1174" s="1" t="str">
        <f t="shared" si="75"/>
        <v>With Family</v>
      </c>
      <c r="P1174">
        <v>69.55</v>
      </c>
      <c r="Q1174" s="1" t="str" cm="1">
        <f t="array" ref="Q1174">_xlfn.IFS(P1174&lt;=50,"Low",P1174&lt;=100,"Medium",P1174&gt;100,"High")</f>
        <v>Medium</v>
      </c>
      <c r="R1174" t="s">
        <v>17</v>
      </c>
      <c r="S1174" s="1" t="str" cm="1">
        <f t="array" ref="S1174">_xlfn.IFS(R1174="S","Southampton",R1174="C","Cherbourg",R1174="Q","Queenstown")</f>
        <v>Southampton</v>
      </c>
    </row>
    <row r="1175" spans="1:19" x14ac:dyDescent="0.3">
      <c r="A1175">
        <v>1174</v>
      </c>
      <c r="B1175">
        <v>3</v>
      </c>
      <c r="C1175" s="1" t="str" cm="1">
        <f t="array" ref="C1175">_xlfn.IFS(B1175=1,"First Class",B1175=2,"Second Class",B1175=3,"Third Class")</f>
        <v>Third Class</v>
      </c>
      <c r="D1175">
        <v>0</v>
      </c>
      <c r="E1175" s="1" t="str">
        <f t="shared" si="72"/>
        <v>Dead</v>
      </c>
      <c r="F1175" t="s">
        <v>1952</v>
      </c>
      <c r="G1175" s="1" t="s">
        <v>2994</v>
      </c>
      <c r="H1175" t="s">
        <v>15</v>
      </c>
      <c r="I1175" s="1" t="str">
        <f t="shared" si="73"/>
        <v>Female</v>
      </c>
      <c r="J1175" s="3">
        <v>29.881137667304014</v>
      </c>
      <c r="K1175" s="3" t="str" cm="1">
        <f t="array" ref="K1175">_xlfn.IFS(J1175&lt;=13,"Child",J1175&lt;=18,"Teenager",J1175&lt;=30,"Young Adult",J1175&lt;=50,"Middle Aged Adult",J1175&gt;50,"Senior")</f>
        <v>Young Adult</v>
      </c>
      <c r="L1175">
        <v>8</v>
      </c>
      <c r="M1175">
        <v>2</v>
      </c>
      <c r="N1175" s="1">
        <f t="shared" si="74"/>
        <v>11</v>
      </c>
      <c r="O1175" s="1" t="str">
        <f t="shared" si="75"/>
        <v>With Family</v>
      </c>
      <c r="P1175">
        <v>69.55</v>
      </c>
      <c r="Q1175" s="1" t="str" cm="1">
        <f t="array" ref="Q1175">_xlfn.IFS(P1175&lt;=50,"Low",P1175&lt;=100,"Medium",P1175&gt;100,"High")</f>
        <v>Medium</v>
      </c>
      <c r="R1175" t="s">
        <v>17</v>
      </c>
      <c r="S1175" s="1" t="str" cm="1">
        <f t="array" ref="S1175">_xlfn.IFS(R1175="S","Southampton",R1175="C","Cherbourg",R1175="Q","Queenstown")</f>
        <v>Southampton</v>
      </c>
    </row>
    <row r="1176" spans="1:19" x14ac:dyDescent="0.3">
      <c r="A1176">
        <v>1175</v>
      </c>
      <c r="B1176">
        <v>3</v>
      </c>
      <c r="C1176" s="1" t="str" cm="1">
        <f t="array" ref="C1176">_xlfn.IFS(B1176=1,"First Class",B1176=2,"Second Class",B1176=3,"Third Class")</f>
        <v>Third Class</v>
      </c>
      <c r="D1176">
        <v>0</v>
      </c>
      <c r="E1176" s="1" t="str">
        <f t="shared" si="72"/>
        <v>Dead</v>
      </c>
      <c r="F1176" t="s">
        <v>1953</v>
      </c>
      <c r="G1176" s="1" t="s">
        <v>2994</v>
      </c>
      <c r="H1176" t="s">
        <v>15</v>
      </c>
      <c r="I1176" s="1" t="str">
        <f t="shared" si="73"/>
        <v>Female</v>
      </c>
      <c r="J1176" s="3">
        <v>29.881137667304014</v>
      </c>
      <c r="K1176" s="3" t="str" cm="1">
        <f t="array" ref="K1176">_xlfn.IFS(J1176&lt;=13,"Child",J1176&lt;=18,"Teenager",J1176&lt;=30,"Young Adult",J1176&lt;=50,"Middle Aged Adult",J1176&gt;50,"Senior")</f>
        <v>Young Adult</v>
      </c>
      <c r="L1176">
        <v>8</v>
      </c>
      <c r="M1176">
        <v>2</v>
      </c>
      <c r="N1176" s="1">
        <f t="shared" si="74"/>
        <v>11</v>
      </c>
      <c r="O1176" s="1" t="str">
        <f t="shared" si="75"/>
        <v>With Family</v>
      </c>
      <c r="P1176">
        <v>69.55</v>
      </c>
      <c r="Q1176" s="1" t="str" cm="1">
        <f t="array" ref="Q1176">_xlfn.IFS(P1176&lt;=50,"Low",P1176&lt;=100,"Medium",P1176&gt;100,"High")</f>
        <v>Medium</v>
      </c>
      <c r="R1176" t="s">
        <v>17</v>
      </c>
      <c r="S1176" s="1" t="str" cm="1">
        <f t="array" ref="S1176">_xlfn.IFS(R1176="S","Southampton",R1176="C","Cherbourg",R1176="Q","Queenstown")</f>
        <v>Southampton</v>
      </c>
    </row>
    <row r="1177" spans="1:19" x14ac:dyDescent="0.3">
      <c r="A1177">
        <v>1176</v>
      </c>
      <c r="B1177">
        <v>3</v>
      </c>
      <c r="C1177" s="1" t="str" cm="1">
        <f t="array" ref="C1177">_xlfn.IFS(B1177=1,"First Class",B1177=2,"Second Class",B1177=3,"Third Class")</f>
        <v>Third Class</v>
      </c>
      <c r="D1177">
        <v>0</v>
      </c>
      <c r="E1177" s="1" t="str">
        <f t="shared" si="72"/>
        <v>Dead</v>
      </c>
      <c r="F1177" t="s">
        <v>1954</v>
      </c>
      <c r="G1177" s="1" t="s">
        <v>2994</v>
      </c>
      <c r="H1177" t="s">
        <v>15</v>
      </c>
      <c r="I1177" s="1" t="str">
        <f t="shared" si="73"/>
        <v>Female</v>
      </c>
      <c r="J1177" s="3">
        <v>29.881137667304014</v>
      </c>
      <c r="K1177" s="3" t="str" cm="1">
        <f t="array" ref="K1177">_xlfn.IFS(J1177&lt;=13,"Child",J1177&lt;=18,"Teenager",J1177&lt;=30,"Young Adult",J1177&lt;=50,"Middle Aged Adult",J1177&gt;50,"Senior")</f>
        <v>Young Adult</v>
      </c>
      <c r="L1177">
        <v>8</v>
      </c>
      <c r="M1177">
        <v>2</v>
      </c>
      <c r="N1177" s="1">
        <f t="shared" si="74"/>
        <v>11</v>
      </c>
      <c r="O1177" s="1" t="str">
        <f t="shared" si="75"/>
        <v>With Family</v>
      </c>
      <c r="P1177">
        <v>69.55</v>
      </c>
      <c r="Q1177" s="1" t="str" cm="1">
        <f t="array" ref="Q1177">_xlfn.IFS(P1177&lt;=50,"Low",P1177&lt;=100,"Medium",P1177&gt;100,"High")</f>
        <v>Medium</v>
      </c>
      <c r="R1177" t="s">
        <v>17</v>
      </c>
      <c r="S1177" s="1" t="str" cm="1">
        <f t="array" ref="S1177">_xlfn.IFS(R1177="S","Southampton",R1177="C","Cherbourg",R1177="Q","Queenstown")</f>
        <v>Southampton</v>
      </c>
    </row>
    <row r="1178" spans="1:19" x14ac:dyDescent="0.3">
      <c r="A1178">
        <v>1177</v>
      </c>
      <c r="B1178">
        <v>3</v>
      </c>
      <c r="C1178" s="1" t="str" cm="1">
        <f t="array" ref="C1178">_xlfn.IFS(B1178=1,"First Class",B1178=2,"Second Class",B1178=3,"Third Class")</f>
        <v>Third Class</v>
      </c>
      <c r="D1178">
        <v>0</v>
      </c>
      <c r="E1178" s="1" t="str">
        <f t="shared" si="72"/>
        <v>Dead</v>
      </c>
      <c r="F1178" t="s">
        <v>1955</v>
      </c>
      <c r="G1178" s="1" t="s">
        <v>2999</v>
      </c>
      <c r="H1178" t="s">
        <v>20</v>
      </c>
      <c r="I1178" s="1" t="str">
        <f t="shared" si="73"/>
        <v>Male</v>
      </c>
      <c r="J1178" s="3">
        <v>29.881137667304014</v>
      </c>
      <c r="K1178" s="3" t="str" cm="1">
        <f t="array" ref="K1178">_xlfn.IFS(J1178&lt;=13,"Child",J1178&lt;=18,"Teenager",J1178&lt;=30,"Young Adult",J1178&lt;=50,"Middle Aged Adult",J1178&gt;50,"Senior")</f>
        <v>Young Adult</v>
      </c>
      <c r="L1178">
        <v>8</v>
      </c>
      <c r="M1178">
        <v>2</v>
      </c>
      <c r="N1178" s="1">
        <f t="shared" si="74"/>
        <v>11</v>
      </c>
      <c r="O1178" s="1" t="str">
        <f t="shared" si="75"/>
        <v>With Family</v>
      </c>
      <c r="P1178">
        <v>69.55</v>
      </c>
      <c r="Q1178" s="1" t="str" cm="1">
        <f t="array" ref="Q1178">_xlfn.IFS(P1178&lt;=50,"Low",P1178&lt;=100,"Medium",P1178&gt;100,"High")</f>
        <v>Medium</v>
      </c>
      <c r="R1178" t="s">
        <v>17</v>
      </c>
      <c r="S1178" s="1" t="str" cm="1">
        <f t="array" ref="S1178">_xlfn.IFS(R1178="S","Southampton",R1178="C","Cherbourg",R1178="Q","Queenstown")</f>
        <v>Southampton</v>
      </c>
    </row>
    <row r="1179" spans="1:19" x14ac:dyDescent="0.3">
      <c r="A1179">
        <v>1178</v>
      </c>
      <c r="B1179">
        <v>3</v>
      </c>
      <c r="C1179" s="1" t="str" cm="1">
        <f t="array" ref="C1179">_xlfn.IFS(B1179=1,"First Class",B1179=2,"Second Class",B1179=3,"Third Class")</f>
        <v>Third Class</v>
      </c>
      <c r="D1179">
        <v>0</v>
      </c>
      <c r="E1179" s="1" t="str">
        <f t="shared" si="72"/>
        <v>Dead</v>
      </c>
      <c r="F1179" t="s">
        <v>1956</v>
      </c>
      <c r="G1179" s="1" t="s">
        <v>2999</v>
      </c>
      <c r="H1179" t="s">
        <v>20</v>
      </c>
      <c r="I1179" s="1" t="str">
        <f t="shared" si="73"/>
        <v>Male</v>
      </c>
      <c r="J1179" s="3">
        <v>29.881137667304014</v>
      </c>
      <c r="K1179" s="3" t="str" cm="1">
        <f t="array" ref="K1179">_xlfn.IFS(J1179&lt;=13,"Child",J1179&lt;=18,"Teenager",J1179&lt;=30,"Young Adult",J1179&lt;=50,"Middle Aged Adult",J1179&gt;50,"Senior")</f>
        <v>Young Adult</v>
      </c>
      <c r="L1179">
        <v>8</v>
      </c>
      <c r="M1179">
        <v>2</v>
      </c>
      <c r="N1179" s="1">
        <f t="shared" si="74"/>
        <v>11</v>
      </c>
      <c r="O1179" s="1" t="str">
        <f t="shared" si="75"/>
        <v>With Family</v>
      </c>
      <c r="P1179">
        <v>69.55</v>
      </c>
      <c r="Q1179" s="1" t="str" cm="1">
        <f t="array" ref="Q1179">_xlfn.IFS(P1179&lt;=50,"Low",P1179&lt;=100,"Medium",P1179&gt;100,"High")</f>
        <v>Medium</v>
      </c>
      <c r="R1179" t="s">
        <v>17</v>
      </c>
      <c r="S1179" s="1" t="str" cm="1">
        <f t="array" ref="S1179">_xlfn.IFS(R1179="S","Southampton",R1179="C","Cherbourg",R1179="Q","Queenstown")</f>
        <v>Southampton</v>
      </c>
    </row>
    <row r="1180" spans="1:19" x14ac:dyDescent="0.3">
      <c r="A1180">
        <v>1179</v>
      </c>
      <c r="B1180">
        <v>3</v>
      </c>
      <c r="C1180" s="1" t="str" cm="1">
        <f t="array" ref="C1180">_xlfn.IFS(B1180=1,"First Class",B1180=2,"Second Class",B1180=3,"Third Class")</f>
        <v>Third Class</v>
      </c>
      <c r="D1180">
        <v>0</v>
      </c>
      <c r="E1180" s="1" t="str">
        <f t="shared" si="72"/>
        <v>Dead</v>
      </c>
      <c r="F1180" t="s">
        <v>1957</v>
      </c>
      <c r="G1180" s="1" t="s">
        <v>2999</v>
      </c>
      <c r="H1180" t="s">
        <v>20</v>
      </c>
      <c r="I1180" s="1" t="str">
        <f t="shared" si="73"/>
        <v>Male</v>
      </c>
      <c r="J1180" s="3">
        <v>29.881137667304014</v>
      </c>
      <c r="K1180" s="3" t="str" cm="1">
        <f t="array" ref="K1180">_xlfn.IFS(J1180&lt;=13,"Child",J1180&lt;=18,"Teenager",J1180&lt;=30,"Young Adult",J1180&lt;=50,"Middle Aged Adult",J1180&gt;50,"Senior")</f>
        <v>Young Adult</v>
      </c>
      <c r="L1180">
        <v>8</v>
      </c>
      <c r="M1180">
        <v>2</v>
      </c>
      <c r="N1180" s="1">
        <f t="shared" si="74"/>
        <v>11</v>
      </c>
      <c r="O1180" s="1" t="str">
        <f t="shared" si="75"/>
        <v>With Family</v>
      </c>
      <c r="P1180">
        <v>69.55</v>
      </c>
      <c r="Q1180" s="1" t="str" cm="1">
        <f t="array" ref="Q1180">_xlfn.IFS(P1180&lt;=50,"Low",P1180&lt;=100,"Medium",P1180&gt;100,"High")</f>
        <v>Medium</v>
      </c>
      <c r="R1180" t="s">
        <v>17</v>
      </c>
      <c r="S1180" s="1" t="str" cm="1">
        <f t="array" ref="S1180">_xlfn.IFS(R1180="S","Southampton",R1180="C","Cherbourg",R1180="Q","Queenstown")</f>
        <v>Southampton</v>
      </c>
    </row>
    <row r="1181" spans="1:19" x14ac:dyDescent="0.3">
      <c r="A1181">
        <v>1180</v>
      </c>
      <c r="B1181">
        <v>3</v>
      </c>
      <c r="C1181" s="1" t="str" cm="1">
        <f t="array" ref="C1181">_xlfn.IFS(B1181=1,"First Class",B1181=2,"Second Class",B1181=3,"Third Class")</f>
        <v>Third Class</v>
      </c>
      <c r="D1181">
        <v>0</v>
      </c>
      <c r="E1181" s="1" t="str">
        <f t="shared" si="72"/>
        <v>Dead</v>
      </c>
      <c r="F1181" t="s">
        <v>1958</v>
      </c>
      <c r="G1181" s="1" t="s">
        <v>2999</v>
      </c>
      <c r="H1181" t="s">
        <v>20</v>
      </c>
      <c r="I1181" s="1" t="str">
        <f t="shared" si="73"/>
        <v>Male</v>
      </c>
      <c r="J1181" s="3">
        <v>29.881137667304014</v>
      </c>
      <c r="K1181" s="3" t="str" cm="1">
        <f t="array" ref="K1181">_xlfn.IFS(J1181&lt;=13,"Child",J1181&lt;=18,"Teenager",J1181&lt;=30,"Young Adult",J1181&lt;=50,"Middle Aged Adult",J1181&gt;50,"Senior")</f>
        <v>Young Adult</v>
      </c>
      <c r="L1181">
        <v>1</v>
      </c>
      <c r="M1181">
        <v>9</v>
      </c>
      <c r="N1181" s="1">
        <f t="shared" si="74"/>
        <v>11</v>
      </c>
      <c r="O1181" s="1" t="str">
        <f t="shared" si="75"/>
        <v>With Family</v>
      </c>
      <c r="P1181">
        <v>69.55</v>
      </c>
      <c r="Q1181" s="1" t="str" cm="1">
        <f t="array" ref="Q1181">_xlfn.IFS(P1181&lt;=50,"Low",P1181&lt;=100,"Medium",P1181&gt;100,"High")</f>
        <v>Medium</v>
      </c>
      <c r="R1181" t="s">
        <v>17</v>
      </c>
      <c r="S1181" s="1" t="str" cm="1">
        <f t="array" ref="S1181">_xlfn.IFS(R1181="S","Southampton",R1181="C","Cherbourg",R1181="Q","Queenstown")</f>
        <v>Southampton</v>
      </c>
    </row>
    <row r="1182" spans="1:19" x14ac:dyDescent="0.3">
      <c r="A1182">
        <v>1181</v>
      </c>
      <c r="B1182">
        <v>3</v>
      </c>
      <c r="C1182" s="1" t="str" cm="1">
        <f t="array" ref="C1182">_xlfn.IFS(B1182=1,"First Class",B1182=2,"Second Class",B1182=3,"Third Class")</f>
        <v>Third Class</v>
      </c>
      <c r="D1182">
        <v>0</v>
      </c>
      <c r="E1182" s="1" t="str">
        <f t="shared" si="72"/>
        <v>Dead</v>
      </c>
      <c r="F1182" t="s">
        <v>1959</v>
      </c>
      <c r="G1182" s="1" t="s">
        <v>3001</v>
      </c>
      <c r="H1182" t="s">
        <v>15</v>
      </c>
      <c r="I1182" s="1" t="str">
        <f t="shared" si="73"/>
        <v>Female</v>
      </c>
      <c r="J1182" s="3">
        <v>29.881137667304014</v>
      </c>
      <c r="K1182" s="3" t="str" cm="1">
        <f t="array" ref="K1182">_xlfn.IFS(J1182&lt;=13,"Child",J1182&lt;=18,"Teenager",J1182&lt;=30,"Young Adult",J1182&lt;=50,"Middle Aged Adult",J1182&gt;50,"Senior")</f>
        <v>Young Adult</v>
      </c>
      <c r="L1182">
        <v>1</v>
      </c>
      <c r="M1182">
        <v>9</v>
      </c>
      <c r="N1182" s="1">
        <f t="shared" si="74"/>
        <v>11</v>
      </c>
      <c r="O1182" s="1" t="str">
        <f t="shared" si="75"/>
        <v>With Family</v>
      </c>
      <c r="P1182">
        <v>69.55</v>
      </c>
      <c r="Q1182" s="1" t="str" cm="1">
        <f t="array" ref="Q1182">_xlfn.IFS(P1182&lt;=50,"Low",P1182&lt;=100,"Medium",P1182&gt;100,"High")</f>
        <v>Medium</v>
      </c>
      <c r="R1182" t="s">
        <v>17</v>
      </c>
      <c r="S1182" s="1" t="str" cm="1">
        <f t="array" ref="S1182">_xlfn.IFS(R1182="S","Southampton",R1182="C","Cherbourg",R1182="Q","Queenstown")</f>
        <v>Southampton</v>
      </c>
    </row>
    <row r="1183" spans="1:19" x14ac:dyDescent="0.3">
      <c r="A1183">
        <v>1182</v>
      </c>
      <c r="B1183">
        <v>3</v>
      </c>
      <c r="C1183" s="1" t="str" cm="1">
        <f t="array" ref="C1183">_xlfn.IFS(B1183=1,"First Class",B1183=2,"Second Class",B1183=3,"Third Class")</f>
        <v>Third Class</v>
      </c>
      <c r="D1183">
        <v>0</v>
      </c>
      <c r="E1183" s="1" t="str">
        <f t="shared" si="72"/>
        <v>Dead</v>
      </c>
      <c r="F1183" t="s">
        <v>1960</v>
      </c>
      <c r="G1183" s="1" t="s">
        <v>2999</v>
      </c>
      <c r="H1183" t="s">
        <v>20</v>
      </c>
      <c r="I1183" s="1" t="str">
        <f t="shared" si="73"/>
        <v>Male</v>
      </c>
      <c r="J1183" s="3">
        <v>24</v>
      </c>
      <c r="K1183" s="3" t="str" cm="1">
        <f t="array" ref="K1183">_xlfn.IFS(J1183&lt;=13,"Child",J1183&lt;=18,"Teenager",J1183&lt;=30,"Young Adult",J1183&lt;=50,"Middle Aged Adult",J1183&gt;50,"Senior")</f>
        <v>Young Adult</v>
      </c>
      <c r="L1183">
        <v>0</v>
      </c>
      <c r="M1183">
        <v>0</v>
      </c>
      <c r="N1183" s="1">
        <f t="shared" si="74"/>
        <v>1</v>
      </c>
      <c r="O1183" s="1" t="str">
        <f t="shared" si="75"/>
        <v>Single</v>
      </c>
      <c r="P1183">
        <v>9.3249999999999993</v>
      </c>
      <c r="Q1183" s="1" t="str" cm="1">
        <f t="array" ref="Q1183">_xlfn.IFS(P1183&lt;=50,"Low",P1183&lt;=100,"Medium",P1183&gt;100,"High")</f>
        <v>Low</v>
      </c>
      <c r="R1183" t="s">
        <v>17</v>
      </c>
      <c r="S1183" s="1" t="str" cm="1">
        <f t="array" ref="S1183">_xlfn.IFS(R1183="S","Southampton",R1183="C","Cherbourg",R1183="Q","Queenstown")</f>
        <v>Southampton</v>
      </c>
    </row>
    <row r="1184" spans="1:19" x14ac:dyDescent="0.3">
      <c r="A1184">
        <v>1183</v>
      </c>
      <c r="B1184">
        <v>3</v>
      </c>
      <c r="C1184" s="1" t="str" cm="1">
        <f t="array" ref="C1184">_xlfn.IFS(B1184=1,"First Class",B1184=2,"Second Class",B1184=3,"Third Class")</f>
        <v>Third Class</v>
      </c>
      <c r="D1184">
        <v>1</v>
      </c>
      <c r="E1184" s="1" t="str">
        <f t="shared" si="72"/>
        <v>Alive</v>
      </c>
      <c r="F1184" t="s">
        <v>1961</v>
      </c>
      <c r="G1184" s="1" t="s">
        <v>2994</v>
      </c>
      <c r="H1184" t="s">
        <v>15</v>
      </c>
      <c r="I1184" s="1" t="str">
        <f t="shared" si="73"/>
        <v>Female</v>
      </c>
      <c r="J1184" s="3">
        <v>21</v>
      </c>
      <c r="K1184" s="3" t="str" cm="1">
        <f t="array" ref="K1184">_xlfn.IFS(J1184&lt;=13,"Child",J1184&lt;=18,"Teenager",J1184&lt;=30,"Young Adult",J1184&lt;=50,"Middle Aged Adult",J1184&gt;50,"Senior")</f>
        <v>Young Adult</v>
      </c>
      <c r="L1184">
        <v>0</v>
      </c>
      <c r="M1184">
        <v>0</v>
      </c>
      <c r="N1184" s="1">
        <f t="shared" si="74"/>
        <v>1</v>
      </c>
      <c r="O1184" s="1" t="str">
        <f t="shared" si="75"/>
        <v>Single</v>
      </c>
      <c r="P1184">
        <v>7.65</v>
      </c>
      <c r="Q1184" s="1" t="str" cm="1">
        <f t="array" ref="Q1184">_xlfn.IFS(P1184&lt;=50,"Low",P1184&lt;=100,"Medium",P1184&gt;100,"High")</f>
        <v>Low</v>
      </c>
      <c r="R1184" t="s">
        <v>17</v>
      </c>
      <c r="S1184" s="1" t="str" cm="1">
        <f t="array" ref="S1184">_xlfn.IFS(R1184="S","Southampton",R1184="C","Cherbourg",R1184="Q","Queenstown")</f>
        <v>Southampton</v>
      </c>
    </row>
    <row r="1185" spans="1:19" x14ac:dyDescent="0.3">
      <c r="A1185">
        <v>1184</v>
      </c>
      <c r="B1185">
        <v>3</v>
      </c>
      <c r="C1185" s="1" t="str" cm="1">
        <f t="array" ref="C1185">_xlfn.IFS(B1185=1,"First Class",B1185=2,"Second Class",B1185=3,"Third Class")</f>
        <v>Third Class</v>
      </c>
      <c r="D1185">
        <v>0</v>
      </c>
      <c r="E1185" s="1" t="str">
        <f t="shared" si="72"/>
        <v>Dead</v>
      </c>
      <c r="F1185" t="s">
        <v>1962</v>
      </c>
      <c r="G1185" s="1" t="s">
        <v>2999</v>
      </c>
      <c r="H1185" t="s">
        <v>20</v>
      </c>
      <c r="I1185" s="1" t="str">
        <f t="shared" si="73"/>
        <v>Male</v>
      </c>
      <c r="J1185" s="3">
        <v>39</v>
      </c>
      <c r="K1185" s="3" t="str" cm="1">
        <f t="array" ref="K1185">_xlfn.IFS(J1185&lt;=13,"Child",J1185&lt;=18,"Teenager",J1185&lt;=30,"Young Adult",J1185&lt;=50,"Middle Aged Adult",J1185&gt;50,"Senior")</f>
        <v>Middle Aged Adult</v>
      </c>
      <c r="L1185">
        <v>0</v>
      </c>
      <c r="M1185">
        <v>0</v>
      </c>
      <c r="N1185" s="1">
        <f t="shared" si="74"/>
        <v>1</v>
      </c>
      <c r="O1185" s="1" t="str">
        <f t="shared" si="75"/>
        <v>Single</v>
      </c>
      <c r="P1185">
        <v>7.9249999999999998</v>
      </c>
      <c r="Q1185" s="1" t="str" cm="1">
        <f t="array" ref="Q1185">_xlfn.IFS(P1185&lt;=50,"Low",P1185&lt;=100,"Medium",P1185&gt;100,"High")</f>
        <v>Low</v>
      </c>
      <c r="R1185" t="s">
        <v>17</v>
      </c>
      <c r="S1185" s="1" t="str" cm="1">
        <f t="array" ref="S1185">_xlfn.IFS(R1185="S","Southampton",R1185="C","Cherbourg",R1185="Q","Queenstown")</f>
        <v>Southampton</v>
      </c>
    </row>
    <row r="1186" spans="1:19" x14ac:dyDescent="0.3">
      <c r="A1186">
        <v>1185</v>
      </c>
      <c r="B1186">
        <v>3</v>
      </c>
      <c r="C1186" s="1" t="str" cm="1">
        <f t="array" ref="C1186">_xlfn.IFS(B1186=1,"First Class",B1186=2,"Second Class",B1186=3,"Third Class")</f>
        <v>Third Class</v>
      </c>
      <c r="D1186">
        <v>0</v>
      </c>
      <c r="E1186" s="1" t="str">
        <f t="shared" si="72"/>
        <v>Dead</v>
      </c>
      <c r="F1186" t="s">
        <v>1963</v>
      </c>
      <c r="G1186" s="1" t="s">
        <v>2999</v>
      </c>
      <c r="H1186" t="s">
        <v>20</v>
      </c>
      <c r="I1186" s="1" t="str">
        <f t="shared" si="73"/>
        <v>Male</v>
      </c>
      <c r="J1186" s="3">
        <v>29.881137667304014</v>
      </c>
      <c r="K1186" s="3" t="str" cm="1">
        <f t="array" ref="K1186">_xlfn.IFS(J1186&lt;=13,"Child",J1186&lt;=18,"Teenager",J1186&lt;=30,"Young Adult",J1186&lt;=50,"Middle Aged Adult",J1186&gt;50,"Senior")</f>
        <v>Young Adult</v>
      </c>
      <c r="L1186">
        <v>2</v>
      </c>
      <c r="M1186">
        <v>0</v>
      </c>
      <c r="N1186" s="1">
        <f t="shared" si="74"/>
        <v>3</v>
      </c>
      <c r="O1186" s="1" t="str">
        <f t="shared" si="75"/>
        <v>With Family</v>
      </c>
      <c r="P1186">
        <v>21.679200000000002</v>
      </c>
      <c r="Q1186" s="1" t="str" cm="1">
        <f t="array" ref="Q1186">_xlfn.IFS(P1186&lt;=50,"Low",P1186&lt;=100,"Medium",P1186&gt;100,"High")</f>
        <v>Low</v>
      </c>
      <c r="R1186" t="s">
        <v>41</v>
      </c>
      <c r="S1186" s="1" t="str" cm="1">
        <f t="array" ref="S1186">_xlfn.IFS(R1186="S","Southampton",R1186="C","Cherbourg",R1186="Q","Queenstown")</f>
        <v>Cherbourg</v>
      </c>
    </row>
    <row r="1187" spans="1:19" x14ac:dyDescent="0.3">
      <c r="A1187">
        <v>1186</v>
      </c>
      <c r="B1187">
        <v>3</v>
      </c>
      <c r="C1187" s="1" t="str" cm="1">
        <f t="array" ref="C1187">_xlfn.IFS(B1187=1,"First Class",B1187=2,"Second Class",B1187=3,"Third Class")</f>
        <v>Third Class</v>
      </c>
      <c r="D1187">
        <v>0</v>
      </c>
      <c r="E1187" s="1" t="str">
        <f t="shared" si="72"/>
        <v>Dead</v>
      </c>
      <c r="F1187" t="s">
        <v>1964</v>
      </c>
      <c r="G1187" s="1" t="s">
        <v>2999</v>
      </c>
      <c r="H1187" t="s">
        <v>20</v>
      </c>
      <c r="I1187" s="1" t="str">
        <f t="shared" si="73"/>
        <v>Male</v>
      </c>
      <c r="J1187" s="3">
        <v>29.881137667304014</v>
      </c>
      <c r="K1187" s="3" t="str" cm="1">
        <f t="array" ref="K1187">_xlfn.IFS(J1187&lt;=13,"Child",J1187&lt;=18,"Teenager",J1187&lt;=30,"Young Adult",J1187&lt;=50,"Middle Aged Adult",J1187&gt;50,"Senior")</f>
        <v>Young Adult</v>
      </c>
      <c r="L1187">
        <v>2</v>
      </c>
      <c r="M1187">
        <v>0</v>
      </c>
      <c r="N1187" s="1">
        <f t="shared" si="74"/>
        <v>3</v>
      </c>
      <c r="O1187" s="1" t="str">
        <f t="shared" si="75"/>
        <v>With Family</v>
      </c>
      <c r="P1187">
        <v>21.679200000000002</v>
      </c>
      <c r="Q1187" s="1" t="str" cm="1">
        <f t="array" ref="Q1187">_xlfn.IFS(P1187&lt;=50,"Low",P1187&lt;=100,"Medium",P1187&gt;100,"High")</f>
        <v>Low</v>
      </c>
      <c r="R1187" t="s">
        <v>41</v>
      </c>
      <c r="S1187" s="1" t="str" cm="1">
        <f t="array" ref="S1187">_xlfn.IFS(R1187="S","Southampton",R1187="C","Cherbourg",R1187="Q","Queenstown")</f>
        <v>Cherbourg</v>
      </c>
    </row>
    <row r="1188" spans="1:19" x14ac:dyDescent="0.3">
      <c r="A1188">
        <v>1187</v>
      </c>
      <c r="B1188">
        <v>3</v>
      </c>
      <c r="C1188" s="1" t="str" cm="1">
        <f t="array" ref="C1188">_xlfn.IFS(B1188=1,"First Class",B1188=2,"Second Class",B1188=3,"Third Class")</f>
        <v>Third Class</v>
      </c>
      <c r="D1188">
        <v>0</v>
      </c>
      <c r="E1188" s="1" t="str">
        <f t="shared" si="72"/>
        <v>Dead</v>
      </c>
      <c r="F1188" t="s">
        <v>1965</v>
      </c>
      <c r="G1188" s="1" t="s">
        <v>2999</v>
      </c>
      <c r="H1188" t="s">
        <v>20</v>
      </c>
      <c r="I1188" s="1" t="str">
        <f t="shared" si="73"/>
        <v>Male</v>
      </c>
      <c r="J1188" s="3">
        <v>29.881137667304014</v>
      </c>
      <c r="K1188" s="3" t="str" cm="1">
        <f t="array" ref="K1188">_xlfn.IFS(J1188&lt;=13,"Child",J1188&lt;=18,"Teenager",J1188&lt;=30,"Young Adult",J1188&lt;=50,"Middle Aged Adult",J1188&gt;50,"Senior")</f>
        <v>Young Adult</v>
      </c>
      <c r="L1188">
        <v>2</v>
      </c>
      <c r="M1188">
        <v>0</v>
      </c>
      <c r="N1188" s="1">
        <f t="shared" si="74"/>
        <v>3</v>
      </c>
      <c r="O1188" s="1" t="str">
        <f t="shared" si="75"/>
        <v>With Family</v>
      </c>
      <c r="P1188">
        <v>21.679200000000002</v>
      </c>
      <c r="Q1188" s="1" t="str" cm="1">
        <f t="array" ref="Q1188">_xlfn.IFS(P1188&lt;=50,"Low",P1188&lt;=100,"Medium",P1188&gt;100,"High")</f>
        <v>Low</v>
      </c>
      <c r="R1188" t="s">
        <v>41</v>
      </c>
      <c r="S1188" s="1" t="str" cm="1">
        <f t="array" ref="S1188">_xlfn.IFS(R1188="S","Southampton",R1188="C","Cherbourg",R1188="Q","Queenstown")</f>
        <v>Cherbourg</v>
      </c>
    </row>
    <row r="1189" spans="1:19" x14ac:dyDescent="0.3">
      <c r="A1189">
        <v>1188</v>
      </c>
      <c r="B1189">
        <v>3</v>
      </c>
      <c r="C1189" s="1" t="str" cm="1">
        <f t="array" ref="C1189">_xlfn.IFS(B1189=1,"First Class",B1189=2,"Second Class",B1189=3,"Third Class")</f>
        <v>Third Class</v>
      </c>
      <c r="D1189">
        <v>1</v>
      </c>
      <c r="E1189" s="1" t="str">
        <f t="shared" si="72"/>
        <v>Alive</v>
      </c>
      <c r="F1189" t="s">
        <v>1966</v>
      </c>
      <c r="G1189" s="1" t="s">
        <v>2994</v>
      </c>
      <c r="H1189" t="s">
        <v>15</v>
      </c>
      <c r="I1189" s="1" t="str">
        <f t="shared" si="73"/>
        <v>Female</v>
      </c>
      <c r="J1189" s="3">
        <v>1</v>
      </c>
      <c r="K1189" s="3" t="str" cm="1">
        <f t="array" ref="K1189">_xlfn.IFS(J1189&lt;=13,"Child",J1189&lt;=18,"Teenager",J1189&lt;=30,"Young Adult",J1189&lt;=50,"Middle Aged Adult",J1189&gt;50,"Senior")</f>
        <v>Child</v>
      </c>
      <c r="L1189">
        <v>1</v>
      </c>
      <c r="M1189">
        <v>1</v>
      </c>
      <c r="N1189" s="1">
        <f t="shared" si="74"/>
        <v>3</v>
      </c>
      <c r="O1189" s="1" t="str">
        <f t="shared" si="75"/>
        <v>With Family</v>
      </c>
      <c r="P1189">
        <v>16.7</v>
      </c>
      <c r="Q1189" s="1" t="str" cm="1">
        <f t="array" ref="Q1189">_xlfn.IFS(P1189&lt;=50,"Low",P1189&lt;=100,"Medium",P1189&gt;100,"High")</f>
        <v>Low</v>
      </c>
      <c r="R1189" t="s">
        <v>17</v>
      </c>
      <c r="S1189" s="1" t="str" cm="1">
        <f t="array" ref="S1189">_xlfn.IFS(R1189="S","Southampton",R1189="C","Cherbourg",R1189="Q","Queenstown")</f>
        <v>Southampton</v>
      </c>
    </row>
    <row r="1190" spans="1:19" x14ac:dyDescent="0.3">
      <c r="A1190">
        <v>1189</v>
      </c>
      <c r="B1190">
        <v>3</v>
      </c>
      <c r="C1190" s="1" t="str" cm="1">
        <f t="array" ref="C1190">_xlfn.IFS(B1190=1,"First Class",B1190=2,"Second Class",B1190=3,"Third Class")</f>
        <v>Third Class</v>
      </c>
      <c r="D1190">
        <v>1</v>
      </c>
      <c r="E1190" s="1" t="str">
        <f t="shared" si="72"/>
        <v>Alive</v>
      </c>
      <c r="F1190" t="s">
        <v>1969</v>
      </c>
      <c r="G1190" s="1" t="s">
        <v>3001</v>
      </c>
      <c r="H1190" t="s">
        <v>15</v>
      </c>
      <c r="I1190" s="1" t="str">
        <f t="shared" si="73"/>
        <v>Female</v>
      </c>
      <c r="J1190" s="3">
        <v>24</v>
      </c>
      <c r="K1190" s="3" t="str" cm="1">
        <f t="array" ref="K1190">_xlfn.IFS(J1190&lt;=13,"Child",J1190&lt;=18,"Teenager",J1190&lt;=30,"Young Adult",J1190&lt;=50,"Middle Aged Adult",J1190&gt;50,"Senior")</f>
        <v>Young Adult</v>
      </c>
      <c r="L1190">
        <v>0</v>
      </c>
      <c r="M1190">
        <v>2</v>
      </c>
      <c r="N1190" s="1">
        <f t="shared" si="74"/>
        <v>3</v>
      </c>
      <c r="O1190" s="1" t="str">
        <f t="shared" si="75"/>
        <v>With Family</v>
      </c>
      <c r="P1190">
        <v>16.7</v>
      </c>
      <c r="Q1190" s="1" t="str" cm="1">
        <f t="array" ref="Q1190">_xlfn.IFS(P1190&lt;=50,"Low",P1190&lt;=100,"Medium",P1190&gt;100,"High")</f>
        <v>Low</v>
      </c>
      <c r="R1190" t="s">
        <v>17</v>
      </c>
      <c r="S1190" s="1" t="str" cm="1">
        <f t="array" ref="S1190">_xlfn.IFS(R1190="S","Southampton",R1190="C","Cherbourg",R1190="Q","Queenstown")</f>
        <v>Southampton</v>
      </c>
    </row>
    <row r="1191" spans="1:19" x14ac:dyDescent="0.3">
      <c r="A1191">
        <v>1190</v>
      </c>
      <c r="B1191">
        <v>3</v>
      </c>
      <c r="C1191" s="1" t="str" cm="1">
        <f t="array" ref="C1191">_xlfn.IFS(B1191=1,"First Class",B1191=2,"Second Class",B1191=3,"Third Class")</f>
        <v>Third Class</v>
      </c>
      <c r="D1191">
        <v>1</v>
      </c>
      <c r="E1191" s="1" t="str">
        <f t="shared" si="72"/>
        <v>Alive</v>
      </c>
      <c r="F1191" t="s">
        <v>1970</v>
      </c>
      <c r="G1191" s="1" t="s">
        <v>2994</v>
      </c>
      <c r="H1191" t="s">
        <v>15</v>
      </c>
      <c r="I1191" s="1" t="str">
        <f t="shared" si="73"/>
        <v>Female</v>
      </c>
      <c r="J1191" s="3">
        <v>4</v>
      </c>
      <c r="K1191" s="3" t="str" cm="1">
        <f t="array" ref="K1191">_xlfn.IFS(J1191&lt;=13,"Child",J1191&lt;=18,"Teenager",J1191&lt;=30,"Young Adult",J1191&lt;=50,"Middle Aged Adult",J1191&gt;50,"Senior")</f>
        <v>Child</v>
      </c>
      <c r="L1191">
        <v>1</v>
      </c>
      <c r="M1191">
        <v>1</v>
      </c>
      <c r="N1191" s="1">
        <f t="shared" si="74"/>
        <v>3</v>
      </c>
      <c r="O1191" s="1" t="str">
        <f t="shared" si="75"/>
        <v>With Family</v>
      </c>
      <c r="P1191">
        <v>16.7</v>
      </c>
      <c r="Q1191" s="1" t="str" cm="1">
        <f t="array" ref="Q1191">_xlfn.IFS(P1191&lt;=50,"Low",P1191&lt;=100,"Medium",P1191&gt;100,"High")</f>
        <v>Low</v>
      </c>
      <c r="R1191" t="s">
        <v>17</v>
      </c>
      <c r="S1191" s="1" t="str" cm="1">
        <f t="array" ref="S1191">_xlfn.IFS(R1191="S","Southampton",R1191="C","Cherbourg",R1191="Q","Queenstown")</f>
        <v>Southampton</v>
      </c>
    </row>
    <row r="1192" spans="1:19" x14ac:dyDescent="0.3">
      <c r="A1192">
        <v>1191</v>
      </c>
      <c r="B1192">
        <v>3</v>
      </c>
      <c r="C1192" s="1" t="str" cm="1">
        <f t="array" ref="C1192">_xlfn.IFS(B1192=1,"First Class",B1192=2,"Second Class",B1192=3,"Third Class")</f>
        <v>Third Class</v>
      </c>
      <c r="D1192">
        <v>1</v>
      </c>
      <c r="E1192" s="1" t="str">
        <f t="shared" si="72"/>
        <v>Alive</v>
      </c>
      <c r="F1192" t="s">
        <v>1971</v>
      </c>
      <c r="G1192" s="1" t="s">
        <v>2999</v>
      </c>
      <c r="H1192" t="s">
        <v>20</v>
      </c>
      <c r="I1192" s="1" t="str">
        <f t="shared" si="73"/>
        <v>Male</v>
      </c>
      <c r="J1192" s="3">
        <v>25</v>
      </c>
      <c r="K1192" s="3" t="str" cm="1">
        <f t="array" ref="K1192">_xlfn.IFS(J1192&lt;=13,"Child",J1192&lt;=18,"Teenager",J1192&lt;=30,"Young Adult",J1192&lt;=50,"Middle Aged Adult",J1192&gt;50,"Senior")</f>
        <v>Young Adult</v>
      </c>
      <c r="L1192">
        <v>0</v>
      </c>
      <c r="M1192">
        <v>0</v>
      </c>
      <c r="N1192" s="1">
        <f t="shared" si="74"/>
        <v>1</v>
      </c>
      <c r="O1192" s="1" t="str">
        <f t="shared" si="75"/>
        <v>Single</v>
      </c>
      <c r="P1192">
        <v>9.5</v>
      </c>
      <c r="Q1192" s="1" t="str" cm="1">
        <f t="array" ref="Q1192">_xlfn.IFS(P1192&lt;=50,"Low",P1192&lt;=100,"Medium",P1192&gt;100,"High")</f>
        <v>Low</v>
      </c>
      <c r="R1192" t="s">
        <v>17</v>
      </c>
      <c r="S1192" s="1" t="str" cm="1">
        <f t="array" ref="S1192">_xlfn.IFS(R1192="S","Southampton",R1192="C","Cherbourg",R1192="Q","Queenstown")</f>
        <v>Southampton</v>
      </c>
    </row>
    <row r="1193" spans="1:19" x14ac:dyDescent="0.3">
      <c r="A1193">
        <v>1192</v>
      </c>
      <c r="B1193">
        <v>3</v>
      </c>
      <c r="C1193" s="1" t="str" cm="1">
        <f t="array" ref="C1193">_xlfn.IFS(B1193=1,"First Class",B1193=2,"Second Class",B1193=3,"Third Class")</f>
        <v>Third Class</v>
      </c>
      <c r="D1193">
        <v>0</v>
      </c>
      <c r="E1193" s="1" t="str">
        <f t="shared" si="72"/>
        <v>Dead</v>
      </c>
      <c r="F1193" t="s">
        <v>1972</v>
      </c>
      <c r="G1193" s="1" t="s">
        <v>2999</v>
      </c>
      <c r="H1193" t="s">
        <v>20</v>
      </c>
      <c r="I1193" s="1" t="str">
        <f t="shared" si="73"/>
        <v>Male</v>
      </c>
      <c r="J1193" s="3">
        <v>20</v>
      </c>
      <c r="K1193" s="3" t="str" cm="1">
        <f t="array" ref="K1193">_xlfn.IFS(J1193&lt;=13,"Child",J1193&lt;=18,"Teenager",J1193&lt;=30,"Young Adult",J1193&lt;=50,"Middle Aged Adult",J1193&gt;50,"Senior")</f>
        <v>Young Adult</v>
      </c>
      <c r="L1193">
        <v>0</v>
      </c>
      <c r="M1193">
        <v>0</v>
      </c>
      <c r="N1193" s="1">
        <f t="shared" si="74"/>
        <v>1</v>
      </c>
      <c r="O1193" s="1" t="str">
        <f t="shared" si="75"/>
        <v>Single</v>
      </c>
      <c r="P1193">
        <v>8.0500000000000007</v>
      </c>
      <c r="Q1193" s="1" t="str" cm="1">
        <f t="array" ref="Q1193">_xlfn.IFS(P1193&lt;=50,"Low",P1193&lt;=100,"Medium",P1193&gt;100,"High")</f>
        <v>Low</v>
      </c>
      <c r="R1193" t="s">
        <v>17</v>
      </c>
      <c r="S1193" s="1" t="str" cm="1">
        <f t="array" ref="S1193">_xlfn.IFS(R1193="S","Southampton",R1193="C","Cherbourg",R1193="Q","Queenstown")</f>
        <v>Southampton</v>
      </c>
    </row>
    <row r="1194" spans="1:19" x14ac:dyDescent="0.3">
      <c r="A1194">
        <v>1193</v>
      </c>
      <c r="B1194">
        <v>3</v>
      </c>
      <c r="C1194" s="1" t="str" cm="1">
        <f t="array" ref="C1194">_xlfn.IFS(B1194=1,"First Class",B1194=2,"Second Class",B1194=3,"Third Class")</f>
        <v>Third Class</v>
      </c>
      <c r="D1194">
        <v>0</v>
      </c>
      <c r="E1194" s="1" t="str">
        <f t="shared" si="72"/>
        <v>Dead</v>
      </c>
      <c r="F1194" t="s">
        <v>1974</v>
      </c>
      <c r="G1194" s="1" t="s">
        <v>2999</v>
      </c>
      <c r="H1194" t="s">
        <v>20</v>
      </c>
      <c r="I1194" s="1" t="str">
        <f t="shared" si="73"/>
        <v>Male</v>
      </c>
      <c r="J1194" s="3">
        <v>24.5</v>
      </c>
      <c r="K1194" s="3" t="str" cm="1">
        <f t="array" ref="K1194">_xlfn.IFS(J1194&lt;=13,"Child",J1194&lt;=18,"Teenager",J1194&lt;=30,"Young Adult",J1194&lt;=50,"Middle Aged Adult",J1194&gt;50,"Senior")</f>
        <v>Young Adult</v>
      </c>
      <c r="L1194">
        <v>0</v>
      </c>
      <c r="M1194">
        <v>0</v>
      </c>
      <c r="N1194" s="1">
        <f t="shared" si="74"/>
        <v>1</v>
      </c>
      <c r="O1194" s="1" t="str">
        <f t="shared" si="75"/>
        <v>Single</v>
      </c>
      <c r="P1194">
        <v>8.0500000000000007</v>
      </c>
      <c r="Q1194" s="1" t="str" cm="1">
        <f t="array" ref="Q1194">_xlfn.IFS(P1194&lt;=50,"Low",P1194&lt;=100,"Medium",P1194&gt;100,"High")</f>
        <v>Low</v>
      </c>
      <c r="R1194" t="s">
        <v>17</v>
      </c>
      <c r="S1194" s="1" t="str" cm="1">
        <f t="array" ref="S1194">_xlfn.IFS(R1194="S","Southampton",R1194="C","Cherbourg",R1194="Q","Queenstown")</f>
        <v>Southampton</v>
      </c>
    </row>
    <row r="1195" spans="1:19" x14ac:dyDescent="0.3">
      <c r="A1195">
        <v>1194</v>
      </c>
      <c r="B1195">
        <v>3</v>
      </c>
      <c r="C1195" s="1" t="str" cm="1">
        <f t="array" ref="C1195">_xlfn.IFS(B1195=1,"First Class",B1195=2,"Second Class",B1195=3,"Third Class")</f>
        <v>Third Class</v>
      </c>
      <c r="D1195">
        <v>0</v>
      </c>
      <c r="E1195" s="1" t="str">
        <f t="shared" si="72"/>
        <v>Dead</v>
      </c>
      <c r="F1195" t="s">
        <v>1975</v>
      </c>
      <c r="G1195" s="1" t="s">
        <v>2999</v>
      </c>
      <c r="H1195" t="s">
        <v>20</v>
      </c>
      <c r="I1195" s="1" t="str">
        <f t="shared" si="73"/>
        <v>Male</v>
      </c>
      <c r="J1195" s="3">
        <v>29.881137667304014</v>
      </c>
      <c r="K1195" s="3" t="str" cm="1">
        <f t="array" ref="K1195">_xlfn.IFS(J1195&lt;=13,"Child",J1195&lt;=18,"Teenager",J1195&lt;=30,"Young Adult",J1195&lt;=50,"Middle Aged Adult",J1195&gt;50,"Senior")</f>
        <v>Young Adult</v>
      </c>
      <c r="L1195">
        <v>0</v>
      </c>
      <c r="M1195">
        <v>0</v>
      </c>
      <c r="N1195" s="1">
        <f t="shared" si="74"/>
        <v>1</v>
      </c>
      <c r="O1195" s="1" t="str">
        <f t="shared" si="75"/>
        <v>Single</v>
      </c>
      <c r="P1195">
        <v>7.7249999999999996</v>
      </c>
      <c r="Q1195" s="1" t="str" cm="1">
        <f t="array" ref="Q1195">_xlfn.IFS(P1195&lt;=50,"Low",P1195&lt;=100,"Medium",P1195&gt;100,"High")</f>
        <v>Low</v>
      </c>
      <c r="R1195" t="s">
        <v>463</v>
      </c>
      <c r="S1195" s="1" t="str" cm="1">
        <f t="array" ref="S1195">_xlfn.IFS(R1195="S","Southampton",R1195="C","Cherbourg",R1195="Q","Queenstown")</f>
        <v>Queenstown</v>
      </c>
    </row>
    <row r="1196" spans="1:19" x14ac:dyDescent="0.3">
      <c r="A1196">
        <v>1195</v>
      </c>
      <c r="B1196">
        <v>3</v>
      </c>
      <c r="C1196" s="1" t="str" cm="1">
        <f t="array" ref="C1196">_xlfn.IFS(B1196=1,"First Class",B1196=2,"Second Class",B1196=3,"Third Class")</f>
        <v>Third Class</v>
      </c>
      <c r="D1196">
        <v>0</v>
      </c>
      <c r="E1196" s="1" t="str">
        <f t="shared" si="72"/>
        <v>Dead</v>
      </c>
      <c r="F1196" t="s">
        <v>1976</v>
      </c>
      <c r="G1196" s="1" t="s">
        <v>2999</v>
      </c>
      <c r="H1196" t="s">
        <v>20</v>
      </c>
      <c r="I1196" s="1" t="str">
        <f t="shared" si="73"/>
        <v>Male</v>
      </c>
      <c r="J1196" s="3">
        <v>29.881137667304014</v>
      </c>
      <c r="K1196" s="3" t="str" cm="1">
        <f t="array" ref="K1196">_xlfn.IFS(J1196&lt;=13,"Child",J1196&lt;=18,"Teenager",J1196&lt;=30,"Young Adult",J1196&lt;=50,"Middle Aged Adult",J1196&gt;50,"Senior")</f>
        <v>Young Adult</v>
      </c>
      <c r="L1196">
        <v>0</v>
      </c>
      <c r="M1196">
        <v>0</v>
      </c>
      <c r="N1196" s="1">
        <f t="shared" si="74"/>
        <v>1</v>
      </c>
      <c r="O1196" s="1" t="str">
        <f t="shared" si="75"/>
        <v>Single</v>
      </c>
      <c r="P1196">
        <v>7.8958000000000004</v>
      </c>
      <c r="Q1196" s="1" t="str" cm="1">
        <f t="array" ref="Q1196">_xlfn.IFS(P1196&lt;=50,"Low",P1196&lt;=100,"Medium",P1196&gt;100,"High")</f>
        <v>Low</v>
      </c>
      <c r="R1196" t="s">
        <v>17</v>
      </c>
      <c r="S1196" s="1" t="str" cm="1">
        <f t="array" ref="S1196">_xlfn.IFS(R1196="S","Southampton",R1196="C","Cherbourg",R1196="Q","Queenstown")</f>
        <v>Southampton</v>
      </c>
    </row>
    <row r="1197" spans="1:19" x14ac:dyDescent="0.3">
      <c r="A1197">
        <v>1196</v>
      </c>
      <c r="B1197">
        <v>3</v>
      </c>
      <c r="C1197" s="1" t="str" cm="1">
        <f t="array" ref="C1197">_xlfn.IFS(B1197=1,"First Class",B1197=2,"Second Class",B1197=3,"Third Class")</f>
        <v>Third Class</v>
      </c>
      <c r="D1197">
        <v>0</v>
      </c>
      <c r="E1197" s="1" t="str">
        <f t="shared" si="72"/>
        <v>Dead</v>
      </c>
      <c r="F1197" t="s">
        <v>1977</v>
      </c>
      <c r="G1197" s="1" t="s">
        <v>2999</v>
      </c>
      <c r="H1197" t="s">
        <v>20</v>
      </c>
      <c r="I1197" s="1" t="str">
        <f t="shared" si="73"/>
        <v>Male</v>
      </c>
      <c r="J1197" s="3">
        <v>29.881137667304014</v>
      </c>
      <c r="K1197" s="3" t="str" cm="1">
        <f t="array" ref="K1197">_xlfn.IFS(J1197&lt;=13,"Child",J1197&lt;=18,"Teenager",J1197&lt;=30,"Young Adult",J1197&lt;=50,"Middle Aged Adult",J1197&gt;50,"Senior")</f>
        <v>Young Adult</v>
      </c>
      <c r="L1197">
        <v>0</v>
      </c>
      <c r="M1197">
        <v>0</v>
      </c>
      <c r="N1197" s="1">
        <f t="shared" si="74"/>
        <v>1</v>
      </c>
      <c r="O1197" s="1" t="str">
        <f t="shared" si="75"/>
        <v>Single</v>
      </c>
      <c r="P1197">
        <v>7.75</v>
      </c>
      <c r="Q1197" s="1" t="str" cm="1">
        <f t="array" ref="Q1197">_xlfn.IFS(P1197&lt;=50,"Low",P1197&lt;=100,"Medium",P1197&gt;100,"High")</f>
        <v>Low</v>
      </c>
      <c r="R1197" t="s">
        <v>463</v>
      </c>
      <c r="S1197" s="1" t="str" cm="1">
        <f t="array" ref="S1197">_xlfn.IFS(R1197="S","Southampton",R1197="C","Cherbourg",R1197="Q","Queenstown")</f>
        <v>Queenstown</v>
      </c>
    </row>
    <row r="1198" spans="1:19" x14ac:dyDescent="0.3">
      <c r="A1198">
        <v>1197</v>
      </c>
      <c r="B1198">
        <v>3</v>
      </c>
      <c r="C1198" s="1" t="str" cm="1">
        <f t="array" ref="C1198">_xlfn.IFS(B1198=1,"First Class",B1198=2,"Second Class",B1198=3,"Third Class")</f>
        <v>Third Class</v>
      </c>
      <c r="D1198">
        <v>1</v>
      </c>
      <c r="E1198" s="1" t="str">
        <f t="shared" si="72"/>
        <v>Alive</v>
      </c>
      <c r="F1198" t="s">
        <v>1978</v>
      </c>
      <c r="G1198" s="1" t="s">
        <v>2999</v>
      </c>
      <c r="H1198" t="s">
        <v>20</v>
      </c>
      <c r="I1198" s="1" t="str">
        <f t="shared" si="73"/>
        <v>Male</v>
      </c>
      <c r="J1198" s="3">
        <v>29</v>
      </c>
      <c r="K1198" s="3" t="str" cm="1">
        <f t="array" ref="K1198">_xlfn.IFS(J1198&lt;=13,"Child",J1198&lt;=18,"Teenager",J1198&lt;=30,"Young Adult",J1198&lt;=50,"Middle Aged Adult",J1198&gt;50,"Senior")</f>
        <v>Young Adult</v>
      </c>
      <c r="L1198">
        <v>0</v>
      </c>
      <c r="M1198">
        <v>0</v>
      </c>
      <c r="N1198" s="1">
        <f t="shared" si="74"/>
        <v>1</v>
      </c>
      <c r="O1198" s="1" t="str">
        <f t="shared" si="75"/>
        <v>Single</v>
      </c>
      <c r="P1198">
        <v>9.5</v>
      </c>
      <c r="Q1198" s="1" t="str" cm="1">
        <f t="array" ref="Q1198">_xlfn.IFS(P1198&lt;=50,"Low",P1198&lt;=100,"Medium",P1198&gt;100,"High")</f>
        <v>Low</v>
      </c>
      <c r="R1198" t="s">
        <v>17</v>
      </c>
      <c r="S1198" s="1" t="str" cm="1">
        <f t="array" ref="S1198">_xlfn.IFS(R1198="S","Southampton",R1198="C","Cherbourg",R1198="Q","Queenstown")</f>
        <v>Southampton</v>
      </c>
    </row>
    <row r="1199" spans="1:19" x14ac:dyDescent="0.3">
      <c r="A1199">
        <v>1198</v>
      </c>
      <c r="B1199">
        <v>3</v>
      </c>
      <c r="C1199" s="1" t="str" cm="1">
        <f t="array" ref="C1199">_xlfn.IFS(B1199=1,"First Class",B1199=2,"Second Class",B1199=3,"Third Class")</f>
        <v>Third Class</v>
      </c>
      <c r="D1199">
        <v>0</v>
      </c>
      <c r="E1199" s="1" t="str">
        <f t="shared" si="72"/>
        <v>Dead</v>
      </c>
      <c r="F1199" t="s">
        <v>1979</v>
      </c>
      <c r="G1199" s="1" t="s">
        <v>2999</v>
      </c>
      <c r="H1199" t="s">
        <v>20</v>
      </c>
      <c r="I1199" s="1" t="str">
        <f t="shared" si="73"/>
        <v>Male</v>
      </c>
      <c r="J1199" s="3">
        <v>29.881137667304014</v>
      </c>
      <c r="K1199" s="3" t="str" cm="1">
        <f t="array" ref="K1199">_xlfn.IFS(J1199&lt;=13,"Child",J1199&lt;=18,"Teenager",J1199&lt;=30,"Young Adult",J1199&lt;=50,"Middle Aged Adult",J1199&gt;50,"Senior")</f>
        <v>Young Adult</v>
      </c>
      <c r="L1199">
        <v>0</v>
      </c>
      <c r="M1199">
        <v>0</v>
      </c>
      <c r="N1199" s="1">
        <f t="shared" si="74"/>
        <v>1</v>
      </c>
      <c r="O1199" s="1" t="str">
        <f t="shared" si="75"/>
        <v>Single</v>
      </c>
      <c r="P1199">
        <v>15.1</v>
      </c>
      <c r="Q1199" s="1" t="str" cm="1">
        <f t="array" ref="Q1199">_xlfn.IFS(P1199&lt;=50,"Low",P1199&lt;=100,"Medium",P1199&gt;100,"High")</f>
        <v>Low</v>
      </c>
      <c r="R1199" t="s">
        <v>17</v>
      </c>
      <c r="S1199" s="1" t="str" cm="1">
        <f t="array" ref="S1199">_xlfn.IFS(R1199="S","Southampton",R1199="C","Cherbourg",R1199="Q","Queenstown")</f>
        <v>Southampton</v>
      </c>
    </row>
    <row r="1200" spans="1:19" x14ac:dyDescent="0.3">
      <c r="A1200">
        <v>1199</v>
      </c>
      <c r="B1200">
        <v>3</v>
      </c>
      <c r="C1200" s="1" t="str" cm="1">
        <f t="array" ref="C1200">_xlfn.IFS(B1200=1,"First Class",B1200=2,"Second Class",B1200=3,"Third Class")</f>
        <v>Third Class</v>
      </c>
      <c r="D1200">
        <v>1</v>
      </c>
      <c r="E1200" s="1" t="str">
        <f t="shared" si="72"/>
        <v>Alive</v>
      </c>
      <c r="F1200" t="s">
        <v>1980</v>
      </c>
      <c r="G1200" s="1" t="s">
        <v>2994</v>
      </c>
      <c r="H1200" t="s">
        <v>15</v>
      </c>
      <c r="I1200" s="1" t="str">
        <f t="shared" si="73"/>
        <v>Female</v>
      </c>
      <c r="J1200" s="3">
        <v>29.881137667304014</v>
      </c>
      <c r="K1200" s="3" t="str" cm="1">
        <f t="array" ref="K1200">_xlfn.IFS(J1200&lt;=13,"Child",J1200&lt;=18,"Teenager",J1200&lt;=30,"Young Adult",J1200&lt;=50,"Middle Aged Adult",J1200&gt;50,"Senior")</f>
        <v>Young Adult</v>
      </c>
      <c r="L1200">
        <v>0</v>
      </c>
      <c r="M1200">
        <v>0</v>
      </c>
      <c r="N1200" s="1">
        <f t="shared" si="74"/>
        <v>1</v>
      </c>
      <c r="O1200" s="1" t="str">
        <f t="shared" si="75"/>
        <v>Single</v>
      </c>
      <c r="P1200">
        <v>7.7792000000000003</v>
      </c>
      <c r="Q1200" s="1" t="str" cm="1">
        <f t="array" ref="Q1200">_xlfn.IFS(P1200&lt;=50,"Low",P1200&lt;=100,"Medium",P1200&gt;100,"High")</f>
        <v>Low</v>
      </c>
      <c r="R1200" t="s">
        <v>463</v>
      </c>
      <c r="S1200" s="1" t="str" cm="1">
        <f t="array" ref="S1200">_xlfn.IFS(R1200="S","Southampton",R1200="C","Cherbourg",R1200="Q","Queenstown")</f>
        <v>Queenstown</v>
      </c>
    </row>
    <row r="1201" spans="1:19" x14ac:dyDescent="0.3">
      <c r="A1201">
        <v>1200</v>
      </c>
      <c r="B1201">
        <v>3</v>
      </c>
      <c r="C1201" s="1" t="str" cm="1">
        <f t="array" ref="C1201">_xlfn.IFS(B1201=1,"First Class",B1201=2,"Second Class",B1201=3,"Third Class")</f>
        <v>Third Class</v>
      </c>
      <c r="D1201">
        <v>0</v>
      </c>
      <c r="E1201" s="1" t="str">
        <f t="shared" si="72"/>
        <v>Dead</v>
      </c>
      <c r="F1201" t="s">
        <v>1981</v>
      </c>
      <c r="G1201" s="1" t="s">
        <v>2999</v>
      </c>
      <c r="H1201" t="s">
        <v>20</v>
      </c>
      <c r="I1201" s="1" t="str">
        <f t="shared" si="73"/>
        <v>Male</v>
      </c>
      <c r="J1201" s="3">
        <v>29.881137667304014</v>
      </c>
      <c r="K1201" s="3" t="str" cm="1">
        <f t="array" ref="K1201">_xlfn.IFS(J1201&lt;=13,"Child",J1201&lt;=18,"Teenager",J1201&lt;=30,"Young Adult",J1201&lt;=50,"Middle Aged Adult",J1201&gt;50,"Senior")</f>
        <v>Young Adult</v>
      </c>
      <c r="L1201">
        <v>0</v>
      </c>
      <c r="M1201">
        <v>0</v>
      </c>
      <c r="N1201" s="1">
        <f t="shared" si="74"/>
        <v>1</v>
      </c>
      <c r="O1201" s="1" t="str">
        <f t="shared" si="75"/>
        <v>Single</v>
      </c>
      <c r="P1201">
        <v>8.0500000000000007</v>
      </c>
      <c r="Q1201" s="1" t="str" cm="1">
        <f t="array" ref="Q1201">_xlfn.IFS(P1201&lt;=50,"Low",P1201&lt;=100,"Medium",P1201&gt;100,"High")</f>
        <v>Low</v>
      </c>
      <c r="R1201" t="s">
        <v>17</v>
      </c>
      <c r="S1201" s="1" t="str" cm="1">
        <f t="array" ref="S1201">_xlfn.IFS(R1201="S","Southampton",R1201="C","Cherbourg",R1201="Q","Queenstown")</f>
        <v>Southampton</v>
      </c>
    </row>
    <row r="1202" spans="1:19" x14ac:dyDescent="0.3">
      <c r="A1202">
        <v>1201</v>
      </c>
      <c r="B1202">
        <v>3</v>
      </c>
      <c r="C1202" s="1" t="str" cm="1">
        <f t="array" ref="C1202">_xlfn.IFS(B1202=1,"First Class",B1202=2,"Second Class",B1202=3,"Third Class")</f>
        <v>Third Class</v>
      </c>
      <c r="D1202">
        <v>0</v>
      </c>
      <c r="E1202" s="1" t="str">
        <f t="shared" si="72"/>
        <v>Dead</v>
      </c>
      <c r="F1202" t="s">
        <v>1982</v>
      </c>
      <c r="G1202" s="1" t="s">
        <v>2999</v>
      </c>
      <c r="H1202" t="s">
        <v>20</v>
      </c>
      <c r="I1202" s="1" t="str">
        <f t="shared" si="73"/>
        <v>Male</v>
      </c>
      <c r="J1202" s="3">
        <v>29.881137667304014</v>
      </c>
      <c r="K1202" s="3" t="str" cm="1">
        <f t="array" ref="K1202">_xlfn.IFS(J1202&lt;=13,"Child",J1202&lt;=18,"Teenager",J1202&lt;=30,"Young Adult",J1202&lt;=50,"Middle Aged Adult",J1202&gt;50,"Senior")</f>
        <v>Young Adult</v>
      </c>
      <c r="L1202">
        <v>0</v>
      </c>
      <c r="M1202">
        <v>0</v>
      </c>
      <c r="N1202" s="1">
        <f t="shared" si="74"/>
        <v>1</v>
      </c>
      <c r="O1202" s="1" t="str">
        <f t="shared" si="75"/>
        <v>Single</v>
      </c>
      <c r="P1202">
        <v>8.0500000000000007</v>
      </c>
      <c r="Q1202" s="1" t="str" cm="1">
        <f t="array" ref="Q1202">_xlfn.IFS(P1202&lt;=50,"Low",P1202&lt;=100,"Medium",P1202&gt;100,"High")</f>
        <v>Low</v>
      </c>
      <c r="R1202" t="s">
        <v>17</v>
      </c>
      <c r="S1202" s="1" t="str" cm="1">
        <f t="array" ref="S1202">_xlfn.IFS(R1202="S","Southampton",R1202="C","Cherbourg",R1202="Q","Queenstown")</f>
        <v>Southampton</v>
      </c>
    </row>
    <row r="1203" spans="1:19" x14ac:dyDescent="0.3">
      <c r="A1203">
        <v>1202</v>
      </c>
      <c r="B1203">
        <v>3</v>
      </c>
      <c r="C1203" s="1" t="str" cm="1">
        <f t="array" ref="C1203">_xlfn.IFS(B1203=1,"First Class",B1203=2,"Second Class",B1203=3,"Third Class")</f>
        <v>Third Class</v>
      </c>
      <c r="D1203">
        <v>0</v>
      </c>
      <c r="E1203" s="1" t="str">
        <f t="shared" si="72"/>
        <v>Dead</v>
      </c>
      <c r="F1203" t="s">
        <v>1984</v>
      </c>
      <c r="G1203" s="1" t="s">
        <v>2999</v>
      </c>
      <c r="H1203" t="s">
        <v>20</v>
      </c>
      <c r="I1203" s="1" t="str">
        <f t="shared" si="73"/>
        <v>Male</v>
      </c>
      <c r="J1203" s="3">
        <v>22</v>
      </c>
      <c r="K1203" s="3" t="str" cm="1">
        <f t="array" ref="K1203">_xlfn.IFS(J1203&lt;=13,"Child",J1203&lt;=18,"Teenager",J1203&lt;=30,"Young Adult",J1203&lt;=50,"Middle Aged Adult",J1203&gt;50,"Senior")</f>
        <v>Young Adult</v>
      </c>
      <c r="L1203">
        <v>0</v>
      </c>
      <c r="M1203">
        <v>0</v>
      </c>
      <c r="N1203" s="1">
        <f t="shared" si="74"/>
        <v>1</v>
      </c>
      <c r="O1203" s="1" t="str">
        <f t="shared" si="75"/>
        <v>Single</v>
      </c>
      <c r="P1203">
        <v>7.2291999999999996</v>
      </c>
      <c r="Q1203" s="1" t="str" cm="1">
        <f t="array" ref="Q1203">_xlfn.IFS(P1203&lt;=50,"Low",P1203&lt;=100,"Medium",P1203&gt;100,"High")</f>
        <v>Low</v>
      </c>
      <c r="R1203" t="s">
        <v>41</v>
      </c>
      <c r="S1203" s="1" t="str" cm="1">
        <f t="array" ref="S1203">_xlfn.IFS(R1203="S","Southampton",R1203="C","Cherbourg",R1203="Q","Queenstown")</f>
        <v>Cherbourg</v>
      </c>
    </row>
    <row r="1204" spans="1:19" x14ac:dyDescent="0.3">
      <c r="A1204">
        <v>1203</v>
      </c>
      <c r="B1204">
        <v>3</v>
      </c>
      <c r="C1204" s="1" t="str" cm="1">
        <f t="array" ref="C1204">_xlfn.IFS(B1204=1,"First Class",B1204=2,"Second Class",B1204=3,"Third Class")</f>
        <v>Third Class</v>
      </c>
      <c r="D1204">
        <v>0</v>
      </c>
      <c r="E1204" s="1" t="str">
        <f t="shared" si="72"/>
        <v>Dead</v>
      </c>
      <c r="F1204" t="s">
        <v>1985</v>
      </c>
      <c r="G1204" s="1" t="s">
        <v>2999</v>
      </c>
      <c r="H1204" t="s">
        <v>20</v>
      </c>
      <c r="I1204" s="1" t="str">
        <f t="shared" si="73"/>
        <v>Male</v>
      </c>
      <c r="J1204" s="3">
        <v>29.881137667304014</v>
      </c>
      <c r="K1204" s="3" t="str" cm="1">
        <f t="array" ref="K1204">_xlfn.IFS(J1204&lt;=13,"Child",J1204&lt;=18,"Teenager",J1204&lt;=30,"Young Adult",J1204&lt;=50,"Middle Aged Adult",J1204&gt;50,"Senior")</f>
        <v>Young Adult</v>
      </c>
      <c r="L1204">
        <v>0</v>
      </c>
      <c r="M1204">
        <v>0</v>
      </c>
      <c r="N1204" s="1">
        <f t="shared" si="74"/>
        <v>1</v>
      </c>
      <c r="O1204" s="1" t="str">
        <f t="shared" si="75"/>
        <v>Single</v>
      </c>
      <c r="P1204">
        <v>8.0500000000000007</v>
      </c>
      <c r="Q1204" s="1" t="str" cm="1">
        <f t="array" ref="Q1204">_xlfn.IFS(P1204&lt;=50,"Low",P1204&lt;=100,"Medium",P1204&gt;100,"High")</f>
        <v>Low</v>
      </c>
      <c r="R1204" t="s">
        <v>17</v>
      </c>
      <c r="S1204" s="1" t="str" cm="1">
        <f t="array" ref="S1204">_xlfn.IFS(R1204="S","Southampton",R1204="C","Cherbourg",R1204="Q","Queenstown")</f>
        <v>Southampton</v>
      </c>
    </row>
    <row r="1205" spans="1:19" x14ac:dyDescent="0.3">
      <c r="A1205">
        <v>1204</v>
      </c>
      <c r="B1205">
        <v>3</v>
      </c>
      <c r="C1205" s="1" t="str" cm="1">
        <f t="array" ref="C1205">_xlfn.IFS(B1205=1,"First Class",B1205=2,"Second Class",B1205=3,"Third Class")</f>
        <v>Third Class</v>
      </c>
      <c r="D1205">
        <v>0</v>
      </c>
      <c r="E1205" s="1" t="str">
        <f t="shared" si="72"/>
        <v>Dead</v>
      </c>
      <c r="F1205" t="s">
        <v>1986</v>
      </c>
      <c r="G1205" s="1" t="s">
        <v>2999</v>
      </c>
      <c r="H1205" t="s">
        <v>20</v>
      </c>
      <c r="I1205" s="1" t="str">
        <f t="shared" si="73"/>
        <v>Male</v>
      </c>
      <c r="J1205" s="3">
        <v>40</v>
      </c>
      <c r="K1205" s="3" t="str" cm="1">
        <f t="array" ref="K1205">_xlfn.IFS(J1205&lt;=13,"Child",J1205&lt;=18,"Teenager",J1205&lt;=30,"Young Adult",J1205&lt;=50,"Middle Aged Adult",J1205&gt;50,"Senior")</f>
        <v>Middle Aged Adult</v>
      </c>
      <c r="L1205">
        <v>0</v>
      </c>
      <c r="M1205">
        <v>0</v>
      </c>
      <c r="N1205" s="1">
        <f t="shared" si="74"/>
        <v>1</v>
      </c>
      <c r="O1205" s="1" t="str">
        <f t="shared" si="75"/>
        <v>Single</v>
      </c>
      <c r="P1205">
        <v>7.8958000000000004</v>
      </c>
      <c r="Q1205" s="1" t="str" cm="1">
        <f t="array" ref="Q1205">_xlfn.IFS(P1205&lt;=50,"Low",P1205&lt;=100,"Medium",P1205&gt;100,"High")</f>
        <v>Low</v>
      </c>
      <c r="R1205" t="s">
        <v>17</v>
      </c>
      <c r="S1205" s="1" t="str" cm="1">
        <f t="array" ref="S1205">_xlfn.IFS(R1205="S","Southampton",R1205="C","Cherbourg",R1205="Q","Queenstown")</f>
        <v>Southampton</v>
      </c>
    </row>
    <row r="1206" spans="1:19" x14ac:dyDescent="0.3">
      <c r="A1206">
        <v>1205</v>
      </c>
      <c r="B1206">
        <v>3</v>
      </c>
      <c r="C1206" s="1" t="str" cm="1">
        <f t="array" ref="C1206">_xlfn.IFS(B1206=1,"First Class",B1206=2,"Second Class",B1206=3,"Third Class")</f>
        <v>Third Class</v>
      </c>
      <c r="D1206">
        <v>0</v>
      </c>
      <c r="E1206" s="1" t="str">
        <f t="shared" si="72"/>
        <v>Dead</v>
      </c>
      <c r="F1206" t="s">
        <v>1987</v>
      </c>
      <c r="G1206" s="1" t="s">
        <v>2999</v>
      </c>
      <c r="H1206" t="s">
        <v>20</v>
      </c>
      <c r="I1206" s="1" t="str">
        <f t="shared" si="73"/>
        <v>Male</v>
      </c>
      <c r="J1206" s="3">
        <v>21</v>
      </c>
      <c r="K1206" s="3" t="str" cm="1">
        <f t="array" ref="K1206">_xlfn.IFS(J1206&lt;=13,"Child",J1206&lt;=18,"Teenager",J1206&lt;=30,"Young Adult",J1206&lt;=50,"Middle Aged Adult",J1206&gt;50,"Senior")</f>
        <v>Young Adult</v>
      </c>
      <c r="L1206">
        <v>0</v>
      </c>
      <c r="M1206">
        <v>0</v>
      </c>
      <c r="N1206" s="1">
        <f t="shared" si="74"/>
        <v>1</v>
      </c>
      <c r="O1206" s="1" t="str">
        <f t="shared" si="75"/>
        <v>Single</v>
      </c>
      <c r="P1206">
        <v>7.9249999999999998</v>
      </c>
      <c r="Q1206" s="1" t="str" cm="1">
        <f t="array" ref="Q1206">_xlfn.IFS(P1206&lt;=50,"Low",P1206&lt;=100,"Medium",P1206&gt;100,"High")</f>
        <v>Low</v>
      </c>
      <c r="R1206" t="s">
        <v>17</v>
      </c>
      <c r="S1206" s="1" t="str" cm="1">
        <f t="array" ref="S1206">_xlfn.IFS(R1206="S","Southampton",R1206="C","Cherbourg",R1206="Q","Queenstown")</f>
        <v>Southampton</v>
      </c>
    </row>
    <row r="1207" spans="1:19" x14ac:dyDescent="0.3">
      <c r="A1207">
        <v>1206</v>
      </c>
      <c r="B1207">
        <v>3</v>
      </c>
      <c r="C1207" s="1" t="str" cm="1">
        <f t="array" ref="C1207">_xlfn.IFS(B1207=1,"First Class",B1207=2,"Second Class",B1207=3,"Third Class")</f>
        <v>Third Class</v>
      </c>
      <c r="D1207">
        <v>1</v>
      </c>
      <c r="E1207" s="1" t="str">
        <f t="shared" si="72"/>
        <v>Alive</v>
      </c>
      <c r="F1207" t="s">
        <v>1989</v>
      </c>
      <c r="G1207" s="1" t="s">
        <v>2994</v>
      </c>
      <c r="H1207" t="s">
        <v>15</v>
      </c>
      <c r="I1207" s="1" t="str">
        <f t="shared" si="73"/>
        <v>Female</v>
      </c>
      <c r="J1207" s="3">
        <v>18</v>
      </c>
      <c r="K1207" s="3" t="str" cm="1">
        <f t="array" ref="K1207">_xlfn.IFS(J1207&lt;=13,"Child",J1207&lt;=18,"Teenager",J1207&lt;=30,"Young Adult",J1207&lt;=50,"Middle Aged Adult",J1207&gt;50,"Senior")</f>
        <v>Teenager</v>
      </c>
      <c r="L1207">
        <v>0</v>
      </c>
      <c r="M1207">
        <v>0</v>
      </c>
      <c r="N1207" s="1">
        <f t="shared" si="74"/>
        <v>1</v>
      </c>
      <c r="O1207" s="1" t="str">
        <f t="shared" si="75"/>
        <v>Single</v>
      </c>
      <c r="P1207">
        <v>7.4958</v>
      </c>
      <c r="Q1207" s="1" t="str" cm="1">
        <f t="array" ref="Q1207">_xlfn.IFS(P1207&lt;=50,"Low",P1207&lt;=100,"Medium",P1207&gt;100,"High")</f>
        <v>Low</v>
      </c>
      <c r="R1207" t="s">
        <v>17</v>
      </c>
      <c r="S1207" s="1" t="str" cm="1">
        <f t="array" ref="S1207">_xlfn.IFS(R1207="S","Southampton",R1207="C","Cherbourg",R1207="Q","Queenstown")</f>
        <v>Southampton</v>
      </c>
    </row>
    <row r="1208" spans="1:19" x14ac:dyDescent="0.3">
      <c r="A1208">
        <v>1207</v>
      </c>
      <c r="B1208">
        <v>3</v>
      </c>
      <c r="C1208" s="1" t="str" cm="1">
        <f t="array" ref="C1208">_xlfn.IFS(B1208=1,"First Class",B1208=2,"Second Class",B1208=3,"Third Class")</f>
        <v>Third Class</v>
      </c>
      <c r="D1208">
        <v>0</v>
      </c>
      <c r="E1208" s="1" t="str">
        <f t="shared" si="72"/>
        <v>Dead</v>
      </c>
      <c r="F1208" t="s">
        <v>1990</v>
      </c>
      <c r="G1208" s="1" t="s">
        <v>2996</v>
      </c>
      <c r="H1208" t="s">
        <v>20</v>
      </c>
      <c r="I1208" s="1" t="str">
        <f t="shared" si="73"/>
        <v>Male</v>
      </c>
      <c r="J1208" s="3">
        <v>4</v>
      </c>
      <c r="K1208" s="3" t="str" cm="1">
        <f t="array" ref="K1208">_xlfn.IFS(J1208&lt;=13,"Child",J1208&lt;=18,"Teenager",J1208&lt;=30,"Young Adult",J1208&lt;=50,"Middle Aged Adult",J1208&gt;50,"Senior")</f>
        <v>Child</v>
      </c>
      <c r="L1208">
        <v>3</v>
      </c>
      <c r="M1208">
        <v>2</v>
      </c>
      <c r="N1208" s="1">
        <f t="shared" si="74"/>
        <v>6</v>
      </c>
      <c r="O1208" s="1" t="str">
        <f t="shared" si="75"/>
        <v>With Family</v>
      </c>
      <c r="P1208">
        <v>27.9</v>
      </c>
      <c r="Q1208" s="1" t="str" cm="1">
        <f t="array" ref="Q1208">_xlfn.IFS(P1208&lt;=50,"Low",P1208&lt;=100,"Medium",P1208&gt;100,"High")</f>
        <v>Low</v>
      </c>
      <c r="R1208" t="s">
        <v>17</v>
      </c>
      <c r="S1208" s="1" t="str" cm="1">
        <f t="array" ref="S1208">_xlfn.IFS(R1208="S","Southampton",R1208="C","Cherbourg",R1208="Q","Queenstown")</f>
        <v>Southampton</v>
      </c>
    </row>
    <row r="1209" spans="1:19" x14ac:dyDescent="0.3">
      <c r="A1209">
        <v>1208</v>
      </c>
      <c r="B1209">
        <v>3</v>
      </c>
      <c r="C1209" s="1" t="str" cm="1">
        <f t="array" ref="C1209">_xlfn.IFS(B1209=1,"First Class",B1209=2,"Second Class",B1209=3,"Third Class")</f>
        <v>Third Class</v>
      </c>
      <c r="D1209">
        <v>0</v>
      </c>
      <c r="E1209" s="1" t="str">
        <f t="shared" si="72"/>
        <v>Dead</v>
      </c>
      <c r="F1209" t="s">
        <v>1991</v>
      </c>
      <c r="G1209" s="1" t="s">
        <v>2996</v>
      </c>
      <c r="H1209" t="s">
        <v>20</v>
      </c>
      <c r="I1209" s="1" t="str">
        <f t="shared" si="73"/>
        <v>Male</v>
      </c>
      <c r="J1209" s="3">
        <v>10</v>
      </c>
      <c r="K1209" s="3" t="str" cm="1">
        <f t="array" ref="K1209">_xlfn.IFS(J1209&lt;=13,"Child",J1209&lt;=18,"Teenager",J1209&lt;=30,"Young Adult",J1209&lt;=50,"Middle Aged Adult",J1209&gt;50,"Senior")</f>
        <v>Child</v>
      </c>
      <c r="L1209">
        <v>3</v>
      </c>
      <c r="M1209">
        <v>2</v>
      </c>
      <c r="N1209" s="1">
        <f t="shared" si="74"/>
        <v>6</v>
      </c>
      <c r="O1209" s="1" t="str">
        <f t="shared" si="75"/>
        <v>With Family</v>
      </c>
      <c r="P1209">
        <v>27.9</v>
      </c>
      <c r="Q1209" s="1" t="str" cm="1">
        <f t="array" ref="Q1209">_xlfn.IFS(P1209&lt;=50,"Low",P1209&lt;=100,"Medium",P1209&gt;100,"High")</f>
        <v>Low</v>
      </c>
      <c r="R1209" t="s">
        <v>17</v>
      </c>
      <c r="S1209" s="1" t="str" cm="1">
        <f t="array" ref="S1209">_xlfn.IFS(R1209="S","Southampton",R1209="C","Cherbourg",R1209="Q","Queenstown")</f>
        <v>Southampton</v>
      </c>
    </row>
    <row r="1210" spans="1:19" x14ac:dyDescent="0.3">
      <c r="A1210">
        <v>1209</v>
      </c>
      <c r="B1210">
        <v>3</v>
      </c>
      <c r="C1210" s="1" t="str" cm="1">
        <f t="array" ref="C1210">_xlfn.IFS(B1210=1,"First Class",B1210=2,"Second Class",B1210=3,"Third Class")</f>
        <v>Third Class</v>
      </c>
      <c r="D1210">
        <v>0</v>
      </c>
      <c r="E1210" s="1" t="str">
        <f t="shared" si="72"/>
        <v>Dead</v>
      </c>
      <c r="F1210" t="s">
        <v>1992</v>
      </c>
      <c r="G1210" s="1" t="s">
        <v>2994</v>
      </c>
      <c r="H1210" t="s">
        <v>15</v>
      </c>
      <c r="I1210" s="1" t="str">
        <f t="shared" si="73"/>
        <v>Female</v>
      </c>
      <c r="J1210" s="3">
        <v>9</v>
      </c>
      <c r="K1210" s="3" t="str" cm="1">
        <f t="array" ref="K1210">_xlfn.IFS(J1210&lt;=13,"Child",J1210&lt;=18,"Teenager",J1210&lt;=30,"Young Adult",J1210&lt;=50,"Middle Aged Adult",J1210&gt;50,"Senior")</f>
        <v>Child</v>
      </c>
      <c r="L1210">
        <v>3</v>
      </c>
      <c r="M1210">
        <v>2</v>
      </c>
      <c r="N1210" s="1">
        <f t="shared" si="74"/>
        <v>6</v>
      </c>
      <c r="O1210" s="1" t="str">
        <f t="shared" si="75"/>
        <v>With Family</v>
      </c>
      <c r="P1210">
        <v>27.9</v>
      </c>
      <c r="Q1210" s="1" t="str" cm="1">
        <f t="array" ref="Q1210">_xlfn.IFS(P1210&lt;=50,"Low",P1210&lt;=100,"Medium",P1210&gt;100,"High")</f>
        <v>Low</v>
      </c>
      <c r="R1210" t="s">
        <v>17</v>
      </c>
      <c r="S1210" s="1" t="str" cm="1">
        <f t="array" ref="S1210">_xlfn.IFS(R1210="S","Southampton",R1210="C","Cherbourg",R1210="Q","Queenstown")</f>
        <v>Southampton</v>
      </c>
    </row>
    <row r="1211" spans="1:19" x14ac:dyDescent="0.3">
      <c r="A1211">
        <v>1210</v>
      </c>
      <c r="B1211">
        <v>3</v>
      </c>
      <c r="C1211" s="1" t="str" cm="1">
        <f t="array" ref="C1211">_xlfn.IFS(B1211=1,"First Class",B1211=2,"Second Class",B1211=3,"Third Class")</f>
        <v>Third Class</v>
      </c>
      <c r="D1211">
        <v>0</v>
      </c>
      <c r="E1211" s="1" t="str">
        <f t="shared" si="72"/>
        <v>Dead</v>
      </c>
      <c r="F1211" t="s">
        <v>1993</v>
      </c>
      <c r="G1211" s="1" t="s">
        <v>2994</v>
      </c>
      <c r="H1211" t="s">
        <v>15</v>
      </c>
      <c r="I1211" s="1" t="str">
        <f t="shared" si="73"/>
        <v>Female</v>
      </c>
      <c r="J1211" s="3">
        <v>2</v>
      </c>
      <c r="K1211" s="3" t="str" cm="1">
        <f t="array" ref="K1211">_xlfn.IFS(J1211&lt;=13,"Child",J1211&lt;=18,"Teenager",J1211&lt;=30,"Young Adult",J1211&lt;=50,"Middle Aged Adult",J1211&gt;50,"Senior")</f>
        <v>Child</v>
      </c>
      <c r="L1211">
        <v>3</v>
      </c>
      <c r="M1211">
        <v>2</v>
      </c>
      <c r="N1211" s="1">
        <f t="shared" si="74"/>
        <v>6</v>
      </c>
      <c r="O1211" s="1" t="str">
        <f t="shared" si="75"/>
        <v>With Family</v>
      </c>
      <c r="P1211">
        <v>27.9</v>
      </c>
      <c r="Q1211" s="1" t="str" cm="1">
        <f t="array" ref="Q1211">_xlfn.IFS(P1211&lt;=50,"Low",P1211&lt;=100,"Medium",P1211&gt;100,"High")</f>
        <v>Low</v>
      </c>
      <c r="R1211" t="s">
        <v>17</v>
      </c>
      <c r="S1211" s="1" t="str" cm="1">
        <f t="array" ref="S1211">_xlfn.IFS(R1211="S","Southampton",R1211="C","Cherbourg",R1211="Q","Queenstown")</f>
        <v>Southampton</v>
      </c>
    </row>
    <row r="1212" spans="1:19" x14ac:dyDescent="0.3">
      <c r="A1212">
        <v>1211</v>
      </c>
      <c r="B1212">
        <v>3</v>
      </c>
      <c r="C1212" s="1" t="str" cm="1">
        <f t="array" ref="C1212">_xlfn.IFS(B1212=1,"First Class",B1212=2,"Second Class",B1212=3,"Third Class")</f>
        <v>Third Class</v>
      </c>
      <c r="D1212">
        <v>0</v>
      </c>
      <c r="E1212" s="1" t="str">
        <f t="shared" si="72"/>
        <v>Dead</v>
      </c>
      <c r="F1212" t="s">
        <v>1994</v>
      </c>
      <c r="G1212" s="1" t="s">
        <v>2999</v>
      </c>
      <c r="H1212" t="s">
        <v>20</v>
      </c>
      <c r="I1212" s="1" t="str">
        <f t="shared" si="73"/>
        <v>Male</v>
      </c>
      <c r="J1212" s="3">
        <v>40</v>
      </c>
      <c r="K1212" s="3" t="str" cm="1">
        <f t="array" ref="K1212">_xlfn.IFS(J1212&lt;=13,"Child",J1212&lt;=18,"Teenager",J1212&lt;=30,"Young Adult",J1212&lt;=50,"Middle Aged Adult",J1212&gt;50,"Senior")</f>
        <v>Middle Aged Adult</v>
      </c>
      <c r="L1212">
        <v>1</v>
      </c>
      <c r="M1212">
        <v>4</v>
      </c>
      <c r="N1212" s="1">
        <f t="shared" si="74"/>
        <v>6</v>
      </c>
      <c r="O1212" s="1" t="str">
        <f t="shared" si="75"/>
        <v>With Family</v>
      </c>
      <c r="P1212">
        <v>27.9</v>
      </c>
      <c r="Q1212" s="1" t="str" cm="1">
        <f t="array" ref="Q1212">_xlfn.IFS(P1212&lt;=50,"Low",P1212&lt;=100,"Medium",P1212&gt;100,"High")</f>
        <v>Low</v>
      </c>
      <c r="R1212" t="s">
        <v>17</v>
      </c>
      <c r="S1212" s="1" t="str" cm="1">
        <f t="array" ref="S1212">_xlfn.IFS(R1212="S","Southampton",R1212="C","Cherbourg",R1212="Q","Queenstown")</f>
        <v>Southampton</v>
      </c>
    </row>
    <row r="1213" spans="1:19" x14ac:dyDescent="0.3">
      <c r="A1213">
        <v>1212</v>
      </c>
      <c r="B1213">
        <v>3</v>
      </c>
      <c r="C1213" s="1" t="str" cm="1">
        <f t="array" ref="C1213">_xlfn.IFS(B1213=1,"First Class",B1213=2,"Second Class",B1213=3,"Third Class")</f>
        <v>Third Class</v>
      </c>
      <c r="D1213">
        <v>0</v>
      </c>
      <c r="E1213" s="1" t="str">
        <f t="shared" si="72"/>
        <v>Dead</v>
      </c>
      <c r="F1213" t="s">
        <v>1995</v>
      </c>
      <c r="G1213" s="1" t="s">
        <v>3001</v>
      </c>
      <c r="H1213" t="s">
        <v>15</v>
      </c>
      <c r="I1213" s="1" t="str">
        <f t="shared" si="73"/>
        <v>Female</v>
      </c>
      <c r="J1213" s="3">
        <v>45</v>
      </c>
      <c r="K1213" s="3" t="str" cm="1">
        <f t="array" ref="K1213">_xlfn.IFS(J1213&lt;=13,"Child",J1213&lt;=18,"Teenager",J1213&lt;=30,"Young Adult",J1213&lt;=50,"Middle Aged Adult",J1213&gt;50,"Senior")</f>
        <v>Middle Aged Adult</v>
      </c>
      <c r="L1213">
        <v>1</v>
      </c>
      <c r="M1213">
        <v>4</v>
      </c>
      <c r="N1213" s="1">
        <f t="shared" si="74"/>
        <v>6</v>
      </c>
      <c r="O1213" s="1" t="str">
        <f t="shared" si="75"/>
        <v>With Family</v>
      </c>
      <c r="P1213">
        <v>27.9</v>
      </c>
      <c r="Q1213" s="1" t="str" cm="1">
        <f t="array" ref="Q1213">_xlfn.IFS(P1213&lt;=50,"Low",P1213&lt;=100,"Medium",P1213&gt;100,"High")</f>
        <v>Low</v>
      </c>
      <c r="R1213" t="s">
        <v>17</v>
      </c>
      <c r="S1213" s="1" t="str" cm="1">
        <f t="array" ref="S1213">_xlfn.IFS(R1213="S","Southampton",R1213="C","Cherbourg",R1213="Q","Queenstown")</f>
        <v>Southampton</v>
      </c>
    </row>
    <row r="1214" spans="1:19" x14ac:dyDescent="0.3">
      <c r="A1214">
        <v>1213</v>
      </c>
      <c r="B1214">
        <v>3</v>
      </c>
      <c r="C1214" s="1" t="str" cm="1">
        <f t="array" ref="C1214">_xlfn.IFS(B1214=1,"First Class",B1214=2,"Second Class",B1214=3,"Third Class")</f>
        <v>Third Class</v>
      </c>
      <c r="D1214">
        <v>0</v>
      </c>
      <c r="E1214" s="1" t="str">
        <f t="shared" si="72"/>
        <v>Dead</v>
      </c>
      <c r="F1214" t="s">
        <v>1996</v>
      </c>
      <c r="G1214" s="1" t="s">
        <v>2999</v>
      </c>
      <c r="H1214" t="s">
        <v>20</v>
      </c>
      <c r="I1214" s="1" t="str">
        <f t="shared" si="73"/>
        <v>Male</v>
      </c>
      <c r="J1214" s="3">
        <v>29.881137667304014</v>
      </c>
      <c r="K1214" s="3" t="str" cm="1">
        <f t="array" ref="K1214">_xlfn.IFS(J1214&lt;=13,"Child",J1214&lt;=18,"Teenager",J1214&lt;=30,"Young Adult",J1214&lt;=50,"Middle Aged Adult",J1214&gt;50,"Senior")</f>
        <v>Young Adult</v>
      </c>
      <c r="L1214">
        <v>0</v>
      </c>
      <c r="M1214">
        <v>0</v>
      </c>
      <c r="N1214" s="1">
        <f t="shared" si="74"/>
        <v>1</v>
      </c>
      <c r="O1214" s="1" t="str">
        <f t="shared" si="75"/>
        <v>Single</v>
      </c>
      <c r="P1214">
        <v>7.8958000000000004</v>
      </c>
      <c r="Q1214" s="1" t="str" cm="1">
        <f t="array" ref="Q1214">_xlfn.IFS(P1214&lt;=50,"Low",P1214&lt;=100,"Medium",P1214&gt;100,"High")</f>
        <v>Low</v>
      </c>
      <c r="R1214" t="s">
        <v>17</v>
      </c>
      <c r="S1214" s="1" t="str" cm="1">
        <f t="array" ref="S1214">_xlfn.IFS(R1214="S","Southampton",R1214="C","Cherbourg",R1214="Q","Queenstown")</f>
        <v>Southampton</v>
      </c>
    </row>
    <row r="1215" spans="1:19" x14ac:dyDescent="0.3">
      <c r="A1215">
        <v>1214</v>
      </c>
      <c r="B1215">
        <v>3</v>
      </c>
      <c r="C1215" s="1" t="str" cm="1">
        <f t="array" ref="C1215">_xlfn.IFS(B1215=1,"First Class",B1215=2,"Second Class",B1215=3,"Third Class")</f>
        <v>Third Class</v>
      </c>
      <c r="D1215">
        <v>0</v>
      </c>
      <c r="E1215" s="1" t="str">
        <f t="shared" si="72"/>
        <v>Dead</v>
      </c>
      <c r="F1215" t="s">
        <v>1997</v>
      </c>
      <c r="G1215" s="1" t="s">
        <v>2999</v>
      </c>
      <c r="H1215" t="s">
        <v>20</v>
      </c>
      <c r="I1215" s="1" t="str">
        <f t="shared" si="73"/>
        <v>Male</v>
      </c>
      <c r="J1215" s="3">
        <v>29.881137667304014</v>
      </c>
      <c r="K1215" s="3" t="str" cm="1">
        <f t="array" ref="K1215">_xlfn.IFS(J1215&lt;=13,"Child",J1215&lt;=18,"Teenager",J1215&lt;=30,"Young Adult",J1215&lt;=50,"Middle Aged Adult",J1215&gt;50,"Senior")</f>
        <v>Young Adult</v>
      </c>
      <c r="L1215">
        <v>0</v>
      </c>
      <c r="M1215">
        <v>0</v>
      </c>
      <c r="N1215" s="1">
        <f t="shared" si="74"/>
        <v>1</v>
      </c>
      <c r="O1215" s="1" t="str">
        <f t="shared" si="75"/>
        <v>Single</v>
      </c>
      <c r="P1215">
        <v>8.0500000000000007</v>
      </c>
      <c r="Q1215" s="1" t="str" cm="1">
        <f t="array" ref="Q1215">_xlfn.IFS(P1215&lt;=50,"Low",P1215&lt;=100,"Medium",P1215&gt;100,"High")</f>
        <v>Low</v>
      </c>
      <c r="R1215" t="s">
        <v>17</v>
      </c>
      <c r="S1215" s="1" t="str" cm="1">
        <f t="array" ref="S1215">_xlfn.IFS(R1215="S","Southampton",R1215="C","Cherbourg",R1215="Q","Queenstown")</f>
        <v>Southampton</v>
      </c>
    </row>
    <row r="1216" spans="1:19" x14ac:dyDescent="0.3">
      <c r="A1216">
        <v>1215</v>
      </c>
      <c r="B1216">
        <v>3</v>
      </c>
      <c r="C1216" s="1" t="str" cm="1">
        <f t="array" ref="C1216">_xlfn.IFS(B1216=1,"First Class",B1216=2,"Second Class",B1216=3,"Third Class")</f>
        <v>Third Class</v>
      </c>
      <c r="D1216">
        <v>0</v>
      </c>
      <c r="E1216" s="1" t="str">
        <f t="shared" si="72"/>
        <v>Dead</v>
      </c>
      <c r="F1216" t="s">
        <v>1999</v>
      </c>
      <c r="G1216" s="1" t="s">
        <v>2999</v>
      </c>
      <c r="H1216" t="s">
        <v>20</v>
      </c>
      <c r="I1216" s="1" t="str">
        <f t="shared" si="73"/>
        <v>Male</v>
      </c>
      <c r="J1216" s="3">
        <v>29.881137667304014</v>
      </c>
      <c r="K1216" s="3" t="str" cm="1">
        <f t="array" ref="K1216">_xlfn.IFS(J1216&lt;=13,"Child",J1216&lt;=18,"Teenager",J1216&lt;=30,"Young Adult",J1216&lt;=50,"Middle Aged Adult",J1216&gt;50,"Senior")</f>
        <v>Young Adult</v>
      </c>
      <c r="L1216">
        <v>0</v>
      </c>
      <c r="M1216">
        <v>0</v>
      </c>
      <c r="N1216" s="1">
        <f t="shared" si="74"/>
        <v>1</v>
      </c>
      <c r="O1216" s="1" t="str">
        <f t="shared" si="75"/>
        <v>Single</v>
      </c>
      <c r="P1216">
        <v>8.6624999999999996</v>
      </c>
      <c r="Q1216" s="1" t="str" cm="1">
        <f t="array" ref="Q1216">_xlfn.IFS(P1216&lt;=50,"Low",P1216&lt;=100,"Medium",P1216&gt;100,"High")</f>
        <v>Low</v>
      </c>
      <c r="R1216" t="s">
        <v>17</v>
      </c>
      <c r="S1216" s="1" t="str" cm="1">
        <f t="array" ref="S1216">_xlfn.IFS(R1216="S","Southampton",R1216="C","Cherbourg",R1216="Q","Queenstown")</f>
        <v>Southampton</v>
      </c>
    </row>
    <row r="1217" spans="1:19" x14ac:dyDescent="0.3">
      <c r="A1217">
        <v>1216</v>
      </c>
      <c r="B1217">
        <v>3</v>
      </c>
      <c r="C1217" s="1" t="str" cm="1">
        <f t="array" ref="C1217">_xlfn.IFS(B1217=1,"First Class",B1217=2,"Second Class",B1217=3,"Third Class")</f>
        <v>Third Class</v>
      </c>
      <c r="D1217">
        <v>0</v>
      </c>
      <c r="E1217" s="1" t="str">
        <f t="shared" si="72"/>
        <v>Dead</v>
      </c>
      <c r="F1217" t="s">
        <v>2000</v>
      </c>
      <c r="G1217" s="1" t="s">
        <v>2999</v>
      </c>
      <c r="H1217" t="s">
        <v>20</v>
      </c>
      <c r="I1217" s="1" t="str">
        <f t="shared" si="73"/>
        <v>Male</v>
      </c>
      <c r="J1217" s="3">
        <v>29.881137667304014</v>
      </c>
      <c r="K1217" s="3" t="str" cm="1">
        <f t="array" ref="K1217">_xlfn.IFS(J1217&lt;=13,"Child",J1217&lt;=18,"Teenager",J1217&lt;=30,"Young Adult",J1217&lt;=50,"Middle Aged Adult",J1217&gt;50,"Senior")</f>
        <v>Young Adult</v>
      </c>
      <c r="L1217">
        <v>0</v>
      </c>
      <c r="M1217">
        <v>0</v>
      </c>
      <c r="N1217" s="1">
        <f t="shared" si="74"/>
        <v>1</v>
      </c>
      <c r="O1217" s="1" t="str">
        <f t="shared" si="75"/>
        <v>Single</v>
      </c>
      <c r="P1217">
        <v>7.75</v>
      </c>
      <c r="Q1217" s="1" t="str" cm="1">
        <f t="array" ref="Q1217">_xlfn.IFS(P1217&lt;=50,"Low",P1217&lt;=100,"Medium",P1217&gt;100,"High")</f>
        <v>Low</v>
      </c>
      <c r="R1217" t="s">
        <v>463</v>
      </c>
      <c r="S1217" s="1" t="str" cm="1">
        <f t="array" ref="S1217">_xlfn.IFS(R1217="S","Southampton",R1217="C","Cherbourg",R1217="Q","Queenstown")</f>
        <v>Queenstown</v>
      </c>
    </row>
    <row r="1218" spans="1:19" x14ac:dyDescent="0.3">
      <c r="A1218">
        <v>1217</v>
      </c>
      <c r="B1218">
        <v>3</v>
      </c>
      <c r="C1218" s="1" t="str" cm="1">
        <f t="array" ref="C1218">_xlfn.IFS(B1218=1,"First Class",B1218=2,"Second Class",B1218=3,"Third Class")</f>
        <v>Third Class</v>
      </c>
      <c r="D1218">
        <v>1</v>
      </c>
      <c r="E1218" s="1" t="str">
        <f t="shared" si="72"/>
        <v>Alive</v>
      </c>
      <c r="F1218" t="s">
        <v>2001</v>
      </c>
      <c r="G1218" s="1" t="s">
        <v>2994</v>
      </c>
      <c r="H1218" t="s">
        <v>15</v>
      </c>
      <c r="I1218" s="1" t="str">
        <f t="shared" si="73"/>
        <v>Female</v>
      </c>
      <c r="J1218" s="3">
        <v>29.881137667304014</v>
      </c>
      <c r="K1218" s="3" t="str" cm="1">
        <f t="array" ref="K1218">_xlfn.IFS(J1218&lt;=13,"Child",J1218&lt;=18,"Teenager",J1218&lt;=30,"Young Adult",J1218&lt;=50,"Middle Aged Adult",J1218&gt;50,"Senior")</f>
        <v>Young Adult</v>
      </c>
      <c r="L1218">
        <v>0</v>
      </c>
      <c r="M1218">
        <v>0</v>
      </c>
      <c r="N1218" s="1">
        <f t="shared" si="74"/>
        <v>1</v>
      </c>
      <c r="O1218" s="1" t="str">
        <f t="shared" si="75"/>
        <v>Single</v>
      </c>
      <c r="P1218">
        <v>7.7332999999999998</v>
      </c>
      <c r="Q1218" s="1" t="str" cm="1">
        <f t="array" ref="Q1218">_xlfn.IFS(P1218&lt;=50,"Low",P1218&lt;=100,"Medium",P1218&gt;100,"High")</f>
        <v>Low</v>
      </c>
      <c r="R1218" t="s">
        <v>463</v>
      </c>
      <c r="S1218" s="1" t="str" cm="1">
        <f t="array" ref="S1218">_xlfn.IFS(R1218="S","Southampton",R1218="C","Cherbourg",R1218="Q","Queenstown")</f>
        <v>Queenstown</v>
      </c>
    </row>
    <row r="1219" spans="1:19" x14ac:dyDescent="0.3">
      <c r="A1219">
        <v>1218</v>
      </c>
      <c r="B1219">
        <v>3</v>
      </c>
      <c r="C1219" s="1" t="str" cm="1">
        <f t="array" ref="C1219">_xlfn.IFS(B1219=1,"First Class",B1219=2,"Second Class",B1219=3,"Third Class")</f>
        <v>Third Class</v>
      </c>
      <c r="D1219">
        <v>0</v>
      </c>
      <c r="E1219" s="1" t="str">
        <f t="shared" ref="E1219:E1282" si="76">IF(D1219=0,"Dead","Alive")</f>
        <v>Dead</v>
      </c>
      <c r="F1219" t="s">
        <v>2002</v>
      </c>
      <c r="G1219" s="1" t="s">
        <v>2999</v>
      </c>
      <c r="H1219" t="s">
        <v>20</v>
      </c>
      <c r="I1219" s="1" t="str">
        <f t="shared" ref="I1219:I1282" si="77">PROPER(H1219)</f>
        <v>Male</v>
      </c>
      <c r="J1219" s="3">
        <v>19</v>
      </c>
      <c r="K1219" s="3" t="str" cm="1">
        <f t="array" ref="K1219">_xlfn.IFS(J1219&lt;=13,"Child",J1219&lt;=18,"Teenager",J1219&lt;=30,"Young Adult",J1219&lt;=50,"Middle Aged Adult",J1219&gt;50,"Senior")</f>
        <v>Young Adult</v>
      </c>
      <c r="L1219">
        <v>0</v>
      </c>
      <c r="M1219">
        <v>0</v>
      </c>
      <c r="N1219" s="1">
        <f t="shared" ref="N1219:N1282" si="78">L1219+M1219+1</f>
        <v>1</v>
      </c>
      <c r="O1219" s="1" t="str">
        <f t="shared" ref="O1219:O1282" si="79">IF(N1219=1,"Single","With Family")</f>
        <v>Single</v>
      </c>
      <c r="P1219">
        <v>7.65</v>
      </c>
      <c r="Q1219" s="1" t="str" cm="1">
        <f t="array" ref="Q1219">_xlfn.IFS(P1219&lt;=50,"Low",P1219&lt;=100,"Medium",P1219&gt;100,"High")</f>
        <v>Low</v>
      </c>
      <c r="R1219" t="s">
        <v>17</v>
      </c>
      <c r="S1219" s="1" t="str" cm="1">
        <f t="array" ref="S1219">_xlfn.IFS(R1219="S","Southampton",R1219="C","Cherbourg",R1219="Q","Queenstown")</f>
        <v>Southampton</v>
      </c>
    </row>
    <row r="1220" spans="1:19" x14ac:dyDescent="0.3">
      <c r="A1220">
        <v>1219</v>
      </c>
      <c r="B1220">
        <v>3</v>
      </c>
      <c r="C1220" s="1" t="str" cm="1">
        <f t="array" ref="C1220">_xlfn.IFS(B1220=1,"First Class",B1220=2,"Second Class",B1220=3,"Third Class")</f>
        <v>Third Class</v>
      </c>
      <c r="D1220">
        <v>0</v>
      </c>
      <c r="E1220" s="1" t="str">
        <f t="shared" si="76"/>
        <v>Dead</v>
      </c>
      <c r="F1220" t="s">
        <v>2003</v>
      </c>
      <c r="G1220" s="1" t="s">
        <v>2999</v>
      </c>
      <c r="H1220" t="s">
        <v>20</v>
      </c>
      <c r="I1220" s="1" t="str">
        <f t="shared" si="77"/>
        <v>Male</v>
      </c>
      <c r="J1220" s="3">
        <v>30</v>
      </c>
      <c r="K1220" s="3" t="str" cm="1">
        <f t="array" ref="K1220">_xlfn.IFS(J1220&lt;=13,"Child",J1220&lt;=18,"Teenager",J1220&lt;=30,"Young Adult",J1220&lt;=50,"Middle Aged Adult",J1220&gt;50,"Senior")</f>
        <v>Young Adult</v>
      </c>
      <c r="L1220">
        <v>0</v>
      </c>
      <c r="M1220">
        <v>0</v>
      </c>
      <c r="N1220" s="1">
        <f t="shared" si="78"/>
        <v>1</v>
      </c>
      <c r="O1220" s="1" t="str">
        <f t="shared" si="79"/>
        <v>Single</v>
      </c>
      <c r="P1220">
        <v>8.0500000000000007</v>
      </c>
      <c r="Q1220" s="1" t="str" cm="1">
        <f t="array" ref="Q1220">_xlfn.IFS(P1220&lt;=50,"Low",P1220&lt;=100,"Medium",P1220&gt;100,"High")</f>
        <v>Low</v>
      </c>
      <c r="R1220" t="s">
        <v>17</v>
      </c>
      <c r="S1220" s="1" t="str" cm="1">
        <f t="array" ref="S1220">_xlfn.IFS(R1220="S","Southampton",R1220="C","Cherbourg",R1220="Q","Queenstown")</f>
        <v>Southampton</v>
      </c>
    </row>
    <row r="1221" spans="1:19" x14ac:dyDescent="0.3">
      <c r="A1221">
        <v>1220</v>
      </c>
      <c r="B1221">
        <v>3</v>
      </c>
      <c r="C1221" s="1" t="str" cm="1">
        <f t="array" ref="C1221">_xlfn.IFS(B1221=1,"First Class",B1221=2,"Second Class",B1221=3,"Third Class")</f>
        <v>Third Class</v>
      </c>
      <c r="D1221">
        <v>0</v>
      </c>
      <c r="E1221" s="1" t="str">
        <f t="shared" si="76"/>
        <v>Dead</v>
      </c>
      <c r="F1221" t="s">
        <v>2005</v>
      </c>
      <c r="G1221" s="1" t="s">
        <v>2999</v>
      </c>
      <c r="H1221" t="s">
        <v>20</v>
      </c>
      <c r="I1221" s="1" t="str">
        <f t="shared" si="77"/>
        <v>Male</v>
      </c>
      <c r="J1221" s="3">
        <v>29.881137667304014</v>
      </c>
      <c r="K1221" s="3" t="str" cm="1">
        <f t="array" ref="K1221">_xlfn.IFS(J1221&lt;=13,"Child",J1221&lt;=18,"Teenager",J1221&lt;=30,"Young Adult",J1221&lt;=50,"Middle Aged Adult",J1221&gt;50,"Senior")</f>
        <v>Young Adult</v>
      </c>
      <c r="L1221">
        <v>0</v>
      </c>
      <c r="M1221">
        <v>0</v>
      </c>
      <c r="N1221" s="1">
        <f t="shared" si="78"/>
        <v>1</v>
      </c>
      <c r="O1221" s="1" t="str">
        <f t="shared" si="79"/>
        <v>Single</v>
      </c>
      <c r="P1221">
        <v>8.0500000000000007</v>
      </c>
      <c r="Q1221" s="1" t="str" cm="1">
        <f t="array" ref="Q1221">_xlfn.IFS(P1221&lt;=50,"Low",P1221&lt;=100,"Medium",P1221&gt;100,"High")</f>
        <v>Low</v>
      </c>
      <c r="R1221" t="s">
        <v>17</v>
      </c>
      <c r="S1221" s="1" t="str" cm="1">
        <f t="array" ref="S1221">_xlfn.IFS(R1221="S","Southampton",R1221="C","Cherbourg",R1221="Q","Queenstown")</f>
        <v>Southampton</v>
      </c>
    </row>
    <row r="1222" spans="1:19" x14ac:dyDescent="0.3">
      <c r="A1222">
        <v>1221</v>
      </c>
      <c r="B1222">
        <v>3</v>
      </c>
      <c r="C1222" s="1" t="str" cm="1">
        <f t="array" ref="C1222">_xlfn.IFS(B1222=1,"First Class",B1222=2,"Second Class",B1222=3,"Third Class")</f>
        <v>Third Class</v>
      </c>
      <c r="D1222">
        <v>0</v>
      </c>
      <c r="E1222" s="1" t="str">
        <f t="shared" si="76"/>
        <v>Dead</v>
      </c>
      <c r="F1222" t="s">
        <v>2007</v>
      </c>
      <c r="G1222" s="1" t="s">
        <v>2999</v>
      </c>
      <c r="H1222" t="s">
        <v>20</v>
      </c>
      <c r="I1222" s="1" t="str">
        <f t="shared" si="77"/>
        <v>Male</v>
      </c>
      <c r="J1222" s="3">
        <v>32</v>
      </c>
      <c r="K1222" s="3" t="str" cm="1">
        <f t="array" ref="K1222">_xlfn.IFS(J1222&lt;=13,"Child",J1222&lt;=18,"Teenager",J1222&lt;=30,"Young Adult",J1222&lt;=50,"Middle Aged Adult",J1222&gt;50,"Senior")</f>
        <v>Middle Aged Adult</v>
      </c>
      <c r="L1222">
        <v>0</v>
      </c>
      <c r="M1222">
        <v>0</v>
      </c>
      <c r="N1222" s="1">
        <f t="shared" si="78"/>
        <v>1</v>
      </c>
      <c r="O1222" s="1" t="str">
        <f t="shared" si="79"/>
        <v>Single</v>
      </c>
      <c r="P1222">
        <v>8.0500000000000007</v>
      </c>
      <c r="Q1222" s="1" t="str" cm="1">
        <f t="array" ref="Q1222">_xlfn.IFS(P1222&lt;=50,"Low",P1222&lt;=100,"Medium",P1222&gt;100,"High")</f>
        <v>Low</v>
      </c>
      <c r="R1222" t="s">
        <v>17</v>
      </c>
      <c r="S1222" s="1" t="str" cm="1">
        <f t="array" ref="S1222">_xlfn.IFS(R1222="S","Southampton",R1222="C","Cherbourg",R1222="Q","Queenstown")</f>
        <v>Southampton</v>
      </c>
    </row>
    <row r="1223" spans="1:19" x14ac:dyDescent="0.3">
      <c r="A1223">
        <v>1222</v>
      </c>
      <c r="B1223">
        <v>3</v>
      </c>
      <c r="C1223" s="1" t="str" cm="1">
        <f t="array" ref="C1223">_xlfn.IFS(B1223=1,"First Class",B1223=2,"Second Class",B1223=3,"Third Class")</f>
        <v>Third Class</v>
      </c>
      <c r="D1223">
        <v>0</v>
      </c>
      <c r="E1223" s="1" t="str">
        <f t="shared" si="76"/>
        <v>Dead</v>
      </c>
      <c r="F1223" t="s">
        <v>2009</v>
      </c>
      <c r="G1223" s="1" t="s">
        <v>2999</v>
      </c>
      <c r="H1223" t="s">
        <v>20</v>
      </c>
      <c r="I1223" s="1" t="str">
        <f t="shared" si="77"/>
        <v>Male</v>
      </c>
      <c r="J1223" s="3">
        <v>29.881137667304014</v>
      </c>
      <c r="K1223" s="3" t="str" cm="1">
        <f t="array" ref="K1223">_xlfn.IFS(J1223&lt;=13,"Child",J1223&lt;=18,"Teenager",J1223&lt;=30,"Young Adult",J1223&lt;=50,"Middle Aged Adult",J1223&gt;50,"Senior")</f>
        <v>Young Adult</v>
      </c>
      <c r="L1223">
        <v>0</v>
      </c>
      <c r="M1223">
        <v>0</v>
      </c>
      <c r="N1223" s="1">
        <f t="shared" si="78"/>
        <v>1</v>
      </c>
      <c r="O1223" s="1" t="str">
        <f t="shared" si="79"/>
        <v>Single</v>
      </c>
      <c r="P1223">
        <v>7.8958000000000004</v>
      </c>
      <c r="Q1223" s="1" t="str" cm="1">
        <f t="array" ref="Q1223">_xlfn.IFS(P1223&lt;=50,"Low",P1223&lt;=100,"Medium",P1223&gt;100,"High")</f>
        <v>Low</v>
      </c>
      <c r="R1223" t="s">
        <v>17</v>
      </c>
      <c r="S1223" s="1" t="str" cm="1">
        <f t="array" ref="S1223">_xlfn.IFS(R1223="S","Southampton",R1223="C","Cherbourg",R1223="Q","Queenstown")</f>
        <v>Southampton</v>
      </c>
    </row>
    <row r="1224" spans="1:19" x14ac:dyDescent="0.3">
      <c r="A1224">
        <v>1223</v>
      </c>
      <c r="B1224">
        <v>3</v>
      </c>
      <c r="C1224" s="1" t="str" cm="1">
        <f t="array" ref="C1224">_xlfn.IFS(B1224=1,"First Class",B1224=2,"Second Class",B1224=3,"Third Class")</f>
        <v>Third Class</v>
      </c>
      <c r="D1224">
        <v>0</v>
      </c>
      <c r="E1224" s="1" t="str">
        <f t="shared" si="76"/>
        <v>Dead</v>
      </c>
      <c r="F1224" t="s">
        <v>2010</v>
      </c>
      <c r="G1224" s="1" t="s">
        <v>2999</v>
      </c>
      <c r="H1224" t="s">
        <v>20</v>
      </c>
      <c r="I1224" s="1" t="str">
        <f t="shared" si="77"/>
        <v>Male</v>
      </c>
      <c r="J1224" s="3">
        <v>33</v>
      </c>
      <c r="K1224" s="3" t="str" cm="1">
        <f t="array" ref="K1224">_xlfn.IFS(J1224&lt;=13,"Child",J1224&lt;=18,"Teenager",J1224&lt;=30,"Young Adult",J1224&lt;=50,"Middle Aged Adult",J1224&gt;50,"Senior")</f>
        <v>Middle Aged Adult</v>
      </c>
      <c r="L1224">
        <v>0</v>
      </c>
      <c r="M1224">
        <v>0</v>
      </c>
      <c r="N1224" s="1">
        <f t="shared" si="78"/>
        <v>1</v>
      </c>
      <c r="O1224" s="1" t="str">
        <f t="shared" si="79"/>
        <v>Single</v>
      </c>
      <c r="P1224">
        <v>8.6624999999999996</v>
      </c>
      <c r="Q1224" s="1" t="str" cm="1">
        <f t="array" ref="Q1224">_xlfn.IFS(P1224&lt;=50,"Low",P1224&lt;=100,"Medium",P1224&gt;100,"High")</f>
        <v>Low</v>
      </c>
      <c r="R1224" t="s">
        <v>41</v>
      </c>
      <c r="S1224" s="1" t="str" cm="1">
        <f t="array" ref="S1224">_xlfn.IFS(R1224="S","Southampton",R1224="C","Cherbourg",R1224="Q","Queenstown")</f>
        <v>Cherbourg</v>
      </c>
    </row>
    <row r="1225" spans="1:19" x14ac:dyDescent="0.3">
      <c r="A1225">
        <v>1224</v>
      </c>
      <c r="B1225">
        <v>3</v>
      </c>
      <c r="C1225" s="1" t="str" cm="1">
        <f t="array" ref="C1225">_xlfn.IFS(B1225=1,"First Class",B1225=2,"Second Class",B1225=3,"Third Class")</f>
        <v>Third Class</v>
      </c>
      <c r="D1225">
        <v>1</v>
      </c>
      <c r="E1225" s="1" t="str">
        <f t="shared" si="76"/>
        <v>Alive</v>
      </c>
      <c r="F1225" t="s">
        <v>2011</v>
      </c>
      <c r="G1225" s="1" t="s">
        <v>2994</v>
      </c>
      <c r="H1225" t="s">
        <v>15</v>
      </c>
      <c r="I1225" s="1" t="str">
        <f t="shared" si="77"/>
        <v>Female</v>
      </c>
      <c r="J1225" s="3">
        <v>23</v>
      </c>
      <c r="K1225" s="3" t="str" cm="1">
        <f t="array" ref="K1225">_xlfn.IFS(J1225&lt;=13,"Child",J1225&lt;=18,"Teenager",J1225&lt;=30,"Young Adult",J1225&lt;=50,"Middle Aged Adult",J1225&gt;50,"Senior")</f>
        <v>Young Adult</v>
      </c>
      <c r="L1225">
        <v>0</v>
      </c>
      <c r="M1225">
        <v>0</v>
      </c>
      <c r="N1225" s="1">
        <f t="shared" si="78"/>
        <v>1</v>
      </c>
      <c r="O1225" s="1" t="str">
        <f t="shared" si="79"/>
        <v>Single</v>
      </c>
      <c r="P1225">
        <v>7.55</v>
      </c>
      <c r="Q1225" s="1" t="str" cm="1">
        <f t="array" ref="Q1225">_xlfn.IFS(P1225&lt;=50,"Low",P1225&lt;=100,"Medium",P1225&gt;100,"High")</f>
        <v>Low</v>
      </c>
      <c r="R1225" t="s">
        <v>17</v>
      </c>
      <c r="S1225" s="1" t="str" cm="1">
        <f t="array" ref="S1225">_xlfn.IFS(R1225="S","Southampton",R1225="C","Cherbourg",R1225="Q","Queenstown")</f>
        <v>Southampton</v>
      </c>
    </row>
    <row r="1226" spans="1:19" x14ac:dyDescent="0.3">
      <c r="A1226">
        <v>1225</v>
      </c>
      <c r="B1226">
        <v>3</v>
      </c>
      <c r="C1226" s="1" t="str" cm="1">
        <f t="array" ref="C1226">_xlfn.IFS(B1226=1,"First Class",B1226=2,"Second Class",B1226=3,"Third Class")</f>
        <v>Third Class</v>
      </c>
      <c r="D1226">
        <v>0</v>
      </c>
      <c r="E1226" s="1" t="str">
        <f t="shared" si="76"/>
        <v>Dead</v>
      </c>
      <c r="F1226" t="s">
        <v>2013</v>
      </c>
      <c r="G1226" s="1" t="s">
        <v>2999</v>
      </c>
      <c r="H1226" t="s">
        <v>20</v>
      </c>
      <c r="I1226" s="1" t="str">
        <f t="shared" si="77"/>
        <v>Male</v>
      </c>
      <c r="J1226" s="3">
        <v>21</v>
      </c>
      <c r="K1226" s="3" t="str" cm="1">
        <f t="array" ref="K1226">_xlfn.IFS(J1226&lt;=13,"Child",J1226&lt;=18,"Teenager",J1226&lt;=30,"Young Adult",J1226&lt;=50,"Middle Aged Adult",J1226&gt;50,"Senior")</f>
        <v>Young Adult</v>
      </c>
      <c r="L1226">
        <v>0</v>
      </c>
      <c r="M1226">
        <v>0</v>
      </c>
      <c r="N1226" s="1">
        <f t="shared" si="78"/>
        <v>1</v>
      </c>
      <c r="O1226" s="1" t="str">
        <f t="shared" si="79"/>
        <v>Single</v>
      </c>
      <c r="P1226">
        <v>8.0500000000000007</v>
      </c>
      <c r="Q1226" s="1" t="str" cm="1">
        <f t="array" ref="Q1226">_xlfn.IFS(P1226&lt;=50,"Low",P1226&lt;=100,"Medium",P1226&gt;100,"High")</f>
        <v>Low</v>
      </c>
      <c r="R1226" t="s">
        <v>17</v>
      </c>
      <c r="S1226" s="1" t="str" cm="1">
        <f t="array" ref="S1226">_xlfn.IFS(R1226="S","Southampton",R1226="C","Cherbourg",R1226="Q","Queenstown")</f>
        <v>Southampton</v>
      </c>
    </row>
    <row r="1227" spans="1:19" x14ac:dyDescent="0.3">
      <c r="A1227">
        <v>1226</v>
      </c>
      <c r="B1227">
        <v>3</v>
      </c>
      <c r="C1227" s="1" t="str" cm="1">
        <f t="array" ref="C1227">_xlfn.IFS(B1227=1,"First Class",B1227=2,"Second Class",B1227=3,"Third Class")</f>
        <v>Third Class</v>
      </c>
      <c r="D1227">
        <v>0</v>
      </c>
      <c r="E1227" s="1" t="str">
        <f t="shared" si="76"/>
        <v>Dead</v>
      </c>
      <c r="F1227" t="s">
        <v>2015</v>
      </c>
      <c r="G1227" s="1" t="s">
        <v>2999</v>
      </c>
      <c r="H1227" t="s">
        <v>20</v>
      </c>
      <c r="I1227" s="1" t="str">
        <f t="shared" si="77"/>
        <v>Male</v>
      </c>
      <c r="J1227" s="3">
        <v>60.5</v>
      </c>
      <c r="K1227" s="3" t="str" cm="1">
        <f t="array" ref="K1227">_xlfn.IFS(J1227&lt;=13,"Child",J1227&lt;=18,"Teenager",J1227&lt;=30,"Young Adult",J1227&lt;=50,"Middle Aged Adult",J1227&gt;50,"Senior")</f>
        <v>Senior</v>
      </c>
      <c r="L1227">
        <v>0</v>
      </c>
      <c r="M1227">
        <v>0</v>
      </c>
      <c r="N1227" s="1">
        <f t="shared" si="78"/>
        <v>1</v>
      </c>
      <c r="O1227" s="1" t="str">
        <f t="shared" si="79"/>
        <v>Single</v>
      </c>
      <c r="Q1227" s="1" t="str" cm="1">
        <f t="array" ref="Q1227">_xlfn.IFS(P1227&lt;=50,"Low",P1227&lt;=100,"Medium",P1227&gt;100,"High")</f>
        <v>Low</v>
      </c>
      <c r="R1227" t="s">
        <v>17</v>
      </c>
      <c r="S1227" s="1" t="str" cm="1">
        <f t="array" ref="S1227">_xlfn.IFS(R1227="S","Southampton",R1227="C","Cherbourg",R1227="Q","Queenstown")</f>
        <v>Southampton</v>
      </c>
    </row>
    <row r="1228" spans="1:19" x14ac:dyDescent="0.3">
      <c r="A1228">
        <v>1227</v>
      </c>
      <c r="B1228">
        <v>3</v>
      </c>
      <c r="C1228" s="1" t="str" cm="1">
        <f t="array" ref="C1228">_xlfn.IFS(B1228=1,"First Class",B1228=2,"Second Class",B1228=3,"Third Class")</f>
        <v>Third Class</v>
      </c>
      <c r="D1228">
        <v>0</v>
      </c>
      <c r="E1228" s="1" t="str">
        <f t="shared" si="76"/>
        <v>Dead</v>
      </c>
      <c r="F1228" t="s">
        <v>2016</v>
      </c>
      <c r="G1228" s="1" t="s">
        <v>2999</v>
      </c>
      <c r="H1228" t="s">
        <v>20</v>
      </c>
      <c r="I1228" s="1" t="str">
        <f t="shared" si="77"/>
        <v>Male</v>
      </c>
      <c r="J1228" s="3">
        <v>19</v>
      </c>
      <c r="K1228" s="3" t="str" cm="1">
        <f t="array" ref="K1228">_xlfn.IFS(J1228&lt;=13,"Child",J1228&lt;=18,"Teenager",J1228&lt;=30,"Young Adult",J1228&lt;=50,"Middle Aged Adult",J1228&gt;50,"Senior")</f>
        <v>Young Adult</v>
      </c>
      <c r="L1228">
        <v>0</v>
      </c>
      <c r="M1228">
        <v>0</v>
      </c>
      <c r="N1228" s="1">
        <f t="shared" si="78"/>
        <v>1</v>
      </c>
      <c r="O1228" s="1" t="str">
        <f t="shared" si="79"/>
        <v>Single</v>
      </c>
      <c r="P1228">
        <v>7.8958000000000004</v>
      </c>
      <c r="Q1228" s="1" t="str" cm="1">
        <f t="array" ref="Q1228">_xlfn.IFS(P1228&lt;=50,"Low",P1228&lt;=100,"Medium",P1228&gt;100,"High")</f>
        <v>Low</v>
      </c>
      <c r="R1228" t="s">
        <v>17</v>
      </c>
      <c r="S1228" s="1" t="str" cm="1">
        <f t="array" ref="S1228">_xlfn.IFS(R1228="S","Southampton",R1228="C","Cherbourg",R1228="Q","Queenstown")</f>
        <v>Southampton</v>
      </c>
    </row>
    <row r="1229" spans="1:19" x14ac:dyDescent="0.3">
      <c r="A1229">
        <v>1228</v>
      </c>
      <c r="B1229">
        <v>3</v>
      </c>
      <c r="C1229" s="1" t="str" cm="1">
        <f t="array" ref="C1229">_xlfn.IFS(B1229=1,"First Class",B1229=2,"Second Class",B1229=3,"Third Class")</f>
        <v>Third Class</v>
      </c>
      <c r="D1229">
        <v>0</v>
      </c>
      <c r="E1229" s="1" t="str">
        <f t="shared" si="76"/>
        <v>Dead</v>
      </c>
      <c r="F1229" t="s">
        <v>2017</v>
      </c>
      <c r="G1229" s="1" t="s">
        <v>2994</v>
      </c>
      <c r="H1229" t="s">
        <v>15</v>
      </c>
      <c r="I1229" s="1" t="str">
        <f t="shared" si="77"/>
        <v>Female</v>
      </c>
      <c r="J1229" s="3">
        <v>22</v>
      </c>
      <c r="K1229" s="3" t="str" cm="1">
        <f t="array" ref="K1229">_xlfn.IFS(J1229&lt;=13,"Child",J1229&lt;=18,"Teenager",J1229&lt;=30,"Young Adult",J1229&lt;=50,"Middle Aged Adult",J1229&gt;50,"Senior")</f>
        <v>Young Adult</v>
      </c>
      <c r="L1229">
        <v>0</v>
      </c>
      <c r="M1229">
        <v>0</v>
      </c>
      <c r="N1229" s="1">
        <f t="shared" si="78"/>
        <v>1</v>
      </c>
      <c r="O1229" s="1" t="str">
        <f t="shared" si="79"/>
        <v>Single</v>
      </c>
      <c r="P1229">
        <v>9.8375000000000004</v>
      </c>
      <c r="Q1229" s="1" t="str" cm="1">
        <f t="array" ref="Q1229">_xlfn.IFS(P1229&lt;=50,"Low",P1229&lt;=100,"Medium",P1229&gt;100,"High")</f>
        <v>Low</v>
      </c>
      <c r="R1229" t="s">
        <v>17</v>
      </c>
      <c r="S1229" s="1" t="str" cm="1">
        <f t="array" ref="S1229">_xlfn.IFS(R1229="S","Southampton",R1229="C","Cherbourg",R1229="Q","Queenstown")</f>
        <v>Southampton</v>
      </c>
    </row>
    <row r="1230" spans="1:19" x14ac:dyDescent="0.3">
      <c r="A1230">
        <v>1229</v>
      </c>
      <c r="B1230">
        <v>3</v>
      </c>
      <c r="C1230" s="1" t="str" cm="1">
        <f t="array" ref="C1230">_xlfn.IFS(B1230=1,"First Class",B1230=2,"Second Class",B1230=3,"Third Class")</f>
        <v>Third Class</v>
      </c>
      <c r="D1230">
        <v>1</v>
      </c>
      <c r="E1230" s="1" t="str">
        <f t="shared" si="76"/>
        <v>Alive</v>
      </c>
      <c r="F1230" t="s">
        <v>2018</v>
      </c>
      <c r="G1230" s="1" t="s">
        <v>2999</v>
      </c>
      <c r="H1230" t="s">
        <v>20</v>
      </c>
      <c r="I1230" s="1" t="str">
        <f t="shared" si="77"/>
        <v>Male</v>
      </c>
      <c r="J1230" s="3">
        <v>31</v>
      </c>
      <c r="K1230" s="3" t="str" cm="1">
        <f t="array" ref="K1230">_xlfn.IFS(J1230&lt;=13,"Child",J1230&lt;=18,"Teenager",J1230&lt;=30,"Young Adult",J1230&lt;=50,"Middle Aged Adult",J1230&gt;50,"Senior")</f>
        <v>Middle Aged Adult</v>
      </c>
      <c r="L1230">
        <v>0</v>
      </c>
      <c r="M1230">
        <v>0</v>
      </c>
      <c r="N1230" s="1">
        <f t="shared" si="78"/>
        <v>1</v>
      </c>
      <c r="O1230" s="1" t="str">
        <f t="shared" si="79"/>
        <v>Single</v>
      </c>
      <c r="P1230">
        <v>7.9249999999999998</v>
      </c>
      <c r="Q1230" s="1" t="str" cm="1">
        <f t="array" ref="Q1230">_xlfn.IFS(P1230&lt;=50,"Low",P1230&lt;=100,"Medium",P1230&gt;100,"High")</f>
        <v>Low</v>
      </c>
      <c r="R1230" t="s">
        <v>17</v>
      </c>
      <c r="S1230" s="1" t="str" cm="1">
        <f t="array" ref="S1230">_xlfn.IFS(R1230="S","Southampton",R1230="C","Cherbourg",R1230="Q","Queenstown")</f>
        <v>Southampton</v>
      </c>
    </row>
    <row r="1231" spans="1:19" x14ac:dyDescent="0.3">
      <c r="A1231">
        <v>1230</v>
      </c>
      <c r="B1231">
        <v>3</v>
      </c>
      <c r="C1231" s="1" t="str" cm="1">
        <f t="array" ref="C1231">_xlfn.IFS(B1231=1,"First Class",B1231=2,"Second Class",B1231=3,"Third Class")</f>
        <v>Third Class</v>
      </c>
      <c r="D1231">
        <v>0</v>
      </c>
      <c r="E1231" s="1" t="str">
        <f t="shared" si="76"/>
        <v>Dead</v>
      </c>
      <c r="F1231" t="s">
        <v>2020</v>
      </c>
      <c r="G1231" s="1" t="s">
        <v>2999</v>
      </c>
      <c r="H1231" t="s">
        <v>20</v>
      </c>
      <c r="I1231" s="1" t="str">
        <f t="shared" si="77"/>
        <v>Male</v>
      </c>
      <c r="J1231" s="3">
        <v>27</v>
      </c>
      <c r="K1231" s="3" t="str" cm="1">
        <f t="array" ref="K1231">_xlfn.IFS(J1231&lt;=13,"Child",J1231&lt;=18,"Teenager",J1231&lt;=30,"Young Adult",J1231&lt;=50,"Middle Aged Adult",J1231&gt;50,"Senior")</f>
        <v>Young Adult</v>
      </c>
      <c r="L1231">
        <v>0</v>
      </c>
      <c r="M1231">
        <v>0</v>
      </c>
      <c r="N1231" s="1">
        <f t="shared" si="78"/>
        <v>1</v>
      </c>
      <c r="O1231" s="1" t="str">
        <f t="shared" si="79"/>
        <v>Single</v>
      </c>
      <c r="P1231">
        <v>8.6624999999999996</v>
      </c>
      <c r="Q1231" s="1" t="str" cm="1">
        <f t="array" ref="Q1231">_xlfn.IFS(P1231&lt;=50,"Low",P1231&lt;=100,"Medium",P1231&gt;100,"High")</f>
        <v>Low</v>
      </c>
      <c r="R1231" t="s">
        <v>17</v>
      </c>
      <c r="S1231" s="1" t="str" cm="1">
        <f t="array" ref="S1231">_xlfn.IFS(R1231="S","Southampton",R1231="C","Cherbourg",R1231="Q","Queenstown")</f>
        <v>Southampton</v>
      </c>
    </row>
    <row r="1232" spans="1:19" x14ac:dyDescent="0.3">
      <c r="A1232">
        <v>1231</v>
      </c>
      <c r="B1232">
        <v>3</v>
      </c>
      <c r="C1232" s="1" t="str" cm="1">
        <f t="array" ref="C1232">_xlfn.IFS(B1232=1,"First Class",B1232=2,"Second Class",B1232=3,"Third Class")</f>
        <v>Third Class</v>
      </c>
      <c r="D1232">
        <v>0</v>
      </c>
      <c r="E1232" s="1" t="str">
        <f t="shared" si="76"/>
        <v>Dead</v>
      </c>
      <c r="F1232" t="s">
        <v>2021</v>
      </c>
      <c r="G1232" s="1" t="s">
        <v>2994</v>
      </c>
      <c r="H1232" t="s">
        <v>15</v>
      </c>
      <c r="I1232" s="1" t="str">
        <f t="shared" si="77"/>
        <v>Female</v>
      </c>
      <c r="J1232" s="3">
        <v>2</v>
      </c>
      <c r="K1232" s="3" t="str" cm="1">
        <f t="array" ref="K1232">_xlfn.IFS(J1232&lt;=13,"Child",J1232&lt;=18,"Teenager",J1232&lt;=30,"Young Adult",J1232&lt;=50,"Middle Aged Adult",J1232&gt;50,"Senior")</f>
        <v>Child</v>
      </c>
      <c r="L1232">
        <v>0</v>
      </c>
      <c r="M1232">
        <v>1</v>
      </c>
      <c r="N1232" s="1">
        <f t="shared" si="78"/>
        <v>2</v>
      </c>
      <c r="O1232" s="1" t="str">
        <f t="shared" si="79"/>
        <v>With Family</v>
      </c>
      <c r="P1232">
        <v>10.4625</v>
      </c>
      <c r="Q1232" s="1" t="str" cm="1">
        <f t="array" ref="Q1232">_xlfn.IFS(P1232&lt;=50,"Low",P1232&lt;=100,"Medium",P1232&gt;100,"High")</f>
        <v>Low</v>
      </c>
      <c r="R1232" t="s">
        <v>17</v>
      </c>
      <c r="S1232" s="1" t="str" cm="1">
        <f t="array" ref="S1232">_xlfn.IFS(R1232="S","Southampton",R1232="C","Cherbourg",R1232="Q","Queenstown")</f>
        <v>Southampton</v>
      </c>
    </row>
    <row r="1233" spans="1:19" x14ac:dyDescent="0.3">
      <c r="A1233">
        <v>1232</v>
      </c>
      <c r="B1233">
        <v>3</v>
      </c>
      <c r="C1233" s="1" t="str" cm="1">
        <f t="array" ref="C1233">_xlfn.IFS(B1233=1,"First Class",B1233=2,"Second Class",B1233=3,"Third Class")</f>
        <v>Third Class</v>
      </c>
      <c r="D1233">
        <v>0</v>
      </c>
      <c r="E1233" s="1" t="str">
        <f t="shared" si="76"/>
        <v>Dead</v>
      </c>
      <c r="F1233" t="s">
        <v>2022</v>
      </c>
      <c r="G1233" s="1" t="s">
        <v>3001</v>
      </c>
      <c r="H1233" t="s">
        <v>15</v>
      </c>
      <c r="I1233" s="1" t="str">
        <f t="shared" si="77"/>
        <v>Female</v>
      </c>
      <c r="J1233" s="3">
        <v>29</v>
      </c>
      <c r="K1233" s="3" t="str" cm="1">
        <f t="array" ref="K1233">_xlfn.IFS(J1233&lt;=13,"Child",J1233&lt;=18,"Teenager",J1233&lt;=30,"Young Adult",J1233&lt;=50,"Middle Aged Adult",J1233&gt;50,"Senior")</f>
        <v>Young Adult</v>
      </c>
      <c r="L1233">
        <v>1</v>
      </c>
      <c r="M1233">
        <v>1</v>
      </c>
      <c r="N1233" s="1">
        <f t="shared" si="78"/>
        <v>3</v>
      </c>
      <c r="O1233" s="1" t="str">
        <f t="shared" si="79"/>
        <v>With Family</v>
      </c>
      <c r="P1233">
        <v>10.4625</v>
      </c>
      <c r="Q1233" s="1" t="str" cm="1">
        <f t="array" ref="Q1233">_xlfn.IFS(P1233&lt;=50,"Low",P1233&lt;=100,"Medium",P1233&gt;100,"High")</f>
        <v>Low</v>
      </c>
      <c r="R1233" t="s">
        <v>17</v>
      </c>
      <c r="S1233" s="1" t="str" cm="1">
        <f t="array" ref="S1233">_xlfn.IFS(R1233="S","Southampton",R1233="C","Cherbourg",R1233="Q","Queenstown")</f>
        <v>Southampton</v>
      </c>
    </row>
    <row r="1234" spans="1:19" x14ac:dyDescent="0.3">
      <c r="A1234">
        <v>1233</v>
      </c>
      <c r="B1234">
        <v>3</v>
      </c>
      <c r="C1234" s="1" t="str" cm="1">
        <f t="array" ref="C1234">_xlfn.IFS(B1234=1,"First Class",B1234=2,"Second Class",B1234=3,"Third Class")</f>
        <v>Third Class</v>
      </c>
      <c r="D1234">
        <v>1</v>
      </c>
      <c r="E1234" s="1" t="str">
        <f t="shared" si="76"/>
        <v>Alive</v>
      </c>
      <c r="F1234" t="s">
        <v>2023</v>
      </c>
      <c r="G1234" s="1" t="s">
        <v>2999</v>
      </c>
      <c r="H1234" t="s">
        <v>20</v>
      </c>
      <c r="I1234" s="1" t="str">
        <f t="shared" si="77"/>
        <v>Male</v>
      </c>
      <c r="J1234" s="3">
        <v>16</v>
      </c>
      <c r="K1234" s="3" t="str" cm="1">
        <f t="array" ref="K1234">_xlfn.IFS(J1234&lt;=13,"Child",J1234&lt;=18,"Teenager",J1234&lt;=30,"Young Adult",J1234&lt;=50,"Middle Aged Adult",J1234&gt;50,"Senior")</f>
        <v>Teenager</v>
      </c>
      <c r="L1234">
        <v>0</v>
      </c>
      <c r="M1234">
        <v>0</v>
      </c>
      <c r="N1234" s="1">
        <f t="shared" si="78"/>
        <v>1</v>
      </c>
      <c r="O1234" s="1" t="str">
        <f t="shared" si="79"/>
        <v>Single</v>
      </c>
      <c r="P1234">
        <v>8.0500000000000007</v>
      </c>
      <c r="Q1234" s="1" t="str" cm="1">
        <f t="array" ref="Q1234">_xlfn.IFS(P1234&lt;=50,"Low",P1234&lt;=100,"Medium",P1234&gt;100,"High")</f>
        <v>Low</v>
      </c>
      <c r="R1234" t="s">
        <v>17</v>
      </c>
      <c r="S1234" s="1" t="str" cm="1">
        <f t="array" ref="S1234">_xlfn.IFS(R1234="S","Southampton",R1234="C","Cherbourg",R1234="Q","Queenstown")</f>
        <v>Southampton</v>
      </c>
    </row>
    <row r="1235" spans="1:19" x14ac:dyDescent="0.3">
      <c r="A1235">
        <v>1234</v>
      </c>
      <c r="B1235">
        <v>3</v>
      </c>
      <c r="C1235" s="1" t="str" cm="1">
        <f t="array" ref="C1235">_xlfn.IFS(B1235=1,"First Class",B1235=2,"Second Class",B1235=3,"Third Class")</f>
        <v>Third Class</v>
      </c>
      <c r="D1235">
        <v>1</v>
      </c>
      <c r="E1235" s="1" t="str">
        <f t="shared" si="76"/>
        <v>Alive</v>
      </c>
      <c r="F1235" t="s">
        <v>2025</v>
      </c>
      <c r="G1235" s="1" t="s">
        <v>2999</v>
      </c>
      <c r="H1235" t="s">
        <v>20</v>
      </c>
      <c r="I1235" s="1" t="str">
        <f t="shared" si="77"/>
        <v>Male</v>
      </c>
      <c r="J1235" s="3">
        <v>44</v>
      </c>
      <c r="K1235" s="3" t="str" cm="1">
        <f t="array" ref="K1235">_xlfn.IFS(J1235&lt;=13,"Child",J1235&lt;=18,"Teenager",J1235&lt;=30,"Young Adult",J1235&lt;=50,"Middle Aged Adult",J1235&gt;50,"Senior")</f>
        <v>Middle Aged Adult</v>
      </c>
      <c r="L1235">
        <v>0</v>
      </c>
      <c r="M1235">
        <v>0</v>
      </c>
      <c r="N1235" s="1">
        <f t="shared" si="78"/>
        <v>1</v>
      </c>
      <c r="O1235" s="1" t="str">
        <f t="shared" si="79"/>
        <v>Single</v>
      </c>
      <c r="P1235">
        <v>7.9249999999999998</v>
      </c>
      <c r="Q1235" s="1" t="str" cm="1">
        <f t="array" ref="Q1235">_xlfn.IFS(P1235&lt;=50,"Low",P1235&lt;=100,"Medium",P1235&gt;100,"High")</f>
        <v>Low</v>
      </c>
      <c r="R1235" t="s">
        <v>17</v>
      </c>
      <c r="S1235" s="1" t="str" cm="1">
        <f t="array" ref="S1235">_xlfn.IFS(R1235="S","Southampton",R1235="C","Cherbourg",R1235="Q","Queenstown")</f>
        <v>Southampton</v>
      </c>
    </row>
    <row r="1236" spans="1:19" x14ac:dyDescent="0.3">
      <c r="A1236">
        <v>1235</v>
      </c>
      <c r="B1236">
        <v>3</v>
      </c>
      <c r="C1236" s="1" t="str" cm="1">
        <f t="array" ref="C1236">_xlfn.IFS(B1236=1,"First Class",B1236=2,"Second Class",B1236=3,"Third Class")</f>
        <v>Third Class</v>
      </c>
      <c r="D1236">
        <v>0</v>
      </c>
      <c r="E1236" s="1" t="str">
        <f t="shared" si="76"/>
        <v>Dead</v>
      </c>
      <c r="F1236" t="s">
        <v>2027</v>
      </c>
      <c r="G1236" s="1" t="s">
        <v>2999</v>
      </c>
      <c r="H1236" t="s">
        <v>20</v>
      </c>
      <c r="I1236" s="1" t="str">
        <f t="shared" si="77"/>
        <v>Male</v>
      </c>
      <c r="J1236" s="3">
        <v>25</v>
      </c>
      <c r="K1236" s="3" t="str" cm="1">
        <f t="array" ref="K1236">_xlfn.IFS(J1236&lt;=13,"Child",J1236&lt;=18,"Teenager",J1236&lt;=30,"Young Adult",J1236&lt;=50,"Middle Aged Adult",J1236&gt;50,"Senior")</f>
        <v>Young Adult</v>
      </c>
      <c r="L1236">
        <v>0</v>
      </c>
      <c r="M1236">
        <v>0</v>
      </c>
      <c r="N1236" s="1">
        <f t="shared" si="78"/>
        <v>1</v>
      </c>
      <c r="O1236" s="1" t="str">
        <f t="shared" si="79"/>
        <v>Single</v>
      </c>
      <c r="P1236">
        <v>7.05</v>
      </c>
      <c r="Q1236" s="1" t="str" cm="1">
        <f t="array" ref="Q1236">_xlfn.IFS(P1236&lt;=50,"Low",P1236&lt;=100,"Medium",P1236&gt;100,"High")</f>
        <v>Low</v>
      </c>
      <c r="R1236" t="s">
        <v>17</v>
      </c>
      <c r="S1236" s="1" t="str" cm="1">
        <f t="array" ref="S1236">_xlfn.IFS(R1236="S","Southampton",R1236="C","Cherbourg",R1236="Q","Queenstown")</f>
        <v>Southampton</v>
      </c>
    </row>
    <row r="1237" spans="1:19" x14ac:dyDescent="0.3">
      <c r="A1237">
        <v>1236</v>
      </c>
      <c r="B1237">
        <v>3</v>
      </c>
      <c r="C1237" s="1" t="str" cm="1">
        <f t="array" ref="C1237">_xlfn.IFS(B1237=1,"First Class",B1237=2,"Second Class",B1237=3,"Third Class")</f>
        <v>Third Class</v>
      </c>
      <c r="D1237">
        <v>0</v>
      </c>
      <c r="E1237" s="1" t="str">
        <f t="shared" si="76"/>
        <v>Dead</v>
      </c>
      <c r="F1237" t="s">
        <v>2029</v>
      </c>
      <c r="G1237" s="1" t="s">
        <v>2999</v>
      </c>
      <c r="H1237" t="s">
        <v>20</v>
      </c>
      <c r="I1237" s="1" t="str">
        <f t="shared" si="77"/>
        <v>Male</v>
      </c>
      <c r="J1237" s="3">
        <v>74</v>
      </c>
      <c r="K1237" s="3" t="str" cm="1">
        <f t="array" ref="K1237">_xlfn.IFS(J1237&lt;=13,"Child",J1237&lt;=18,"Teenager",J1237&lt;=30,"Young Adult",J1237&lt;=50,"Middle Aged Adult",J1237&gt;50,"Senior")</f>
        <v>Senior</v>
      </c>
      <c r="L1237">
        <v>0</v>
      </c>
      <c r="M1237">
        <v>0</v>
      </c>
      <c r="N1237" s="1">
        <f t="shared" si="78"/>
        <v>1</v>
      </c>
      <c r="O1237" s="1" t="str">
        <f t="shared" si="79"/>
        <v>Single</v>
      </c>
      <c r="P1237">
        <v>7.7750000000000004</v>
      </c>
      <c r="Q1237" s="1" t="str" cm="1">
        <f t="array" ref="Q1237">_xlfn.IFS(P1237&lt;=50,"Low",P1237&lt;=100,"Medium",P1237&gt;100,"High")</f>
        <v>Low</v>
      </c>
      <c r="R1237" t="s">
        <v>17</v>
      </c>
      <c r="S1237" s="1" t="str" cm="1">
        <f t="array" ref="S1237">_xlfn.IFS(R1237="S","Southampton",R1237="C","Cherbourg",R1237="Q","Queenstown")</f>
        <v>Southampton</v>
      </c>
    </row>
    <row r="1238" spans="1:19" x14ac:dyDescent="0.3">
      <c r="A1238">
        <v>1237</v>
      </c>
      <c r="B1238">
        <v>3</v>
      </c>
      <c r="C1238" s="1" t="str" cm="1">
        <f t="array" ref="C1238">_xlfn.IFS(B1238=1,"First Class",B1238=2,"Second Class",B1238=3,"Third Class")</f>
        <v>Third Class</v>
      </c>
      <c r="D1238">
        <v>1</v>
      </c>
      <c r="E1238" s="1" t="str">
        <f t="shared" si="76"/>
        <v>Alive</v>
      </c>
      <c r="F1238" t="s">
        <v>2030</v>
      </c>
      <c r="G1238" s="1" t="s">
        <v>2999</v>
      </c>
      <c r="H1238" t="s">
        <v>20</v>
      </c>
      <c r="I1238" s="1" t="str">
        <f t="shared" si="77"/>
        <v>Male</v>
      </c>
      <c r="J1238" s="3">
        <v>14</v>
      </c>
      <c r="K1238" s="3" t="str" cm="1">
        <f t="array" ref="K1238">_xlfn.IFS(J1238&lt;=13,"Child",J1238&lt;=18,"Teenager",J1238&lt;=30,"Young Adult",J1238&lt;=50,"Middle Aged Adult",J1238&gt;50,"Senior")</f>
        <v>Teenager</v>
      </c>
      <c r="L1238">
        <v>0</v>
      </c>
      <c r="M1238">
        <v>0</v>
      </c>
      <c r="N1238" s="1">
        <f t="shared" si="78"/>
        <v>1</v>
      </c>
      <c r="O1238" s="1" t="str">
        <f t="shared" si="79"/>
        <v>Single</v>
      </c>
      <c r="P1238">
        <v>9.2249999999999996</v>
      </c>
      <c r="Q1238" s="1" t="str" cm="1">
        <f t="array" ref="Q1238">_xlfn.IFS(P1238&lt;=50,"Low",P1238&lt;=100,"Medium",P1238&gt;100,"High")</f>
        <v>Low</v>
      </c>
      <c r="R1238" t="s">
        <v>17</v>
      </c>
      <c r="S1238" s="1" t="str" cm="1">
        <f t="array" ref="S1238">_xlfn.IFS(R1238="S","Southampton",R1238="C","Cherbourg",R1238="Q","Queenstown")</f>
        <v>Southampton</v>
      </c>
    </row>
    <row r="1239" spans="1:19" x14ac:dyDescent="0.3">
      <c r="A1239">
        <v>1238</v>
      </c>
      <c r="B1239">
        <v>3</v>
      </c>
      <c r="C1239" s="1" t="str" cm="1">
        <f t="array" ref="C1239">_xlfn.IFS(B1239=1,"First Class",B1239=2,"Second Class",B1239=3,"Third Class")</f>
        <v>Third Class</v>
      </c>
      <c r="D1239">
        <v>0</v>
      </c>
      <c r="E1239" s="1" t="str">
        <f t="shared" si="76"/>
        <v>Dead</v>
      </c>
      <c r="F1239" t="s">
        <v>2031</v>
      </c>
      <c r="G1239" s="1" t="s">
        <v>2999</v>
      </c>
      <c r="H1239" t="s">
        <v>20</v>
      </c>
      <c r="I1239" s="1" t="str">
        <f t="shared" si="77"/>
        <v>Male</v>
      </c>
      <c r="J1239" s="3">
        <v>24</v>
      </c>
      <c r="K1239" s="3" t="str" cm="1">
        <f t="array" ref="K1239">_xlfn.IFS(J1239&lt;=13,"Child",J1239&lt;=18,"Teenager",J1239&lt;=30,"Young Adult",J1239&lt;=50,"Middle Aged Adult",J1239&gt;50,"Senior")</f>
        <v>Young Adult</v>
      </c>
      <c r="L1239">
        <v>0</v>
      </c>
      <c r="M1239">
        <v>0</v>
      </c>
      <c r="N1239" s="1">
        <f t="shared" si="78"/>
        <v>1</v>
      </c>
      <c r="O1239" s="1" t="str">
        <f t="shared" si="79"/>
        <v>Single</v>
      </c>
      <c r="P1239">
        <v>7.7957999999999998</v>
      </c>
      <c r="Q1239" s="1" t="str" cm="1">
        <f t="array" ref="Q1239">_xlfn.IFS(P1239&lt;=50,"Low",P1239&lt;=100,"Medium",P1239&gt;100,"High")</f>
        <v>Low</v>
      </c>
      <c r="R1239" t="s">
        <v>17</v>
      </c>
      <c r="S1239" s="1" t="str" cm="1">
        <f t="array" ref="S1239">_xlfn.IFS(R1239="S","Southampton",R1239="C","Cherbourg",R1239="Q","Queenstown")</f>
        <v>Southampton</v>
      </c>
    </row>
    <row r="1240" spans="1:19" x14ac:dyDescent="0.3">
      <c r="A1240">
        <v>1239</v>
      </c>
      <c r="B1240">
        <v>3</v>
      </c>
      <c r="C1240" s="1" t="str" cm="1">
        <f t="array" ref="C1240">_xlfn.IFS(B1240=1,"First Class",B1240=2,"Second Class",B1240=3,"Third Class")</f>
        <v>Third Class</v>
      </c>
      <c r="D1240">
        <v>1</v>
      </c>
      <c r="E1240" s="1" t="str">
        <f t="shared" si="76"/>
        <v>Alive</v>
      </c>
      <c r="F1240" t="s">
        <v>2032</v>
      </c>
      <c r="G1240" s="1" t="s">
        <v>2999</v>
      </c>
      <c r="H1240" t="s">
        <v>20</v>
      </c>
      <c r="I1240" s="1" t="str">
        <f t="shared" si="77"/>
        <v>Male</v>
      </c>
      <c r="J1240" s="3">
        <v>25</v>
      </c>
      <c r="K1240" s="3" t="str" cm="1">
        <f t="array" ref="K1240">_xlfn.IFS(J1240&lt;=13,"Child",J1240&lt;=18,"Teenager",J1240&lt;=30,"Young Adult",J1240&lt;=50,"Middle Aged Adult",J1240&gt;50,"Senior")</f>
        <v>Young Adult</v>
      </c>
      <c r="L1240">
        <v>0</v>
      </c>
      <c r="M1240">
        <v>0</v>
      </c>
      <c r="N1240" s="1">
        <f t="shared" si="78"/>
        <v>1</v>
      </c>
      <c r="O1240" s="1" t="str">
        <f t="shared" si="79"/>
        <v>Single</v>
      </c>
      <c r="P1240">
        <v>7.7957999999999998</v>
      </c>
      <c r="Q1240" s="1" t="str" cm="1">
        <f t="array" ref="Q1240">_xlfn.IFS(P1240&lt;=50,"Low",P1240&lt;=100,"Medium",P1240&gt;100,"High")</f>
        <v>Low</v>
      </c>
      <c r="R1240" t="s">
        <v>17</v>
      </c>
      <c r="S1240" s="1" t="str" cm="1">
        <f t="array" ref="S1240">_xlfn.IFS(R1240="S","Southampton",R1240="C","Cherbourg",R1240="Q","Queenstown")</f>
        <v>Southampton</v>
      </c>
    </row>
    <row r="1241" spans="1:19" x14ac:dyDescent="0.3">
      <c r="A1241">
        <v>1240</v>
      </c>
      <c r="B1241">
        <v>3</v>
      </c>
      <c r="C1241" s="1" t="str" cm="1">
        <f t="array" ref="C1241">_xlfn.IFS(B1241=1,"First Class",B1241=2,"Second Class",B1241=3,"Third Class")</f>
        <v>Third Class</v>
      </c>
      <c r="D1241">
        <v>0</v>
      </c>
      <c r="E1241" s="1" t="str">
        <f t="shared" si="76"/>
        <v>Dead</v>
      </c>
      <c r="F1241" t="s">
        <v>2034</v>
      </c>
      <c r="G1241" s="1" t="s">
        <v>2999</v>
      </c>
      <c r="H1241" t="s">
        <v>20</v>
      </c>
      <c r="I1241" s="1" t="str">
        <f t="shared" si="77"/>
        <v>Male</v>
      </c>
      <c r="J1241" s="3">
        <v>34</v>
      </c>
      <c r="K1241" s="3" t="str" cm="1">
        <f t="array" ref="K1241">_xlfn.IFS(J1241&lt;=13,"Child",J1241&lt;=18,"Teenager",J1241&lt;=30,"Young Adult",J1241&lt;=50,"Middle Aged Adult",J1241&gt;50,"Senior")</f>
        <v>Middle Aged Adult</v>
      </c>
      <c r="L1241">
        <v>0</v>
      </c>
      <c r="M1241">
        <v>0</v>
      </c>
      <c r="N1241" s="1">
        <f t="shared" si="78"/>
        <v>1</v>
      </c>
      <c r="O1241" s="1" t="str">
        <f t="shared" si="79"/>
        <v>Single</v>
      </c>
      <c r="P1241">
        <v>8.0500000000000007</v>
      </c>
      <c r="Q1241" s="1" t="str" cm="1">
        <f t="array" ref="Q1241">_xlfn.IFS(P1241&lt;=50,"Low",P1241&lt;=100,"Medium",P1241&gt;100,"High")</f>
        <v>Low</v>
      </c>
      <c r="R1241" t="s">
        <v>17</v>
      </c>
      <c r="S1241" s="1" t="str" cm="1">
        <f t="array" ref="S1241">_xlfn.IFS(R1241="S","Southampton",R1241="C","Cherbourg",R1241="Q","Queenstown")</f>
        <v>Southampton</v>
      </c>
    </row>
    <row r="1242" spans="1:19" x14ac:dyDescent="0.3">
      <c r="A1242">
        <v>1241</v>
      </c>
      <c r="B1242">
        <v>3</v>
      </c>
      <c r="C1242" s="1" t="str" cm="1">
        <f t="array" ref="C1242">_xlfn.IFS(B1242=1,"First Class",B1242=2,"Second Class",B1242=3,"Third Class")</f>
        <v>Third Class</v>
      </c>
      <c r="D1242">
        <v>1</v>
      </c>
      <c r="E1242" s="1" t="str">
        <f t="shared" si="76"/>
        <v>Alive</v>
      </c>
      <c r="F1242" t="s">
        <v>2035</v>
      </c>
      <c r="G1242" s="1" t="s">
        <v>2996</v>
      </c>
      <c r="H1242" t="s">
        <v>20</v>
      </c>
      <c r="I1242" s="1" t="str">
        <f t="shared" si="77"/>
        <v>Male</v>
      </c>
      <c r="J1242" s="3">
        <v>0.42</v>
      </c>
      <c r="K1242" s="3" t="str" cm="1">
        <f t="array" ref="K1242">_xlfn.IFS(J1242&lt;=13,"Child",J1242&lt;=18,"Teenager",J1242&lt;=30,"Young Adult",J1242&lt;=50,"Middle Aged Adult",J1242&gt;50,"Senior")</f>
        <v>Child</v>
      </c>
      <c r="L1242">
        <v>0</v>
      </c>
      <c r="M1242">
        <v>1</v>
      </c>
      <c r="N1242" s="1">
        <f t="shared" si="78"/>
        <v>2</v>
      </c>
      <c r="O1242" s="1" t="str">
        <f t="shared" si="79"/>
        <v>With Family</v>
      </c>
      <c r="P1242">
        <v>8.5167000000000002</v>
      </c>
      <c r="Q1242" s="1" t="str" cm="1">
        <f t="array" ref="Q1242">_xlfn.IFS(P1242&lt;=50,"Low",P1242&lt;=100,"Medium",P1242&gt;100,"High")</f>
        <v>Low</v>
      </c>
      <c r="R1242" t="s">
        <v>41</v>
      </c>
      <c r="S1242" s="1" t="str" cm="1">
        <f t="array" ref="S1242">_xlfn.IFS(R1242="S","Southampton",R1242="C","Cherbourg",R1242="Q","Queenstown")</f>
        <v>Cherbourg</v>
      </c>
    </row>
    <row r="1243" spans="1:19" x14ac:dyDescent="0.3">
      <c r="A1243">
        <v>1242</v>
      </c>
      <c r="B1243">
        <v>3</v>
      </c>
      <c r="C1243" s="1" t="str" cm="1">
        <f t="array" ref="C1243">_xlfn.IFS(B1243=1,"First Class",B1243=2,"Second Class",B1243=3,"Third Class")</f>
        <v>Third Class</v>
      </c>
      <c r="D1243">
        <v>0</v>
      </c>
      <c r="E1243" s="1" t="str">
        <f t="shared" si="76"/>
        <v>Dead</v>
      </c>
      <c r="F1243" t="s">
        <v>2036</v>
      </c>
      <c r="G1243" s="1" t="s">
        <v>2999</v>
      </c>
      <c r="H1243" t="s">
        <v>20</v>
      </c>
      <c r="I1243" s="1" t="str">
        <f t="shared" si="77"/>
        <v>Male</v>
      </c>
      <c r="J1243" s="3">
        <v>29.881137667304014</v>
      </c>
      <c r="K1243" s="3" t="str" cm="1">
        <f t="array" ref="K1243">_xlfn.IFS(J1243&lt;=13,"Child",J1243&lt;=18,"Teenager",J1243&lt;=30,"Young Adult",J1243&lt;=50,"Middle Aged Adult",J1243&gt;50,"Senior")</f>
        <v>Young Adult</v>
      </c>
      <c r="L1243">
        <v>1</v>
      </c>
      <c r="M1243">
        <v>0</v>
      </c>
      <c r="N1243" s="1">
        <f t="shared" si="78"/>
        <v>2</v>
      </c>
      <c r="O1243" s="1" t="str">
        <f t="shared" si="79"/>
        <v>With Family</v>
      </c>
      <c r="P1243">
        <v>6.4375</v>
      </c>
      <c r="Q1243" s="1" t="str" cm="1">
        <f t="array" ref="Q1243">_xlfn.IFS(P1243&lt;=50,"Low",P1243&lt;=100,"Medium",P1243&gt;100,"High")</f>
        <v>Low</v>
      </c>
      <c r="R1243" t="s">
        <v>41</v>
      </c>
      <c r="S1243" s="1" t="str" cm="1">
        <f t="array" ref="S1243">_xlfn.IFS(R1243="S","Southampton",R1243="C","Cherbourg",R1243="Q","Queenstown")</f>
        <v>Cherbourg</v>
      </c>
    </row>
    <row r="1244" spans="1:19" x14ac:dyDescent="0.3">
      <c r="A1244">
        <v>1243</v>
      </c>
      <c r="B1244">
        <v>3</v>
      </c>
      <c r="C1244" s="1" t="str" cm="1">
        <f t="array" ref="C1244">_xlfn.IFS(B1244=1,"First Class",B1244=2,"Second Class",B1244=3,"Third Class")</f>
        <v>Third Class</v>
      </c>
      <c r="D1244">
        <v>0</v>
      </c>
      <c r="E1244" s="1" t="str">
        <f t="shared" si="76"/>
        <v>Dead</v>
      </c>
      <c r="F1244" t="s">
        <v>2037</v>
      </c>
      <c r="G1244" s="1" t="s">
        <v>2999</v>
      </c>
      <c r="H1244" t="s">
        <v>20</v>
      </c>
      <c r="I1244" s="1" t="str">
        <f t="shared" si="77"/>
        <v>Male</v>
      </c>
      <c r="J1244" s="3">
        <v>29.881137667304014</v>
      </c>
      <c r="K1244" s="3" t="str" cm="1">
        <f t="array" ref="K1244">_xlfn.IFS(J1244&lt;=13,"Child",J1244&lt;=18,"Teenager",J1244&lt;=30,"Young Adult",J1244&lt;=50,"Middle Aged Adult",J1244&gt;50,"Senior")</f>
        <v>Young Adult</v>
      </c>
      <c r="L1244">
        <v>0</v>
      </c>
      <c r="M1244">
        <v>0</v>
      </c>
      <c r="N1244" s="1">
        <f t="shared" si="78"/>
        <v>1</v>
      </c>
      <c r="O1244" s="1" t="str">
        <f t="shared" si="79"/>
        <v>Single</v>
      </c>
      <c r="P1244">
        <v>6.4375</v>
      </c>
      <c r="Q1244" s="1" t="str" cm="1">
        <f t="array" ref="Q1244">_xlfn.IFS(P1244&lt;=50,"Low",P1244&lt;=100,"Medium",P1244&gt;100,"High")</f>
        <v>Low</v>
      </c>
      <c r="R1244" t="s">
        <v>41</v>
      </c>
      <c r="S1244" s="1" t="str" cm="1">
        <f t="array" ref="S1244">_xlfn.IFS(R1244="S","Southampton",R1244="C","Cherbourg",R1244="Q","Queenstown")</f>
        <v>Cherbourg</v>
      </c>
    </row>
    <row r="1245" spans="1:19" x14ac:dyDescent="0.3">
      <c r="A1245">
        <v>1244</v>
      </c>
      <c r="B1245">
        <v>3</v>
      </c>
      <c r="C1245" s="1" t="str" cm="1">
        <f t="array" ref="C1245">_xlfn.IFS(B1245=1,"First Class",B1245=2,"Second Class",B1245=3,"Third Class")</f>
        <v>Third Class</v>
      </c>
      <c r="D1245">
        <v>0</v>
      </c>
      <c r="E1245" s="1" t="str">
        <f t="shared" si="76"/>
        <v>Dead</v>
      </c>
      <c r="F1245" t="s">
        <v>2038</v>
      </c>
      <c r="G1245" s="1" t="s">
        <v>2999</v>
      </c>
      <c r="H1245" t="s">
        <v>20</v>
      </c>
      <c r="I1245" s="1" t="str">
        <f t="shared" si="77"/>
        <v>Male</v>
      </c>
      <c r="J1245" s="3">
        <v>29.881137667304014</v>
      </c>
      <c r="K1245" s="3" t="str" cm="1">
        <f t="array" ref="K1245">_xlfn.IFS(J1245&lt;=13,"Child",J1245&lt;=18,"Teenager",J1245&lt;=30,"Young Adult",J1245&lt;=50,"Middle Aged Adult",J1245&gt;50,"Senior")</f>
        <v>Young Adult</v>
      </c>
      <c r="L1245">
        <v>0</v>
      </c>
      <c r="M1245">
        <v>0</v>
      </c>
      <c r="N1245" s="1">
        <f t="shared" si="78"/>
        <v>1</v>
      </c>
      <c r="O1245" s="1" t="str">
        <f t="shared" si="79"/>
        <v>Single</v>
      </c>
      <c r="P1245">
        <v>7.2249999999999996</v>
      </c>
      <c r="Q1245" s="1" t="str" cm="1">
        <f t="array" ref="Q1245">_xlfn.IFS(P1245&lt;=50,"Low",P1245&lt;=100,"Medium",P1245&gt;100,"High")</f>
        <v>Low</v>
      </c>
      <c r="R1245" t="s">
        <v>41</v>
      </c>
      <c r="S1245" s="1" t="str" cm="1">
        <f t="array" ref="S1245">_xlfn.IFS(R1245="S","Southampton",R1245="C","Cherbourg",R1245="Q","Queenstown")</f>
        <v>Cherbourg</v>
      </c>
    </row>
    <row r="1246" spans="1:19" x14ac:dyDescent="0.3">
      <c r="A1246">
        <v>1245</v>
      </c>
      <c r="B1246">
        <v>3</v>
      </c>
      <c r="C1246" s="1" t="str" cm="1">
        <f t="array" ref="C1246">_xlfn.IFS(B1246=1,"First Class",B1246=2,"Second Class",B1246=3,"Third Class")</f>
        <v>Third Class</v>
      </c>
      <c r="D1246">
        <v>1</v>
      </c>
      <c r="E1246" s="1" t="str">
        <f t="shared" si="76"/>
        <v>Alive</v>
      </c>
      <c r="F1246" t="s">
        <v>2039</v>
      </c>
      <c r="G1246" s="1" t="s">
        <v>3001</v>
      </c>
      <c r="H1246" t="s">
        <v>15</v>
      </c>
      <c r="I1246" s="1" t="str">
        <f t="shared" si="77"/>
        <v>Female</v>
      </c>
      <c r="J1246" s="3">
        <v>16</v>
      </c>
      <c r="K1246" s="3" t="str" cm="1">
        <f t="array" ref="K1246">_xlfn.IFS(J1246&lt;=13,"Child",J1246&lt;=18,"Teenager",J1246&lt;=30,"Young Adult",J1246&lt;=50,"Middle Aged Adult",J1246&gt;50,"Senior")</f>
        <v>Teenager</v>
      </c>
      <c r="L1246">
        <v>1</v>
      </c>
      <c r="M1246">
        <v>1</v>
      </c>
      <c r="N1246" s="1">
        <f t="shared" si="78"/>
        <v>3</v>
      </c>
      <c r="O1246" s="1" t="str">
        <f t="shared" si="79"/>
        <v>With Family</v>
      </c>
      <c r="P1246">
        <v>8.5167000000000002</v>
      </c>
      <c r="Q1246" s="1" t="str" cm="1">
        <f t="array" ref="Q1246">_xlfn.IFS(P1246&lt;=50,"Low",P1246&lt;=100,"Medium",P1246&gt;100,"High")</f>
        <v>Low</v>
      </c>
      <c r="R1246" t="s">
        <v>41</v>
      </c>
      <c r="S1246" s="1" t="str" cm="1">
        <f t="array" ref="S1246">_xlfn.IFS(R1246="S","Southampton",R1246="C","Cherbourg",R1246="Q","Queenstown")</f>
        <v>Cherbourg</v>
      </c>
    </row>
    <row r="1247" spans="1:19" x14ac:dyDescent="0.3">
      <c r="A1247">
        <v>1246</v>
      </c>
      <c r="B1247">
        <v>3</v>
      </c>
      <c r="C1247" s="1" t="str" cm="1">
        <f t="array" ref="C1247">_xlfn.IFS(B1247=1,"First Class",B1247=2,"Second Class",B1247=3,"Third Class")</f>
        <v>Third Class</v>
      </c>
      <c r="D1247">
        <v>0</v>
      </c>
      <c r="E1247" s="1" t="str">
        <f t="shared" si="76"/>
        <v>Dead</v>
      </c>
      <c r="F1247" t="s">
        <v>2040</v>
      </c>
      <c r="G1247" s="1" t="s">
        <v>2999</v>
      </c>
      <c r="H1247" t="s">
        <v>20</v>
      </c>
      <c r="I1247" s="1" t="str">
        <f t="shared" si="77"/>
        <v>Male</v>
      </c>
      <c r="J1247" s="3">
        <v>29.881137667304014</v>
      </c>
      <c r="K1247" s="3" t="str" cm="1">
        <f t="array" ref="K1247">_xlfn.IFS(J1247&lt;=13,"Child",J1247&lt;=18,"Teenager",J1247&lt;=30,"Young Adult",J1247&lt;=50,"Middle Aged Adult",J1247&gt;50,"Senior")</f>
        <v>Young Adult</v>
      </c>
      <c r="L1247">
        <v>0</v>
      </c>
      <c r="M1247">
        <v>0</v>
      </c>
      <c r="N1247" s="1">
        <f t="shared" si="78"/>
        <v>1</v>
      </c>
      <c r="O1247" s="1" t="str">
        <f t="shared" si="79"/>
        <v>Single</v>
      </c>
      <c r="P1247">
        <v>8.0500000000000007</v>
      </c>
      <c r="Q1247" s="1" t="str" cm="1">
        <f t="array" ref="Q1247">_xlfn.IFS(P1247&lt;=50,"Low",P1247&lt;=100,"Medium",P1247&gt;100,"High")</f>
        <v>Low</v>
      </c>
      <c r="R1247" t="s">
        <v>17</v>
      </c>
      <c r="S1247" s="1" t="str" cm="1">
        <f t="array" ref="S1247">_xlfn.IFS(R1247="S","Southampton",R1247="C","Cherbourg",R1247="Q","Queenstown")</f>
        <v>Southampton</v>
      </c>
    </row>
    <row r="1248" spans="1:19" x14ac:dyDescent="0.3">
      <c r="A1248">
        <v>1247</v>
      </c>
      <c r="B1248">
        <v>3</v>
      </c>
      <c r="C1248" s="1" t="str" cm="1">
        <f t="array" ref="C1248">_xlfn.IFS(B1248=1,"First Class",B1248=2,"Second Class",B1248=3,"Third Class")</f>
        <v>Third Class</v>
      </c>
      <c r="D1248">
        <v>0</v>
      </c>
      <c r="E1248" s="1" t="str">
        <f t="shared" si="76"/>
        <v>Dead</v>
      </c>
      <c r="F1248" t="s">
        <v>2041</v>
      </c>
      <c r="G1248" s="1" t="s">
        <v>2999</v>
      </c>
      <c r="H1248" t="s">
        <v>20</v>
      </c>
      <c r="I1248" s="1" t="str">
        <f t="shared" si="77"/>
        <v>Male</v>
      </c>
      <c r="J1248" s="3">
        <v>29.881137667304014</v>
      </c>
      <c r="K1248" s="3" t="str" cm="1">
        <f t="array" ref="K1248">_xlfn.IFS(J1248&lt;=13,"Child",J1248&lt;=18,"Teenager",J1248&lt;=30,"Young Adult",J1248&lt;=50,"Middle Aged Adult",J1248&gt;50,"Senior")</f>
        <v>Young Adult</v>
      </c>
      <c r="L1248">
        <v>1</v>
      </c>
      <c r="M1248">
        <v>0</v>
      </c>
      <c r="N1248" s="1">
        <f t="shared" si="78"/>
        <v>2</v>
      </c>
      <c r="O1248" s="1" t="str">
        <f t="shared" si="79"/>
        <v>With Family</v>
      </c>
      <c r="P1248">
        <v>16.100000000000001</v>
      </c>
      <c r="Q1248" s="1" t="str" cm="1">
        <f t="array" ref="Q1248">_xlfn.IFS(P1248&lt;=50,"Low",P1248&lt;=100,"Medium",P1248&gt;100,"High")</f>
        <v>Low</v>
      </c>
      <c r="R1248" t="s">
        <v>17</v>
      </c>
      <c r="S1248" s="1" t="str" cm="1">
        <f t="array" ref="S1248">_xlfn.IFS(R1248="S","Southampton",R1248="C","Cherbourg",R1248="Q","Queenstown")</f>
        <v>Southampton</v>
      </c>
    </row>
    <row r="1249" spans="1:19" x14ac:dyDescent="0.3">
      <c r="A1249">
        <v>1248</v>
      </c>
      <c r="B1249">
        <v>3</v>
      </c>
      <c r="C1249" s="1" t="str" cm="1">
        <f t="array" ref="C1249">_xlfn.IFS(B1249=1,"First Class",B1249=2,"Second Class",B1249=3,"Third Class")</f>
        <v>Third Class</v>
      </c>
      <c r="D1249">
        <v>1</v>
      </c>
      <c r="E1249" s="1" t="str">
        <f t="shared" si="76"/>
        <v>Alive</v>
      </c>
      <c r="F1249" t="s">
        <v>2042</v>
      </c>
      <c r="G1249" s="1" t="s">
        <v>3001</v>
      </c>
      <c r="H1249" t="s">
        <v>15</v>
      </c>
      <c r="I1249" s="1" t="str">
        <f t="shared" si="77"/>
        <v>Female</v>
      </c>
      <c r="J1249" s="3">
        <v>29.881137667304014</v>
      </c>
      <c r="K1249" s="3" t="str" cm="1">
        <f t="array" ref="K1249">_xlfn.IFS(J1249&lt;=13,"Child",J1249&lt;=18,"Teenager",J1249&lt;=30,"Young Adult",J1249&lt;=50,"Middle Aged Adult",J1249&gt;50,"Senior")</f>
        <v>Young Adult</v>
      </c>
      <c r="L1249">
        <v>1</v>
      </c>
      <c r="M1249">
        <v>0</v>
      </c>
      <c r="N1249" s="1">
        <f t="shared" si="78"/>
        <v>2</v>
      </c>
      <c r="O1249" s="1" t="str">
        <f t="shared" si="79"/>
        <v>With Family</v>
      </c>
      <c r="P1249">
        <v>16.100000000000001</v>
      </c>
      <c r="Q1249" s="1" t="str" cm="1">
        <f t="array" ref="Q1249">_xlfn.IFS(P1249&lt;=50,"Low",P1249&lt;=100,"Medium",P1249&gt;100,"High")</f>
        <v>Low</v>
      </c>
      <c r="R1249" t="s">
        <v>17</v>
      </c>
      <c r="S1249" s="1" t="str" cm="1">
        <f t="array" ref="S1249">_xlfn.IFS(R1249="S","Southampton",R1249="C","Cherbourg",R1249="Q","Queenstown")</f>
        <v>Southampton</v>
      </c>
    </row>
    <row r="1250" spans="1:19" x14ac:dyDescent="0.3">
      <c r="A1250">
        <v>1249</v>
      </c>
      <c r="B1250">
        <v>3</v>
      </c>
      <c r="C1250" s="1" t="str" cm="1">
        <f t="array" ref="C1250">_xlfn.IFS(B1250=1,"First Class",B1250=2,"Second Class",B1250=3,"Third Class")</f>
        <v>Third Class</v>
      </c>
      <c r="D1250">
        <v>0</v>
      </c>
      <c r="E1250" s="1" t="str">
        <f t="shared" si="76"/>
        <v>Dead</v>
      </c>
      <c r="F1250" t="s">
        <v>2043</v>
      </c>
      <c r="G1250" s="1" t="s">
        <v>2999</v>
      </c>
      <c r="H1250" t="s">
        <v>20</v>
      </c>
      <c r="I1250" s="1" t="str">
        <f t="shared" si="77"/>
        <v>Male</v>
      </c>
      <c r="J1250" s="3">
        <v>32</v>
      </c>
      <c r="K1250" s="3" t="str" cm="1">
        <f t="array" ref="K1250">_xlfn.IFS(J1250&lt;=13,"Child",J1250&lt;=18,"Teenager",J1250&lt;=30,"Young Adult",J1250&lt;=50,"Middle Aged Adult",J1250&gt;50,"Senior")</f>
        <v>Middle Aged Adult</v>
      </c>
      <c r="L1250">
        <v>0</v>
      </c>
      <c r="M1250">
        <v>0</v>
      </c>
      <c r="N1250" s="1">
        <f t="shared" si="78"/>
        <v>1</v>
      </c>
      <c r="O1250" s="1" t="str">
        <f t="shared" si="79"/>
        <v>Single</v>
      </c>
      <c r="P1250">
        <v>7.9249999999999998</v>
      </c>
      <c r="Q1250" s="1" t="str" cm="1">
        <f t="array" ref="Q1250">_xlfn.IFS(P1250&lt;=50,"Low",P1250&lt;=100,"Medium",P1250&gt;100,"High")</f>
        <v>Low</v>
      </c>
      <c r="R1250" t="s">
        <v>17</v>
      </c>
      <c r="S1250" s="1" t="str" cm="1">
        <f t="array" ref="S1250">_xlfn.IFS(R1250="S","Southampton",R1250="C","Cherbourg",R1250="Q","Queenstown")</f>
        <v>Southampton</v>
      </c>
    </row>
    <row r="1251" spans="1:19" x14ac:dyDescent="0.3">
      <c r="A1251">
        <v>1250</v>
      </c>
      <c r="B1251">
        <v>3</v>
      </c>
      <c r="C1251" s="1" t="str" cm="1">
        <f t="array" ref="C1251">_xlfn.IFS(B1251=1,"First Class",B1251=2,"Second Class",B1251=3,"Third Class")</f>
        <v>Third Class</v>
      </c>
      <c r="D1251">
        <v>0</v>
      </c>
      <c r="E1251" s="1" t="str">
        <f t="shared" si="76"/>
        <v>Dead</v>
      </c>
      <c r="F1251" t="s">
        <v>2045</v>
      </c>
      <c r="G1251" s="1" t="s">
        <v>2999</v>
      </c>
      <c r="H1251" t="s">
        <v>20</v>
      </c>
      <c r="I1251" s="1" t="str">
        <f t="shared" si="77"/>
        <v>Male</v>
      </c>
      <c r="J1251" s="3">
        <v>29.881137667304014</v>
      </c>
      <c r="K1251" s="3" t="str" cm="1">
        <f t="array" ref="K1251">_xlfn.IFS(J1251&lt;=13,"Child",J1251&lt;=18,"Teenager",J1251&lt;=30,"Young Adult",J1251&lt;=50,"Middle Aged Adult",J1251&gt;50,"Senior")</f>
        <v>Young Adult</v>
      </c>
      <c r="L1251">
        <v>0</v>
      </c>
      <c r="M1251">
        <v>0</v>
      </c>
      <c r="N1251" s="1">
        <f t="shared" si="78"/>
        <v>1</v>
      </c>
      <c r="O1251" s="1" t="str">
        <f t="shared" si="79"/>
        <v>Single</v>
      </c>
      <c r="P1251">
        <v>7.75</v>
      </c>
      <c r="Q1251" s="1" t="str" cm="1">
        <f t="array" ref="Q1251">_xlfn.IFS(P1251&lt;=50,"Low",P1251&lt;=100,"Medium",P1251&gt;100,"High")</f>
        <v>Low</v>
      </c>
      <c r="R1251" t="s">
        <v>463</v>
      </c>
      <c r="S1251" s="1" t="str" cm="1">
        <f t="array" ref="S1251">_xlfn.IFS(R1251="S","Southampton",R1251="C","Cherbourg",R1251="Q","Queenstown")</f>
        <v>Queenstown</v>
      </c>
    </row>
    <row r="1252" spans="1:19" x14ac:dyDescent="0.3">
      <c r="A1252">
        <v>1251</v>
      </c>
      <c r="B1252">
        <v>3</v>
      </c>
      <c r="C1252" s="1" t="str" cm="1">
        <f t="array" ref="C1252">_xlfn.IFS(B1252=1,"First Class",B1252=2,"Second Class",B1252=3,"Third Class")</f>
        <v>Third Class</v>
      </c>
      <c r="D1252">
        <v>0</v>
      </c>
      <c r="E1252" s="1" t="str">
        <f t="shared" si="76"/>
        <v>Dead</v>
      </c>
      <c r="F1252" t="s">
        <v>2047</v>
      </c>
      <c r="G1252" s="1" t="s">
        <v>2999</v>
      </c>
      <c r="H1252" t="s">
        <v>20</v>
      </c>
      <c r="I1252" s="1" t="str">
        <f t="shared" si="77"/>
        <v>Male</v>
      </c>
      <c r="J1252" s="3">
        <v>29.881137667304014</v>
      </c>
      <c r="K1252" s="3" t="str" cm="1">
        <f t="array" ref="K1252">_xlfn.IFS(J1252&lt;=13,"Child",J1252&lt;=18,"Teenager",J1252&lt;=30,"Young Adult",J1252&lt;=50,"Middle Aged Adult",J1252&gt;50,"Senior")</f>
        <v>Young Adult</v>
      </c>
      <c r="L1252">
        <v>0</v>
      </c>
      <c r="M1252">
        <v>0</v>
      </c>
      <c r="N1252" s="1">
        <f t="shared" si="78"/>
        <v>1</v>
      </c>
      <c r="O1252" s="1" t="str">
        <f t="shared" si="79"/>
        <v>Single</v>
      </c>
      <c r="P1252">
        <v>7.8958000000000004</v>
      </c>
      <c r="Q1252" s="1" t="str" cm="1">
        <f t="array" ref="Q1252">_xlfn.IFS(P1252&lt;=50,"Low",P1252&lt;=100,"Medium",P1252&gt;100,"High")</f>
        <v>Low</v>
      </c>
      <c r="R1252" t="s">
        <v>17</v>
      </c>
      <c r="S1252" s="1" t="str" cm="1">
        <f t="array" ref="S1252">_xlfn.IFS(R1252="S","Southampton",R1252="C","Cherbourg",R1252="Q","Queenstown")</f>
        <v>Southampton</v>
      </c>
    </row>
    <row r="1253" spans="1:19" x14ac:dyDescent="0.3">
      <c r="A1253">
        <v>1252</v>
      </c>
      <c r="B1253">
        <v>3</v>
      </c>
      <c r="C1253" s="1" t="str" cm="1">
        <f t="array" ref="C1253">_xlfn.IFS(B1253=1,"First Class",B1253=2,"Second Class",B1253=3,"Third Class")</f>
        <v>Third Class</v>
      </c>
      <c r="D1253">
        <v>0</v>
      </c>
      <c r="E1253" s="1" t="str">
        <f t="shared" si="76"/>
        <v>Dead</v>
      </c>
      <c r="F1253" t="s">
        <v>2048</v>
      </c>
      <c r="G1253" s="1" t="s">
        <v>2999</v>
      </c>
      <c r="H1253" t="s">
        <v>20</v>
      </c>
      <c r="I1253" s="1" t="str">
        <f t="shared" si="77"/>
        <v>Male</v>
      </c>
      <c r="J1253" s="3">
        <v>30.5</v>
      </c>
      <c r="K1253" s="3" t="str" cm="1">
        <f t="array" ref="K1253">_xlfn.IFS(J1253&lt;=13,"Child",J1253&lt;=18,"Teenager",J1253&lt;=30,"Young Adult",J1253&lt;=50,"Middle Aged Adult",J1253&gt;50,"Senior")</f>
        <v>Middle Aged Adult</v>
      </c>
      <c r="L1253">
        <v>0</v>
      </c>
      <c r="M1253">
        <v>0</v>
      </c>
      <c r="N1253" s="1">
        <f t="shared" si="78"/>
        <v>1</v>
      </c>
      <c r="O1253" s="1" t="str">
        <f t="shared" si="79"/>
        <v>Single</v>
      </c>
      <c r="P1253">
        <v>8.0500000000000007</v>
      </c>
      <c r="Q1253" s="1" t="str" cm="1">
        <f t="array" ref="Q1253">_xlfn.IFS(P1253&lt;=50,"Low",P1253&lt;=100,"Medium",P1253&gt;100,"High")</f>
        <v>Low</v>
      </c>
      <c r="R1253" t="s">
        <v>17</v>
      </c>
      <c r="S1253" s="1" t="str" cm="1">
        <f t="array" ref="S1253">_xlfn.IFS(R1253="S","Southampton",R1253="C","Cherbourg",R1253="Q","Queenstown")</f>
        <v>Southampton</v>
      </c>
    </row>
    <row r="1254" spans="1:19" x14ac:dyDescent="0.3">
      <c r="A1254">
        <v>1253</v>
      </c>
      <c r="B1254">
        <v>3</v>
      </c>
      <c r="C1254" s="1" t="str" cm="1">
        <f t="array" ref="C1254">_xlfn.IFS(B1254=1,"First Class",B1254=2,"Second Class",B1254=3,"Third Class")</f>
        <v>Third Class</v>
      </c>
      <c r="D1254">
        <v>0</v>
      </c>
      <c r="E1254" s="1" t="str">
        <f t="shared" si="76"/>
        <v>Dead</v>
      </c>
      <c r="F1254" t="s">
        <v>2049</v>
      </c>
      <c r="G1254" s="1" t="s">
        <v>2999</v>
      </c>
      <c r="H1254" t="s">
        <v>20</v>
      </c>
      <c r="I1254" s="1" t="str">
        <f t="shared" si="77"/>
        <v>Male</v>
      </c>
      <c r="J1254" s="3">
        <v>44</v>
      </c>
      <c r="K1254" s="3" t="str" cm="1">
        <f t="array" ref="K1254">_xlfn.IFS(J1254&lt;=13,"Child",J1254&lt;=18,"Teenager",J1254&lt;=30,"Young Adult",J1254&lt;=50,"Middle Aged Adult",J1254&gt;50,"Senior")</f>
        <v>Middle Aged Adult</v>
      </c>
      <c r="L1254">
        <v>0</v>
      </c>
      <c r="M1254">
        <v>0</v>
      </c>
      <c r="N1254" s="1">
        <f t="shared" si="78"/>
        <v>1</v>
      </c>
      <c r="O1254" s="1" t="str">
        <f t="shared" si="79"/>
        <v>Single</v>
      </c>
      <c r="P1254">
        <v>8.0500000000000007</v>
      </c>
      <c r="Q1254" s="1" t="str" cm="1">
        <f t="array" ref="Q1254">_xlfn.IFS(P1254&lt;=50,"Low",P1254&lt;=100,"Medium",P1254&gt;100,"High")</f>
        <v>Low</v>
      </c>
      <c r="R1254" t="s">
        <v>17</v>
      </c>
      <c r="S1254" s="1" t="str" cm="1">
        <f t="array" ref="S1254">_xlfn.IFS(R1254="S","Southampton",R1254="C","Cherbourg",R1254="Q","Queenstown")</f>
        <v>Southampton</v>
      </c>
    </row>
    <row r="1255" spans="1:19" x14ac:dyDescent="0.3">
      <c r="A1255">
        <v>1254</v>
      </c>
      <c r="B1255">
        <v>3</v>
      </c>
      <c r="C1255" s="1" t="str" cm="1">
        <f t="array" ref="C1255">_xlfn.IFS(B1255=1,"First Class",B1255=2,"Second Class",B1255=3,"Third Class")</f>
        <v>Third Class</v>
      </c>
      <c r="D1255">
        <v>0</v>
      </c>
      <c r="E1255" s="1" t="str">
        <f t="shared" si="76"/>
        <v>Dead</v>
      </c>
      <c r="F1255" t="s">
        <v>2050</v>
      </c>
      <c r="G1255" s="1" t="s">
        <v>2999</v>
      </c>
      <c r="H1255" t="s">
        <v>20</v>
      </c>
      <c r="I1255" s="1" t="str">
        <f t="shared" si="77"/>
        <v>Male</v>
      </c>
      <c r="J1255" s="3">
        <v>29.881137667304014</v>
      </c>
      <c r="K1255" s="3" t="str" cm="1">
        <f t="array" ref="K1255">_xlfn.IFS(J1255&lt;=13,"Child",J1255&lt;=18,"Teenager",J1255&lt;=30,"Young Adult",J1255&lt;=50,"Middle Aged Adult",J1255&gt;50,"Senior")</f>
        <v>Young Adult</v>
      </c>
      <c r="L1255">
        <v>0</v>
      </c>
      <c r="M1255">
        <v>0</v>
      </c>
      <c r="N1255" s="1">
        <f t="shared" si="78"/>
        <v>1</v>
      </c>
      <c r="O1255" s="1" t="str">
        <f t="shared" si="79"/>
        <v>Single</v>
      </c>
      <c r="P1255">
        <v>7.2291999999999996</v>
      </c>
      <c r="Q1255" s="1" t="str" cm="1">
        <f t="array" ref="Q1255">_xlfn.IFS(P1255&lt;=50,"Low",P1255&lt;=100,"Medium",P1255&gt;100,"High")</f>
        <v>Low</v>
      </c>
      <c r="R1255" t="s">
        <v>41</v>
      </c>
      <c r="S1255" s="1" t="str" cm="1">
        <f t="array" ref="S1255">_xlfn.IFS(R1255="S","Southampton",R1255="C","Cherbourg",R1255="Q","Queenstown")</f>
        <v>Cherbourg</v>
      </c>
    </row>
    <row r="1256" spans="1:19" x14ac:dyDescent="0.3">
      <c r="A1256">
        <v>1255</v>
      </c>
      <c r="B1256">
        <v>3</v>
      </c>
      <c r="C1256" s="1" t="str" cm="1">
        <f t="array" ref="C1256">_xlfn.IFS(B1256=1,"First Class",B1256=2,"Second Class",B1256=3,"Third Class")</f>
        <v>Third Class</v>
      </c>
      <c r="D1256">
        <v>1</v>
      </c>
      <c r="E1256" s="1" t="str">
        <f t="shared" si="76"/>
        <v>Alive</v>
      </c>
      <c r="F1256" t="s">
        <v>2051</v>
      </c>
      <c r="G1256" s="1" t="s">
        <v>2999</v>
      </c>
      <c r="H1256" t="s">
        <v>20</v>
      </c>
      <c r="I1256" s="1" t="str">
        <f t="shared" si="77"/>
        <v>Male</v>
      </c>
      <c r="J1256" s="3">
        <v>25</v>
      </c>
      <c r="K1256" s="3" t="str" cm="1">
        <f t="array" ref="K1256">_xlfn.IFS(J1256&lt;=13,"Child",J1256&lt;=18,"Teenager",J1256&lt;=30,"Young Adult",J1256&lt;=50,"Middle Aged Adult",J1256&gt;50,"Senior")</f>
        <v>Young Adult</v>
      </c>
      <c r="L1256">
        <v>0</v>
      </c>
      <c r="M1256">
        <v>0</v>
      </c>
      <c r="N1256" s="1">
        <f t="shared" si="78"/>
        <v>1</v>
      </c>
      <c r="O1256" s="1" t="str">
        <f t="shared" si="79"/>
        <v>Single</v>
      </c>
      <c r="P1256">
        <v>0</v>
      </c>
      <c r="Q1256" s="1" t="str" cm="1">
        <f t="array" ref="Q1256">_xlfn.IFS(P1256&lt;=50,"Low",P1256&lt;=100,"Medium",P1256&gt;100,"High")</f>
        <v>Low</v>
      </c>
      <c r="R1256" t="s">
        <v>17</v>
      </c>
      <c r="S1256" s="1" t="str" cm="1">
        <f t="array" ref="S1256">_xlfn.IFS(R1256="S","Southampton",R1256="C","Cherbourg",R1256="Q","Queenstown")</f>
        <v>Southampton</v>
      </c>
    </row>
    <row r="1257" spans="1:19" x14ac:dyDescent="0.3">
      <c r="A1257">
        <v>1256</v>
      </c>
      <c r="B1257">
        <v>3</v>
      </c>
      <c r="C1257" s="1" t="str" cm="1">
        <f t="array" ref="C1257">_xlfn.IFS(B1257=1,"First Class",B1257=2,"Second Class",B1257=3,"Third Class")</f>
        <v>Third Class</v>
      </c>
      <c r="D1257">
        <v>0</v>
      </c>
      <c r="E1257" s="1" t="str">
        <f t="shared" si="76"/>
        <v>Dead</v>
      </c>
      <c r="F1257" t="s">
        <v>2052</v>
      </c>
      <c r="G1257" s="1" t="s">
        <v>2999</v>
      </c>
      <c r="H1257" t="s">
        <v>20</v>
      </c>
      <c r="I1257" s="1" t="str">
        <f t="shared" si="77"/>
        <v>Male</v>
      </c>
      <c r="J1257" s="3">
        <v>29.881137667304014</v>
      </c>
      <c r="K1257" s="3" t="str" cm="1">
        <f t="array" ref="K1257">_xlfn.IFS(J1257&lt;=13,"Child",J1257&lt;=18,"Teenager",J1257&lt;=30,"Young Adult",J1257&lt;=50,"Middle Aged Adult",J1257&gt;50,"Senior")</f>
        <v>Young Adult</v>
      </c>
      <c r="L1257">
        <v>0</v>
      </c>
      <c r="M1257">
        <v>0</v>
      </c>
      <c r="N1257" s="1">
        <f t="shared" si="78"/>
        <v>1</v>
      </c>
      <c r="O1257" s="1" t="str">
        <f t="shared" si="79"/>
        <v>Single</v>
      </c>
      <c r="P1257">
        <v>7.2291999999999996</v>
      </c>
      <c r="Q1257" s="1" t="str" cm="1">
        <f t="array" ref="Q1257">_xlfn.IFS(P1257&lt;=50,"Low",P1257&lt;=100,"Medium",P1257&gt;100,"High")</f>
        <v>Low</v>
      </c>
      <c r="R1257" t="s">
        <v>41</v>
      </c>
      <c r="S1257" s="1" t="str" cm="1">
        <f t="array" ref="S1257">_xlfn.IFS(R1257="S","Southampton",R1257="C","Cherbourg",R1257="Q","Queenstown")</f>
        <v>Cherbourg</v>
      </c>
    </row>
    <row r="1258" spans="1:19" x14ac:dyDescent="0.3">
      <c r="A1258">
        <v>1257</v>
      </c>
      <c r="B1258">
        <v>3</v>
      </c>
      <c r="C1258" s="1" t="str" cm="1">
        <f t="array" ref="C1258">_xlfn.IFS(B1258=1,"First Class",B1258=2,"Second Class",B1258=3,"Third Class")</f>
        <v>Third Class</v>
      </c>
      <c r="D1258">
        <v>1</v>
      </c>
      <c r="E1258" s="1" t="str">
        <f t="shared" si="76"/>
        <v>Alive</v>
      </c>
      <c r="F1258" t="s">
        <v>2053</v>
      </c>
      <c r="G1258" s="1" t="s">
        <v>2996</v>
      </c>
      <c r="H1258" t="s">
        <v>20</v>
      </c>
      <c r="I1258" s="1" t="str">
        <f t="shared" si="77"/>
        <v>Male</v>
      </c>
      <c r="J1258" s="3">
        <v>7</v>
      </c>
      <c r="K1258" s="3" t="str" cm="1">
        <f t="array" ref="K1258">_xlfn.IFS(J1258&lt;=13,"Child",J1258&lt;=18,"Teenager",J1258&lt;=30,"Young Adult",J1258&lt;=50,"Middle Aged Adult",J1258&gt;50,"Senior")</f>
        <v>Child</v>
      </c>
      <c r="L1258">
        <v>1</v>
      </c>
      <c r="M1258">
        <v>1</v>
      </c>
      <c r="N1258" s="1">
        <f t="shared" si="78"/>
        <v>3</v>
      </c>
      <c r="O1258" s="1" t="str">
        <f t="shared" si="79"/>
        <v>With Family</v>
      </c>
      <c r="P1258">
        <v>15.245799999999999</v>
      </c>
      <c r="Q1258" s="1" t="str" cm="1">
        <f t="array" ref="Q1258">_xlfn.IFS(P1258&lt;=50,"Low",P1258&lt;=100,"Medium",P1258&gt;100,"High")</f>
        <v>Low</v>
      </c>
      <c r="R1258" t="s">
        <v>41</v>
      </c>
      <c r="S1258" s="1" t="str" cm="1">
        <f t="array" ref="S1258">_xlfn.IFS(R1258="S","Southampton",R1258="C","Cherbourg",R1258="Q","Queenstown")</f>
        <v>Cherbourg</v>
      </c>
    </row>
    <row r="1259" spans="1:19" x14ac:dyDescent="0.3">
      <c r="A1259">
        <v>1258</v>
      </c>
      <c r="B1259">
        <v>3</v>
      </c>
      <c r="C1259" s="1" t="str" cm="1">
        <f t="array" ref="C1259">_xlfn.IFS(B1259=1,"First Class",B1259=2,"Second Class",B1259=3,"Third Class")</f>
        <v>Third Class</v>
      </c>
      <c r="D1259">
        <v>1</v>
      </c>
      <c r="E1259" s="1" t="str">
        <f t="shared" si="76"/>
        <v>Alive</v>
      </c>
      <c r="F1259" t="s">
        <v>2054</v>
      </c>
      <c r="G1259" s="1" t="s">
        <v>2994</v>
      </c>
      <c r="H1259" t="s">
        <v>15</v>
      </c>
      <c r="I1259" s="1" t="str">
        <f t="shared" si="77"/>
        <v>Female</v>
      </c>
      <c r="J1259" s="3">
        <v>9</v>
      </c>
      <c r="K1259" s="3" t="str" cm="1">
        <f t="array" ref="K1259">_xlfn.IFS(J1259&lt;=13,"Child",J1259&lt;=18,"Teenager",J1259&lt;=30,"Young Adult",J1259&lt;=50,"Middle Aged Adult",J1259&gt;50,"Senior")</f>
        <v>Child</v>
      </c>
      <c r="L1259">
        <v>1</v>
      </c>
      <c r="M1259">
        <v>1</v>
      </c>
      <c r="N1259" s="1">
        <f t="shared" si="78"/>
        <v>3</v>
      </c>
      <c r="O1259" s="1" t="str">
        <f t="shared" si="79"/>
        <v>With Family</v>
      </c>
      <c r="P1259">
        <v>15.245799999999999</v>
      </c>
      <c r="Q1259" s="1" t="str" cm="1">
        <f t="array" ref="Q1259">_xlfn.IFS(P1259&lt;=50,"Low",P1259&lt;=100,"Medium",P1259&gt;100,"High")</f>
        <v>Low</v>
      </c>
      <c r="R1259" t="s">
        <v>41</v>
      </c>
      <c r="S1259" s="1" t="str" cm="1">
        <f t="array" ref="S1259">_xlfn.IFS(R1259="S","Southampton",R1259="C","Cherbourg",R1259="Q","Queenstown")</f>
        <v>Cherbourg</v>
      </c>
    </row>
    <row r="1260" spans="1:19" x14ac:dyDescent="0.3">
      <c r="A1260">
        <v>1259</v>
      </c>
      <c r="B1260">
        <v>3</v>
      </c>
      <c r="C1260" s="1" t="str" cm="1">
        <f t="array" ref="C1260">_xlfn.IFS(B1260=1,"First Class",B1260=2,"Second Class",B1260=3,"Third Class")</f>
        <v>Third Class</v>
      </c>
      <c r="D1260">
        <v>1</v>
      </c>
      <c r="E1260" s="1" t="str">
        <f t="shared" si="76"/>
        <v>Alive</v>
      </c>
      <c r="F1260" t="s">
        <v>2055</v>
      </c>
      <c r="G1260" s="1" t="s">
        <v>3001</v>
      </c>
      <c r="H1260" t="s">
        <v>15</v>
      </c>
      <c r="I1260" s="1" t="str">
        <f t="shared" si="77"/>
        <v>Female</v>
      </c>
      <c r="J1260" s="3">
        <v>29</v>
      </c>
      <c r="K1260" s="3" t="str" cm="1">
        <f t="array" ref="K1260">_xlfn.IFS(J1260&lt;=13,"Child",J1260&lt;=18,"Teenager",J1260&lt;=30,"Young Adult",J1260&lt;=50,"Middle Aged Adult",J1260&gt;50,"Senior")</f>
        <v>Young Adult</v>
      </c>
      <c r="L1260">
        <v>0</v>
      </c>
      <c r="M1260">
        <v>2</v>
      </c>
      <c r="N1260" s="1">
        <f t="shared" si="78"/>
        <v>3</v>
      </c>
      <c r="O1260" s="1" t="str">
        <f t="shared" si="79"/>
        <v>With Family</v>
      </c>
      <c r="P1260">
        <v>15.245799999999999</v>
      </c>
      <c r="Q1260" s="1" t="str" cm="1">
        <f t="array" ref="Q1260">_xlfn.IFS(P1260&lt;=50,"Low",P1260&lt;=100,"Medium",P1260&gt;100,"High")</f>
        <v>Low</v>
      </c>
      <c r="R1260" t="s">
        <v>41</v>
      </c>
      <c r="S1260" s="1" t="str" cm="1">
        <f t="array" ref="S1260">_xlfn.IFS(R1260="S","Southampton",R1260="C","Cherbourg",R1260="Q","Queenstown")</f>
        <v>Cherbourg</v>
      </c>
    </row>
    <row r="1261" spans="1:19" x14ac:dyDescent="0.3">
      <c r="A1261">
        <v>1260</v>
      </c>
      <c r="B1261">
        <v>3</v>
      </c>
      <c r="C1261" s="1" t="str" cm="1">
        <f t="array" ref="C1261">_xlfn.IFS(B1261=1,"First Class",B1261=2,"Second Class",B1261=3,"Third Class")</f>
        <v>Third Class</v>
      </c>
      <c r="D1261">
        <v>0</v>
      </c>
      <c r="E1261" s="1" t="str">
        <f t="shared" si="76"/>
        <v>Dead</v>
      </c>
      <c r="F1261" t="s">
        <v>2056</v>
      </c>
      <c r="G1261" s="1" t="s">
        <v>2999</v>
      </c>
      <c r="H1261" t="s">
        <v>20</v>
      </c>
      <c r="I1261" s="1" t="str">
        <f t="shared" si="77"/>
        <v>Male</v>
      </c>
      <c r="J1261" s="3">
        <v>36</v>
      </c>
      <c r="K1261" s="3" t="str" cm="1">
        <f t="array" ref="K1261">_xlfn.IFS(J1261&lt;=13,"Child",J1261&lt;=18,"Teenager",J1261&lt;=30,"Young Adult",J1261&lt;=50,"Middle Aged Adult",J1261&gt;50,"Senior")</f>
        <v>Middle Aged Adult</v>
      </c>
      <c r="L1261">
        <v>0</v>
      </c>
      <c r="M1261">
        <v>0</v>
      </c>
      <c r="N1261" s="1">
        <f t="shared" si="78"/>
        <v>1</v>
      </c>
      <c r="O1261" s="1" t="str">
        <f t="shared" si="79"/>
        <v>Single</v>
      </c>
      <c r="P1261">
        <v>7.8958000000000004</v>
      </c>
      <c r="Q1261" s="1" t="str" cm="1">
        <f t="array" ref="Q1261">_xlfn.IFS(P1261&lt;=50,"Low",P1261&lt;=100,"Medium",P1261&gt;100,"High")</f>
        <v>Low</v>
      </c>
      <c r="R1261" t="s">
        <v>17</v>
      </c>
      <c r="S1261" s="1" t="str" cm="1">
        <f t="array" ref="S1261">_xlfn.IFS(R1261="S","Southampton",R1261="C","Cherbourg",R1261="Q","Queenstown")</f>
        <v>Southampton</v>
      </c>
    </row>
    <row r="1262" spans="1:19" x14ac:dyDescent="0.3">
      <c r="A1262">
        <v>1261</v>
      </c>
      <c r="B1262">
        <v>3</v>
      </c>
      <c r="C1262" s="1" t="str" cm="1">
        <f t="array" ref="C1262">_xlfn.IFS(B1262=1,"First Class",B1262=2,"Second Class",B1262=3,"Third Class")</f>
        <v>Third Class</v>
      </c>
      <c r="D1262">
        <v>1</v>
      </c>
      <c r="E1262" s="1" t="str">
        <f t="shared" si="76"/>
        <v>Alive</v>
      </c>
      <c r="F1262" t="s">
        <v>2057</v>
      </c>
      <c r="G1262" s="1" t="s">
        <v>2994</v>
      </c>
      <c r="H1262" t="s">
        <v>15</v>
      </c>
      <c r="I1262" s="1" t="str">
        <f t="shared" si="77"/>
        <v>Female</v>
      </c>
      <c r="J1262" s="3">
        <v>18</v>
      </c>
      <c r="K1262" s="3" t="str" cm="1">
        <f t="array" ref="K1262">_xlfn.IFS(J1262&lt;=13,"Child",J1262&lt;=18,"Teenager",J1262&lt;=30,"Young Adult",J1262&lt;=50,"Middle Aged Adult",J1262&gt;50,"Senior")</f>
        <v>Teenager</v>
      </c>
      <c r="L1262">
        <v>0</v>
      </c>
      <c r="M1262">
        <v>0</v>
      </c>
      <c r="N1262" s="1">
        <f t="shared" si="78"/>
        <v>1</v>
      </c>
      <c r="O1262" s="1" t="str">
        <f t="shared" si="79"/>
        <v>Single</v>
      </c>
      <c r="P1262">
        <v>9.8416999999999994</v>
      </c>
      <c r="Q1262" s="1" t="str" cm="1">
        <f t="array" ref="Q1262">_xlfn.IFS(P1262&lt;=50,"Low",P1262&lt;=100,"Medium",P1262&gt;100,"High")</f>
        <v>Low</v>
      </c>
      <c r="R1262" t="s">
        <v>17</v>
      </c>
      <c r="S1262" s="1" t="str" cm="1">
        <f t="array" ref="S1262">_xlfn.IFS(R1262="S","Southampton",R1262="C","Cherbourg",R1262="Q","Queenstown")</f>
        <v>Southampton</v>
      </c>
    </row>
    <row r="1263" spans="1:19" x14ac:dyDescent="0.3">
      <c r="A1263">
        <v>1262</v>
      </c>
      <c r="B1263">
        <v>3</v>
      </c>
      <c r="C1263" s="1" t="str" cm="1">
        <f t="array" ref="C1263">_xlfn.IFS(B1263=1,"First Class",B1263=2,"Second Class",B1263=3,"Third Class")</f>
        <v>Third Class</v>
      </c>
      <c r="D1263">
        <v>1</v>
      </c>
      <c r="E1263" s="1" t="str">
        <f t="shared" si="76"/>
        <v>Alive</v>
      </c>
      <c r="F1263" t="s">
        <v>2058</v>
      </c>
      <c r="G1263" s="1" t="s">
        <v>3001</v>
      </c>
      <c r="H1263" t="s">
        <v>15</v>
      </c>
      <c r="I1263" s="1" t="str">
        <f t="shared" si="77"/>
        <v>Female</v>
      </c>
      <c r="J1263" s="3">
        <v>63</v>
      </c>
      <c r="K1263" s="3" t="str" cm="1">
        <f t="array" ref="K1263">_xlfn.IFS(J1263&lt;=13,"Child",J1263&lt;=18,"Teenager",J1263&lt;=30,"Young Adult",J1263&lt;=50,"Middle Aged Adult",J1263&gt;50,"Senior")</f>
        <v>Senior</v>
      </c>
      <c r="L1263">
        <v>0</v>
      </c>
      <c r="M1263">
        <v>0</v>
      </c>
      <c r="N1263" s="1">
        <f t="shared" si="78"/>
        <v>1</v>
      </c>
      <c r="O1263" s="1" t="str">
        <f t="shared" si="79"/>
        <v>Single</v>
      </c>
      <c r="P1263">
        <v>9.5875000000000004</v>
      </c>
      <c r="Q1263" s="1" t="str" cm="1">
        <f t="array" ref="Q1263">_xlfn.IFS(P1263&lt;=50,"Low",P1263&lt;=100,"Medium",P1263&gt;100,"High")</f>
        <v>Low</v>
      </c>
      <c r="R1263" t="s">
        <v>17</v>
      </c>
      <c r="S1263" s="1" t="str" cm="1">
        <f t="array" ref="S1263">_xlfn.IFS(R1263="S","Southampton",R1263="C","Cherbourg",R1263="Q","Queenstown")</f>
        <v>Southampton</v>
      </c>
    </row>
    <row r="1264" spans="1:19" x14ac:dyDescent="0.3">
      <c r="A1264">
        <v>1263</v>
      </c>
      <c r="B1264">
        <v>3</v>
      </c>
      <c r="C1264" s="1" t="str" cm="1">
        <f t="array" ref="C1264">_xlfn.IFS(B1264=1,"First Class",B1264=2,"Second Class",B1264=3,"Third Class")</f>
        <v>Third Class</v>
      </c>
      <c r="D1264">
        <v>0</v>
      </c>
      <c r="E1264" s="1" t="str">
        <f t="shared" si="76"/>
        <v>Dead</v>
      </c>
      <c r="F1264" t="s">
        <v>2059</v>
      </c>
      <c r="G1264" s="1" t="s">
        <v>2996</v>
      </c>
      <c r="H1264" t="s">
        <v>20</v>
      </c>
      <c r="I1264" s="1" t="str">
        <f t="shared" si="77"/>
        <v>Male</v>
      </c>
      <c r="J1264" s="3">
        <v>29.881137667304014</v>
      </c>
      <c r="K1264" s="3" t="str" cm="1">
        <f t="array" ref="K1264">_xlfn.IFS(J1264&lt;=13,"Child",J1264&lt;=18,"Teenager",J1264&lt;=30,"Young Adult",J1264&lt;=50,"Middle Aged Adult",J1264&gt;50,"Senior")</f>
        <v>Young Adult</v>
      </c>
      <c r="L1264">
        <v>1</v>
      </c>
      <c r="M1264">
        <v>1</v>
      </c>
      <c r="N1264" s="1">
        <f t="shared" si="78"/>
        <v>3</v>
      </c>
      <c r="O1264" s="1" t="str">
        <f t="shared" si="79"/>
        <v>With Family</v>
      </c>
      <c r="P1264">
        <v>14.5</v>
      </c>
      <c r="Q1264" s="1" t="str" cm="1">
        <f t="array" ref="Q1264">_xlfn.IFS(P1264&lt;=50,"Low",P1264&lt;=100,"Medium",P1264&gt;100,"High")</f>
        <v>Low</v>
      </c>
      <c r="R1264" t="s">
        <v>17</v>
      </c>
      <c r="S1264" s="1" t="str" cm="1">
        <f t="array" ref="S1264">_xlfn.IFS(R1264="S","Southampton",R1264="C","Cherbourg",R1264="Q","Queenstown")</f>
        <v>Southampton</v>
      </c>
    </row>
    <row r="1265" spans="1:19" x14ac:dyDescent="0.3">
      <c r="A1265">
        <v>1264</v>
      </c>
      <c r="B1265">
        <v>3</v>
      </c>
      <c r="C1265" s="1" t="str" cm="1">
        <f t="array" ref="C1265">_xlfn.IFS(B1265=1,"First Class",B1265=2,"Second Class",B1265=3,"Third Class")</f>
        <v>Third Class</v>
      </c>
      <c r="D1265">
        <v>0</v>
      </c>
      <c r="E1265" s="1" t="str">
        <f t="shared" si="76"/>
        <v>Dead</v>
      </c>
      <c r="F1265" t="s">
        <v>2061</v>
      </c>
      <c r="G1265" s="1" t="s">
        <v>2996</v>
      </c>
      <c r="H1265" t="s">
        <v>20</v>
      </c>
      <c r="I1265" s="1" t="str">
        <f t="shared" si="77"/>
        <v>Male</v>
      </c>
      <c r="J1265" s="3">
        <v>11.5</v>
      </c>
      <c r="K1265" s="3" t="str" cm="1">
        <f t="array" ref="K1265">_xlfn.IFS(J1265&lt;=13,"Child",J1265&lt;=18,"Teenager",J1265&lt;=30,"Young Adult",J1265&lt;=50,"Middle Aged Adult",J1265&gt;50,"Senior")</f>
        <v>Child</v>
      </c>
      <c r="L1265">
        <v>1</v>
      </c>
      <c r="M1265">
        <v>1</v>
      </c>
      <c r="N1265" s="1">
        <f t="shared" si="78"/>
        <v>3</v>
      </c>
      <c r="O1265" s="1" t="str">
        <f t="shared" si="79"/>
        <v>With Family</v>
      </c>
      <c r="P1265">
        <v>14.5</v>
      </c>
      <c r="Q1265" s="1" t="str" cm="1">
        <f t="array" ref="Q1265">_xlfn.IFS(P1265&lt;=50,"Low",P1265&lt;=100,"Medium",P1265&gt;100,"High")</f>
        <v>Low</v>
      </c>
      <c r="R1265" t="s">
        <v>17</v>
      </c>
      <c r="S1265" s="1" t="str" cm="1">
        <f t="array" ref="S1265">_xlfn.IFS(R1265="S","Southampton",R1265="C","Cherbourg",R1265="Q","Queenstown")</f>
        <v>Southampton</v>
      </c>
    </row>
    <row r="1266" spans="1:19" x14ac:dyDescent="0.3">
      <c r="A1266">
        <v>1265</v>
      </c>
      <c r="B1266">
        <v>3</v>
      </c>
      <c r="C1266" s="1" t="str" cm="1">
        <f t="array" ref="C1266">_xlfn.IFS(B1266=1,"First Class",B1266=2,"Second Class",B1266=3,"Third Class")</f>
        <v>Third Class</v>
      </c>
      <c r="D1266">
        <v>0</v>
      </c>
      <c r="E1266" s="1" t="str">
        <f t="shared" si="76"/>
        <v>Dead</v>
      </c>
      <c r="F1266" t="s">
        <v>2062</v>
      </c>
      <c r="G1266" s="1" t="s">
        <v>2999</v>
      </c>
      <c r="H1266" t="s">
        <v>20</v>
      </c>
      <c r="I1266" s="1" t="str">
        <f t="shared" si="77"/>
        <v>Male</v>
      </c>
      <c r="J1266" s="3">
        <v>40.5</v>
      </c>
      <c r="K1266" s="3" t="str" cm="1">
        <f t="array" ref="K1266">_xlfn.IFS(J1266&lt;=13,"Child",J1266&lt;=18,"Teenager",J1266&lt;=30,"Young Adult",J1266&lt;=50,"Middle Aged Adult",J1266&gt;50,"Senior")</f>
        <v>Middle Aged Adult</v>
      </c>
      <c r="L1266">
        <v>0</v>
      </c>
      <c r="M1266">
        <v>2</v>
      </c>
      <c r="N1266" s="1">
        <f t="shared" si="78"/>
        <v>3</v>
      </c>
      <c r="O1266" s="1" t="str">
        <f t="shared" si="79"/>
        <v>With Family</v>
      </c>
      <c r="P1266">
        <v>14.5</v>
      </c>
      <c r="Q1266" s="1" t="str" cm="1">
        <f t="array" ref="Q1266">_xlfn.IFS(P1266&lt;=50,"Low",P1266&lt;=100,"Medium",P1266&gt;100,"High")</f>
        <v>Low</v>
      </c>
      <c r="R1266" t="s">
        <v>17</v>
      </c>
      <c r="S1266" s="1" t="str" cm="1">
        <f t="array" ref="S1266">_xlfn.IFS(R1266="S","Southampton",R1266="C","Cherbourg",R1266="Q","Queenstown")</f>
        <v>Southampton</v>
      </c>
    </row>
    <row r="1267" spans="1:19" x14ac:dyDescent="0.3">
      <c r="A1267">
        <v>1266</v>
      </c>
      <c r="B1267">
        <v>3</v>
      </c>
      <c r="C1267" s="1" t="str" cm="1">
        <f t="array" ref="C1267">_xlfn.IFS(B1267=1,"First Class",B1267=2,"Second Class",B1267=3,"Third Class")</f>
        <v>Third Class</v>
      </c>
      <c r="D1267">
        <v>0</v>
      </c>
      <c r="E1267" s="1" t="str">
        <f t="shared" si="76"/>
        <v>Dead</v>
      </c>
      <c r="F1267" t="s">
        <v>2063</v>
      </c>
      <c r="G1267" s="1" t="s">
        <v>2994</v>
      </c>
      <c r="H1267" t="s">
        <v>15</v>
      </c>
      <c r="I1267" s="1" t="str">
        <f t="shared" si="77"/>
        <v>Female</v>
      </c>
      <c r="J1267" s="3">
        <v>10</v>
      </c>
      <c r="K1267" s="3" t="str" cm="1">
        <f t="array" ref="K1267">_xlfn.IFS(J1267&lt;=13,"Child",J1267&lt;=18,"Teenager",J1267&lt;=30,"Young Adult",J1267&lt;=50,"Middle Aged Adult",J1267&gt;50,"Senior")</f>
        <v>Child</v>
      </c>
      <c r="L1267">
        <v>0</v>
      </c>
      <c r="M1267">
        <v>2</v>
      </c>
      <c r="N1267" s="1">
        <f t="shared" si="78"/>
        <v>3</v>
      </c>
      <c r="O1267" s="1" t="str">
        <f t="shared" si="79"/>
        <v>With Family</v>
      </c>
      <c r="P1267">
        <v>24.15</v>
      </c>
      <c r="Q1267" s="1" t="str" cm="1">
        <f t="array" ref="Q1267">_xlfn.IFS(P1267&lt;=50,"Low",P1267&lt;=100,"Medium",P1267&gt;100,"High")</f>
        <v>Low</v>
      </c>
      <c r="R1267" t="s">
        <v>17</v>
      </c>
      <c r="S1267" s="1" t="str" cm="1">
        <f t="array" ref="S1267">_xlfn.IFS(R1267="S","Southampton",R1267="C","Cherbourg",R1267="Q","Queenstown")</f>
        <v>Southampton</v>
      </c>
    </row>
    <row r="1268" spans="1:19" x14ac:dyDescent="0.3">
      <c r="A1268">
        <v>1267</v>
      </c>
      <c r="B1268">
        <v>3</v>
      </c>
      <c r="C1268" s="1" t="str" cm="1">
        <f t="array" ref="C1268">_xlfn.IFS(B1268=1,"First Class",B1268=2,"Second Class",B1268=3,"Third Class")</f>
        <v>Third Class</v>
      </c>
      <c r="D1268">
        <v>0</v>
      </c>
      <c r="E1268" s="1" t="str">
        <f t="shared" si="76"/>
        <v>Dead</v>
      </c>
      <c r="F1268" t="s">
        <v>2064</v>
      </c>
      <c r="G1268" s="1" t="s">
        <v>2999</v>
      </c>
      <c r="H1268" t="s">
        <v>20</v>
      </c>
      <c r="I1268" s="1" t="str">
        <f t="shared" si="77"/>
        <v>Male</v>
      </c>
      <c r="J1268" s="3">
        <v>36</v>
      </c>
      <c r="K1268" s="3" t="str" cm="1">
        <f t="array" ref="K1268">_xlfn.IFS(J1268&lt;=13,"Child",J1268&lt;=18,"Teenager",J1268&lt;=30,"Young Adult",J1268&lt;=50,"Middle Aged Adult",J1268&gt;50,"Senior")</f>
        <v>Middle Aged Adult</v>
      </c>
      <c r="L1268">
        <v>1</v>
      </c>
      <c r="M1268">
        <v>1</v>
      </c>
      <c r="N1268" s="1">
        <f t="shared" si="78"/>
        <v>3</v>
      </c>
      <c r="O1268" s="1" t="str">
        <f t="shared" si="79"/>
        <v>With Family</v>
      </c>
      <c r="P1268">
        <v>24.15</v>
      </c>
      <c r="Q1268" s="1" t="str" cm="1">
        <f t="array" ref="Q1268">_xlfn.IFS(P1268&lt;=50,"Low",P1268&lt;=100,"Medium",P1268&gt;100,"High")</f>
        <v>Low</v>
      </c>
      <c r="R1268" t="s">
        <v>17</v>
      </c>
      <c r="S1268" s="1" t="str" cm="1">
        <f t="array" ref="S1268">_xlfn.IFS(R1268="S","Southampton",R1268="C","Cherbourg",R1268="Q","Queenstown")</f>
        <v>Southampton</v>
      </c>
    </row>
    <row r="1269" spans="1:19" x14ac:dyDescent="0.3">
      <c r="A1269">
        <v>1268</v>
      </c>
      <c r="B1269">
        <v>3</v>
      </c>
      <c r="C1269" s="1" t="str" cm="1">
        <f t="array" ref="C1269">_xlfn.IFS(B1269=1,"First Class",B1269=2,"Second Class",B1269=3,"Third Class")</f>
        <v>Third Class</v>
      </c>
      <c r="D1269">
        <v>0</v>
      </c>
      <c r="E1269" s="1" t="str">
        <f t="shared" si="76"/>
        <v>Dead</v>
      </c>
      <c r="F1269" t="s">
        <v>2065</v>
      </c>
      <c r="G1269" s="1" t="s">
        <v>3001</v>
      </c>
      <c r="H1269" t="s">
        <v>15</v>
      </c>
      <c r="I1269" s="1" t="str">
        <f t="shared" si="77"/>
        <v>Female</v>
      </c>
      <c r="J1269" s="3">
        <v>30</v>
      </c>
      <c r="K1269" s="3" t="str" cm="1">
        <f t="array" ref="K1269">_xlfn.IFS(J1269&lt;=13,"Child",J1269&lt;=18,"Teenager",J1269&lt;=30,"Young Adult",J1269&lt;=50,"Middle Aged Adult",J1269&gt;50,"Senior")</f>
        <v>Young Adult</v>
      </c>
      <c r="L1269">
        <v>1</v>
      </c>
      <c r="M1269">
        <v>1</v>
      </c>
      <c r="N1269" s="1">
        <f t="shared" si="78"/>
        <v>3</v>
      </c>
      <c r="O1269" s="1" t="str">
        <f t="shared" si="79"/>
        <v>With Family</v>
      </c>
      <c r="P1269">
        <v>24.15</v>
      </c>
      <c r="Q1269" s="1" t="str" cm="1">
        <f t="array" ref="Q1269">_xlfn.IFS(P1269&lt;=50,"Low",P1269&lt;=100,"Medium",P1269&gt;100,"High")</f>
        <v>Low</v>
      </c>
      <c r="R1269" t="s">
        <v>17</v>
      </c>
      <c r="S1269" s="1" t="str" cm="1">
        <f t="array" ref="S1269">_xlfn.IFS(R1269="S","Southampton",R1269="C","Cherbourg",R1269="Q","Queenstown")</f>
        <v>Southampton</v>
      </c>
    </row>
    <row r="1270" spans="1:19" x14ac:dyDescent="0.3">
      <c r="A1270">
        <v>1269</v>
      </c>
      <c r="B1270">
        <v>3</v>
      </c>
      <c r="C1270" s="1" t="str" cm="1">
        <f t="array" ref="C1270">_xlfn.IFS(B1270=1,"First Class",B1270=2,"Second Class",B1270=3,"Third Class")</f>
        <v>Third Class</v>
      </c>
      <c r="D1270">
        <v>0</v>
      </c>
      <c r="E1270" s="1" t="str">
        <f t="shared" si="76"/>
        <v>Dead</v>
      </c>
      <c r="F1270" t="s">
        <v>2066</v>
      </c>
      <c r="G1270" s="1" t="s">
        <v>2999</v>
      </c>
      <c r="H1270" t="s">
        <v>20</v>
      </c>
      <c r="I1270" s="1" t="str">
        <f t="shared" si="77"/>
        <v>Male</v>
      </c>
      <c r="J1270" s="3">
        <v>29.881137667304014</v>
      </c>
      <c r="K1270" s="3" t="str" cm="1">
        <f t="array" ref="K1270">_xlfn.IFS(J1270&lt;=13,"Child",J1270&lt;=18,"Teenager",J1270&lt;=30,"Young Adult",J1270&lt;=50,"Middle Aged Adult",J1270&gt;50,"Senior")</f>
        <v>Young Adult</v>
      </c>
      <c r="L1270">
        <v>0</v>
      </c>
      <c r="M1270">
        <v>0</v>
      </c>
      <c r="N1270" s="1">
        <f t="shared" si="78"/>
        <v>1</v>
      </c>
      <c r="O1270" s="1" t="str">
        <f t="shared" si="79"/>
        <v>Single</v>
      </c>
      <c r="P1270">
        <v>9.5</v>
      </c>
      <c r="Q1270" s="1" t="str" cm="1">
        <f t="array" ref="Q1270">_xlfn.IFS(P1270&lt;=50,"Low",P1270&lt;=100,"Medium",P1270&gt;100,"High")</f>
        <v>Low</v>
      </c>
      <c r="R1270" t="s">
        <v>17</v>
      </c>
      <c r="S1270" s="1" t="str" cm="1">
        <f t="array" ref="S1270">_xlfn.IFS(R1270="S","Southampton",R1270="C","Cherbourg",R1270="Q","Queenstown")</f>
        <v>Southampton</v>
      </c>
    </row>
    <row r="1271" spans="1:19" x14ac:dyDescent="0.3">
      <c r="A1271">
        <v>1270</v>
      </c>
      <c r="B1271">
        <v>3</v>
      </c>
      <c r="C1271" s="1" t="str" cm="1">
        <f t="array" ref="C1271">_xlfn.IFS(B1271=1,"First Class",B1271=2,"Second Class",B1271=3,"Third Class")</f>
        <v>Third Class</v>
      </c>
      <c r="D1271">
        <v>0</v>
      </c>
      <c r="E1271" s="1" t="str">
        <f t="shared" si="76"/>
        <v>Dead</v>
      </c>
      <c r="F1271" t="s">
        <v>2067</v>
      </c>
      <c r="G1271" s="1" t="s">
        <v>2999</v>
      </c>
      <c r="H1271" t="s">
        <v>20</v>
      </c>
      <c r="I1271" s="1" t="str">
        <f t="shared" si="77"/>
        <v>Male</v>
      </c>
      <c r="J1271" s="3">
        <v>33</v>
      </c>
      <c r="K1271" s="3" t="str" cm="1">
        <f t="array" ref="K1271">_xlfn.IFS(J1271&lt;=13,"Child",J1271&lt;=18,"Teenager",J1271&lt;=30,"Young Adult",J1271&lt;=50,"Middle Aged Adult",J1271&gt;50,"Senior")</f>
        <v>Middle Aged Adult</v>
      </c>
      <c r="L1271">
        <v>0</v>
      </c>
      <c r="M1271">
        <v>0</v>
      </c>
      <c r="N1271" s="1">
        <f t="shared" si="78"/>
        <v>1</v>
      </c>
      <c r="O1271" s="1" t="str">
        <f t="shared" si="79"/>
        <v>Single</v>
      </c>
      <c r="P1271">
        <v>9.5</v>
      </c>
      <c r="Q1271" s="1" t="str" cm="1">
        <f t="array" ref="Q1271">_xlfn.IFS(P1271&lt;=50,"Low",P1271&lt;=100,"Medium",P1271&gt;100,"High")</f>
        <v>Low</v>
      </c>
      <c r="R1271" t="s">
        <v>17</v>
      </c>
      <c r="S1271" s="1" t="str" cm="1">
        <f t="array" ref="S1271">_xlfn.IFS(R1271="S","Southampton",R1271="C","Cherbourg",R1271="Q","Queenstown")</f>
        <v>Southampton</v>
      </c>
    </row>
    <row r="1272" spans="1:19" x14ac:dyDescent="0.3">
      <c r="A1272">
        <v>1271</v>
      </c>
      <c r="B1272">
        <v>3</v>
      </c>
      <c r="C1272" s="1" t="str" cm="1">
        <f t="array" ref="C1272">_xlfn.IFS(B1272=1,"First Class",B1272=2,"Second Class",B1272=3,"Third Class")</f>
        <v>Third Class</v>
      </c>
      <c r="D1272">
        <v>0</v>
      </c>
      <c r="E1272" s="1" t="str">
        <f t="shared" si="76"/>
        <v>Dead</v>
      </c>
      <c r="F1272" t="s">
        <v>2068</v>
      </c>
      <c r="G1272" s="1" t="s">
        <v>2999</v>
      </c>
      <c r="H1272" t="s">
        <v>20</v>
      </c>
      <c r="I1272" s="1" t="str">
        <f t="shared" si="77"/>
        <v>Male</v>
      </c>
      <c r="J1272" s="3">
        <v>28</v>
      </c>
      <c r="K1272" s="3" t="str" cm="1">
        <f t="array" ref="K1272">_xlfn.IFS(J1272&lt;=13,"Child",J1272&lt;=18,"Teenager",J1272&lt;=30,"Young Adult",J1272&lt;=50,"Middle Aged Adult",J1272&gt;50,"Senior")</f>
        <v>Young Adult</v>
      </c>
      <c r="L1272">
        <v>0</v>
      </c>
      <c r="M1272">
        <v>0</v>
      </c>
      <c r="N1272" s="1">
        <f t="shared" si="78"/>
        <v>1</v>
      </c>
      <c r="O1272" s="1" t="str">
        <f t="shared" si="79"/>
        <v>Single</v>
      </c>
      <c r="P1272">
        <v>9.5</v>
      </c>
      <c r="Q1272" s="1" t="str" cm="1">
        <f t="array" ref="Q1272">_xlfn.IFS(P1272&lt;=50,"Low",P1272&lt;=100,"Medium",P1272&gt;100,"High")</f>
        <v>Low</v>
      </c>
      <c r="R1272" t="s">
        <v>17</v>
      </c>
      <c r="S1272" s="1" t="str" cm="1">
        <f t="array" ref="S1272">_xlfn.IFS(R1272="S","Southampton",R1272="C","Cherbourg",R1272="Q","Queenstown")</f>
        <v>Southampton</v>
      </c>
    </row>
    <row r="1273" spans="1:19" x14ac:dyDescent="0.3">
      <c r="A1273">
        <v>1272</v>
      </c>
      <c r="B1273">
        <v>3</v>
      </c>
      <c r="C1273" s="1" t="str" cm="1">
        <f t="array" ref="C1273">_xlfn.IFS(B1273=1,"First Class",B1273=2,"Second Class",B1273=3,"Third Class")</f>
        <v>Third Class</v>
      </c>
      <c r="D1273">
        <v>0</v>
      </c>
      <c r="E1273" s="1" t="str">
        <f t="shared" si="76"/>
        <v>Dead</v>
      </c>
      <c r="F1273" t="s">
        <v>2069</v>
      </c>
      <c r="G1273" s="1" t="s">
        <v>2999</v>
      </c>
      <c r="H1273" t="s">
        <v>20</v>
      </c>
      <c r="I1273" s="1" t="str">
        <f t="shared" si="77"/>
        <v>Male</v>
      </c>
      <c r="J1273" s="3">
        <v>28</v>
      </c>
      <c r="K1273" s="3" t="str" cm="1">
        <f t="array" ref="K1273">_xlfn.IFS(J1273&lt;=13,"Child",J1273&lt;=18,"Teenager",J1273&lt;=30,"Young Adult",J1273&lt;=50,"Middle Aged Adult",J1273&gt;50,"Senior")</f>
        <v>Young Adult</v>
      </c>
      <c r="L1273">
        <v>0</v>
      </c>
      <c r="M1273">
        <v>0</v>
      </c>
      <c r="N1273" s="1">
        <f t="shared" si="78"/>
        <v>1</v>
      </c>
      <c r="O1273" s="1" t="str">
        <f t="shared" si="79"/>
        <v>Single</v>
      </c>
      <c r="P1273">
        <v>9.5</v>
      </c>
      <c r="Q1273" s="1" t="str" cm="1">
        <f t="array" ref="Q1273">_xlfn.IFS(P1273&lt;=50,"Low",P1273&lt;=100,"Medium",P1273&gt;100,"High")</f>
        <v>Low</v>
      </c>
      <c r="R1273" t="s">
        <v>17</v>
      </c>
      <c r="S1273" s="1" t="str" cm="1">
        <f t="array" ref="S1273">_xlfn.IFS(R1273="S","Southampton",R1273="C","Cherbourg",R1273="Q","Queenstown")</f>
        <v>Southampton</v>
      </c>
    </row>
    <row r="1274" spans="1:19" x14ac:dyDescent="0.3">
      <c r="A1274">
        <v>1273</v>
      </c>
      <c r="B1274">
        <v>3</v>
      </c>
      <c r="C1274" s="1" t="str" cm="1">
        <f t="array" ref="C1274">_xlfn.IFS(B1274=1,"First Class",B1274=2,"Second Class",B1274=3,"Third Class")</f>
        <v>Third Class</v>
      </c>
      <c r="D1274">
        <v>0</v>
      </c>
      <c r="E1274" s="1" t="str">
        <f t="shared" si="76"/>
        <v>Dead</v>
      </c>
      <c r="F1274" t="s">
        <v>2070</v>
      </c>
      <c r="G1274" s="1" t="s">
        <v>2999</v>
      </c>
      <c r="H1274" t="s">
        <v>20</v>
      </c>
      <c r="I1274" s="1" t="str">
        <f t="shared" si="77"/>
        <v>Male</v>
      </c>
      <c r="J1274" s="3">
        <v>47</v>
      </c>
      <c r="K1274" s="3" t="str" cm="1">
        <f t="array" ref="K1274">_xlfn.IFS(J1274&lt;=13,"Child",J1274&lt;=18,"Teenager",J1274&lt;=30,"Young Adult",J1274&lt;=50,"Middle Aged Adult",J1274&gt;50,"Senior")</f>
        <v>Middle Aged Adult</v>
      </c>
      <c r="L1274">
        <v>0</v>
      </c>
      <c r="M1274">
        <v>0</v>
      </c>
      <c r="N1274" s="1">
        <f t="shared" si="78"/>
        <v>1</v>
      </c>
      <c r="O1274" s="1" t="str">
        <f t="shared" si="79"/>
        <v>Single</v>
      </c>
      <c r="P1274">
        <v>9</v>
      </c>
      <c r="Q1274" s="1" t="str" cm="1">
        <f t="array" ref="Q1274">_xlfn.IFS(P1274&lt;=50,"Low",P1274&lt;=100,"Medium",P1274&gt;100,"High")</f>
        <v>Low</v>
      </c>
      <c r="R1274" t="s">
        <v>17</v>
      </c>
      <c r="S1274" s="1" t="str" cm="1">
        <f t="array" ref="S1274">_xlfn.IFS(R1274="S","Southampton",R1274="C","Cherbourg",R1274="Q","Queenstown")</f>
        <v>Southampton</v>
      </c>
    </row>
    <row r="1275" spans="1:19" x14ac:dyDescent="0.3">
      <c r="A1275">
        <v>1274</v>
      </c>
      <c r="B1275">
        <v>3</v>
      </c>
      <c r="C1275" s="1" t="str" cm="1">
        <f t="array" ref="C1275">_xlfn.IFS(B1275=1,"First Class",B1275=2,"Second Class",B1275=3,"Third Class")</f>
        <v>Third Class</v>
      </c>
      <c r="D1275">
        <v>0</v>
      </c>
      <c r="E1275" s="1" t="str">
        <f t="shared" si="76"/>
        <v>Dead</v>
      </c>
      <c r="F1275" t="s">
        <v>2071</v>
      </c>
      <c r="G1275" s="1" t="s">
        <v>2994</v>
      </c>
      <c r="H1275" t="s">
        <v>15</v>
      </c>
      <c r="I1275" s="1" t="str">
        <f t="shared" si="77"/>
        <v>Female</v>
      </c>
      <c r="J1275" s="3">
        <v>18</v>
      </c>
      <c r="K1275" s="3" t="str" cm="1">
        <f t="array" ref="K1275">_xlfn.IFS(J1275&lt;=13,"Child",J1275&lt;=18,"Teenager",J1275&lt;=30,"Young Adult",J1275&lt;=50,"Middle Aged Adult",J1275&gt;50,"Senior")</f>
        <v>Teenager</v>
      </c>
      <c r="L1275">
        <v>2</v>
      </c>
      <c r="M1275">
        <v>0</v>
      </c>
      <c r="N1275" s="1">
        <f t="shared" si="78"/>
        <v>3</v>
      </c>
      <c r="O1275" s="1" t="str">
        <f t="shared" si="79"/>
        <v>With Family</v>
      </c>
      <c r="P1275">
        <v>18</v>
      </c>
      <c r="Q1275" s="1" t="str" cm="1">
        <f t="array" ref="Q1275">_xlfn.IFS(P1275&lt;=50,"Low",P1275&lt;=100,"Medium",P1275&gt;100,"High")</f>
        <v>Low</v>
      </c>
      <c r="R1275" t="s">
        <v>17</v>
      </c>
      <c r="S1275" s="1" t="str" cm="1">
        <f t="array" ref="S1275">_xlfn.IFS(R1275="S","Southampton",R1275="C","Cherbourg",R1275="Q","Queenstown")</f>
        <v>Southampton</v>
      </c>
    </row>
    <row r="1276" spans="1:19" x14ac:dyDescent="0.3">
      <c r="A1276">
        <v>1275</v>
      </c>
      <c r="B1276">
        <v>3</v>
      </c>
      <c r="C1276" s="1" t="str" cm="1">
        <f t="array" ref="C1276">_xlfn.IFS(B1276=1,"First Class",B1276=2,"Second Class",B1276=3,"Third Class")</f>
        <v>Third Class</v>
      </c>
      <c r="D1276">
        <v>0</v>
      </c>
      <c r="E1276" s="1" t="str">
        <f t="shared" si="76"/>
        <v>Dead</v>
      </c>
      <c r="F1276" t="s">
        <v>2072</v>
      </c>
      <c r="G1276" s="1" t="s">
        <v>2999</v>
      </c>
      <c r="H1276" t="s">
        <v>20</v>
      </c>
      <c r="I1276" s="1" t="str">
        <f t="shared" si="77"/>
        <v>Male</v>
      </c>
      <c r="J1276" s="3">
        <v>31</v>
      </c>
      <c r="K1276" s="3" t="str" cm="1">
        <f t="array" ref="K1276">_xlfn.IFS(J1276&lt;=13,"Child",J1276&lt;=18,"Teenager",J1276&lt;=30,"Young Adult",J1276&lt;=50,"Middle Aged Adult",J1276&gt;50,"Senior")</f>
        <v>Middle Aged Adult</v>
      </c>
      <c r="L1276">
        <v>3</v>
      </c>
      <c r="M1276">
        <v>0</v>
      </c>
      <c r="N1276" s="1">
        <f t="shared" si="78"/>
        <v>4</v>
      </c>
      <c r="O1276" s="1" t="str">
        <f t="shared" si="79"/>
        <v>With Family</v>
      </c>
      <c r="P1276">
        <v>18</v>
      </c>
      <c r="Q1276" s="1" t="str" cm="1">
        <f t="array" ref="Q1276">_xlfn.IFS(P1276&lt;=50,"Low",P1276&lt;=100,"Medium",P1276&gt;100,"High")</f>
        <v>Low</v>
      </c>
      <c r="R1276" t="s">
        <v>17</v>
      </c>
      <c r="S1276" s="1" t="str" cm="1">
        <f t="array" ref="S1276">_xlfn.IFS(R1276="S","Southampton",R1276="C","Cherbourg",R1276="Q","Queenstown")</f>
        <v>Southampton</v>
      </c>
    </row>
    <row r="1277" spans="1:19" x14ac:dyDescent="0.3">
      <c r="A1277">
        <v>1276</v>
      </c>
      <c r="B1277">
        <v>3</v>
      </c>
      <c r="C1277" s="1" t="str" cm="1">
        <f t="array" ref="C1277">_xlfn.IFS(B1277=1,"First Class",B1277=2,"Second Class",B1277=3,"Third Class")</f>
        <v>Third Class</v>
      </c>
      <c r="D1277">
        <v>0</v>
      </c>
      <c r="E1277" s="1" t="str">
        <f t="shared" si="76"/>
        <v>Dead</v>
      </c>
      <c r="F1277" t="s">
        <v>2073</v>
      </c>
      <c r="G1277" s="1" t="s">
        <v>2999</v>
      </c>
      <c r="H1277" t="s">
        <v>20</v>
      </c>
      <c r="I1277" s="1" t="str">
        <f t="shared" si="77"/>
        <v>Male</v>
      </c>
      <c r="J1277" s="3">
        <v>16</v>
      </c>
      <c r="K1277" s="3" t="str" cm="1">
        <f t="array" ref="K1277">_xlfn.IFS(J1277&lt;=13,"Child",J1277&lt;=18,"Teenager",J1277&lt;=30,"Young Adult",J1277&lt;=50,"Middle Aged Adult",J1277&gt;50,"Senior")</f>
        <v>Teenager</v>
      </c>
      <c r="L1277">
        <v>2</v>
      </c>
      <c r="M1277">
        <v>0</v>
      </c>
      <c r="N1277" s="1">
        <f t="shared" si="78"/>
        <v>3</v>
      </c>
      <c r="O1277" s="1" t="str">
        <f t="shared" si="79"/>
        <v>With Family</v>
      </c>
      <c r="P1277">
        <v>18</v>
      </c>
      <c r="Q1277" s="1" t="str" cm="1">
        <f t="array" ref="Q1277">_xlfn.IFS(P1277&lt;=50,"Low",P1277&lt;=100,"Medium",P1277&gt;100,"High")</f>
        <v>Low</v>
      </c>
      <c r="R1277" t="s">
        <v>17</v>
      </c>
      <c r="S1277" s="1" t="str" cm="1">
        <f t="array" ref="S1277">_xlfn.IFS(R1277="S","Southampton",R1277="C","Cherbourg",R1277="Q","Queenstown")</f>
        <v>Southampton</v>
      </c>
    </row>
    <row r="1278" spans="1:19" x14ac:dyDescent="0.3">
      <c r="A1278">
        <v>1277</v>
      </c>
      <c r="B1278">
        <v>3</v>
      </c>
      <c r="C1278" s="1" t="str" cm="1">
        <f t="array" ref="C1278">_xlfn.IFS(B1278=1,"First Class",B1278=2,"Second Class",B1278=3,"Third Class")</f>
        <v>Third Class</v>
      </c>
      <c r="D1278">
        <v>0</v>
      </c>
      <c r="E1278" s="1" t="str">
        <f t="shared" si="76"/>
        <v>Dead</v>
      </c>
      <c r="F1278" t="s">
        <v>2074</v>
      </c>
      <c r="G1278" s="1" t="s">
        <v>3001</v>
      </c>
      <c r="H1278" t="s">
        <v>15</v>
      </c>
      <c r="I1278" s="1" t="str">
        <f t="shared" si="77"/>
        <v>Female</v>
      </c>
      <c r="J1278" s="3">
        <v>31</v>
      </c>
      <c r="K1278" s="3" t="str" cm="1">
        <f t="array" ref="K1278">_xlfn.IFS(J1278&lt;=13,"Child",J1278&lt;=18,"Teenager",J1278&lt;=30,"Young Adult",J1278&lt;=50,"Middle Aged Adult",J1278&gt;50,"Senior")</f>
        <v>Middle Aged Adult</v>
      </c>
      <c r="L1278">
        <v>1</v>
      </c>
      <c r="M1278">
        <v>0</v>
      </c>
      <c r="N1278" s="1">
        <f t="shared" si="78"/>
        <v>2</v>
      </c>
      <c r="O1278" s="1" t="str">
        <f t="shared" si="79"/>
        <v>With Family</v>
      </c>
      <c r="P1278">
        <v>18</v>
      </c>
      <c r="Q1278" s="1" t="str" cm="1">
        <f t="array" ref="Q1278">_xlfn.IFS(P1278&lt;=50,"Low",P1278&lt;=100,"Medium",P1278&gt;100,"High")</f>
        <v>Low</v>
      </c>
      <c r="R1278" t="s">
        <v>17</v>
      </c>
      <c r="S1278" s="1" t="str" cm="1">
        <f t="array" ref="S1278">_xlfn.IFS(R1278="S","Southampton",R1278="C","Cherbourg",R1278="Q","Queenstown")</f>
        <v>Southampton</v>
      </c>
    </row>
    <row r="1279" spans="1:19" x14ac:dyDescent="0.3">
      <c r="A1279">
        <v>1278</v>
      </c>
      <c r="B1279">
        <v>3</v>
      </c>
      <c r="C1279" s="1" t="str" cm="1">
        <f t="array" ref="C1279">_xlfn.IFS(B1279=1,"First Class",B1279=2,"Second Class",B1279=3,"Third Class")</f>
        <v>Third Class</v>
      </c>
      <c r="D1279">
        <v>1</v>
      </c>
      <c r="E1279" s="1" t="str">
        <f t="shared" si="76"/>
        <v>Alive</v>
      </c>
      <c r="F1279" t="s">
        <v>2075</v>
      </c>
      <c r="G1279" s="1" t="s">
        <v>2999</v>
      </c>
      <c r="H1279" t="s">
        <v>20</v>
      </c>
      <c r="I1279" s="1" t="str">
        <f t="shared" si="77"/>
        <v>Male</v>
      </c>
      <c r="J1279" s="3">
        <v>22</v>
      </c>
      <c r="K1279" s="3" t="str" cm="1">
        <f t="array" ref="K1279">_xlfn.IFS(J1279&lt;=13,"Child",J1279&lt;=18,"Teenager",J1279&lt;=30,"Young Adult",J1279&lt;=50,"Middle Aged Adult",J1279&gt;50,"Senior")</f>
        <v>Young Adult</v>
      </c>
      <c r="L1279">
        <v>0</v>
      </c>
      <c r="M1279">
        <v>0</v>
      </c>
      <c r="N1279" s="1">
        <f t="shared" si="78"/>
        <v>1</v>
      </c>
      <c r="O1279" s="1" t="str">
        <f t="shared" si="79"/>
        <v>Single</v>
      </c>
      <c r="P1279">
        <v>7.2249999999999996</v>
      </c>
      <c r="Q1279" s="1" t="str" cm="1">
        <f t="array" ref="Q1279">_xlfn.IFS(P1279&lt;=50,"Low",P1279&lt;=100,"Medium",P1279&gt;100,"High")</f>
        <v>Low</v>
      </c>
      <c r="R1279" t="s">
        <v>41</v>
      </c>
      <c r="S1279" s="1" t="str" cm="1">
        <f t="array" ref="S1279">_xlfn.IFS(R1279="S","Southampton",R1279="C","Cherbourg",R1279="Q","Queenstown")</f>
        <v>Cherbourg</v>
      </c>
    </row>
    <row r="1280" spans="1:19" x14ac:dyDescent="0.3">
      <c r="A1280">
        <v>1279</v>
      </c>
      <c r="B1280">
        <v>3</v>
      </c>
      <c r="C1280" s="1" t="str" cm="1">
        <f t="array" ref="C1280">_xlfn.IFS(B1280=1,"First Class",B1280=2,"Second Class",B1280=3,"Third Class")</f>
        <v>Third Class</v>
      </c>
      <c r="D1280">
        <v>0</v>
      </c>
      <c r="E1280" s="1" t="str">
        <f t="shared" si="76"/>
        <v>Dead</v>
      </c>
      <c r="F1280" t="s">
        <v>2076</v>
      </c>
      <c r="G1280" s="1" t="s">
        <v>2999</v>
      </c>
      <c r="H1280" t="s">
        <v>20</v>
      </c>
      <c r="I1280" s="1" t="str">
        <f t="shared" si="77"/>
        <v>Male</v>
      </c>
      <c r="J1280" s="3">
        <v>20</v>
      </c>
      <c r="K1280" s="3" t="str" cm="1">
        <f t="array" ref="K1280">_xlfn.IFS(J1280&lt;=13,"Child",J1280&lt;=18,"Teenager",J1280&lt;=30,"Young Adult",J1280&lt;=50,"Middle Aged Adult",J1280&gt;50,"Senior")</f>
        <v>Young Adult</v>
      </c>
      <c r="L1280">
        <v>0</v>
      </c>
      <c r="M1280">
        <v>0</v>
      </c>
      <c r="N1280" s="1">
        <f t="shared" si="78"/>
        <v>1</v>
      </c>
      <c r="O1280" s="1" t="str">
        <f t="shared" si="79"/>
        <v>Single</v>
      </c>
      <c r="P1280">
        <v>7.8541999999999996</v>
      </c>
      <c r="Q1280" s="1" t="str" cm="1">
        <f t="array" ref="Q1280">_xlfn.IFS(P1280&lt;=50,"Low",P1280&lt;=100,"Medium",P1280&gt;100,"High")</f>
        <v>Low</v>
      </c>
      <c r="R1280" t="s">
        <v>17</v>
      </c>
      <c r="S1280" s="1" t="str" cm="1">
        <f t="array" ref="S1280">_xlfn.IFS(R1280="S","Southampton",R1280="C","Cherbourg",R1280="Q","Queenstown")</f>
        <v>Southampton</v>
      </c>
    </row>
    <row r="1281" spans="1:19" x14ac:dyDescent="0.3">
      <c r="A1281">
        <v>1280</v>
      </c>
      <c r="B1281">
        <v>3</v>
      </c>
      <c r="C1281" s="1" t="str" cm="1">
        <f t="array" ref="C1281">_xlfn.IFS(B1281=1,"First Class",B1281=2,"Second Class",B1281=3,"Third Class")</f>
        <v>Third Class</v>
      </c>
      <c r="D1281">
        <v>0</v>
      </c>
      <c r="E1281" s="1" t="str">
        <f t="shared" si="76"/>
        <v>Dead</v>
      </c>
      <c r="F1281" t="s">
        <v>2077</v>
      </c>
      <c r="G1281" s="1" t="s">
        <v>2994</v>
      </c>
      <c r="H1281" t="s">
        <v>15</v>
      </c>
      <c r="I1281" s="1" t="str">
        <f t="shared" si="77"/>
        <v>Female</v>
      </c>
      <c r="J1281" s="3">
        <v>14</v>
      </c>
      <c r="K1281" s="3" t="str" cm="1">
        <f t="array" ref="K1281">_xlfn.IFS(J1281&lt;=13,"Child",J1281&lt;=18,"Teenager",J1281&lt;=30,"Young Adult",J1281&lt;=50,"Middle Aged Adult",J1281&gt;50,"Senior")</f>
        <v>Teenager</v>
      </c>
      <c r="L1281">
        <v>0</v>
      </c>
      <c r="M1281">
        <v>0</v>
      </c>
      <c r="N1281" s="1">
        <f t="shared" si="78"/>
        <v>1</v>
      </c>
      <c r="O1281" s="1" t="str">
        <f t="shared" si="79"/>
        <v>Single</v>
      </c>
      <c r="P1281">
        <v>7.8541999999999996</v>
      </c>
      <c r="Q1281" s="1" t="str" cm="1">
        <f t="array" ref="Q1281">_xlfn.IFS(P1281&lt;=50,"Low",P1281&lt;=100,"Medium",P1281&gt;100,"High")</f>
        <v>Low</v>
      </c>
      <c r="R1281" t="s">
        <v>17</v>
      </c>
      <c r="S1281" s="1" t="str" cm="1">
        <f t="array" ref="S1281">_xlfn.IFS(R1281="S","Southampton",R1281="C","Cherbourg",R1281="Q","Queenstown")</f>
        <v>Southampton</v>
      </c>
    </row>
    <row r="1282" spans="1:19" x14ac:dyDescent="0.3">
      <c r="A1282">
        <v>1281</v>
      </c>
      <c r="B1282">
        <v>3</v>
      </c>
      <c r="C1282" s="1" t="str" cm="1">
        <f t="array" ref="C1282">_xlfn.IFS(B1282=1,"First Class",B1282=2,"Second Class",B1282=3,"Third Class")</f>
        <v>Third Class</v>
      </c>
      <c r="D1282">
        <v>0</v>
      </c>
      <c r="E1282" s="1" t="str">
        <f t="shared" si="76"/>
        <v>Dead</v>
      </c>
      <c r="F1282" t="s">
        <v>2078</v>
      </c>
      <c r="G1282" s="1" t="s">
        <v>2999</v>
      </c>
      <c r="H1282" t="s">
        <v>20</v>
      </c>
      <c r="I1282" s="1" t="str">
        <f t="shared" si="77"/>
        <v>Male</v>
      </c>
      <c r="J1282" s="3">
        <v>22</v>
      </c>
      <c r="K1282" s="3" t="str" cm="1">
        <f t="array" ref="K1282">_xlfn.IFS(J1282&lt;=13,"Child",J1282&lt;=18,"Teenager",J1282&lt;=30,"Young Adult",J1282&lt;=50,"Middle Aged Adult",J1282&gt;50,"Senior")</f>
        <v>Young Adult</v>
      </c>
      <c r="L1282">
        <v>0</v>
      </c>
      <c r="M1282">
        <v>0</v>
      </c>
      <c r="N1282" s="1">
        <f t="shared" si="78"/>
        <v>1</v>
      </c>
      <c r="O1282" s="1" t="str">
        <f t="shared" si="79"/>
        <v>Single</v>
      </c>
      <c r="P1282">
        <v>7.8958000000000004</v>
      </c>
      <c r="Q1282" s="1" t="str" cm="1">
        <f t="array" ref="Q1282">_xlfn.IFS(P1282&lt;=50,"Low",P1282&lt;=100,"Medium",P1282&gt;100,"High")</f>
        <v>Low</v>
      </c>
      <c r="R1282" t="s">
        <v>17</v>
      </c>
      <c r="S1282" s="1" t="str" cm="1">
        <f t="array" ref="S1282">_xlfn.IFS(R1282="S","Southampton",R1282="C","Cherbourg",R1282="Q","Queenstown")</f>
        <v>Southampton</v>
      </c>
    </row>
    <row r="1283" spans="1:19" x14ac:dyDescent="0.3">
      <c r="A1283">
        <v>1282</v>
      </c>
      <c r="B1283">
        <v>3</v>
      </c>
      <c r="C1283" s="1" t="str" cm="1">
        <f t="array" ref="C1283">_xlfn.IFS(B1283=1,"First Class",B1283=2,"Second Class",B1283=3,"Third Class")</f>
        <v>Third Class</v>
      </c>
      <c r="D1283">
        <v>0</v>
      </c>
      <c r="E1283" s="1" t="str">
        <f t="shared" ref="E1283:E1310" si="80">IF(D1283=0,"Dead","Alive")</f>
        <v>Dead</v>
      </c>
      <c r="F1283" t="s">
        <v>2079</v>
      </c>
      <c r="G1283" s="1" t="s">
        <v>2999</v>
      </c>
      <c r="H1283" t="s">
        <v>20</v>
      </c>
      <c r="I1283" s="1" t="str">
        <f t="shared" ref="I1283:I1310" si="81">PROPER(H1283)</f>
        <v>Male</v>
      </c>
      <c r="J1283" s="3">
        <v>22</v>
      </c>
      <c r="K1283" s="3" t="str" cm="1">
        <f t="array" ref="K1283">_xlfn.IFS(J1283&lt;=13,"Child",J1283&lt;=18,"Teenager",J1283&lt;=30,"Young Adult",J1283&lt;=50,"Middle Aged Adult",J1283&gt;50,"Senior")</f>
        <v>Young Adult</v>
      </c>
      <c r="L1283">
        <v>0</v>
      </c>
      <c r="M1283">
        <v>0</v>
      </c>
      <c r="N1283" s="1">
        <f t="shared" ref="N1283:N1310" si="82">L1283+M1283+1</f>
        <v>1</v>
      </c>
      <c r="O1283" s="1" t="str">
        <f t="shared" ref="O1283:O1310" si="83">IF(N1283=1,"Single","With Family")</f>
        <v>Single</v>
      </c>
      <c r="P1283">
        <v>9</v>
      </c>
      <c r="Q1283" s="1" t="str" cm="1">
        <f t="array" ref="Q1283">_xlfn.IFS(P1283&lt;=50,"Low",P1283&lt;=100,"Medium",P1283&gt;100,"High")</f>
        <v>Low</v>
      </c>
      <c r="R1283" t="s">
        <v>17</v>
      </c>
      <c r="S1283" s="1" t="str" cm="1">
        <f t="array" ref="S1283">_xlfn.IFS(R1283="S","Southampton",R1283="C","Cherbourg",R1283="Q","Queenstown")</f>
        <v>Southampton</v>
      </c>
    </row>
    <row r="1284" spans="1:19" x14ac:dyDescent="0.3">
      <c r="A1284">
        <v>1283</v>
      </c>
      <c r="B1284">
        <v>3</v>
      </c>
      <c r="C1284" s="1" t="str" cm="1">
        <f t="array" ref="C1284">_xlfn.IFS(B1284=1,"First Class",B1284=2,"Second Class",B1284=3,"Third Class")</f>
        <v>Third Class</v>
      </c>
      <c r="D1284">
        <v>0</v>
      </c>
      <c r="E1284" s="1" t="str">
        <f t="shared" si="80"/>
        <v>Dead</v>
      </c>
      <c r="F1284" t="s">
        <v>2081</v>
      </c>
      <c r="G1284" s="1" t="s">
        <v>2999</v>
      </c>
      <c r="H1284" t="s">
        <v>20</v>
      </c>
      <c r="I1284" s="1" t="str">
        <f t="shared" si="81"/>
        <v>Male</v>
      </c>
      <c r="J1284" s="3">
        <v>29.881137667304014</v>
      </c>
      <c r="K1284" s="3" t="str" cm="1">
        <f t="array" ref="K1284">_xlfn.IFS(J1284&lt;=13,"Child",J1284&lt;=18,"Teenager",J1284&lt;=30,"Young Adult",J1284&lt;=50,"Middle Aged Adult",J1284&gt;50,"Senior")</f>
        <v>Young Adult</v>
      </c>
      <c r="L1284">
        <v>0</v>
      </c>
      <c r="M1284">
        <v>0</v>
      </c>
      <c r="N1284" s="1">
        <f t="shared" si="82"/>
        <v>1</v>
      </c>
      <c r="O1284" s="1" t="str">
        <f t="shared" si="83"/>
        <v>Single</v>
      </c>
      <c r="P1284">
        <v>8.0500000000000007</v>
      </c>
      <c r="Q1284" s="1" t="str" cm="1">
        <f t="array" ref="Q1284">_xlfn.IFS(P1284&lt;=50,"Low",P1284&lt;=100,"Medium",P1284&gt;100,"High")</f>
        <v>Low</v>
      </c>
      <c r="R1284" t="s">
        <v>17</v>
      </c>
      <c r="S1284" s="1" t="str" cm="1">
        <f t="array" ref="S1284">_xlfn.IFS(R1284="S","Southampton",R1284="C","Cherbourg",R1284="Q","Queenstown")</f>
        <v>Southampton</v>
      </c>
    </row>
    <row r="1285" spans="1:19" x14ac:dyDescent="0.3">
      <c r="A1285">
        <v>1284</v>
      </c>
      <c r="B1285">
        <v>3</v>
      </c>
      <c r="C1285" s="1" t="str" cm="1">
        <f t="array" ref="C1285">_xlfn.IFS(B1285=1,"First Class",B1285=2,"Second Class",B1285=3,"Third Class")</f>
        <v>Third Class</v>
      </c>
      <c r="D1285">
        <v>0</v>
      </c>
      <c r="E1285" s="1" t="str">
        <f t="shared" si="80"/>
        <v>Dead</v>
      </c>
      <c r="F1285" t="s">
        <v>2082</v>
      </c>
      <c r="G1285" s="1" t="s">
        <v>2999</v>
      </c>
      <c r="H1285" t="s">
        <v>20</v>
      </c>
      <c r="I1285" s="1" t="str">
        <f t="shared" si="81"/>
        <v>Male</v>
      </c>
      <c r="J1285" s="3">
        <v>29.881137667304014</v>
      </c>
      <c r="K1285" s="3" t="str" cm="1">
        <f t="array" ref="K1285">_xlfn.IFS(J1285&lt;=13,"Child",J1285&lt;=18,"Teenager",J1285&lt;=30,"Young Adult",J1285&lt;=50,"Middle Aged Adult",J1285&gt;50,"Senior")</f>
        <v>Young Adult</v>
      </c>
      <c r="L1285">
        <v>0</v>
      </c>
      <c r="M1285">
        <v>0</v>
      </c>
      <c r="N1285" s="1">
        <f t="shared" si="82"/>
        <v>1</v>
      </c>
      <c r="O1285" s="1" t="str">
        <f t="shared" si="83"/>
        <v>Single</v>
      </c>
      <c r="P1285">
        <v>7.55</v>
      </c>
      <c r="Q1285" s="1" t="str" cm="1">
        <f t="array" ref="Q1285">_xlfn.IFS(P1285&lt;=50,"Low",P1285&lt;=100,"Medium",P1285&gt;100,"High")</f>
        <v>Low</v>
      </c>
      <c r="R1285" t="s">
        <v>17</v>
      </c>
      <c r="S1285" s="1" t="str" cm="1">
        <f t="array" ref="S1285">_xlfn.IFS(R1285="S","Southampton",R1285="C","Cherbourg",R1285="Q","Queenstown")</f>
        <v>Southampton</v>
      </c>
    </row>
    <row r="1286" spans="1:19" x14ac:dyDescent="0.3">
      <c r="A1286">
        <v>1285</v>
      </c>
      <c r="B1286">
        <v>3</v>
      </c>
      <c r="C1286" s="1" t="str" cm="1">
        <f t="array" ref="C1286">_xlfn.IFS(B1286=1,"First Class",B1286=2,"Second Class",B1286=3,"Third Class")</f>
        <v>Third Class</v>
      </c>
      <c r="D1286">
        <v>0</v>
      </c>
      <c r="E1286" s="1" t="str">
        <f t="shared" si="80"/>
        <v>Dead</v>
      </c>
      <c r="F1286" t="s">
        <v>2084</v>
      </c>
      <c r="G1286" s="1" t="s">
        <v>2999</v>
      </c>
      <c r="H1286" t="s">
        <v>20</v>
      </c>
      <c r="I1286" s="1" t="str">
        <f t="shared" si="81"/>
        <v>Male</v>
      </c>
      <c r="J1286" s="3">
        <v>29.881137667304014</v>
      </c>
      <c r="K1286" s="3" t="str" cm="1">
        <f t="array" ref="K1286">_xlfn.IFS(J1286&lt;=13,"Child",J1286&lt;=18,"Teenager",J1286&lt;=30,"Young Adult",J1286&lt;=50,"Middle Aged Adult",J1286&gt;50,"Senior")</f>
        <v>Young Adult</v>
      </c>
      <c r="L1286">
        <v>0</v>
      </c>
      <c r="M1286">
        <v>0</v>
      </c>
      <c r="N1286" s="1">
        <f t="shared" si="82"/>
        <v>1</v>
      </c>
      <c r="O1286" s="1" t="str">
        <f t="shared" si="83"/>
        <v>Single</v>
      </c>
      <c r="P1286">
        <v>8.0500000000000007</v>
      </c>
      <c r="Q1286" s="1" t="str" cm="1">
        <f t="array" ref="Q1286">_xlfn.IFS(P1286&lt;=50,"Low",P1286&lt;=100,"Medium",P1286&gt;100,"High")</f>
        <v>Low</v>
      </c>
      <c r="R1286" t="s">
        <v>17</v>
      </c>
      <c r="S1286" s="1" t="str" cm="1">
        <f t="array" ref="S1286">_xlfn.IFS(R1286="S","Southampton",R1286="C","Cherbourg",R1286="Q","Queenstown")</f>
        <v>Southampton</v>
      </c>
    </row>
    <row r="1287" spans="1:19" x14ac:dyDescent="0.3">
      <c r="A1287">
        <v>1286</v>
      </c>
      <c r="B1287">
        <v>3</v>
      </c>
      <c r="C1287" s="1" t="str" cm="1">
        <f t="array" ref="C1287">_xlfn.IFS(B1287=1,"First Class",B1287=2,"Second Class",B1287=3,"Third Class")</f>
        <v>Third Class</v>
      </c>
      <c r="D1287">
        <v>0</v>
      </c>
      <c r="E1287" s="1" t="str">
        <f t="shared" si="80"/>
        <v>Dead</v>
      </c>
      <c r="F1287" t="s">
        <v>2086</v>
      </c>
      <c r="G1287" s="1" t="s">
        <v>2999</v>
      </c>
      <c r="H1287" t="s">
        <v>20</v>
      </c>
      <c r="I1287" s="1" t="str">
        <f t="shared" si="81"/>
        <v>Male</v>
      </c>
      <c r="J1287" s="3">
        <v>32.5</v>
      </c>
      <c r="K1287" s="3" t="str" cm="1">
        <f t="array" ref="K1287">_xlfn.IFS(J1287&lt;=13,"Child",J1287&lt;=18,"Teenager",J1287&lt;=30,"Young Adult",J1287&lt;=50,"Middle Aged Adult",J1287&gt;50,"Senior")</f>
        <v>Middle Aged Adult</v>
      </c>
      <c r="L1287">
        <v>0</v>
      </c>
      <c r="M1287">
        <v>0</v>
      </c>
      <c r="N1287" s="1">
        <f t="shared" si="82"/>
        <v>1</v>
      </c>
      <c r="O1287" s="1" t="str">
        <f t="shared" si="83"/>
        <v>Single</v>
      </c>
      <c r="P1287">
        <v>9.5</v>
      </c>
      <c r="Q1287" s="1" t="str" cm="1">
        <f t="array" ref="Q1287">_xlfn.IFS(P1287&lt;=50,"Low",P1287&lt;=100,"Medium",P1287&gt;100,"High")</f>
        <v>Low</v>
      </c>
      <c r="R1287" t="s">
        <v>17</v>
      </c>
      <c r="S1287" s="1" t="str" cm="1">
        <f t="array" ref="S1287">_xlfn.IFS(R1287="S","Southampton",R1287="C","Cherbourg",R1287="Q","Queenstown")</f>
        <v>Southampton</v>
      </c>
    </row>
    <row r="1288" spans="1:19" x14ac:dyDescent="0.3">
      <c r="A1288">
        <v>1287</v>
      </c>
      <c r="B1288">
        <v>3</v>
      </c>
      <c r="C1288" s="1" t="str" cm="1">
        <f t="array" ref="C1288">_xlfn.IFS(B1288=1,"First Class",B1288=2,"Second Class",B1288=3,"Third Class")</f>
        <v>Third Class</v>
      </c>
      <c r="D1288">
        <v>1</v>
      </c>
      <c r="E1288" s="1" t="str">
        <f t="shared" si="80"/>
        <v>Alive</v>
      </c>
      <c r="F1288" t="s">
        <v>2087</v>
      </c>
      <c r="G1288" s="1" t="s">
        <v>3001</v>
      </c>
      <c r="H1288" t="s">
        <v>15</v>
      </c>
      <c r="I1288" s="1" t="str">
        <f t="shared" si="81"/>
        <v>Female</v>
      </c>
      <c r="J1288" s="3">
        <v>38</v>
      </c>
      <c r="K1288" s="3" t="str" cm="1">
        <f t="array" ref="K1288">_xlfn.IFS(J1288&lt;=13,"Child",J1288&lt;=18,"Teenager",J1288&lt;=30,"Young Adult",J1288&lt;=50,"Middle Aged Adult",J1288&gt;50,"Senior")</f>
        <v>Middle Aged Adult</v>
      </c>
      <c r="L1288">
        <v>0</v>
      </c>
      <c r="M1288">
        <v>0</v>
      </c>
      <c r="N1288" s="1">
        <f t="shared" si="82"/>
        <v>1</v>
      </c>
      <c r="O1288" s="1" t="str">
        <f t="shared" si="83"/>
        <v>Single</v>
      </c>
      <c r="P1288">
        <v>7.2291999999999996</v>
      </c>
      <c r="Q1288" s="1" t="str" cm="1">
        <f t="array" ref="Q1288">_xlfn.IFS(P1288&lt;=50,"Low",P1288&lt;=100,"Medium",P1288&gt;100,"High")</f>
        <v>Low</v>
      </c>
      <c r="R1288" t="s">
        <v>41</v>
      </c>
      <c r="S1288" s="1" t="str" cm="1">
        <f t="array" ref="S1288">_xlfn.IFS(R1288="S","Southampton",R1288="C","Cherbourg",R1288="Q","Queenstown")</f>
        <v>Cherbourg</v>
      </c>
    </row>
    <row r="1289" spans="1:19" x14ac:dyDescent="0.3">
      <c r="A1289">
        <v>1288</v>
      </c>
      <c r="B1289">
        <v>3</v>
      </c>
      <c r="C1289" s="1" t="str" cm="1">
        <f t="array" ref="C1289">_xlfn.IFS(B1289=1,"First Class",B1289=2,"Second Class",B1289=3,"Third Class")</f>
        <v>Third Class</v>
      </c>
      <c r="D1289">
        <v>0</v>
      </c>
      <c r="E1289" s="1" t="str">
        <f t="shared" si="80"/>
        <v>Dead</v>
      </c>
      <c r="F1289" t="s">
        <v>2088</v>
      </c>
      <c r="G1289" s="1" t="s">
        <v>2999</v>
      </c>
      <c r="H1289" t="s">
        <v>20</v>
      </c>
      <c r="I1289" s="1" t="str">
        <f t="shared" si="81"/>
        <v>Male</v>
      </c>
      <c r="J1289" s="3">
        <v>51</v>
      </c>
      <c r="K1289" s="3" t="str" cm="1">
        <f t="array" ref="K1289">_xlfn.IFS(J1289&lt;=13,"Child",J1289&lt;=18,"Teenager",J1289&lt;=30,"Young Adult",J1289&lt;=50,"Middle Aged Adult",J1289&gt;50,"Senior")</f>
        <v>Senior</v>
      </c>
      <c r="L1289">
        <v>0</v>
      </c>
      <c r="M1289">
        <v>0</v>
      </c>
      <c r="N1289" s="1">
        <f t="shared" si="82"/>
        <v>1</v>
      </c>
      <c r="O1289" s="1" t="str">
        <f t="shared" si="83"/>
        <v>Single</v>
      </c>
      <c r="P1289">
        <v>7.75</v>
      </c>
      <c r="Q1289" s="1" t="str" cm="1">
        <f t="array" ref="Q1289">_xlfn.IFS(P1289&lt;=50,"Low",P1289&lt;=100,"Medium",P1289&gt;100,"High")</f>
        <v>Low</v>
      </c>
      <c r="R1289" t="s">
        <v>17</v>
      </c>
      <c r="S1289" s="1" t="str" cm="1">
        <f t="array" ref="S1289">_xlfn.IFS(R1289="S","Southampton",R1289="C","Cherbourg",R1289="Q","Queenstown")</f>
        <v>Southampton</v>
      </c>
    </row>
    <row r="1290" spans="1:19" x14ac:dyDescent="0.3">
      <c r="A1290">
        <v>1289</v>
      </c>
      <c r="B1290">
        <v>3</v>
      </c>
      <c r="C1290" s="1" t="str" cm="1">
        <f t="array" ref="C1290">_xlfn.IFS(B1290=1,"First Class",B1290=2,"Second Class",B1290=3,"Third Class")</f>
        <v>Third Class</v>
      </c>
      <c r="D1290">
        <v>0</v>
      </c>
      <c r="E1290" s="1" t="str">
        <f t="shared" si="80"/>
        <v>Dead</v>
      </c>
      <c r="F1290" t="s">
        <v>2089</v>
      </c>
      <c r="G1290" s="1" t="s">
        <v>2999</v>
      </c>
      <c r="H1290" t="s">
        <v>20</v>
      </c>
      <c r="I1290" s="1" t="str">
        <f t="shared" si="81"/>
        <v>Male</v>
      </c>
      <c r="J1290" s="3">
        <v>18</v>
      </c>
      <c r="K1290" s="3" t="str" cm="1">
        <f t="array" ref="K1290">_xlfn.IFS(J1290&lt;=13,"Child",J1290&lt;=18,"Teenager",J1290&lt;=30,"Young Adult",J1290&lt;=50,"Middle Aged Adult",J1290&gt;50,"Senior")</f>
        <v>Teenager</v>
      </c>
      <c r="L1290">
        <v>1</v>
      </c>
      <c r="M1290">
        <v>0</v>
      </c>
      <c r="N1290" s="1">
        <f t="shared" si="82"/>
        <v>2</v>
      </c>
      <c r="O1290" s="1" t="str">
        <f t="shared" si="83"/>
        <v>With Family</v>
      </c>
      <c r="P1290">
        <v>6.4958</v>
      </c>
      <c r="Q1290" s="1" t="str" cm="1">
        <f t="array" ref="Q1290">_xlfn.IFS(P1290&lt;=50,"Low",P1290&lt;=100,"Medium",P1290&gt;100,"High")</f>
        <v>Low</v>
      </c>
      <c r="R1290" t="s">
        <v>17</v>
      </c>
      <c r="S1290" s="1" t="str" cm="1">
        <f t="array" ref="S1290">_xlfn.IFS(R1290="S","Southampton",R1290="C","Cherbourg",R1290="Q","Queenstown")</f>
        <v>Southampton</v>
      </c>
    </row>
    <row r="1291" spans="1:19" x14ac:dyDescent="0.3">
      <c r="A1291">
        <v>1290</v>
      </c>
      <c r="B1291">
        <v>3</v>
      </c>
      <c r="C1291" s="1" t="str" cm="1">
        <f t="array" ref="C1291">_xlfn.IFS(B1291=1,"First Class",B1291=2,"Second Class",B1291=3,"Third Class")</f>
        <v>Third Class</v>
      </c>
      <c r="D1291">
        <v>0</v>
      </c>
      <c r="E1291" s="1" t="str">
        <f t="shared" si="80"/>
        <v>Dead</v>
      </c>
      <c r="F1291" t="s">
        <v>2090</v>
      </c>
      <c r="G1291" s="1" t="s">
        <v>2999</v>
      </c>
      <c r="H1291" t="s">
        <v>20</v>
      </c>
      <c r="I1291" s="1" t="str">
        <f t="shared" si="81"/>
        <v>Male</v>
      </c>
      <c r="J1291" s="3">
        <v>21</v>
      </c>
      <c r="K1291" s="3" t="str" cm="1">
        <f t="array" ref="K1291">_xlfn.IFS(J1291&lt;=13,"Child",J1291&lt;=18,"Teenager",J1291&lt;=30,"Young Adult",J1291&lt;=50,"Middle Aged Adult",J1291&gt;50,"Senior")</f>
        <v>Young Adult</v>
      </c>
      <c r="L1291">
        <v>1</v>
      </c>
      <c r="M1291">
        <v>0</v>
      </c>
      <c r="N1291" s="1">
        <f t="shared" si="82"/>
        <v>2</v>
      </c>
      <c r="O1291" s="1" t="str">
        <f t="shared" si="83"/>
        <v>With Family</v>
      </c>
      <c r="P1291">
        <v>6.4958</v>
      </c>
      <c r="Q1291" s="1" t="str" cm="1">
        <f t="array" ref="Q1291">_xlfn.IFS(P1291&lt;=50,"Low",P1291&lt;=100,"Medium",P1291&gt;100,"High")</f>
        <v>Low</v>
      </c>
      <c r="R1291" t="s">
        <v>17</v>
      </c>
      <c r="S1291" s="1" t="str" cm="1">
        <f t="array" ref="S1291">_xlfn.IFS(R1291="S","Southampton",R1291="C","Cherbourg",R1291="Q","Queenstown")</f>
        <v>Southampton</v>
      </c>
    </row>
    <row r="1292" spans="1:19" x14ac:dyDescent="0.3">
      <c r="A1292">
        <v>1291</v>
      </c>
      <c r="B1292">
        <v>3</v>
      </c>
      <c r="C1292" s="1" t="str" cm="1">
        <f t="array" ref="C1292">_xlfn.IFS(B1292=1,"First Class",B1292=2,"Second Class",B1292=3,"Third Class")</f>
        <v>Third Class</v>
      </c>
      <c r="D1292">
        <v>1</v>
      </c>
      <c r="E1292" s="1" t="str">
        <f t="shared" si="80"/>
        <v>Alive</v>
      </c>
      <c r="F1292" t="s">
        <v>2091</v>
      </c>
      <c r="G1292" s="1" t="s">
        <v>3001</v>
      </c>
      <c r="H1292" t="s">
        <v>15</v>
      </c>
      <c r="I1292" s="1" t="str">
        <f t="shared" si="81"/>
        <v>Female</v>
      </c>
      <c r="J1292" s="3">
        <v>47</v>
      </c>
      <c r="K1292" s="3" t="str" cm="1">
        <f t="array" ref="K1292">_xlfn.IFS(J1292&lt;=13,"Child",J1292&lt;=18,"Teenager",J1292&lt;=30,"Young Adult",J1292&lt;=50,"Middle Aged Adult",J1292&gt;50,"Senior")</f>
        <v>Middle Aged Adult</v>
      </c>
      <c r="L1292">
        <v>1</v>
      </c>
      <c r="M1292">
        <v>0</v>
      </c>
      <c r="N1292" s="1">
        <f t="shared" si="82"/>
        <v>2</v>
      </c>
      <c r="O1292" s="1" t="str">
        <f t="shared" si="83"/>
        <v>With Family</v>
      </c>
      <c r="P1292">
        <v>7</v>
      </c>
      <c r="Q1292" s="1" t="str" cm="1">
        <f t="array" ref="Q1292">_xlfn.IFS(P1292&lt;=50,"Low",P1292&lt;=100,"Medium",P1292&gt;100,"High")</f>
        <v>Low</v>
      </c>
      <c r="R1292" t="s">
        <v>17</v>
      </c>
      <c r="S1292" s="1" t="str" cm="1">
        <f t="array" ref="S1292">_xlfn.IFS(R1292="S","Southampton",R1292="C","Cherbourg",R1292="Q","Queenstown")</f>
        <v>Southampton</v>
      </c>
    </row>
    <row r="1293" spans="1:19" x14ac:dyDescent="0.3">
      <c r="A1293">
        <v>1292</v>
      </c>
      <c r="B1293">
        <v>3</v>
      </c>
      <c r="C1293" s="1" t="str" cm="1">
        <f t="array" ref="C1293">_xlfn.IFS(B1293=1,"First Class",B1293=2,"Second Class",B1293=3,"Third Class")</f>
        <v>Third Class</v>
      </c>
      <c r="D1293">
        <v>0</v>
      </c>
      <c r="E1293" s="1" t="str">
        <f t="shared" si="80"/>
        <v>Dead</v>
      </c>
      <c r="F1293" t="s">
        <v>2092</v>
      </c>
      <c r="G1293" s="1" t="s">
        <v>2999</v>
      </c>
      <c r="H1293" t="s">
        <v>20</v>
      </c>
      <c r="I1293" s="1" t="str">
        <f t="shared" si="81"/>
        <v>Male</v>
      </c>
      <c r="J1293" s="3">
        <v>29.881137667304014</v>
      </c>
      <c r="K1293" s="3" t="str" cm="1">
        <f t="array" ref="K1293">_xlfn.IFS(J1293&lt;=13,"Child",J1293&lt;=18,"Teenager",J1293&lt;=30,"Young Adult",J1293&lt;=50,"Middle Aged Adult",J1293&gt;50,"Senior")</f>
        <v>Young Adult</v>
      </c>
      <c r="L1293">
        <v>0</v>
      </c>
      <c r="M1293">
        <v>0</v>
      </c>
      <c r="N1293" s="1">
        <f t="shared" si="82"/>
        <v>1</v>
      </c>
      <c r="O1293" s="1" t="str">
        <f t="shared" si="83"/>
        <v>Single</v>
      </c>
      <c r="P1293">
        <v>8.7125000000000004</v>
      </c>
      <c r="Q1293" s="1" t="str" cm="1">
        <f t="array" ref="Q1293">_xlfn.IFS(P1293&lt;=50,"Low",P1293&lt;=100,"Medium",P1293&gt;100,"High")</f>
        <v>Low</v>
      </c>
      <c r="R1293" t="s">
        <v>17</v>
      </c>
      <c r="S1293" s="1" t="str" cm="1">
        <f t="array" ref="S1293">_xlfn.IFS(R1293="S","Southampton",R1293="C","Cherbourg",R1293="Q","Queenstown")</f>
        <v>Southampton</v>
      </c>
    </row>
    <row r="1294" spans="1:19" x14ac:dyDescent="0.3">
      <c r="A1294">
        <v>1293</v>
      </c>
      <c r="B1294">
        <v>3</v>
      </c>
      <c r="C1294" s="1" t="str" cm="1">
        <f t="array" ref="C1294">_xlfn.IFS(B1294=1,"First Class",B1294=2,"Second Class",B1294=3,"Third Class")</f>
        <v>Third Class</v>
      </c>
      <c r="D1294">
        <v>0</v>
      </c>
      <c r="E1294" s="1" t="str">
        <f t="shared" si="80"/>
        <v>Dead</v>
      </c>
      <c r="F1294" t="s">
        <v>2093</v>
      </c>
      <c r="G1294" s="1" t="s">
        <v>2999</v>
      </c>
      <c r="H1294" t="s">
        <v>20</v>
      </c>
      <c r="I1294" s="1" t="str">
        <f t="shared" si="81"/>
        <v>Male</v>
      </c>
      <c r="J1294" s="3">
        <v>29.881137667304014</v>
      </c>
      <c r="K1294" s="3" t="str" cm="1">
        <f t="array" ref="K1294">_xlfn.IFS(J1294&lt;=13,"Child",J1294&lt;=18,"Teenager",J1294&lt;=30,"Young Adult",J1294&lt;=50,"Middle Aged Adult",J1294&gt;50,"Senior")</f>
        <v>Young Adult</v>
      </c>
      <c r="L1294">
        <v>0</v>
      </c>
      <c r="M1294">
        <v>0</v>
      </c>
      <c r="N1294" s="1">
        <f t="shared" si="82"/>
        <v>1</v>
      </c>
      <c r="O1294" s="1" t="str">
        <f t="shared" si="83"/>
        <v>Single</v>
      </c>
      <c r="P1294">
        <v>7.55</v>
      </c>
      <c r="Q1294" s="1" t="str" cm="1">
        <f t="array" ref="Q1294">_xlfn.IFS(P1294&lt;=50,"Low",P1294&lt;=100,"Medium",P1294&gt;100,"High")</f>
        <v>Low</v>
      </c>
      <c r="R1294" t="s">
        <v>17</v>
      </c>
      <c r="S1294" s="1" t="str" cm="1">
        <f t="array" ref="S1294">_xlfn.IFS(R1294="S","Southampton",R1294="C","Cherbourg",R1294="Q","Queenstown")</f>
        <v>Southampton</v>
      </c>
    </row>
    <row r="1295" spans="1:19" x14ac:dyDescent="0.3">
      <c r="A1295">
        <v>1294</v>
      </c>
      <c r="B1295">
        <v>3</v>
      </c>
      <c r="C1295" s="1" t="str" cm="1">
        <f t="array" ref="C1295">_xlfn.IFS(B1295=1,"First Class",B1295=2,"Second Class",B1295=3,"Third Class")</f>
        <v>Third Class</v>
      </c>
      <c r="D1295">
        <v>0</v>
      </c>
      <c r="E1295" s="1" t="str">
        <f t="shared" si="80"/>
        <v>Dead</v>
      </c>
      <c r="F1295" t="s">
        <v>2095</v>
      </c>
      <c r="G1295" s="1" t="s">
        <v>2999</v>
      </c>
      <c r="H1295" t="s">
        <v>20</v>
      </c>
      <c r="I1295" s="1" t="str">
        <f t="shared" si="81"/>
        <v>Male</v>
      </c>
      <c r="J1295" s="3">
        <v>29.881137667304014</v>
      </c>
      <c r="K1295" s="3" t="str" cm="1">
        <f t="array" ref="K1295">_xlfn.IFS(J1295&lt;=13,"Child",J1295&lt;=18,"Teenager",J1295&lt;=30,"Young Adult",J1295&lt;=50,"Middle Aged Adult",J1295&gt;50,"Senior")</f>
        <v>Young Adult</v>
      </c>
      <c r="L1295">
        <v>0</v>
      </c>
      <c r="M1295">
        <v>0</v>
      </c>
      <c r="N1295" s="1">
        <f t="shared" si="82"/>
        <v>1</v>
      </c>
      <c r="O1295" s="1" t="str">
        <f t="shared" si="83"/>
        <v>Single</v>
      </c>
      <c r="P1295">
        <v>8.0500000000000007</v>
      </c>
      <c r="Q1295" s="1" t="str" cm="1">
        <f t="array" ref="Q1295">_xlfn.IFS(P1295&lt;=50,"Low",P1295&lt;=100,"Medium",P1295&gt;100,"High")</f>
        <v>Low</v>
      </c>
      <c r="R1295" t="s">
        <v>17</v>
      </c>
      <c r="S1295" s="1" t="str" cm="1">
        <f t="array" ref="S1295">_xlfn.IFS(R1295="S","Southampton",R1295="C","Cherbourg",R1295="Q","Queenstown")</f>
        <v>Southampton</v>
      </c>
    </row>
    <row r="1296" spans="1:19" x14ac:dyDescent="0.3">
      <c r="A1296">
        <v>1295</v>
      </c>
      <c r="B1296">
        <v>3</v>
      </c>
      <c r="C1296" s="1" t="str" cm="1">
        <f t="array" ref="C1296">_xlfn.IFS(B1296=1,"First Class",B1296=2,"Second Class",B1296=3,"Third Class")</f>
        <v>Third Class</v>
      </c>
      <c r="D1296">
        <v>0</v>
      </c>
      <c r="E1296" s="1" t="str">
        <f t="shared" si="80"/>
        <v>Dead</v>
      </c>
      <c r="F1296" t="s">
        <v>2097</v>
      </c>
      <c r="G1296" s="1" t="s">
        <v>2999</v>
      </c>
      <c r="H1296" t="s">
        <v>20</v>
      </c>
      <c r="I1296" s="1" t="str">
        <f t="shared" si="81"/>
        <v>Male</v>
      </c>
      <c r="J1296" s="3">
        <v>28.5</v>
      </c>
      <c r="K1296" s="3" t="str" cm="1">
        <f t="array" ref="K1296">_xlfn.IFS(J1296&lt;=13,"Child",J1296&lt;=18,"Teenager",J1296&lt;=30,"Young Adult",J1296&lt;=50,"Middle Aged Adult",J1296&gt;50,"Senior")</f>
        <v>Young Adult</v>
      </c>
      <c r="L1296">
        <v>0</v>
      </c>
      <c r="M1296">
        <v>0</v>
      </c>
      <c r="N1296" s="1">
        <f t="shared" si="82"/>
        <v>1</v>
      </c>
      <c r="O1296" s="1" t="str">
        <f t="shared" si="83"/>
        <v>Single</v>
      </c>
      <c r="P1296">
        <v>16.100000000000001</v>
      </c>
      <c r="Q1296" s="1" t="str" cm="1">
        <f t="array" ref="Q1296">_xlfn.IFS(P1296&lt;=50,"Low",P1296&lt;=100,"Medium",P1296&gt;100,"High")</f>
        <v>Low</v>
      </c>
      <c r="R1296" t="s">
        <v>17</v>
      </c>
      <c r="S1296" s="1" t="str" cm="1">
        <f t="array" ref="S1296">_xlfn.IFS(R1296="S","Southampton",R1296="C","Cherbourg",R1296="Q","Queenstown")</f>
        <v>Southampton</v>
      </c>
    </row>
    <row r="1297" spans="1:19" x14ac:dyDescent="0.3">
      <c r="A1297">
        <v>1296</v>
      </c>
      <c r="B1297">
        <v>3</v>
      </c>
      <c r="C1297" s="1" t="str" cm="1">
        <f t="array" ref="C1297">_xlfn.IFS(B1297=1,"First Class",B1297=2,"Second Class",B1297=3,"Third Class")</f>
        <v>Third Class</v>
      </c>
      <c r="D1297">
        <v>0</v>
      </c>
      <c r="E1297" s="1" t="str">
        <f t="shared" si="80"/>
        <v>Dead</v>
      </c>
      <c r="F1297" t="s">
        <v>2098</v>
      </c>
      <c r="G1297" s="1" t="s">
        <v>2999</v>
      </c>
      <c r="H1297" t="s">
        <v>20</v>
      </c>
      <c r="I1297" s="1" t="str">
        <f t="shared" si="81"/>
        <v>Male</v>
      </c>
      <c r="J1297" s="3">
        <v>21</v>
      </c>
      <c r="K1297" s="3" t="str" cm="1">
        <f t="array" ref="K1297">_xlfn.IFS(J1297&lt;=13,"Child",J1297&lt;=18,"Teenager",J1297&lt;=30,"Young Adult",J1297&lt;=50,"Middle Aged Adult",J1297&gt;50,"Senior")</f>
        <v>Young Adult</v>
      </c>
      <c r="L1297">
        <v>0</v>
      </c>
      <c r="M1297">
        <v>0</v>
      </c>
      <c r="N1297" s="1">
        <f t="shared" si="82"/>
        <v>1</v>
      </c>
      <c r="O1297" s="1" t="str">
        <f t="shared" si="83"/>
        <v>Single</v>
      </c>
      <c r="P1297">
        <v>7.25</v>
      </c>
      <c r="Q1297" s="1" t="str" cm="1">
        <f t="array" ref="Q1297">_xlfn.IFS(P1297&lt;=50,"Low",P1297&lt;=100,"Medium",P1297&gt;100,"High")</f>
        <v>Low</v>
      </c>
      <c r="R1297" t="s">
        <v>17</v>
      </c>
      <c r="S1297" s="1" t="str" cm="1">
        <f t="array" ref="S1297">_xlfn.IFS(R1297="S","Southampton",R1297="C","Cherbourg",R1297="Q","Queenstown")</f>
        <v>Southampton</v>
      </c>
    </row>
    <row r="1298" spans="1:19" x14ac:dyDescent="0.3">
      <c r="A1298">
        <v>1297</v>
      </c>
      <c r="B1298">
        <v>3</v>
      </c>
      <c r="C1298" s="1" t="str" cm="1">
        <f t="array" ref="C1298">_xlfn.IFS(B1298=1,"First Class",B1298=2,"Second Class",B1298=3,"Third Class")</f>
        <v>Third Class</v>
      </c>
      <c r="D1298">
        <v>0</v>
      </c>
      <c r="E1298" s="1" t="str">
        <f t="shared" si="80"/>
        <v>Dead</v>
      </c>
      <c r="F1298" t="s">
        <v>2100</v>
      </c>
      <c r="G1298" s="1" t="s">
        <v>2999</v>
      </c>
      <c r="H1298" t="s">
        <v>20</v>
      </c>
      <c r="I1298" s="1" t="str">
        <f t="shared" si="81"/>
        <v>Male</v>
      </c>
      <c r="J1298" s="3">
        <v>27</v>
      </c>
      <c r="K1298" s="3" t="str" cm="1">
        <f t="array" ref="K1298">_xlfn.IFS(J1298&lt;=13,"Child",J1298&lt;=18,"Teenager",J1298&lt;=30,"Young Adult",J1298&lt;=50,"Middle Aged Adult",J1298&gt;50,"Senior")</f>
        <v>Young Adult</v>
      </c>
      <c r="L1298">
        <v>0</v>
      </c>
      <c r="M1298">
        <v>0</v>
      </c>
      <c r="N1298" s="1">
        <f t="shared" si="82"/>
        <v>1</v>
      </c>
      <c r="O1298" s="1" t="str">
        <f t="shared" si="83"/>
        <v>Single</v>
      </c>
      <c r="P1298">
        <v>8.6624999999999996</v>
      </c>
      <c r="Q1298" s="1" t="str" cm="1">
        <f t="array" ref="Q1298">_xlfn.IFS(P1298&lt;=50,"Low",P1298&lt;=100,"Medium",P1298&gt;100,"High")</f>
        <v>Low</v>
      </c>
      <c r="R1298" t="s">
        <v>17</v>
      </c>
      <c r="S1298" s="1" t="str" cm="1">
        <f t="array" ref="S1298">_xlfn.IFS(R1298="S","Southampton",R1298="C","Cherbourg",R1298="Q","Queenstown")</f>
        <v>Southampton</v>
      </c>
    </row>
    <row r="1299" spans="1:19" x14ac:dyDescent="0.3">
      <c r="A1299">
        <v>1298</v>
      </c>
      <c r="B1299">
        <v>3</v>
      </c>
      <c r="C1299" s="1" t="str" cm="1">
        <f t="array" ref="C1299">_xlfn.IFS(B1299=1,"First Class",B1299=2,"Second Class",B1299=3,"Third Class")</f>
        <v>Third Class</v>
      </c>
      <c r="D1299">
        <v>0</v>
      </c>
      <c r="E1299" s="1" t="str">
        <f t="shared" si="80"/>
        <v>Dead</v>
      </c>
      <c r="F1299" t="s">
        <v>2101</v>
      </c>
      <c r="G1299" s="1" t="s">
        <v>2999</v>
      </c>
      <c r="H1299" t="s">
        <v>20</v>
      </c>
      <c r="I1299" s="1" t="str">
        <f t="shared" si="81"/>
        <v>Male</v>
      </c>
      <c r="J1299" s="3">
        <v>29.881137667304014</v>
      </c>
      <c r="K1299" s="3" t="str" cm="1">
        <f t="array" ref="K1299">_xlfn.IFS(J1299&lt;=13,"Child",J1299&lt;=18,"Teenager",J1299&lt;=30,"Young Adult",J1299&lt;=50,"Middle Aged Adult",J1299&gt;50,"Senior")</f>
        <v>Young Adult</v>
      </c>
      <c r="L1299">
        <v>0</v>
      </c>
      <c r="M1299">
        <v>0</v>
      </c>
      <c r="N1299" s="1">
        <f t="shared" si="82"/>
        <v>1</v>
      </c>
      <c r="O1299" s="1" t="str">
        <f t="shared" si="83"/>
        <v>Single</v>
      </c>
      <c r="P1299">
        <v>7.25</v>
      </c>
      <c r="Q1299" s="1" t="str" cm="1">
        <f t="array" ref="Q1299">_xlfn.IFS(P1299&lt;=50,"Low",P1299&lt;=100,"Medium",P1299&gt;100,"High")</f>
        <v>Low</v>
      </c>
      <c r="R1299" t="s">
        <v>17</v>
      </c>
      <c r="S1299" s="1" t="str" cm="1">
        <f t="array" ref="S1299">_xlfn.IFS(R1299="S","Southampton",R1299="C","Cherbourg",R1299="Q","Queenstown")</f>
        <v>Southampton</v>
      </c>
    </row>
    <row r="1300" spans="1:19" x14ac:dyDescent="0.3">
      <c r="A1300">
        <v>1299</v>
      </c>
      <c r="B1300">
        <v>3</v>
      </c>
      <c r="C1300" s="1" t="str" cm="1">
        <f t="array" ref="C1300">_xlfn.IFS(B1300=1,"First Class",B1300=2,"Second Class",B1300=3,"Third Class")</f>
        <v>Third Class</v>
      </c>
      <c r="D1300">
        <v>0</v>
      </c>
      <c r="E1300" s="1" t="str">
        <f t="shared" si="80"/>
        <v>Dead</v>
      </c>
      <c r="F1300" t="s">
        <v>2103</v>
      </c>
      <c r="G1300" s="1" t="s">
        <v>2999</v>
      </c>
      <c r="H1300" t="s">
        <v>20</v>
      </c>
      <c r="I1300" s="1" t="str">
        <f t="shared" si="81"/>
        <v>Male</v>
      </c>
      <c r="J1300" s="3">
        <v>36</v>
      </c>
      <c r="K1300" s="3" t="str" cm="1">
        <f t="array" ref="K1300">_xlfn.IFS(J1300&lt;=13,"Child",J1300&lt;=18,"Teenager",J1300&lt;=30,"Young Adult",J1300&lt;=50,"Middle Aged Adult",J1300&gt;50,"Senior")</f>
        <v>Middle Aged Adult</v>
      </c>
      <c r="L1300">
        <v>0</v>
      </c>
      <c r="M1300">
        <v>0</v>
      </c>
      <c r="N1300" s="1">
        <f t="shared" si="82"/>
        <v>1</v>
      </c>
      <c r="O1300" s="1" t="str">
        <f t="shared" si="83"/>
        <v>Single</v>
      </c>
      <c r="P1300">
        <v>9.5</v>
      </c>
      <c r="Q1300" s="1" t="str" cm="1">
        <f t="array" ref="Q1300">_xlfn.IFS(P1300&lt;=50,"Low",P1300&lt;=100,"Medium",P1300&gt;100,"High")</f>
        <v>Low</v>
      </c>
      <c r="R1300" t="s">
        <v>17</v>
      </c>
      <c r="S1300" s="1" t="str" cm="1">
        <f t="array" ref="S1300">_xlfn.IFS(R1300="S","Southampton",R1300="C","Cherbourg",R1300="Q","Queenstown")</f>
        <v>Southampton</v>
      </c>
    </row>
    <row r="1301" spans="1:19" x14ac:dyDescent="0.3">
      <c r="A1301">
        <v>1300</v>
      </c>
      <c r="B1301">
        <v>3</v>
      </c>
      <c r="C1301" s="1" t="str" cm="1">
        <f t="array" ref="C1301">_xlfn.IFS(B1301=1,"First Class",B1301=2,"Second Class",B1301=3,"Third Class")</f>
        <v>Third Class</v>
      </c>
      <c r="D1301">
        <v>0</v>
      </c>
      <c r="E1301" s="1" t="str">
        <f t="shared" si="80"/>
        <v>Dead</v>
      </c>
      <c r="F1301" t="s">
        <v>2104</v>
      </c>
      <c r="G1301" s="1" t="s">
        <v>2999</v>
      </c>
      <c r="H1301" t="s">
        <v>20</v>
      </c>
      <c r="I1301" s="1" t="str">
        <f t="shared" si="81"/>
        <v>Male</v>
      </c>
      <c r="J1301" s="3">
        <v>27</v>
      </c>
      <c r="K1301" s="3" t="str" cm="1">
        <f t="array" ref="K1301">_xlfn.IFS(J1301&lt;=13,"Child",J1301&lt;=18,"Teenager",J1301&lt;=30,"Young Adult",J1301&lt;=50,"Middle Aged Adult",J1301&gt;50,"Senior")</f>
        <v>Young Adult</v>
      </c>
      <c r="L1301">
        <v>1</v>
      </c>
      <c r="M1301">
        <v>0</v>
      </c>
      <c r="N1301" s="1">
        <f t="shared" si="82"/>
        <v>2</v>
      </c>
      <c r="O1301" s="1" t="str">
        <f t="shared" si="83"/>
        <v>With Family</v>
      </c>
      <c r="P1301">
        <v>14.4542</v>
      </c>
      <c r="Q1301" s="1" t="str" cm="1">
        <f t="array" ref="Q1301">_xlfn.IFS(P1301&lt;=50,"Low",P1301&lt;=100,"Medium",P1301&gt;100,"High")</f>
        <v>Low</v>
      </c>
      <c r="R1301" t="s">
        <v>41</v>
      </c>
      <c r="S1301" s="1" t="str" cm="1">
        <f t="array" ref="S1301">_xlfn.IFS(R1301="S","Southampton",R1301="C","Cherbourg",R1301="Q","Queenstown")</f>
        <v>Cherbourg</v>
      </c>
    </row>
    <row r="1302" spans="1:19" x14ac:dyDescent="0.3">
      <c r="A1302">
        <v>1301</v>
      </c>
      <c r="B1302">
        <v>3</v>
      </c>
      <c r="C1302" s="1" t="str" cm="1">
        <f t="array" ref="C1302">_xlfn.IFS(B1302=1,"First Class",B1302=2,"Second Class",B1302=3,"Third Class")</f>
        <v>Third Class</v>
      </c>
      <c r="D1302">
        <v>1</v>
      </c>
      <c r="E1302" s="1" t="str">
        <f t="shared" si="80"/>
        <v>Alive</v>
      </c>
      <c r="F1302" t="s">
        <v>2105</v>
      </c>
      <c r="G1302" s="1" t="s">
        <v>3001</v>
      </c>
      <c r="H1302" t="s">
        <v>15</v>
      </c>
      <c r="I1302" s="1" t="str">
        <f t="shared" si="81"/>
        <v>Female</v>
      </c>
      <c r="J1302" s="3">
        <v>15</v>
      </c>
      <c r="K1302" s="3" t="str" cm="1">
        <f t="array" ref="K1302">_xlfn.IFS(J1302&lt;=13,"Child",J1302&lt;=18,"Teenager",J1302&lt;=30,"Young Adult",J1302&lt;=50,"Middle Aged Adult",J1302&gt;50,"Senior")</f>
        <v>Teenager</v>
      </c>
      <c r="L1302">
        <v>1</v>
      </c>
      <c r="M1302">
        <v>0</v>
      </c>
      <c r="N1302" s="1">
        <f t="shared" si="82"/>
        <v>2</v>
      </c>
      <c r="O1302" s="1" t="str">
        <f t="shared" si="83"/>
        <v>With Family</v>
      </c>
      <c r="P1302">
        <v>14.4542</v>
      </c>
      <c r="Q1302" s="1" t="str" cm="1">
        <f t="array" ref="Q1302">_xlfn.IFS(P1302&lt;=50,"Low",P1302&lt;=100,"Medium",P1302&gt;100,"High")</f>
        <v>Low</v>
      </c>
      <c r="R1302" t="s">
        <v>41</v>
      </c>
      <c r="S1302" s="1" t="str" cm="1">
        <f t="array" ref="S1302">_xlfn.IFS(R1302="S","Southampton",R1302="C","Cherbourg",R1302="Q","Queenstown")</f>
        <v>Cherbourg</v>
      </c>
    </row>
    <row r="1303" spans="1:19" x14ac:dyDescent="0.3">
      <c r="A1303">
        <v>1302</v>
      </c>
      <c r="B1303">
        <v>3</v>
      </c>
      <c r="C1303" s="1" t="str" cm="1">
        <f t="array" ref="C1303">_xlfn.IFS(B1303=1,"First Class",B1303=2,"Second Class",B1303=3,"Third Class")</f>
        <v>Third Class</v>
      </c>
      <c r="D1303">
        <v>0</v>
      </c>
      <c r="E1303" s="1" t="str">
        <f t="shared" si="80"/>
        <v>Dead</v>
      </c>
      <c r="F1303" t="s">
        <v>2106</v>
      </c>
      <c r="G1303" s="1" t="s">
        <v>2999</v>
      </c>
      <c r="H1303" t="s">
        <v>20</v>
      </c>
      <c r="I1303" s="1" t="str">
        <f t="shared" si="81"/>
        <v>Male</v>
      </c>
      <c r="J1303" s="3">
        <v>45.5</v>
      </c>
      <c r="K1303" s="3" t="str" cm="1">
        <f t="array" ref="K1303">_xlfn.IFS(J1303&lt;=13,"Child",J1303&lt;=18,"Teenager",J1303&lt;=30,"Young Adult",J1303&lt;=50,"Middle Aged Adult",J1303&gt;50,"Senior")</f>
        <v>Middle Aged Adult</v>
      </c>
      <c r="L1303">
        <v>0</v>
      </c>
      <c r="M1303">
        <v>0</v>
      </c>
      <c r="N1303" s="1">
        <f t="shared" si="82"/>
        <v>1</v>
      </c>
      <c r="O1303" s="1" t="str">
        <f t="shared" si="83"/>
        <v>Single</v>
      </c>
      <c r="P1303">
        <v>7.2249999999999996</v>
      </c>
      <c r="Q1303" s="1" t="str" cm="1">
        <f t="array" ref="Q1303">_xlfn.IFS(P1303&lt;=50,"Low",P1303&lt;=100,"Medium",P1303&gt;100,"High")</f>
        <v>Low</v>
      </c>
      <c r="R1303" t="s">
        <v>41</v>
      </c>
      <c r="S1303" s="1" t="str" cm="1">
        <f t="array" ref="S1303">_xlfn.IFS(R1303="S","Southampton",R1303="C","Cherbourg",R1303="Q","Queenstown")</f>
        <v>Cherbourg</v>
      </c>
    </row>
    <row r="1304" spans="1:19" x14ac:dyDescent="0.3">
      <c r="A1304">
        <v>1303</v>
      </c>
      <c r="B1304">
        <v>3</v>
      </c>
      <c r="C1304" s="1" t="str" cm="1">
        <f t="array" ref="C1304">_xlfn.IFS(B1304=1,"First Class",B1304=2,"Second Class",B1304=3,"Third Class")</f>
        <v>Third Class</v>
      </c>
      <c r="D1304">
        <v>0</v>
      </c>
      <c r="E1304" s="1" t="str">
        <f t="shared" si="80"/>
        <v>Dead</v>
      </c>
      <c r="F1304" t="s">
        <v>2107</v>
      </c>
      <c r="G1304" s="1" t="s">
        <v>2999</v>
      </c>
      <c r="H1304" t="s">
        <v>20</v>
      </c>
      <c r="I1304" s="1" t="str">
        <f t="shared" si="81"/>
        <v>Male</v>
      </c>
      <c r="J1304" s="3">
        <v>29.881137667304014</v>
      </c>
      <c r="K1304" s="3" t="str" cm="1">
        <f t="array" ref="K1304">_xlfn.IFS(J1304&lt;=13,"Child",J1304&lt;=18,"Teenager",J1304&lt;=30,"Young Adult",J1304&lt;=50,"Middle Aged Adult",J1304&gt;50,"Senior")</f>
        <v>Young Adult</v>
      </c>
      <c r="L1304">
        <v>0</v>
      </c>
      <c r="M1304">
        <v>0</v>
      </c>
      <c r="N1304" s="1">
        <f t="shared" si="82"/>
        <v>1</v>
      </c>
      <c r="O1304" s="1" t="str">
        <f t="shared" si="83"/>
        <v>Single</v>
      </c>
      <c r="P1304">
        <v>7.2249999999999996</v>
      </c>
      <c r="Q1304" s="1" t="str" cm="1">
        <f t="array" ref="Q1304">_xlfn.IFS(P1304&lt;=50,"Low",P1304&lt;=100,"Medium",P1304&gt;100,"High")</f>
        <v>Low</v>
      </c>
      <c r="R1304" t="s">
        <v>41</v>
      </c>
      <c r="S1304" s="1" t="str" cm="1">
        <f t="array" ref="S1304">_xlfn.IFS(R1304="S","Southampton",R1304="C","Cherbourg",R1304="Q","Queenstown")</f>
        <v>Cherbourg</v>
      </c>
    </row>
    <row r="1305" spans="1:19" x14ac:dyDescent="0.3">
      <c r="A1305">
        <v>1304</v>
      </c>
      <c r="B1305">
        <v>3</v>
      </c>
      <c r="C1305" s="1" t="str" cm="1">
        <f t="array" ref="C1305">_xlfn.IFS(B1305=1,"First Class",B1305=2,"Second Class",B1305=3,"Third Class")</f>
        <v>Third Class</v>
      </c>
      <c r="D1305">
        <v>0</v>
      </c>
      <c r="E1305" s="1" t="str">
        <f t="shared" si="80"/>
        <v>Dead</v>
      </c>
      <c r="F1305" t="s">
        <v>2108</v>
      </c>
      <c r="G1305" s="1" t="s">
        <v>2999</v>
      </c>
      <c r="H1305" t="s">
        <v>20</v>
      </c>
      <c r="I1305" s="1" t="str">
        <f t="shared" si="81"/>
        <v>Male</v>
      </c>
      <c r="J1305" s="3">
        <v>29.881137667304014</v>
      </c>
      <c r="K1305" s="3" t="str" cm="1">
        <f t="array" ref="K1305">_xlfn.IFS(J1305&lt;=13,"Child",J1305&lt;=18,"Teenager",J1305&lt;=30,"Young Adult",J1305&lt;=50,"Middle Aged Adult",J1305&gt;50,"Senior")</f>
        <v>Young Adult</v>
      </c>
      <c r="L1305">
        <v>0</v>
      </c>
      <c r="M1305">
        <v>0</v>
      </c>
      <c r="N1305" s="1">
        <f t="shared" si="82"/>
        <v>1</v>
      </c>
      <c r="O1305" s="1" t="str">
        <f t="shared" si="83"/>
        <v>Single</v>
      </c>
      <c r="P1305">
        <v>14.458299999999999</v>
      </c>
      <c r="Q1305" s="1" t="str" cm="1">
        <f t="array" ref="Q1305">_xlfn.IFS(P1305&lt;=50,"Low",P1305&lt;=100,"Medium",P1305&gt;100,"High")</f>
        <v>Low</v>
      </c>
      <c r="R1305" t="s">
        <v>41</v>
      </c>
      <c r="S1305" s="1" t="str" cm="1">
        <f t="array" ref="S1305">_xlfn.IFS(R1305="S","Southampton",R1305="C","Cherbourg",R1305="Q","Queenstown")</f>
        <v>Cherbourg</v>
      </c>
    </row>
    <row r="1306" spans="1:19" x14ac:dyDescent="0.3">
      <c r="A1306">
        <v>1305</v>
      </c>
      <c r="B1306">
        <v>3</v>
      </c>
      <c r="C1306" s="1" t="str" cm="1">
        <f t="array" ref="C1306">_xlfn.IFS(B1306=1,"First Class",B1306=2,"Second Class",B1306=3,"Third Class")</f>
        <v>Third Class</v>
      </c>
      <c r="D1306">
        <v>0</v>
      </c>
      <c r="E1306" s="1" t="str">
        <f t="shared" si="80"/>
        <v>Dead</v>
      </c>
      <c r="F1306" t="s">
        <v>2109</v>
      </c>
      <c r="G1306" s="1" t="s">
        <v>2994</v>
      </c>
      <c r="H1306" t="s">
        <v>15</v>
      </c>
      <c r="I1306" s="1" t="str">
        <f t="shared" si="81"/>
        <v>Female</v>
      </c>
      <c r="J1306" s="3">
        <v>14.5</v>
      </c>
      <c r="K1306" s="3" t="str" cm="1">
        <f t="array" ref="K1306">_xlfn.IFS(J1306&lt;=13,"Child",J1306&lt;=18,"Teenager",J1306&lt;=30,"Young Adult",J1306&lt;=50,"Middle Aged Adult",J1306&gt;50,"Senior")</f>
        <v>Teenager</v>
      </c>
      <c r="L1306">
        <v>1</v>
      </c>
      <c r="M1306">
        <v>0</v>
      </c>
      <c r="N1306" s="1">
        <f t="shared" si="82"/>
        <v>2</v>
      </c>
      <c r="O1306" s="1" t="str">
        <f t="shared" si="83"/>
        <v>With Family</v>
      </c>
      <c r="P1306">
        <v>14.4542</v>
      </c>
      <c r="Q1306" s="1" t="str" cm="1">
        <f t="array" ref="Q1306">_xlfn.IFS(P1306&lt;=50,"Low",P1306&lt;=100,"Medium",P1306&gt;100,"High")</f>
        <v>Low</v>
      </c>
      <c r="R1306" t="s">
        <v>41</v>
      </c>
      <c r="S1306" s="1" t="str" cm="1">
        <f t="array" ref="S1306">_xlfn.IFS(R1306="S","Southampton",R1306="C","Cherbourg",R1306="Q","Queenstown")</f>
        <v>Cherbourg</v>
      </c>
    </row>
    <row r="1307" spans="1:19" x14ac:dyDescent="0.3">
      <c r="A1307">
        <v>1306</v>
      </c>
      <c r="B1307">
        <v>3</v>
      </c>
      <c r="C1307" s="1" t="str" cm="1">
        <f t="array" ref="C1307">_xlfn.IFS(B1307=1,"First Class",B1307=2,"Second Class",B1307=3,"Third Class")</f>
        <v>Third Class</v>
      </c>
      <c r="D1307">
        <v>0</v>
      </c>
      <c r="E1307" s="1" t="str">
        <f t="shared" si="80"/>
        <v>Dead</v>
      </c>
      <c r="F1307" t="s">
        <v>2110</v>
      </c>
      <c r="G1307" s="1" t="s">
        <v>2994</v>
      </c>
      <c r="H1307" t="s">
        <v>15</v>
      </c>
      <c r="I1307" s="1" t="str">
        <f t="shared" si="81"/>
        <v>Female</v>
      </c>
      <c r="J1307" s="3">
        <v>29.881137667304014</v>
      </c>
      <c r="K1307" s="3" t="str" cm="1">
        <f t="array" ref="K1307">_xlfn.IFS(J1307&lt;=13,"Child",J1307&lt;=18,"Teenager",J1307&lt;=30,"Young Adult",J1307&lt;=50,"Middle Aged Adult",J1307&gt;50,"Senior")</f>
        <v>Young Adult</v>
      </c>
      <c r="L1307">
        <v>1</v>
      </c>
      <c r="M1307">
        <v>0</v>
      </c>
      <c r="N1307" s="1">
        <f t="shared" si="82"/>
        <v>2</v>
      </c>
      <c r="O1307" s="1" t="str">
        <f t="shared" si="83"/>
        <v>With Family</v>
      </c>
      <c r="P1307">
        <v>14.4542</v>
      </c>
      <c r="Q1307" s="1" t="str" cm="1">
        <f t="array" ref="Q1307">_xlfn.IFS(P1307&lt;=50,"Low",P1307&lt;=100,"Medium",P1307&gt;100,"High")</f>
        <v>Low</v>
      </c>
      <c r="R1307" t="s">
        <v>41</v>
      </c>
      <c r="S1307" s="1" t="str" cm="1">
        <f t="array" ref="S1307">_xlfn.IFS(R1307="S","Southampton",R1307="C","Cherbourg",R1307="Q","Queenstown")</f>
        <v>Cherbourg</v>
      </c>
    </row>
    <row r="1308" spans="1:19" x14ac:dyDescent="0.3">
      <c r="A1308">
        <v>1307</v>
      </c>
      <c r="B1308">
        <v>3</v>
      </c>
      <c r="C1308" s="1" t="str" cm="1">
        <f t="array" ref="C1308">_xlfn.IFS(B1308=1,"First Class",B1308=2,"Second Class",B1308=3,"Third Class")</f>
        <v>Third Class</v>
      </c>
      <c r="D1308">
        <v>0</v>
      </c>
      <c r="E1308" s="1" t="str">
        <f t="shared" si="80"/>
        <v>Dead</v>
      </c>
      <c r="F1308" t="s">
        <v>2111</v>
      </c>
      <c r="G1308" s="1" t="s">
        <v>2999</v>
      </c>
      <c r="H1308" t="s">
        <v>20</v>
      </c>
      <c r="I1308" s="1" t="str">
        <f t="shared" si="81"/>
        <v>Male</v>
      </c>
      <c r="J1308" s="3">
        <v>26.5</v>
      </c>
      <c r="K1308" s="3" t="str" cm="1">
        <f t="array" ref="K1308">_xlfn.IFS(J1308&lt;=13,"Child",J1308&lt;=18,"Teenager",J1308&lt;=30,"Young Adult",J1308&lt;=50,"Middle Aged Adult",J1308&gt;50,"Senior")</f>
        <v>Young Adult</v>
      </c>
      <c r="L1308">
        <v>0</v>
      </c>
      <c r="M1308">
        <v>0</v>
      </c>
      <c r="N1308" s="1">
        <f t="shared" si="82"/>
        <v>1</v>
      </c>
      <c r="O1308" s="1" t="str">
        <f t="shared" si="83"/>
        <v>Single</v>
      </c>
      <c r="P1308">
        <v>7.2249999999999996</v>
      </c>
      <c r="Q1308" s="1" t="str" cm="1">
        <f t="array" ref="Q1308">_xlfn.IFS(P1308&lt;=50,"Low",P1308&lt;=100,"Medium",P1308&gt;100,"High")</f>
        <v>Low</v>
      </c>
      <c r="R1308" t="s">
        <v>41</v>
      </c>
      <c r="S1308" s="1" t="str" cm="1">
        <f t="array" ref="S1308">_xlfn.IFS(R1308="S","Southampton",R1308="C","Cherbourg",R1308="Q","Queenstown")</f>
        <v>Cherbourg</v>
      </c>
    </row>
    <row r="1309" spans="1:19" x14ac:dyDescent="0.3">
      <c r="A1309">
        <v>1308</v>
      </c>
      <c r="B1309">
        <v>3</v>
      </c>
      <c r="C1309" s="1" t="str" cm="1">
        <f t="array" ref="C1309">_xlfn.IFS(B1309=1,"First Class",B1309=2,"Second Class",B1309=3,"Third Class")</f>
        <v>Third Class</v>
      </c>
      <c r="D1309">
        <v>0</v>
      </c>
      <c r="E1309" s="1" t="str">
        <f t="shared" si="80"/>
        <v>Dead</v>
      </c>
      <c r="F1309" t="s">
        <v>2112</v>
      </c>
      <c r="G1309" s="1" t="s">
        <v>2999</v>
      </c>
      <c r="H1309" t="s">
        <v>20</v>
      </c>
      <c r="I1309" s="1" t="str">
        <f t="shared" si="81"/>
        <v>Male</v>
      </c>
      <c r="J1309" s="3">
        <v>27</v>
      </c>
      <c r="K1309" s="3" t="str" cm="1">
        <f t="array" ref="K1309">_xlfn.IFS(J1309&lt;=13,"Child",J1309&lt;=18,"Teenager",J1309&lt;=30,"Young Adult",J1309&lt;=50,"Middle Aged Adult",J1309&gt;50,"Senior")</f>
        <v>Young Adult</v>
      </c>
      <c r="L1309">
        <v>0</v>
      </c>
      <c r="M1309">
        <v>0</v>
      </c>
      <c r="N1309" s="1">
        <f t="shared" si="82"/>
        <v>1</v>
      </c>
      <c r="O1309" s="1" t="str">
        <f t="shared" si="83"/>
        <v>Single</v>
      </c>
      <c r="P1309">
        <v>7.2249999999999996</v>
      </c>
      <c r="Q1309" s="1" t="str" cm="1">
        <f t="array" ref="Q1309">_xlfn.IFS(P1309&lt;=50,"Low",P1309&lt;=100,"Medium",P1309&gt;100,"High")</f>
        <v>Low</v>
      </c>
      <c r="R1309" t="s">
        <v>41</v>
      </c>
      <c r="S1309" s="1" t="str" cm="1">
        <f t="array" ref="S1309">_xlfn.IFS(R1309="S","Southampton",R1309="C","Cherbourg",R1309="Q","Queenstown")</f>
        <v>Cherbourg</v>
      </c>
    </row>
    <row r="1310" spans="1:19" x14ac:dyDescent="0.3">
      <c r="A1310">
        <v>1309</v>
      </c>
      <c r="B1310">
        <v>3</v>
      </c>
      <c r="C1310" s="1" t="str" cm="1">
        <f t="array" ref="C1310">_xlfn.IFS(B1310=1,"First Class",B1310=2,"Second Class",B1310=3,"Third Class")</f>
        <v>Third Class</v>
      </c>
      <c r="D1310">
        <v>0</v>
      </c>
      <c r="E1310" s="1" t="str">
        <f t="shared" si="80"/>
        <v>Dead</v>
      </c>
      <c r="F1310" t="s">
        <v>2113</v>
      </c>
      <c r="G1310" s="1" t="s">
        <v>2999</v>
      </c>
      <c r="H1310" t="s">
        <v>20</v>
      </c>
      <c r="I1310" s="1" t="str">
        <f t="shared" si="81"/>
        <v>Male</v>
      </c>
      <c r="J1310" s="3">
        <v>29</v>
      </c>
      <c r="K1310" s="3" t="str" cm="1">
        <f t="array" ref="K1310">_xlfn.IFS(J1310&lt;=13,"Child",J1310&lt;=18,"Teenager",J1310&lt;=30,"Young Adult",J1310&lt;=50,"Middle Aged Adult",J1310&gt;50,"Senior")</f>
        <v>Young Adult</v>
      </c>
      <c r="L1310">
        <v>0</v>
      </c>
      <c r="M1310">
        <v>0</v>
      </c>
      <c r="N1310" s="1">
        <f t="shared" si="82"/>
        <v>1</v>
      </c>
      <c r="O1310" s="1" t="str">
        <f t="shared" si="83"/>
        <v>Single</v>
      </c>
      <c r="P1310">
        <v>7.875</v>
      </c>
      <c r="Q1310" s="1" t="str" cm="1">
        <f t="array" ref="Q1310">_xlfn.IFS(P1310&lt;=50,"Low",P1310&lt;=100,"Medium",P1310&gt;100,"High")</f>
        <v>Low</v>
      </c>
      <c r="R1310" t="s">
        <v>17</v>
      </c>
      <c r="S1310" s="1" t="str" cm="1">
        <f t="array" ref="S1310">_xlfn.IFS(R1310="S","Southampton",R1310="C","Cherbourg",R1310="Q","Queenstown")</f>
        <v>Southampton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7E810-9C2F-4766-8194-E81025105BB2}">
  <sheetPr>
    <tabColor theme="7" tint="0.59999389629810485"/>
  </sheetPr>
  <dimension ref="A1:J1306"/>
  <sheetViews>
    <sheetView workbookViewId="0">
      <pane ySplit="1" topLeftCell="A2" activePane="bottomLeft" state="frozen"/>
      <selection pane="bottomLeft" activeCell="E4" sqref="E4"/>
    </sheetView>
  </sheetViews>
  <sheetFormatPr defaultRowHeight="14.4" x14ac:dyDescent="0.3"/>
  <cols>
    <col min="1" max="1" width="13.5546875" customWidth="1"/>
    <col min="2" max="2" width="15.88671875" style="36" customWidth="1"/>
    <col min="3" max="3" width="18.21875" style="36" customWidth="1"/>
    <col min="4" max="4" width="12" style="36" bestFit="1" customWidth="1"/>
    <col min="5" max="5" width="9" style="36" customWidth="1"/>
    <col min="6" max="6" width="15.77734375" style="37" bestFit="1" customWidth="1"/>
    <col min="7" max="7" width="14" style="36" customWidth="1"/>
    <col min="8" max="8" width="14.44140625" style="36" customWidth="1"/>
    <col min="9" max="9" width="19.44140625" style="36" customWidth="1"/>
  </cols>
  <sheetData>
    <row r="1" spans="1:10" x14ac:dyDescent="0.3">
      <c r="A1" t="s">
        <v>4198</v>
      </c>
      <c r="B1" s="36" t="s">
        <v>2116</v>
      </c>
      <c r="C1" s="36" t="s">
        <v>2115</v>
      </c>
      <c r="D1" s="36" t="s">
        <v>2117</v>
      </c>
      <c r="E1" s="36" t="s">
        <v>4139</v>
      </c>
      <c r="F1" s="37" t="s">
        <v>4143</v>
      </c>
      <c r="G1" s="36" t="s">
        <v>4141</v>
      </c>
      <c r="H1" s="36" t="s">
        <v>4144</v>
      </c>
      <c r="I1" s="36" t="s">
        <v>4142</v>
      </c>
    </row>
    <row r="2" spans="1:10" x14ac:dyDescent="0.3">
      <c r="A2">
        <v>1</v>
      </c>
      <c r="B2" s="36" t="s">
        <v>4145</v>
      </c>
      <c r="C2" s="36" t="s">
        <v>4146</v>
      </c>
      <c r="D2" s="36" t="s">
        <v>2994</v>
      </c>
      <c r="E2" s="36" t="s">
        <v>4147</v>
      </c>
      <c r="F2" s="37" t="s">
        <v>4148</v>
      </c>
      <c r="G2" s="36" t="s">
        <v>4149</v>
      </c>
      <c r="H2" s="36" t="s">
        <v>4150</v>
      </c>
      <c r="I2" s="36" t="s">
        <v>824</v>
      </c>
    </row>
    <row r="3" spans="1:10" x14ac:dyDescent="0.3">
      <c r="A3">
        <v>2</v>
      </c>
      <c r="B3" s="36" t="s">
        <v>4145</v>
      </c>
      <c r="C3" s="36" t="s">
        <v>4146</v>
      </c>
      <c r="D3" s="36" t="s">
        <v>2996</v>
      </c>
      <c r="E3" s="36" t="s">
        <v>4151</v>
      </c>
      <c r="F3" s="37" t="s">
        <v>4152</v>
      </c>
      <c r="G3" s="36" t="s">
        <v>4153</v>
      </c>
      <c r="H3" s="36" t="s">
        <v>4150</v>
      </c>
      <c r="I3" s="36" t="s">
        <v>824</v>
      </c>
    </row>
    <row r="4" spans="1:10" x14ac:dyDescent="0.3">
      <c r="A4">
        <v>3</v>
      </c>
      <c r="B4" s="36" t="s">
        <v>4145</v>
      </c>
      <c r="C4" s="36" t="s">
        <v>4154</v>
      </c>
      <c r="D4" s="36" t="s">
        <v>2994</v>
      </c>
      <c r="E4" s="36" t="s">
        <v>4147</v>
      </c>
      <c r="F4" s="37" t="s">
        <v>4152</v>
      </c>
      <c r="G4" s="36" t="s">
        <v>4153</v>
      </c>
      <c r="H4" s="36" t="s">
        <v>4150</v>
      </c>
      <c r="I4" s="36" t="s">
        <v>824</v>
      </c>
    </row>
    <row r="5" spans="1:10" x14ac:dyDescent="0.3">
      <c r="A5">
        <v>4</v>
      </c>
      <c r="B5" s="36" t="s">
        <v>4145</v>
      </c>
      <c r="C5" s="36" t="s">
        <v>4154</v>
      </c>
      <c r="D5" s="36" t="s">
        <v>2999</v>
      </c>
      <c r="E5" s="36" t="s">
        <v>4151</v>
      </c>
      <c r="F5" s="37" t="s">
        <v>4148</v>
      </c>
      <c r="G5" s="36" t="s">
        <v>4153</v>
      </c>
      <c r="H5" s="36" t="s">
        <v>4150</v>
      </c>
      <c r="I5" s="36" t="s">
        <v>824</v>
      </c>
    </row>
    <row r="6" spans="1:10" x14ac:dyDescent="0.3">
      <c r="A6">
        <v>5</v>
      </c>
      <c r="B6" s="36" t="s">
        <v>4145</v>
      </c>
      <c r="C6" s="36" t="s">
        <v>4154</v>
      </c>
      <c r="D6" s="36" t="s">
        <v>3001</v>
      </c>
      <c r="E6" s="36" t="s">
        <v>4147</v>
      </c>
      <c r="F6" s="37" t="s">
        <v>4148</v>
      </c>
      <c r="G6" s="36" t="s">
        <v>4153</v>
      </c>
      <c r="H6" s="36" t="s">
        <v>4150</v>
      </c>
      <c r="I6" s="36" t="s">
        <v>824</v>
      </c>
    </row>
    <row r="7" spans="1:10" x14ac:dyDescent="0.3">
      <c r="A7">
        <v>6</v>
      </c>
      <c r="B7" s="36" t="s">
        <v>4145</v>
      </c>
      <c r="C7" s="36" t="s">
        <v>4146</v>
      </c>
      <c r="D7" s="36" t="s">
        <v>2999</v>
      </c>
      <c r="E7" s="36" t="s">
        <v>4151</v>
      </c>
      <c r="F7" s="37" t="s">
        <v>4155</v>
      </c>
      <c r="G7" s="36" t="s">
        <v>4149</v>
      </c>
      <c r="H7" s="36" t="s">
        <v>4156</v>
      </c>
      <c r="I7" s="36" t="s">
        <v>824</v>
      </c>
    </row>
    <row r="8" spans="1:10" x14ac:dyDescent="0.3">
      <c r="A8">
        <v>7</v>
      </c>
      <c r="B8" s="36" t="s">
        <v>4145</v>
      </c>
      <c r="C8" s="36" t="s">
        <v>4146</v>
      </c>
      <c r="D8" s="36" t="s">
        <v>2994</v>
      </c>
      <c r="E8" s="36" t="s">
        <v>4147</v>
      </c>
      <c r="F8" s="37" t="s">
        <v>4157</v>
      </c>
      <c r="G8" s="36" t="s">
        <v>4153</v>
      </c>
      <c r="H8" s="36" t="s">
        <v>4158</v>
      </c>
      <c r="I8" s="36" t="s">
        <v>824</v>
      </c>
    </row>
    <row r="9" spans="1:10" x14ac:dyDescent="0.3">
      <c r="A9">
        <v>8</v>
      </c>
      <c r="B9" s="36" t="s">
        <v>4145</v>
      </c>
      <c r="C9" s="36" t="s">
        <v>4154</v>
      </c>
      <c r="D9" s="36" t="s">
        <v>2999</v>
      </c>
      <c r="E9" s="36" t="s">
        <v>4151</v>
      </c>
      <c r="F9" s="37" t="s">
        <v>4155</v>
      </c>
      <c r="G9" s="36" t="s">
        <v>4149</v>
      </c>
      <c r="H9" s="36" t="s">
        <v>4156</v>
      </c>
      <c r="I9" s="36" t="s">
        <v>824</v>
      </c>
    </row>
    <row r="10" spans="1:10" x14ac:dyDescent="0.3">
      <c r="A10">
        <v>9</v>
      </c>
      <c r="B10" s="36" t="s">
        <v>4145</v>
      </c>
      <c r="C10" s="36" t="s">
        <v>4146</v>
      </c>
      <c r="D10" s="36" t="s">
        <v>3001</v>
      </c>
      <c r="E10" s="36" t="s">
        <v>4147</v>
      </c>
      <c r="F10" s="37" t="s">
        <v>4157</v>
      </c>
      <c r="G10" s="36" t="s">
        <v>4153</v>
      </c>
      <c r="H10" s="36" t="s">
        <v>4158</v>
      </c>
      <c r="I10" s="36" t="s">
        <v>824</v>
      </c>
    </row>
    <row r="11" spans="1:10" x14ac:dyDescent="0.3">
      <c r="A11">
        <v>10</v>
      </c>
      <c r="B11" s="36" t="s">
        <v>4145</v>
      </c>
      <c r="C11" s="36" t="s">
        <v>4154</v>
      </c>
      <c r="D11" s="36" t="s">
        <v>2999</v>
      </c>
      <c r="E11" s="36" t="s">
        <v>4151</v>
      </c>
      <c r="F11" s="37" t="s">
        <v>4157</v>
      </c>
      <c r="G11" s="36" t="s">
        <v>4149</v>
      </c>
      <c r="H11" s="36" t="s">
        <v>4156</v>
      </c>
      <c r="I11" s="36" t="s">
        <v>4199</v>
      </c>
    </row>
    <row r="12" spans="1:10" x14ac:dyDescent="0.3">
      <c r="A12">
        <v>11</v>
      </c>
      <c r="B12" s="36" t="s">
        <v>4145</v>
      </c>
      <c r="C12" s="36" t="s">
        <v>4154</v>
      </c>
      <c r="D12" s="36" t="s">
        <v>3008</v>
      </c>
      <c r="E12" s="36" t="s">
        <v>4151</v>
      </c>
      <c r="F12" s="37" t="s">
        <v>4155</v>
      </c>
      <c r="G12" s="36" t="s">
        <v>4153</v>
      </c>
      <c r="H12" s="36" t="s">
        <v>4150</v>
      </c>
      <c r="I12" s="36" t="s">
        <v>4199</v>
      </c>
    </row>
    <row r="13" spans="1:10" x14ac:dyDescent="0.3">
      <c r="A13">
        <v>12</v>
      </c>
      <c r="B13" s="36" t="s">
        <v>4145</v>
      </c>
      <c r="C13" s="36" t="s">
        <v>4146</v>
      </c>
      <c r="D13" s="36" t="s">
        <v>3001</v>
      </c>
      <c r="E13" s="36" t="s">
        <v>4147</v>
      </c>
      <c r="F13" s="37" t="s">
        <v>4159</v>
      </c>
      <c r="G13" s="36" t="s">
        <v>4153</v>
      </c>
      <c r="H13" s="36" t="s">
        <v>4150</v>
      </c>
      <c r="I13" s="36" t="s">
        <v>4199</v>
      </c>
    </row>
    <row r="14" spans="1:10" x14ac:dyDescent="0.3">
      <c r="A14">
        <v>14</v>
      </c>
      <c r="B14" s="36" t="s">
        <v>4145</v>
      </c>
      <c r="C14" s="36" t="s">
        <v>4146</v>
      </c>
      <c r="D14" s="36" t="s">
        <v>2994</v>
      </c>
      <c r="E14" s="36" t="s">
        <v>4147</v>
      </c>
      <c r="F14" s="37" t="s">
        <v>4148</v>
      </c>
      <c r="G14" s="36" t="s">
        <v>4149</v>
      </c>
      <c r="H14" s="36" t="s">
        <v>4158</v>
      </c>
      <c r="I14" s="36" t="s">
        <v>824</v>
      </c>
      <c r="J14" s="36"/>
    </row>
    <row r="15" spans="1:10" x14ac:dyDescent="0.3">
      <c r="A15">
        <v>15</v>
      </c>
      <c r="B15" s="36" t="s">
        <v>4145</v>
      </c>
      <c r="C15" s="36" t="s">
        <v>4146</v>
      </c>
      <c r="D15" s="36" t="s">
        <v>2999</v>
      </c>
      <c r="E15" s="36" t="s">
        <v>4151</v>
      </c>
      <c r="F15" s="37" t="s">
        <v>4157</v>
      </c>
      <c r="G15" s="36" t="s">
        <v>4149</v>
      </c>
      <c r="H15" s="36" t="s">
        <v>4156</v>
      </c>
      <c r="I15" s="36" t="s">
        <v>824</v>
      </c>
    </row>
    <row r="16" spans="1:10" x14ac:dyDescent="0.3">
      <c r="A16">
        <v>16</v>
      </c>
      <c r="B16" s="36" t="s">
        <v>4145</v>
      </c>
      <c r="C16" s="36" t="s">
        <v>4154</v>
      </c>
      <c r="D16" s="36" t="s">
        <v>2999</v>
      </c>
      <c r="E16" s="36" t="s">
        <v>4151</v>
      </c>
      <c r="F16" s="37" t="s">
        <v>4148</v>
      </c>
      <c r="G16" s="36" t="s">
        <v>4149</v>
      </c>
      <c r="H16" s="36" t="s">
        <v>4156</v>
      </c>
      <c r="I16" s="36" t="s">
        <v>824</v>
      </c>
    </row>
    <row r="17" spans="1:9" x14ac:dyDescent="0.3">
      <c r="A17">
        <v>17</v>
      </c>
      <c r="B17" s="36" t="s">
        <v>4145</v>
      </c>
      <c r="C17" s="36" t="s">
        <v>4154</v>
      </c>
      <c r="D17" s="36" t="s">
        <v>2999</v>
      </c>
      <c r="E17" s="36" t="s">
        <v>4151</v>
      </c>
      <c r="F17" s="37" t="s">
        <v>4148</v>
      </c>
      <c r="G17" s="36" t="s">
        <v>4153</v>
      </c>
      <c r="H17" s="36" t="s">
        <v>4150</v>
      </c>
      <c r="I17" s="36" t="s">
        <v>4199</v>
      </c>
    </row>
    <row r="18" spans="1:9" x14ac:dyDescent="0.3">
      <c r="A18">
        <v>18</v>
      </c>
      <c r="B18" s="36" t="s">
        <v>4145</v>
      </c>
      <c r="C18" s="36" t="s">
        <v>4146</v>
      </c>
      <c r="D18" s="36" t="s">
        <v>3001</v>
      </c>
      <c r="E18" s="36" t="s">
        <v>4147</v>
      </c>
      <c r="F18" s="37" t="s">
        <v>4155</v>
      </c>
      <c r="G18" s="36" t="s">
        <v>4153</v>
      </c>
      <c r="H18" s="36" t="s">
        <v>4150</v>
      </c>
      <c r="I18" s="36" t="s">
        <v>4199</v>
      </c>
    </row>
    <row r="19" spans="1:9" x14ac:dyDescent="0.3">
      <c r="A19">
        <v>19</v>
      </c>
      <c r="B19" s="36" t="s">
        <v>4145</v>
      </c>
      <c r="C19" s="36" t="s">
        <v>4146</v>
      </c>
      <c r="D19" s="36" t="s">
        <v>2994</v>
      </c>
      <c r="E19" s="36" t="s">
        <v>4147</v>
      </c>
      <c r="F19" s="37" t="s">
        <v>4155</v>
      </c>
      <c r="G19" s="36" t="s">
        <v>4149</v>
      </c>
      <c r="H19" s="36" t="s">
        <v>4158</v>
      </c>
      <c r="I19" s="36" t="s">
        <v>4199</v>
      </c>
    </row>
    <row r="20" spans="1:9" x14ac:dyDescent="0.3">
      <c r="A20">
        <v>20</v>
      </c>
      <c r="B20" s="36" t="s">
        <v>4145</v>
      </c>
      <c r="C20" s="36" t="s">
        <v>4154</v>
      </c>
      <c r="D20" s="36" t="s">
        <v>2999</v>
      </c>
      <c r="E20" s="36" t="s">
        <v>4151</v>
      </c>
      <c r="F20" s="37" t="s">
        <v>4155</v>
      </c>
      <c r="G20" s="36" t="s">
        <v>4149</v>
      </c>
      <c r="H20" s="36" t="s">
        <v>4158</v>
      </c>
      <c r="I20" s="36" t="s">
        <v>4199</v>
      </c>
    </row>
    <row r="21" spans="1:9" x14ac:dyDescent="0.3">
      <c r="A21">
        <v>21</v>
      </c>
      <c r="B21" s="36" t="s">
        <v>4145</v>
      </c>
      <c r="C21" s="36" t="s">
        <v>4146</v>
      </c>
      <c r="D21" s="36" t="s">
        <v>2999</v>
      </c>
      <c r="E21" s="36" t="s">
        <v>4151</v>
      </c>
      <c r="F21" s="37" t="s">
        <v>4155</v>
      </c>
      <c r="G21" s="36" t="s">
        <v>4153</v>
      </c>
      <c r="H21" s="36" t="s">
        <v>4158</v>
      </c>
      <c r="I21" s="36" t="s">
        <v>824</v>
      </c>
    </row>
    <row r="22" spans="1:9" x14ac:dyDescent="0.3">
      <c r="A22">
        <v>22</v>
      </c>
      <c r="B22" s="36" t="s">
        <v>4145</v>
      </c>
      <c r="C22" s="36" t="s">
        <v>4146</v>
      </c>
      <c r="D22" s="36" t="s">
        <v>3001</v>
      </c>
      <c r="E22" s="36" t="s">
        <v>4147</v>
      </c>
      <c r="F22" s="37" t="s">
        <v>4155</v>
      </c>
      <c r="G22" s="36" t="s">
        <v>4153</v>
      </c>
      <c r="H22" s="36" t="s">
        <v>4158</v>
      </c>
      <c r="I22" s="36" t="s">
        <v>824</v>
      </c>
    </row>
    <row r="23" spans="1:9" x14ac:dyDescent="0.3">
      <c r="A23">
        <v>23</v>
      </c>
      <c r="B23" s="36" t="s">
        <v>4145</v>
      </c>
      <c r="C23" s="36" t="s">
        <v>4146</v>
      </c>
      <c r="D23" s="36" t="s">
        <v>2999</v>
      </c>
      <c r="E23" s="36" t="s">
        <v>4151</v>
      </c>
      <c r="F23" s="37" t="s">
        <v>4148</v>
      </c>
      <c r="G23" s="36" t="s">
        <v>4149</v>
      </c>
      <c r="H23" s="36" t="s">
        <v>4156</v>
      </c>
      <c r="I23" s="36" t="s">
        <v>4199</v>
      </c>
    </row>
    <row r="24" spans="1:9" x14ac:dyDescent="0.3">
      <c r="A24">
        <v>24</v>
      </c>
      <c r="B24" s="36" t="s">
        <v>4145</v>
      </c>
      <c r="C24" s="36" t="s">
        <v>4146</v>
      </c>
      <c r="D24" s="36" t="s">
        <v>2994</v>
      </c>
      <c r="E24" s="36" t="s">
        <v>4147</v>
      </c>
      <c r="F24" s="37" t="s">
        <v>4155</v>
      </c>
      <c r="G24" s="36" t="s">
        <v>4149</v>
      </c>
      <c r="H24" s="36" t="s">
        <v>4150</v>
      </c>
      <c r="I24" s="36" t="s">
        <v>4199</v>
      </c>
    </row>
    <row r="25" spans="1:9" x14ac:dyDescent="0.3">
      <c r="A25">
        <v>25</v>
      </c>
      <c r="B25" s="36" t="s">
        <v>4145</v>
      </c>
      <c r="C25" s="36" t="s">
        <v>4146</v>
      </c>
      <c r="D25" s="36" t="s">
        <v>2994</v>
      </c>
      <c r="E25" s="36" t="s">
        <v>4147</v>
      </c>
      <c r="F25" s="37" t="s">
        <v>4148</v>
      </c>
      <c r="G25" s="36" t="s">
        <v>4149</v>
      </c>
      <c r="H25" s="36" t="s">
        <v>4150</v>
      </c>
      <c r="I25" s="36" t="s">
        <v>824</v>
      </c>
    </row>
    <row r="26" spans="1:9" x14ac:dyDescent="0.3">
      <c r="A26">
        <v>26</v>
      </c>
      <c r="B26" s="36" t="s">
        <v>4145</v>
      </c>
      <c r="C26" s="36" t="s">
        <v>4154</v>
      </c>
      <c r="D26" s="36" t="s">
        <v>2999</v>
      </c>
      <c r="E26" s="36" t="s">
        <v>4151</v>
      </c>
      <c r="F26" s="37" t="s">
        <v>4148</v>
      </c>
      <c r="G26" s="36" t="s">
        <v>4149</v>
      </c>
      <c r="H26" s="36" t="s">
        <v>4156</v>
      </c>
      <c r="I26" s="36" t="s">
        <v>4199</v>
      </c>
    </row>
    <row r="27" spans="1:9" x14ac:dyDescent="0.3">
      <c r="A27">
        <v>27</v>
      </c>
      <c r="B27" s="36" t="s">
        <v>4145</v>
      </c>
      <c r="C27" s="36" t="s">
        <v>4146</v>
      </c>
      <c r="D27" s="36" t="s">
        <v>2999</v>
      </c>
      <c r="E27" s="36" t="s">
        <v>4151</v>
      </c>
      <c r="F27" s="37" t="s">
        <v>4148</v>
      </c>
      <c r="G27" s="36" t="s">
        <v>4153</v>
      </c>
      <c r="H27" s="36" t="s">
        <v>4158</v>
      </c>
      <c r="I27" s="36" t="s">
        <v>4199</v>
      </c>
    </row>
    <row r="28" spans="1:9" x14ac:dyDescent="0.3">
      <c r="A28">
        <v>28</v>
      </c>
      <c r="B28" s="36" t="s">
        <v>4145</v>
      </c>
      <c r="C28" s="36" t="s">
        <v>4146</v>
      </c>
      <c r="D28" s="36" t="s">
        <v>3001</v>
      </c>
      <c r="E28" s="36" t="s">
        <v>4147</v>
      </c>
      <c r="F28" s="37" t="s">
        <v>4148</v>
      </c>
      <c r="G28" s="36" t="s">
        <v>4153</v>
      </c>
      <c r="H28" s="36" t="s">
        <v>4158</v>
      </c>
      <c r="I28" s="36" t="s">
        <v>4199</v>
      </c>
    </row>
    <row r="29" spans="1:9" x14ac:dyDescent="0.3">
      <c r="A29">
        <v>29</v>
      </c>
      <c r="B29" s="36" t="s">
        <v>4145</v>
      </c>
      <c r="C29" s="36" t="s">
        <v>4146</v>
      </c>
      <c r="D29" s="36" t="s">
        <v>2994</v>
      </c>
      <c r="E29" s="36" t="s">
        <v>4147</v>
      </c>
      <c r="F29" s="37" t="s">
        <v>4155</v>
      </c>
      <c r="G29" s="36" t="s">
        <v>4149</v>
      </c>
      <c r="H29" s="36" t="s">
        <v>4150</v>
      </c>
      <c r="I29" s="36" t="s">
        <v>824</v>
      </c>
    </row>
    <row r="30" spans="1:9" x14ac:dyDescent="0.3">
      <c r="A30">
        <v>30</v>
      </c>
      <c r="B30" s="36" t="s">
        <v>4145</v>
      </c>
      <c r="C30" s="36" t="s">
        <v>4146</v>
      </c>
      <c r="D30" s="36" t="s">
        <v>2999</v>
      </c>
      <c r="E30" s="36" t="s">
        <v>4151</v>
      </c>
      <c r="F30" s="37" t="s">
        <v>4148</v>
      </c>
      <c r="G30" s="36" t="s">
        <v>4149</v>
      </c>
      <c r="H30" s="36" t="s">
        <v>4156</v>
      </c>
      <c r="I30" s="36" t="s">
        <v>824</v>
      </c>
    </row>
    <row r="31" spans="1:9" x14ac:dyDescent="0.3">
      <c r="A31">
        <v>31</v>
      </c>
      <c r="B31" s="36" t="s">
        <v>4145</v>
      </c>
      <c r="C31" s="36" t="s">
        <v>4154</v>
      </c>
      <c r="D31" s="36" t="s">
        <v>2999</v>
      </c>
      <c r="E31" s="36" t="s">
        <v>4151</v>
      </c>
      <c r="F31" s="37" t="s">
        <v>4155</v>
      </c>
      <c r="G31" s="36" t="s">
        <v>4149</v>
      </c>
      <c r="H31" s="36" t="s">
        <v>4156</v>
      </c>
      <c r="I31" s="36" t="s">
        <v>824</v>
      </c>
    </row>
    <row r="32" spans="1:9" x14ac:dyDescent="0.3">
      <c r="A32">
        <v>32</v>
      </c>
      <c r="B32" s="36" t="s">
        <v>4145</v>
      </c>
      <c r="C32" s="36" t="s">
        <v>4146</v>
      </c>
      <c r="D32" s="36" t="s">
        <v>2999</v>
      </c>
      <c r="E32" s="36" t="s">
        <v>4151</v>
      </c>
      <c r="F32" s="37" t="s">
        <v>4155</v>
      </c>
      <c r="G32" s="36" t="s">
        <v>4149</v>
      </c>
      <c r="H32" s="36" t="s">
        <v>4156</v>
      </c>
      <c r="I32" s="36" t="s">
        <v>4199</v>
      </c>
    </row>
    <row r="33" spans="1:9" x14ac:dyDescent="0.3">
      <c r="A33">
        <v>33</v>
      </c>
      <c r="B33" s="36" t="s">
        <v>4145</v>
      </c>
      <c r="C33" s="36" t="s">
        <v>4146</v>
      </c>
      <c r="D33" s="36" t="s">
        <v>2994</v>
      </c>
      <c r="E33" s="36" t="s">
        <v>4147</v>
      </c>
      <c r="F33" s="37" t="s">
        <v>4148</v>
      </c>
      <c r="G33" s="36" t="s">
        <v>4149</v>
      </c>
      <c r="H33" s="36" t="s">
        <v>4150</v>
      </c>
      <c r="I33" s="36" t="s">
        <v>824</v>
      </c>
    </row>
    <row r="34" spans="1:9" x14ac:dyDescent="0.3">
      <c r="A34">
        <v>34</v>
      </c>
      <c r="B34" s="36" t="s">
        <v>4145</v>
      </c>
      <c r="C34" s="36" t="s">
        <v>4146</v>
      </c>
      <c r="D34" s="36" t="s">
        <v>2994</v>
      </c>
      <c r="E34" s="36" t="s">
        <v>4147</v>
      </c>
      <c r="F34" s="37" t="s">
        <v>4157</v>
      </c>
      <c r="G34" s="36" t="s">
        <v>4149</v>
      </c>
      <c r="H34" s="36" t="s">
        <v>4156</v>
      </c>
      <c r="I34" s="36" t="s">
        <v>824</v>
      </c>
    </row>
    <row r="35" spans="1:9" x14ac:dyDescent="0.3">
      <c r="A35">
        <v>35</v>
      </c>
      <c r="B35" s="36" t="s">
        <v>4145</v>
      </c>
      <c r="C35" s="36" t="s">
        <v>4154</v>
      </c>
      <c r="D35" s="36" t="s">
        <v>2999</v>
      </c>
      <c r="E35" s="36" t="s">
        <v>4151</v>
      </c>
      <c r="F35" s="37" t="s">
        <v>4155</v>
      </c>
      <c r="G35" s="36" t="s">
        <v>4149</v>
      </c>
      <c r="H35" s="36" t="s">
        <v>4156</v>
      </c>
      <c r="I35" s="36" t="s">
        <v>824</v>
      </c>
    </row>
    <row r="36" spans="1:9" x14ac:dyDescent="0.3">
      <c r="A36">
        <v>36</v>
      </c>
      <c r="B36" s="36" t="s">
        <v>4145</v>
      </c>
      <c r="C36" s="36" t="s">
        <v>4146</v>
      </c>
      <c r="D36" s="36" t="s">
        <v>2994</v>
      </c>
      <c r="E36" s="36" t="s">
        <v>4147</v>
      </c>
      <c r="F36" s="37" t="s">
        <v>4155</v>
      </c>
      <c r="G36" s="36" t="s">
        <v>4149</v>
      </c>
      <c r="H36" s="36" t="s">
        <v>4150</v>
      </c>
      <c r="I36" s="36" t="s">
        <v>4199</v>
      </c>
    </row>
    <row r="37" spans="1:9" x14ac:dyDescent="0.3">
      <c r="A37">
        <v>37</v>
      </c>
      <c r="B37" s="36" t="s">
        <v>4145</v>
      </c>
      <c r="C37" s="36" t="s">
        <v>4146</v>
      </c>
      <c r="D37" s="36" t="s">
        <v>2994</v>
      </c>
      <c r="E37" s="36" t="s">
        <v>4147</v>
      </c>
      <c r="F37" s="37" t="s">
        <v>4148</v>
      </c>
      <c r="G37" s="36" t="s">
        <v>4153</v>
      </c>
      <c r="H37" s="36" t="s">
        <v>4158</v>
      </c>
      <c r="I37" s="36" t="s">
        <v>824</v>
      </c>
    </row>
    <row r="38" spans="1:9" x14ac:dyDescent="0.3">
      <c r="A38">
        <v>38</v>
      </c>
      <c r="B38" s="36" t="s">
        <v>4145</v>
      </c>
      <c r="C38" s="36" t="s">
        <v>4146</v>
      </c>
      <c r="D38" s="36" t="s">
        <v>2999</v>
      </c>
      <c r="E38" s="36" t="s">
        <v>4151</v>
      </c>
      <c r="F38" s="37" t="s">
        <v>4148</v>
      </c>
      <c r="G38" s="36" t="s">
        <v>4149</v>
      </c>
      <c r="H38" s="36" t="s">
        <v>4156</v>
      </c>
      <c r="I38" s="36" t="s">
        <v>824</v>
      </c>
    </row>
    <row r="39" spans="1:9" x14ac:dyDescent="0.3">
      <c r="A39">
        <v>39</v>
      </c>
      <c r="B39" s="36" t="s">
        <v>4145</v>
      </c>
      <c r="C39" s="36" t="s">
        <v>4154</v>
      </c>
      <c r="D39" s="36" t="s">
        <v>2999</v>
      </c>
      <c r="E39" s="36" t="s">
        <v>4151</v>
      </c>
      <c r="F39" s="37" t="s">
        <v>4155</v>
      </c>
      <c r="G39" s="36" t="s">
        <v>4149</v>
      </c>
      <c r="H39" s="36" t="s">
        <v>4156</v>
      </c>
      <c r="I39" s="36" t="s">
        <v>824</v>
      </c>
    </row>
    <row r="40" spans="1:9" x14ac:dyDescent="0.3">
      <c r="A40">
        <v>40</v>
      </c>
      <c r="B40" s="36" t="s">
        <v>4145</v>
      </c>
      <c r="C40" s="36" t="s">
        <v>4154</v>
      </c>
      <c r="D40" s="36" t="s">
        <v>2999</v>
      </c>
      <c r="E40" s="36" t="s">
        <v>4151</v>
      </c>
      <c r="F40" s="37" t="s">
        <v>4155</v>
      </c>
      <c r="G40" s="36" t="s">
        <v>4149</v>
      </c>
      <c r="H40" s="36" t="s">
        <v>4158</v>
      </c>
      <c r="I40" s="36" t="s">
        <v>4199</v>
      </c>
    </row>
    <row r="41" spans="1:9" x14ac:dyDescent="0.3">
      <c r="A41">
        <v>41</v>
      </c>
      <c r="B41" s="36" t="s">
        <v>4145</v>
      </c>
      <c r="C41" s="36" t="s">
        <v>4154</v>
      </c>
      <c r="D41" s="36" t="s">
        <v>3040</v>
      </c>
      <c r="E41" s="36" t="s">
        <v>4151</v>
      </c>
      <c r="F41" s="37" t="s">
        <v>4148</v>
      </c>
      <c r="G41" s="36" t="s">
        <v>4149</v>
      </c>
      <c r="H41" s="36" t="s">
        <v>4156</v>
      </c>
      <c r="I41" s="36" t="s">
        <v>4199</v>
      </c>
    </row>
    <row r="42" spans="1:9" x14ac:dyDescent="0.3">
      <c r="A42">
        <v>42</v>
      </c>
      <c r="B42" s="36" t="s">
        <v>4145</v>
      </c>
      <c r="C42" s="36" t="s">
        <v>4146</v>
      </c>
      <c r="D42" s="36" t="s">
        <v>3001</v>
      </c>
      <c r="E42" s="36" t="s">
        <v>4147</v>
      </c>
      <c r="F42" s="37" t="s">
        <v>4155</v>
      </c>
      <c r="G42" s="36" t="s">
        <v>4149</v>
      </c>
      <c r="H42" s="36" t="s">
        <v>4156</v>
      </c>
      <c r="I42" s="36" t="s">
        <v>4199</v>
      </c>
    </row>
    <row r="43" spans="1:9" x14ac:dyDescent="0.3">
      <c r="A43">
        <v>43</v>
      </c>
      <c r="B43" s="36" t="s">
        <v>4145</v>
      </c>
      <c r="C43" s="36" t="s">
        <v>4146</v>
      </c>
      <c r="D43" s="36" t="s">
        <v>3001</v>
      </c>
      <c r="E43" s="36" t="s">
        <v>4147</v>
      </c>
      <c r="F43" s="37" t="s">
        <v>4157</v>
      </c>
      <c r="G43" s="36" t="s">
        <v>4153</v>
      </c>
      <c r="H43" s="36" t="s">
        <v>4158</v>
      </c>
      <c r="I43" s="36" t="s">
        <v>824</v>
      </c>
    </row>
    <row r="44" spans="1:9" x14ac:dyDescent="0.3">
      <c r="A44">
        <v>44</v>
      </c>
      <c r="B44" s="36" t="s">
        <v>4145</v>
      </c>
      <c r="C44" s="36" t="s">
        <v>4146</v>
      </c>
      <c r="D44" s="36" t="s">
        <v>3001</v>
      </c>
      <c r="E44" s="36" t="s">
        <v>4147</v>
      </c>
      <c r="F44" s="37" t="s">
        <v>4157</v>
      </c>
      <c r="G44" s="36" t="s">
        <v>4149</v>
      </c>
      <c r="H44" s="36" t="s">
        <v>4158</v>
      </c>
      <c r="I44" s="36" t="s">
        <v>4199</v>
      </c>
    </row>
    <row r="45" spans="1:9" x14ac:dyDescent="0.3">
      <c r="A45">
        <v>45</v>
      </c>
      <c r="B45" s="36" t="s">
        <v>4145</v>
      </c>
      <c r="C45" s="36" t="s">
        <v>4146</v>
      </c>
      <c r="D45" s="36" t="s">
        <v>2994</v>
      </c>
      <c r="E45" s="36" t="s">
        <v>4147</v>
      </c>
      <c r="F45" s="37" t="s">
        <v>4155</v>
      </c>
      <c r="G45" s="36" t="s">
        <v>4149</v>
      </c>
      <c r="H45" s="36" t="s">
        <v>4150</v>
      </c>
      <c r="I45" s="36" t="s">
        <v>4199</v>
      </c>
    </row>
    <row r="46" spans="1:9" x14ac:dyDescent="0.3">
      <c r="A46">
        <v>46</v>
      </c>
      <c r="B46" s="36" t="s">
        <v>4145</v>
      </c>
      <c r="C46" s="36" t="s">
        <v>4154</v>
      </c>
      <c r="D46" s="36" t="s">
        <v>3046</v>
      </c>
      <c r="E46" s="36" t="s">
        <v>4151</v>
      </c>
      <c r="F46" s="37" t="s">
        <v>4155</v>
      </c>
      <c r="G46" s="36" t="s">
        <v>4149</v>
      </c>
      <c r="H46" s="36" t="s">
        <v>4156</v>
      </c>
      <c r="I46" s="36" t="s">
        <v>824</v>
      </c>
    </row>
    <row r="47" spans="1:9" x14ac:dyDescent="0.3">
      <c r="A47">
        <v>47</v>
      </c>
      <c r="B47" s="36" t="s">
        <v>4145</v>
      </c>
      <c r="C47" s="36" t="s">
        <v>4154</v>
      </c>
      <c r="D47" s="36" t="s">
        <v>2999</v>
      </c>
      <c r="E47" s="36" t="s">
        <v>4151</v>
      </c>
      <c r="F47" s="37" t="s">
        <v>4148</v>
      </c>
      <c r="G47" s="36" t="s">
        <v>4149</v>
      </c>
      <c r="H47" s="36" t="s">
        <v>4156</v>
      </c>
      <c r="I47" s="36" t="s">
        <v>824</v>
      </c>
    </row>
    <row r="48" spans="1:9" x14ac:dyDescent="0.3">
      <c r="A48">
        <v>48</v>
      </c>
      <c r="B48" s="36" t="s">
        <v>4145</v>
      </c>
      <c r="C48" s="36" t="s">
        <v>4146</v>
      </c>
      <c r="D48" s="36" t="s">
        <v>2999</v>
      </c>
      <c r="E48" s="36" t="s">
        <v>4151</v>
      </c>
      <c r="F48" s="37" t="s">
        <v>4155</v>
      </c>
      <c r="G48" s="36" t="s">
        <v>4149</v>
      </c>
      <c r="H48" s="36" t="s">
        <v>4156</v>
      </c>
      <c r="I48" s="36" t="s">
        <v>824</v>
      </c>
    </row>
    <row r="49" spans="1:9" x14ac:dyDescent="0.3">
      <c r="A49">
        <v>49</v>
      </c>
      <c r="B49" s="36" t="s">
        <v>4145</v>
      </c>
      <c r="C49" s="36" t="s">
        <v>4146</v>
      </c>
      <c r="D49" s="36" t="s">
        <v>3001</v>
      </c>
      <c r="E49" s="36" t="s">
        <v>4147</v>
      </c>
      <c r="F49" s="37" t="s">
        <v>4157</v>
      </c>
      <c r="G49" s="36" t="s">
        <v>4149</v>
      </c>
      <c r="H49" s="36" t="s">
        <v>4156</v>
      </c>
      <c r="I49" s="36" t="s">
        <v>4199</v>
      </c>
    </row>
    <row r="50" spans="1:9" x14ac:dyDescent="0.3">
      <c r="A50">
        <v>50</v>
      </c>
      <c r="B50" s="36" t="s">
        <v>4145</v>
      </c>
      <c r="C50" s="36" t="s">
        <v>4146</v>
      </c>
      <c r="D50" s="36" t="s">
        <v>2999</v>
      </c>
      <c r="E50" s="36" t="s">
        <v>4151</v>
      </c>
      <c r="F50" s="37" t="s">
        <v>4155</v>
      </c>
      <c r="G50" s="36" t="s">
        <v>4153</v>
      </c>
      <c r="H50" s="36" t="s">
        <v>4150</v>
      </c>
      <c r="I50" s="36" t="s">
        <v>4199</v>
      </c>
    </row>
    <row r="51" spans="1:9" x14ac:dyDescent="0.3">
      <c r="A51">
        <v>51</v>
      </c>
      <c r="B51" s="36" t="s">
        <v>4145</v>
      </c>
      <c r="C51" s="36" t="s">
        <v>4146</v>
      </c>
      <c r="D51" s="36" t="s">
        <v>3001</v>
      </c>
      <c r="E51" s="36" t="s">
        <v>4147</v>
      </c>
      <c r="F51" s="37" t="s">
        <v>4157</v>
      </c>
      <c r="G51" s="36" t="s">
        <v>4153</v>
      </c>
      <c r="H51" s="36" t="s">
        <v>4150</v>
      </c>
      <c r="I51" s="36" t="s">
        <v>4199</v>
      </c>
    </row>
    <row r="52" spans="1:9" x14ac:dyDescent="0.3">
      <c r="A52">
        <v>52</v>
      </c>
      <c r="B52" s="36" t="s">
        <v>4145</v>
      </c>
      <c r="C52" s="36" t="s">
        <v>4154</v>
      </c>
      <c r="D52" s="36" t="s">
        <v>2999</v>
      </c>
      <c r="E52" s="36" t="s">
        <v>4151</v>
      </c>
      <c r="F52" s="37" t="s">
        <v>4155</v>
      </c>
      <c r="G52" s="36" t="s">
        <v>4149</v>
      </c>
      <c r="H52" s="36" t="s">
        <v>4156</v>
      </c>
      <c r="I52" s="36" t="s">
        <v>824</v>
      </c>
    </row>
    <row r="53" spans="1:9" x14ac:dyDescent="0.3">
      <c r="A53">
        <v>53</v>
      </c>
      <c r="B53" s="36" t="s">
        <v>4145</v>
      </c>
      <c r="C53" s="36" t="s">
        <v>4154</v>
      </c>
      <c r="D53" s="36" t="s">
        <v>2999</v>
      </c>
      <c r="E53" s="36" t="s">
        <v>4151</v>
      </c>
      <c r="F53" s="37" t="s">
        <v>4148</v>
      </c>
      <c r="G53" s="36" t="s">
        <v>4149</v>
      </c>
      <c r="H53" s="36" t="s">
        <v>4156</v>
      </c>
      <c r="I53" s="36" t="s">
        <v>824</v>
      </c>
    </row>
    <row r="54" spans="1:9" x14ac:dyDescent="0.3">
      <c r="A54">
        <v>54</v>
      </c>
      <c r="B54" s="36" t="s">
        <v>4145</v>
      </c>
      <c r="C54" s="36" t="s">
        <v>4154</v>
      </c>
      <c r="D54" s="36" t="s">
        <v>2999</v>
      </c>
      <c r="E54" s="36" t="s">
        <v>4151</v>
      </c>
      <c r="F54" s="37" t="s">
        <v>4159</v>
      </c>
      <c r="G54" s="36" t="s">
        <v>4149</v>
      </c>
      <c r="H54" s="36" t="s">
        <v>4156</v>
      </c>
      <c r="I54" s="36" t="s">
        <v>824</v>
      </c>
    </row>
    <row r="55" spans="1:9" x14ac:dyDescent="0.3">
      <c r="A55">
        <v>55</v>
      </c>
      <c r="B55" s="36" t="s">
        <v>4145</v>
      </c>
      <c r="C55" s="36" t="s">
        <v>4146</v>
      </c>
      <c r="D55" s="36" t="s">
        <v>2996</v>
      </c>
      <c r="E55" s="36" t="s">
        <v>4151</v>
      </c>
      <c r="F55" s="37" t="s">
        <v>4152</v>
      </c>
      <c r="G55" s="36" t="s">
        <v>4153</v>
      </c>
      <c r="H55" s="36" t="s">
        <v>4150</v>
      </c>
      <c r="I55" s="36" t="s">
        <v>824</v>
      </c>
    </row>
    <row r="56" spans="1:9" x14ac:dyDescent="0.3">
      <c r="A56">
        <v>56</v>
      </c>
      <c r="B56" s="36" t="s">
        <v>4145</v>
      </c>
      <c r="C56" s="36" t="s">
        <v>4146</v>
      </c>
      <c r="D56" s="36" t="s">
        <v>2994</v>
      </c>
      <c r="E56" s="36" t="s">
        <v>4147</v>
      </c>
      <c r="F56" s="37" t="s">
        <v>4159</v>
      </c>
      <c r="G56" s="36" t="s">
        <v>4153</v>
      </c>
      <c r="H56" s="36" t="s">
        <v>4150</v>
      </c>
      <c r="I56" s="36" t="s">
        <v>824</v>
      </c>
    </row>
    <row r="57" spans="1:9" x14ac:dyDescent="0.3">
      <c r="A57">
        <v>57</v>
      </c>
      <c r="B57" s="36" t="s">
        <v>4145</v>
      </c>
      <c r="C57" s="36" t="s">
        <v>4146</v>
      </c>
      <c r="D57" s="36" t="s">
        <v>2999</v>
      </c>
      <c r="E57" s="36" t="s">
        <v>4151</v>
      </c>
      <c r="F57" s="37" t="s">
        <v>4155</v>
      </c>
      <c r="G57" s="36" t="s">
        <v>4153</v>
      </c>
      <c r="H57" s="36" t="s">
        <v>4150</v>
      </c>
      <c r="I57" s="36" t="s">
        <v>824</v>
      </c>
    </row>
    <row r="58" spans="1:9" x14ac:dyDescent="0.3">
      <c r="A58">
        <v>58</v>
      </c>
      <c r="B58" s="36" t="s">
        <v>4145</v>
      </c>
      <c r="C58" s="36" t="s">
        <v>4146</v>
      </c>
      <c r="D58" s="36" t="s">
        <v>3001</v>
      </c>
      <c r="E58" s="36" t="s">
        <v>4147</v>
      </c>
      <c r="F58" s="37" t="s">
        <v>4155</v>
      </c>
      <c r="G58" s="36" t="s">
        <v>4153</v>
      </c>
      <c r="H58" s="36" t="s">
        <v>4150</v>
      </c>
      <c r="I58" s="36" t="s">
        <v>824</v>
      </c>
    </row>
    <row r="59" spans="1:9" x14ac:dyDescent="0.3">
      <c r="A59">
        <v>59</v>
      </c>
      <c r="B59" s="36" t="s">
        <v>4145</v>
      </c>
      <c r="C59" s="36" t="s">
        <v>4154</v>
      </c>
      <c r="D59" s="36" t="s">
        <v>2999</v>
      </c>
      <c r="E59" s="36" t="s">
        <v>4151</v>
      </c>
      <c r="F59" s="37" t="s">
        <v>4155</v>
      </c>
      <c r="G59" s="36" t="s">
        <v>4149</v>
      </c>
      <c r="H59" s="36" t="s">
        <v>4156</v>
      </c>
      <c r="I59" s="36" t="s">
        <v>824</v>
      </c>
    </row>
    <row r="60" spans="1:9" x14ac:dyDescent="0.3">
      <c r="A60">
        <v>60</v>
      </c>
      <c r="B60" s="36" t="s">
        <v>4145</v>
      </c>
      <c r="C60" s="36" t="s">
        <v>4146</v>
      </c>
      <c r="D60" s="36" t="s">
        <v>3001</v>
      </c>
      <c r="E60" s="36" t="s">
        <v>4147</v>
      </c>
      <c r="F60" s="37" t="s">
        <v>4148</v>
      </c>
      <c r="G60" s="36" t="s">
        <v>4149</v>
      </c>
      <c r="H60" s="36" t="s">
        <v>4156</v>
      </c>
      <c r="I60" s="36" t="s">
        <v>4199</v>
      </c>
    </row>
    <row r="61" spans="1:9" x14ac:dyDescent="0.3">
      <c r="A61">
        <v>61</v>
      </c>
      <c r="B61" s="36" t="s">
        <v>4145</v>
      </c>
      <c r="C61" s="36" t="s">
        <v>4154</v>
      </c>
      <c r="D61" s="36" t="s">
        <v>2999</v>
      </c>
      <c r="E61" s="36" t="s">
        <v>4151</v>
      </c>
      <c r="F61" s="37" t="s">
        <v>4155</v>
      </c>
      <c r="G61" s="36" t="s">
        <v>4153</v>
      </c>
      <c r="H61" s="36" t="s">
        <v>4158</v>
      </c>
      <c r="I61" s="36" t="s">
        <v>824</v>
      </c>
    </row>
    <row r="62" spans="1:9" x14ac:dyDescent="0.3">
      <c r="A62">
        <v>62</v>
      </c>
      <c r="B62" s="36" t="s">
        <v>4145</v>
      </c>
      <c r="C62" s="36" t="s">
        <v>4146</v>
      </c>
      <c r="D62" s="36" t="s">
        <v>3001</v>
      </c>
      <c r="E62" s="36" t="s">
        <v>4147</v>
      </c>
      <c r="F62" s="37" t="s">
        <v>4157</v>
      </c>
      <c r="G62" s="36" t="s">
        <v>4153</v>
      </c>
      <c r="H62" s="36" t="s">
        <v>4158</v>
      </c>
      <c r="I62" s="36" t="s">
        <v>824</v>
      </c>
    </row>
    <row r="63" spans="1:9" x14ac:dyDescent="0.3">
      <c r="A63">
        <v>63</v>
      </c>
      <c r="B63" s="36" t="s">
        <v>4145</v>
      </c>
      <c r="C63" s="36" t="s">
        <v>4154</v>
      </c>
      <c r="D63" s="36" t="s">
        <v>2999</v>
      </c>
      <c r="E63" s="36" t="s">
        <v>4151</v>
      </c>
      <c r="F63" s="37" t="s">
        <v>4155</v>
      </c>
      <c r="G63" s="36" t="s">
        <v>4153</v>
      </c>
      <c r="H63" s="36" t="s">
        <v>4158</v>
      </c>
      <c r="I63" s="36" t="s">
        <v>824</v>
      </c>
    </row>
    <row r="64" spans="1:9" x14ac:dyDescent="0.3">
      <c r="A64">
        <v>64</v>
      </c>
      <c r="B64" s="36" t="s">
        <v>4145</v>
      </c>
      <c r="C64" s="36" t="s">
        <v>4146</v>
      </c>
      <c r="D64" s="36" t="s">
        <v>3001</v>
      </c>
      <c r="E64" s="36" t="s">
        <v>4147</v>
      </c>
      <c r="F64" s="37" t="s">
        <v>4155</v>
      </c>
      <c r="G64" s="36" t="s">
        <v>4153</v>
      </c>
      <c r="H64" s="36" t="s">
        <v>4158</v>
      </c>
      <c r="I64" s="36" t="s">
        <v>824</v>
      </c>
    </row>
    <row r="65" spans="1:9" x14ac:dyDescent="0.3">
      <c r="A65">
        <v>65</v>
      </c>
      <c r="B65" s="36" t="s">
        <v>4145</v>
      </c>
      <c r="C65" s="36" t="s">
        <v>4146</v>
      </c>
      <c r="D65" s="36" t="s">
        <v>2999</v>
      </c>
      <c r="E65" s="36" t="s">
        <v>4151</v>
      </c>
      <c r="F65" s="37" t="s">
        <v>4148</v>
      </c>
      <c r="G65" s="36" t="s">
        <v>4153</v>
      </c>
      <c r="H65" s="36" t="s">
        <v>4158</v>
      </c>
      <c r="I65" s="36" t="s">
        <v>824</v>
      </c>
    </row>
    <row r="66" spans="1:9" x14ac:dyDescent="0.3">
      <c r="A66">
        <v>66</v>
      </c>
      <c r="B66" s="36" t="s">
        <v>4145</v>
      </c>
      <c r="C66" s="36" t="s">
        <v>4146</v>
      </c>
      <c r="D66" s="36" t="s">
        <v>3001</v>
      </c>
      <c r="E66" s="36" t="s">
        <v>4147</v>
      </c>
      <c r="F66" s="37" t="s">
        <v>4155</v>
      </c>
      <c r="G66" s="36" t="s">
        <v>4153</v>
      </c>
      <c r="H66" s="36" t="s">
        <v>4158</v>
      </c>
      <c r="I66" s="36" t="s">
        <v>824</v>
      </c>
    </row>
    <row r="67" spans="1:9" x14ac:dyDescent="0.3">
      <c r="A67">
        <v>67</v>
      </c>
      <c r="B67" s="36" t="s">
        <v>4145</v>
      </c>
      <c r="C67" s="36" t="s">
        <v>4146</v>
      </c>
      <c r="D67" s="36" t="s">
        <v>2994</v>
      </c>
      <c r="E67" s="36" t="s">
        <v>4147</v>
      </c>
      <c r="F67" s="37" t="s">
        <v>4155</v>
      </c>
      <c r="G67" s="36" t="s">
        <v>4149</v>
      </c>
      <c r="H67" s="36" t="s">
        <v>4150</v>
      </c>
      <c r="I67" s="36" t="s">
        <v>4199</v>
      </c>
    </row>
    <row r="68" spans="1:9" x14ac:dyDescent="0.3">
      <c r="A68">
        <v>68</v>
      </c>
      <c r="B68" s="36" t="s">
        <v>4145</v>
      </c>
      <c r="C68" s="36" t="s">
        <v>4146</v>
      </c>
      <c r="D68" s="36" t="s">
        <v>2994</v>
      </c>
      <c r="E68" s="36" t="s">
        <v>4147</v>
      </c>
      <c r="F68" s="37" t="s">
        <v>4148</v>
      </c>
      <c r="G68" s="36" t="s">
        <v>4149</v>
      </c>
      <c r="H68" s="36" t="s">
        <v>4158</v>
      </c>
      <c r="I68" s="36" t="s">
        <v>824</v>
      </c>
    </row>
    <row r="69" spans="1:9" x14ac:dyDescent="0.3">
      <c r="A69">
        <v>69</v>
      </c>
      <c r="B69" s="36" t="s">
        <v>4145</v>
      </c>
      <c r="C69" s="36" t="s">
        <v>4146</v>
      </c>
      <c r="D69" s="36" t="s">
        <v>2999</v>
      </c>
      <c r="E69" s="36" t="s">
        <v>4151</v>
      </c>
      <c r="F69" s="37" t="s">
        <v>4155</v>
      </c>
      <c r="G69" s="36" t="s">
        <v>4149</v>
      </c>
      <c r="H69" s="36" t="s">
        <v>4156</v>
      </c>
      <c r="I69" s="36" t="s">
        <v>4199</v>
      </c>
    </row>
    <row r="70" spans="1:9" x14ac:dyDescent="0.3">
      <c r="A70">
        <v>70</v>
      </c>
      <c r="B70" s="36" t="s">
        <v>4145</v>
      </c>
      <c r="C70" s="36" t="s">
        <v>4146</v>
      </c>
      <c r="D70" s="36" t="s">
        <v>3001</v>
      </c>
      <c r="E70" s="36" t="s">
        <v>4147</v>
      </c>
      <c r="F70" s="37" t="s">
        <v>4148</v>
      </c>
      <c r="G70" s="36" t="s">
        <v>4153</v>
      </c>
      <c r="H70" s="36" t="s">
        <v>4158</v>
      </c>
      <c r="I70" s="36" t="s">
        <v>824</v>
      </c>
    </row>
    <row r="71" spans="1:9" x14ac:dyDescent="0.3">
      <c r="A71">
        <v>71</v>
      </c>
      <c r="B71" s="36" t="s">
        <v>4145</v>
      </c>
      <c r="C71" s="36" t="s">
        <v>4154</v>
      </c>
      <c r="D71" s="36" t="s">
        <v>2999</v>
      </c>
      <c r="E71" s="36" t="s">
        <v>4151</v>
      </c>
      <c r="F71" s="37" t="s">
        <v>4148</v>
      </c>
      <c r="G71" s="36" t="s">
        <v>4149</v>
      </c>
      <c r="H71" s="36" t="s">
        <v>4156</v>
      </c>
      <c r="I71" s="36" t="s">
        <v>824</v>
      </c>
    </row>
    <row r="72" spans="1:9" x14ac:dyDescent="0.3">
      <c r="A72">
        <v>72</v>
      </c>
      <c r="B72" s="36" t="s">
        <v>4145</v>
      </c>
      <c r="C72" s="36" t="s">
        <v>4154</v>
      </c>
      <c r="D72" s="36" t="s">
        <v>2999</v>
      </c>
      <c r="E72" s="36" t="s">
        <v>4151</v>
      </c>
      <c r="F72" s="37" t="s">
        <v>4148</v>
      </c>
      <c r="G72" s="36" t="s">
        <v>4153</v>
      </c>
      <c r="H72" s="36" t="s">
        <v>4150</v>
      </c>
      <c r="I72" s="36" t="s">
        <v>4199</v>
      </c>
    </row>
    <row r="73" spans="1:9" x14ac:dyDescent="0.3">
      <c r="A73">
        <v>73</v>
      </c>
      <c r="B73" s="36" t="s">
        <v>4145</v>
      </c>
      <c r="C73" s="36" t="s">
        <v>4146</v>
      </c>
      <c r="D73" s="36" t="s">
        <v>3001</v>
      </c>
      <c r="E73" s="36" t="s">
        <v>4147</v>
      </c>
      <c r="F73" s="37" t="s">
        <v>4148</v>
      </c>
      <c r="G73" s="36" t="s">
        <v>4153</v>
      </c>
      <c r="H73" s="36" t="s">
        <v>4150</v>
      </c>
      <c r="I73" s="36" t="s">
        <v>4199</v>
      </c>
    </row>
    <row r="74" spans="1:9" x14ac:dyDescent="0.3">
      <c r="A74">
        <v>74</v>
      </c>
      <c r="B74" s="36" t="s">
        <v>4145</v>
      </c>
      <c r="C74" s="36" t="s">
        <v>4146</v>
      </c>
      <c r="D74" s="36" t="s">
        <v>2994</v>
      </c>
      <c r="E74" s="36" t="s">
        <v>4147</v>
      </c>
      <c r="F74" s="37" t="s">
        <v>4148</v>
      </c>
      <c r="G74" s="36" t="s">
        <v>4149</v>
      </c>
      <c r="H74" s="36" t="s">
        <v>4150</v>
      </c>
      <c r="I74" s="36" t="s">
        <v>824</v>
      </c>
    </row>
    <row r="75" spans="1:9" x14ac:dyDescent="0.3">
      <c r="A75">
        <v>75</v>
      </c>
      <c r="B75" s="36" t="s">
        <v>4145</v>
      </c>
      <c r="C75" s="36" t="s">
        <v>4154</v>
      </c>
      <c r="D75" s="36" t="s">
        <v>2999</v>
      </c>
      <c r="E75" s="36" t="s">
        <v>4151</v>
      </c>
      <c r="F75" s="37" t="s">
        <v>4148</v>
      </c>
      <c r="G75" s="36" t="s">
        <v>4149</v>
      </c>
      <c r="H75" s="36" t="s">
        <v>4158</v>
      </c>
      <c r="I75" s="36" t="s">
        <v>824</v>
      </c>
    </row>
    <row r="76" spans="1:9" x14ac:dyDescent="0.3">
      <c r="A76">
        <v>76</v>
      </c>
      <c r="B76" s="36" t="s">
        <v>4145</v>
      </c>
      <c r="C76" s="36" t="s">
        <v>4154</v>
      </c>
      <c r="D76" s="36" t="s">
        <v>2999</v>
      </c>
      <c r="E76" s="36" t="s">
        <v>4151</v>
      </c>
      <c r="F76" s="37" t="s">
        <v>4155</v>
      </c>
      <c r="G76" s="36" t="s">
        <v>4149</v>
      </c>
      <c r="H76" s="36" t="s">
        <v>4156</v>
      </c>
      <c r="I76" s="36" t="s">
        <v>824</v>
      </c>
    </row>
    <row r="77" spans="1:9" x14ac:dyDescent="0.3">
      <c r="A77">
        <v>77</v>
      </c>
      <c r="B77" s="36" t="s">
        <v>4145</v>
      </c>
      <c r="C77" s="36" t="s">
        <v>4146</v>
      </c>
      <c r="D77" s="36" t="s">
        <v>2994</v>
      </c>
      <c r="E77" s="36" t="s">
        <v>4147</v>
      </c>
      <c r="F77" s="37" t="s">
        <v>4155</v>
      </c>
      <c r="G77" s="36" t="s">
        <v>4153</v>
      </c>
      <c r="H77" s="36" t="s">
        <v>4158</v>
      </c>
      <c r="I77" s="36" t="s">
        <v>4199</v>
      </c>
    </row>
    <row r="78" spans="1:9" x14ac:dyDescent="0.3">
      <c r="A78">
        <v>78</v>
      </c>
      <c r="B78" s="36" t="s">
        <v>4145</v>
      </c>
      <c r="C78" s="36" t="s">
        <v>4154</v>
      </c>
      <c r="D78" s="36" t="s">
        <v>2999</v>
      </c>
      <c r="E78" s="36" t="s">
        <v>4151</v>
      </c>
      <c r="F78" s="37" t="s">
        <v>4155</v>
      </c>
      <c r="G78" s="36" t="s">
        <v>4153</v>
      </c>
      <c r="H78" s="36" t="s">
        <v>4158</v>
      </c>
      <c r="I78" s="36" t="s">
        <v>4199</v>
      </c>
    </row>
    <row r="79" spans="1:9" x14ac:dyDescent="0.3">
      <c r="A79">
        <v>79</v>
      </c>
      <c r="B79" s="36" t="s">
        <v>4145</v>
      </c>
      <c r="C79" s="36" t="s">
        <v>4146</v>
      </c>
      <c r="D79" s="36" t="s">
        <v>3001</v>
      </c>
      <c r="E79" s="36" t="s">
        <v>4147</v>
      </c>
      <c r="F79" s="37" t="s">
        <v>4157</v>
      </c>
      <c r="G79" s="36" t="s">
        <v>4153</v>
      </c>
      <c r="H79" s="36" t="s">
        <v>4158</v>
      </c>
      <c r="I79" s="36" t="s">
        <v>4199</v>
      </c>
    </row>
    <row r="80" spans="1:9" x14ac:dyDescent="0.3">
      <c r="A80">
        <v>80</v>
      </c>
      <c r="B80" s="36" t="s">
        <v>4145</v>
      </c>
      <c r="C80" s="36" t="s">
        <v>4146</v>
      </c>
      <c r="D80" s="36" t="s">
        <v>3001</v>
      </c>
      <c r="E80" s="36" t="s">
        <v>4147</v>
      </c>
      <c r="F80" s="37" t="s">
        <v>4157</v>
      </c>
      <c r="G80" s="36" t="s">
        <v>4153</v>
      </c>
      <c r="H80" s="36" t="s">
        <v>4156</v>
      </c>
      <c r="I80" s="36" t="s">
        <v>824</v>
      </c>
    </row>
    <row r="81" spans="1:9" x14ac:dyDescent="0.3">
      <c r="A81">
        <v>81</v>
      </c>
      <c r="B81" s="36" t="s">
        <v>4145</v>
      </c>
      <c r="C81" s="36" t="s">
        <v>4154</v>
      </c>
      <c r="D81" s="36" t="s">
        <v>2999</v>
      </c>
      <c r="E81" s="36" t="s">
        <v>4151</v>
      </c>
      <c r="F81" s="37" t="s">
        <v>4148</v>
      </c>
      <c r="G81" s="36" t="s">
        <v>4149</v>
      </c>
      <c r="H81" s="36" t="s">
        <v>4156</v>
      </c>
      <c r="I81" s="36" t="s">
        <v>824</v>
      </c>
    </row>
    <row r="82" spans="1:9" x14ac:dyDescent="0.3">
      <c r="A82">
        <v>82</v>
      </c>
      <c r="B82" s="36" t="s">
        <v>4145</v>
      </c>
      <c r="C82" s="36" t="s">
        <v>4154</v>
      </c>
      <c r="D82" s="36" t="s">
        <v>3082</v>
      </c>
      <c r="E82" s="36" t="s">
        <v>4151</v>
      </c>
      <c r="F82" s="37" t="s">
        <v>4157</v>
      </c>
      <c r="G82" s="36" t="s">
        <v>4153</v>
      </c>
      <c r="H82" s="36" t="s">
        <v>4158</v>
      </c>
      <c r="I82" s="36" t="s">
        <v>824</v>
      </c>
    </row>
    <row r="83" spans="1:9" x14ac:dyDescent="0.3">
      <c r="A83">
        <v>83</v>
      </c>
      <c r="B83" s="36" t="s">
        <v>4145</v>
      </c>
      <c r="C83" s="36" t="s">
        <v>4146</v>
      </c>
      <c r="D83" s="36" t="s">
        <v>2994</v>
      </c>
      <c r="E83" s="36" t="s">
        <v>4147</v>
      </c>
      <c r="F83" s="37" t="s">
        <v>4155</v>
      </c>
      <c r="G83" s="36" t="s">
        <v>4153</v>
      </c>
      <c r="H83" s="36" t="s">
        <v>4158</v>
      </c>
      <c r="I83" s="36" t="s">
        <v>824</v>
      </c>
    </row>
    <row r="84" spans="1:9" x14ac:dyDescent="0.3">
      <c r="A84">
        <v>84</v>
      </c>
      <c r="B84" s="36" t="s">
        <v>4145</v>
      </c>
      <c r="C84" s="36" t="s">
        <v>4146</v>
      </c>
      <c r="D84" s="36" t="s">
        <v>3001</v>
      </c>
      <c r="E84" s="36" t="s">
        <v>4147</v>
      </c>
      <c r="F84" s="37" t="s">
        <v>4157</v>
      </c>
      <c r="G84" s="36" t="s">
        <v>4153</v>
      </c>
      <c r="H84" s="36" t="s">
        <v>4156</v>
      </c>
      <c r="I84" s="36" t="s">
        <v>824</v>
      </c>
    </row>
    <row r="85" spans="1:9" x14ac:dyDescent="0.3">
      <c r="A85">
        <v>85</v>
      </c>
      <c r="B85" s="36" t="s">
        <v>4145</v>
      </c>
      <c r="C85" s="36" t="s">
        <v>4154</v>
      </c>
      <c r="D85" s="36" t="s">
        <v>2999</v>
      </c>
      <c r="E85" s="36" t="s">
        <v>4151</v>
      </c>
      <c r="F85" s="37" t="s">
        <v>4155</v>
      </c>
      <c r="G85" s="36" t="s">
        <v>4153</v>
      </c>
      <c r="H85" s="36" t="s">
        <v>4158</v>
      </c>
      <c r="I85" s="36" t="s">
        <v>4199</v>
      </c>
    </row>
    <row r="86" spans="1:9" x14ac:dyDescent="0.3">
      <c r="A86">
        <v>86</v>
      </c>
      <c r="B86" s="36" t="s">
        <v>4145</v>
      </c>
      <c r="C86" s="36" t="s">
        <v>4146</v>
      </c>
      <c r="D86" s="36" t="s">
        <v>3001</v>
      </c>
      <c r="E86" s="36" t="s">
        <v>4147</v>
      </c>
      <c r="F86" s="37" t="s">
        <v>4155</v>
      </c>
      <c r="G86" s="36" t="s">
        <v>4153</v>
      </c>
      <c r="H86" s="36" t="s">
        <v>4158</v>
      </c>
      <c r="I86" s="36" t="s">
        <v>4199</v>
      </c>
    </row>
    <row r="87" spans="1:9" x14ac:dyDescent="0.3">
      <c r="A87">
        <v>87</v>
      </c>
      <c r="B87" s="36" t="s">
        <v>4145</v>
      </c>
      <c r="C87" s="36" t="s">
        <v>4146</v>
      </c>
      <c r="D87" s="36" t="s">
        <v>2999</v>
      </c>
      <c r="E87" s="36" t="s">
        <v>4151</v>
      </c>
      <c r="F87" s="37" t="s">
        <v>4157</v>
      </c>
      <c r="G87" s="36" t="s">
        <v>4149</v>
      </c>
      <c r="H87" s="36" t="s">
        <v>4156</v>
      </c>
      <c r="I87" s="36" t="s">
        <v>824</v>
      </c>
    </row>
    <row r="88" spans="1:9" x14ac:dyDescent="0.3">
      <c r="A88">
        <v>88</v>
      </c>
      <c r="B88" s="36" t="s">
        <v>4145</v>
      </c>
      <c r="C88" s="36" t="s">
        <v>4146</v>
      </c>
      <c r="D88" s="36" t="s">
        <v>2999</v>
      </c>
      <c r="E88" s="36" t="s">
        <v>4151</v>
      </c>
      <c r="F88" s="37" t="s">
        <v>4148</v>
      </c>
      <c r="G88" s="36" t="s">
        <v>4149</v>
      </c>
      <c r="H88" s="36" t="s">
        <v>4156</v>
      </c>
      <c r="I88" s="36" t="s">
        <v>824</v>
      </c>
    </row>
    <row r="89" spans="1:9" x14ac:dyDescent="0.3">
      <c r="A89">
        <v>89</v>
      </c>
      <c r="B89" s="36" t="s">
        <v>4145</v>
      </c>
      <c r="C89" s="36" t="s">
        <v>4146</v>
      </c>
      <c r="D89" s="36" t="s">
        <v>2994</v>
      </c>
      <c r="E89" s="36" t="s">
        <v>4147</v>
      </c>
      <c r="F89" s="37" t="s">
        <v>4155</v>
      </c>
      <c r="G89" s="36" t="s">
        <v>4149</v>
      </c>
      <c r="H89" s="36" t="s">
        <v>4150</v>
      </c>
      <c r="I89" s="36" t="s">
        <v>824</v>
      </c>
    </row>
    <row r="90" spans="1:9" x14ac:dyDescent="0.3">
      <c r="A90">
        <v>90</v>
      </c>
      <c r="B90" s="36" t="s">
        <v>4145</v>
      </c>
      <c r="C90" s="36" t="s">
        <v>4154</v>
      </c>
      <c r="D90" s="36" t="s">
        <v>2999</v>
      </c>
      <c r="E90" s="36" t="s">
        <v>4151</v>
      </c>
      <c r="F90" s="37" t="s">
        <v>4155</v>
      </c>
      <c r="G90" s="36" t="s">
        <v>4153</v>
      </c>
      <c r="H90" s="36" t="s">
        <v>4158</v>
      </c>
      <c r="I90" s="36" t="s">
        <v>824</v>
      </c>
    </row>
    <row r="91" spans="1:9" x14ac:dyDescent="0.3">
      <c r="A91">
        <v>91</v>
      </c>
      <c r="B91" s="36" t="s">
        <v>4145</v>
      </c>
      <c r="C91" s="36" t="s">
        <v>4146</v>
      </c>
      <c r="D91" s="36" t="s">
        <v>3001</v>
      </c>
      <c r="E91" s="36" t="s">
        <v>4147</v>
      </c>
      <c r="F91" s="37" t="s">
        <v>4148</v>
      </c>
      <c r="G91" s="36" t="s">
        <v>4153</v>
      </c>
      <c r="H91" s="36" t="s">
        <v>4158</v>
      </c>
      <c r="I91" s="36" t="s">
        <v>824</v>
      </c>
    </row>
    <row r="92" spans="1:9" x14ac:dyDescent="0.3">
      <c r="A92">
        <v>92</v>
      </c>
      <c r="B92" s="36" t="s">
        <v>4145</v>
      </c>
      <c r="C92" s="36" t="s">
        <v>4146</v>
      </c>
      <c r="D92" s="36" t="s">
        <v>2999</v>
      </c>
      <c r="E92" s="36" t="s">
        <v>4151</v>
      </c>
      <c r="F92" s="37" t="s">
        <v>4155</v>
      </c>
      <c r="G92" s="36" t="s">
        <v>4153</v>
      </c>
      <c r="H92" s="36" t="s">
        <v>4158</v>
      </c>
      <c r="I92" s="36" t="s">
        <v>824</v>
      </c>
    </row>
    <row r="93" spans="1:9" x14ac:dyDescent="0.3">
      <c r="A93">
        <v>93</v>
      </c>
      <c r="B93" s="36" t="s">
        <v>4145</v>
      </c>
      <c r="C93" s="36" t="s">
        <v>4146</v>
      </c>
      <c r="D93" s="36" t="s">
        <v>3001</v>
      </c>
      <c r="E93" s="36" t="s">
        <v>4147</v>
      </c>
      <c r="F93" s="37" t="s">
        <v>4159</v>
      </c>
      <c r="G93" s="36" t="s">
        <v>4153</v>
      </c>
      <c r="H93" s="36" t="s">
        <v>4158</v>
      </c>
      <c r="I93" s="36" t="s">
        <v>824</v>
      </c>
    </row>
    <row r="94" spans="1:9" x14ac:dyDescent="0.3">
      <c r="A94">
        <v>94</v>
      </c>
      <c r="B94" s="36" t="s">
        <v>4145</v>
      </c>
      <c r="C94" s="36" t="s">
        <v>4146</v>
      </c>
      <c r="D94" s="36" t="s">
        <v>3040</v>
      </c>
      <c r="E94" s="36" t="s">
        <v>4151</v>
      </c>
      <c r="F94" s="37" t="s">
        <v>4157</v>
      </c>
      <c r="G94" s="36" t="s">
        <v>4153</v>
      </c>
      <c r="H94" s="36" t="s">
        <v>4158</v>
      </c>
      <c r="I94" s="36" t="s">
        <v>824</v>
      </c>
    </row>
    <row r="95" spans="1:9" x14ac:dyDescent="0.3">
      <c r="A95">
        <v>95</v>
      </c>
      <c r="B95" s="36" t="s">
        <v>4145</v>
      </c>
      <c r="C95" s="36" t="s">
        <v>4146</v>
      </c>
      <c r="D95" s="36" t="s">
        <v>2996</v>
      </c>
      <c r="E95" s="36" t="s">
        <v>4151</v>
      </c>
      <c r="F95" s="37" t="s">
        <v>4152</v>
      </c>
      <c r="G95" s="36" t="s">
        <v>4153</v>
      </c>
      <c r="H95" s="36" t="s">
        <v>4158</v>
      </c>
      <c r="I95" s="36" t="s">
        <v>824</v>
      </c>
    </row>
    <row r="96" spans="1:9" x14ac:dyDescent="0.3">
      <c r="A96">
        <v>96</v>
      </c>
      <c r="B96" s="36" t="s">
        <v>4145</v>
      </c>
      <c r="C96" s="36" t="s">
        <v>4146</v>
      </c>
      <c r="D96" s="36" t="s">
        <v>3001</v>
      </c>
      <c r="E96" s="36" t="s">
        <v>4147</v>
      </c>
      <c r="F96" s="37" t="s">
        <v>4157</v>
      </c>
      <c r="G96" s="36" t="s">
        <v>4153</v>
      </c>
      <c r="H96" s="36" t="s">
        <v>4158</v>
      </c>
      <c r="I96" s="36" t="s">
        <v>824</v>
      </c>
    </row>
    <row r="97" spans="1:9" x14ac:dyDescent="0.3">
      <c r="A97">
        <v>97</v>
      </c>
      <c r="B97" s="36" t="s">
        <v>4145</v>
      </c>
      <c r="C97" s="36" t="s">
        <v>4154</v>
      </c>
      <c r="D97" s="36" t="s">
        <v>2999</v>
      </c>
      <c r="E97" s="36" t="s">
        <v>4151</v>
      </c>
      <c r="F97" s="37" t="s">
        <v>4155</v>
      </c>
      <c r="G97" s="36" t="s">
        <v>4153</v>
      </c>
      <c r="H97" s="36" t="s">
        <v>4150</v>
      </c>
      <c r="I97" s="36" t="s">
        <v>4199</v>
      </c>
    </row>
    <row r="98" spans="1:9" x14ac:dyDescent="0.3">
      <c r="A98">
        <v>98</v>
      </c>
      <c r="B98" s="36" t="s">
        <v>4145</v>
      </c>
      <c r="C98" s="36" t="s">
        <v>4146</v>
      </c>
      <c r="D98" s="36" t="s">
        <v>3001</v>
      </c>
      <c r="E98" s="36" t="s">
        <v>4147</v>
      </c>
      <c r="F98" s="37" t="s">
        <v>4148</v>
      </c>
      <c r="G98" s="36" t="s">
        <v>4153</v>
      </c>
      <c r="H98" s="36" t="s">
        <v>4150</v>
      </c>
      <c r="I98" s="36" t="s">
        <v>4199</v>
      </c>
    </row>
    <row r="99" spans="1:9" x14ac:dyDescent="0.3">
      <c r="A99">
        <v>99</v>
      </c>
      <c r="B99" s="36" t="s">
        <v>4145</v>
      </c>
      <c r="C99" s="36" t="s">
        <v>4146</v>
      </c>
      <c r="D99" s="36" t="s">
        <v>3001</v>
      </c>
      <c r="E99" s="36" t="s">
        <v>4147</v>
      </c>
      <c r="F99" s="37" t="s">
        <v>4155</v>
      </c>
      <c r="G99" s="36" t="s">
        <v>4153</v>
      </c>
      <c r="H99" s="36" t="s">
        <v>4150</v>
      </c>
      <c r="I99" s="36" t="s">
        <v>4199</v>
      </c>
    </row>
    <row r="100" spans="1:9" x14ac:dyDescent="0.3">
      <c r="A100">
        <v>100</v>
      </c>
      <c r="B100" s="36" t="s">
        <v>4145</v>
      </c>
      <c r="C100" s="36" t="s">
        <v>4146</v>
      </c>
      <c r="D100" s="36" t="s">
        <v>3100</v>
      </c>
      <c r="E100" s="36" t="s">
        <v>4147</v>
      </c>
      <c r="F100" s="37" t="s">
        <v>4155</v>
      </c>
      <c r="G100" s="36" t="s">
        <v>4153</v>
      </c>
      <c r="H100" s="36" t="s">
        <v>4156</v>
      </c>
      <c r="I100" s="36" t="s">
        <v>4199</v>
      </c>
    </row>
    <row r="101" spans="1:9" x14ac:dyDescent="0.3">
      <c r="A101">
        <v>101</v>
      </c>
      <c r="B101" s="36" t="s">
        <v>4145</v>
      </c>
      <c r="C101" s="36" t="s">
        <v>4146</v>
      </c>
      <c r="D101" s="36" t="s">
        <v>3102</v>
      </c>
      <c r="E101" s="36" t="s">
        <v>4151</v>
      </c>
      <c r="F101" s="37" t="s">
        <v>4155</v>
      </c>
      <c r="G101" s="36" t="s">
        <v>4153</v>
      </c>
      <c r="H101" s="36" t="s">
        <v>4158</v>
      </c>
      <c r="I101" s="36" t="s">
        <v>4199</v>
      </c>
    </row>
    <row r="102" spans="1:9" x14ac:dyDescent="0.3">
      <c r="A102">
        <v>102</v>
      </c>
      <c r="B102" s="36" t="s">
        <v>4145</v>
      </c>
      <c r="C102" s="36" t="s">
        <v>4154</v>
      </c>
      <c r="D102" s="36" t="s">
        <v>2999</v>
      </c>
      <c r="E102" s="36" t="s">
        <v>4151</v>
      </c>
      <c r="F102" s="37" t="s">
        <v>4155</v>
      </c>
      <c r="G102" s="36" t="s">
        <v>4149</v>
      </c>
      <c r="H102" s="36" t="s">
        <v>4156</v>
      </c>
      <c r="I102" s="36" t="s">
        <v>4199</v>
      </c>
    </row>
    <row r="103" spans="1:9" x14ac:dyDescent="0.3">
      <c r="A103">
        <v>103</v>
      </c>
      <c r="B103" s="36" t="s">
        <v>4145</v>
      </c>
      <c r="C103" s="36" t="s">
        <v>4146</v>
      </c>
      <c r="D103" s="36" t="s">
        <v>3001</v>
      </c>
      <c r="E103" s="36" t="s">
        <v>4147</v>
      </c>
      <c r="F103" s="37" t="s">
        <v>4148</v>
      </c>
      <c r="G103" s="36" t="s">
        <v>4153</v>
      </c>
      <c r="H103" s="36" t="s">
        <v>4158</v>
      </c>
      <c r="I103" s="36" t="s">
        <v>4199</v>
      </c>
    </row>
    <row r="104" spans="1:9" x14ac:dyDescent="0.3">
      <c r="A104">
        <v>104</v>
      </c>
      <c r="B104" s="36" t="s">
        <v>4145</v>
      </c>
      <c r="C104" s="36" t="s">
        <v>4146</v>
      </c>
      <c r="D104" s="36" t="s">
        <v>2994</v>
      </c>
      <c r="E104" s="36" t="s">
        <v>4147</v>
      </c>
      <c r="F104" s="37" t="s">
        <v>4155</v>
      </c>
      <c r="G104" s="36" t="s">
        <v>4149</v>
      </c>
      <c r="H104" s="36" t="s">
        <v>4150</v>
      </c>
      <c r="I104" s="36" t="s">
        <v>4199</v>
      </c>
    </row>
    <row r="105" spans="1:9" x14ac:dyDescent="0.3">
      <c r="A105">
        <v>105</v>
      </c>
      <c r="B105" s="36" t="s">
        <v>4145</v>
      </c>
      <c r="C105" s="36" t="s">
        <v>4146</v>
      </c>
      <c r="D105" s="36" t="s">
        <v>2994</v>
      </c>
      <c r="E105" s="36" t="s">
        <v>4147</v>
      </c>
      <c r="F105" s="37" t="s">
        <v>4157</v>
      </c>
      <c r="G105" s="36" t="s">
        <v>4153</v>
      </c>
      <c r="H105" s="36" t="s">
        <v>4158</v>
      </c>
      <c r="I105" s="36" t="s">
        <v>4199</v>
      </c>
    </row>
    <row r="106" spans="1:9" x14ac:dyDescent="0.3">
      <c r="A106">
        <v>106</v>
      </c>
      <c r="B106" s="36" t="s">
        <v>4145</v>
      </c>
      <c r="C106" s="36" t="s">
        <v>4154</v>
      </c>
      <c r="D106" s="36" t="s">
        <v>2994</v>
      </c>
      <c r="E106" s="36" t="s">
        <v>4147</v>
      </c>
      <c r="F106" s="37" t="s">
        <v>4155</v>
      </c>
      <c r="G106" s="36" t="s">
        <v>4149</v>
      </c>
      <c r="H106" s="36" t="s">
        <v>4156</v>
      </c>
      <c r="I106" s="36" t="s">
        <v>4199</v>
      </c>
    </row>
    <row r="107" spans="1:9" x14ac:dyDescent="0.3">
      <c r="A107">
        <v>107</v>
      </c>
      <c r="B107" s="36" t="s">
        <v>4145</v>
      </c>
      <c r="C107" s="36" t="s">
        <v>4154</v>
      </c>
      <c r="D107" s="36" t="s">
        <v>2999</v>
      </c>
      <c r="E107" s="36" t="s">
        <v>4151</v>
      </c>
      <c r="F107" s="37" t="s">
        <v>4148</v>
      </c>
      <c r="G107" s="36" t="s">
        <v>4149</v>
      </c>
      <c r="H107" s="36" t="s">
        <v>4150</v>
      </c>
      <c r="I107" s="36" t="s">
        <v>824</v>
      </c>
    </row>
    <row r="108" spans="1:9" x14ac:dyDescent="0.3">
      <c r="A108">
        <v>108</v>
      </c>
      <c r="B108" s="36" t="s">
        <v>4145</v>
      </c>
      <c r="C108" s="36" t="s">
        <v>4146</v>
      </c>
      <c r="D108" s="36" t="s">
        <v>3001</v>
      </c>
      <c r="E108" s="36" t="s">
        <v>4147</v>
      </c>
      <c r="F108" s="37" t="s">
        <v>4148</v>
      </c>
      <c r="G108" s="36" t="s">
        <v>4149</v>
      </c>
      <c r="H108" s="36" t="s">
        <v>4156</v>
      </c>
      <c r="I108" s="36" t="s">
        <v>824</v>
      </c>
    </row>
    <row r="109" spans="1:9" x14ac:dyDescent="0.3">
      <c r="A109">
        <v>109</v>
      </c>
      <c r="B109" s="36" t="s">
        <v>4145</v>
      </c>
      <c r="C109" s="36" t="s">
        <v>4146</v>
      </c>
      <c r="D109" s="36" t="s">
        <v>2994</v>
      </c>
      <c r="E109" s="36" t="s">
        <v>4147</v>
      </c>
      <c r="F109" s="37" t="s">
        <v>4148</v>
      </c>
      <c r="G109" s="36" t="s">
        <v>4149</v>
      </c>
      <c r="H109" s="36" t="s">
        <v>4150</v>
      </c>
      <c r="I109" s="36" t="s">
        <v>4199</v>
      </c>
    </row>
    <row r="110" spans="1:9" x14ac:dyDescent="0.3">
      <c r="A110">
        <v>110</v>
      </c>
      <c r="B110" s="36" t="s">
        <v>4145</v>
      </c>
      <c r="C110" s="36" t="s">
        <v>4146</v>
      </c>
      <c r="D110" s="36" t="s">
        <v>2999</v>
      </c>
      <c r="E110" s="36" t="s">
        <v>4151</v>
      </c>
      <c r="F110" s="37" t="s">
        <v>4155</v>
      </c>
      <c r="G110" s="36" t="s">
        <v>4149</v>
      </c>
      <c r="H110" s="36" t="s">
        <v>4156</v>
      </c>
      <c r="I110" s="36" t="s">
        <v>824</v>
      </c>
    </row>
    <row r="111" spans="1:9" x14ac:dyDescent="0.3">
      <c r="A111">
        <v>111</v>
      </c>
      <c r="B111" s="36" t="s">
        <v>4145</v>
      </c>
      <c r="C111" s="36" t="s">
        <v>4154</v>
      </c>
      <c r="D111" s="36" t="s">
        <v>2999</v>
      </c>
      <c r="E111" s="36" t="s">
        <v>4151</v>
      </c>
      <c r="F111" s="37" t="s">
        <v>4148</v>
      </c>
      <c r="G111" s="36" t="s">
        <v>4149</v>
      </c>
      <c r="H111" s="36" t="s">
        <v>4156</v>
      </c>
      <c r="I111" s="36" t="s">
        <v>4199</v>
      </c>
    </row>
    <row r="112" spans="1:9" x14ac:dyDescent="0.3">
      <c r="A112">
        <v>112</v>
      </c>
      <c r="B112" s="36" t="s">
        <v>4145</v>
      </c>
      <c r="C112" s="36" t="s">
        <v>4146</v>
      </c>
      <c r="D112" s="36" t="s">
        <v>2994</v>
      </c>
      <c r="E112" s="36" t="s">
        <v>4147</v>
      </c>
      <c r="F112" s="37" t="s">
        <v>4148</v>
      </c>
      <c r="G112" s="36" t="s">
        <v>4153</v>
      </c>
      <c r="H112" s="36" t="s">
        <v>4150</v>
      </c>
      <c r="I112" s="36" t="s">
        <v>824</v>
      </c>
    </row>
    <row r="113" spans="1:9" x14ac:dyDescent="0.3">
      <c r="A113">
        <v>113</v>
      </c>
      <c r="B113" s="36" t="s">
        <v>4145</v>
      </c>
      <c r="C113" s="36" t="s">
        <v>4146</v>
      </c>
      <c r="D113" s="36" t="s">
        <v>2994</v>
      </c>
      <c r="E113" s="36" t="s">
        <v>4147</v>
      </c>
      <c r="F113" s="37" t="s">
        <v>4148</v>
      </c>
      <c r="G113" s="36" t="s">
        <v>4153</v>
      </c>
      <c r="H113" s="36" t="s">
        <v>4150</v>
      </c>
      <c r="I113" s="36" t="s">
        <v>824</v>
      </c>
    </row>
    <row r="114" spans="1:9" x14ac:dyDescent="0.3">
      <c r="A114">
        <v>114</v>
      </c>
      <c r="B114" s="36" t="s">
        <v>4145</v>
      </c>
      <c r="C114" s="36" t="s">
        <v>4146</v>
      </c>
      <c r="D114" s="36" t="s">
        <v>2994</v>
      </c>
      <c r="E114" s="36" t="s">
        <v>4147</v>
      </c>
      <c r="F114" s="37" t="s">
        <v>4148</v>
      </c>
      <c r="G114" s="36" t="s">
        <v>4153</v>
      </c>
      <c r="H114" s="36" t="s">
        <v>4150</v>
      </c>
      <c r="I114" s="36" t="s">
        <v>824</v>
      </c>
    </row>
    <row r="115" spans="1:9" x14ac:dyDescent="0.3">
      <c r="A115">
        <v>115</v>
      </c>
      <c r="B115" s="36" t="s">
        <v>4145</v>
      </c>
      <c r="C115" s="36" t="s">
        <v>4154</v>
      </c>
      <c r="D115" s="36" t="s">
        <v>2999</v>
      </c>
      <c r="E115" s="36" t="s">
        <v>4151</v>
      </c>
      <c r="F115" s="37" t="s">
        <v>4148</v>
      </c>
      <c r="G115" s="36" t="s">
        <v>4153</v>
      </c>
      <c r="H115" s="36" t="s">
        <v>4150</v>
      </c>
      <c r="I115" s="36" t="s">
        <v>824</v>
      </c>
    </row>
    <row r="116" spans="1:9" x14ac:dyDescent="0.3">
      <c r="A116">
        <v>116</v>
      </c>
      <c r="B116" s="36" t="s">
        <v>4145</v>
      </c>
      <c r="C116" s="36" t="s">
        <v>4154</v>
      </c>
      <c r="D116" s="36" t="s">
        <v>2999</v>
      </c>
      <c r="E116" s="36" t="s">
        <v>4151</v>
      </c>
      <c r="F116" s="37" t="s">
        <v>4157</v>
      </c>
      <c r="G116" s="36" t="s">
        <v>4153</v>
      </c>
      <c r="H116" s="36" t="s">
        <v>4150</v>
      </c>
      <c r="I116" s="36" t="s">
        <v>824</v>
      </c>
    </row>
    <row r="117" spans="1:9" x14ac:dyDescent="0.3">
      <c r="A117">
        <v>117</v>
      </c>
      <c r="B117" s="36" t="s">
        <v>4145</v>
      </c>
      <c r="C117" s="36" t="s">
        <v>4146</v>
      </c>
      <c r="D117" s="36" t="s">
        <v>3001</v>
      </c>
      <c r="E117" s="36" t="s">
        <v>4147</v>
      </c>
      <c r="F117" s="37" t="s">
        <v>4157</v>
      </c>
      <c r="G117" s="36" t="s">
        <v>4153</v>
      </c>
      <c r="H117" s="36" t="s">
        <v>4150</v>
      </c>
      <c r="I117" s="36" t="s">
        <v>824</v>
      </c>
    </row>
    <row r="118" spans="1:9" x14ac:dyDescent="0.3">
      <c r="A118">
        <v>118</v>
      </c>
      <c r="B118" s="36" t="s">
        <v>4145</v>
      </c>
      <c r="C118" s="36" t="s">
        <v>4146</v>
      </c>
      <c r="D118" s="36" t="s">
        <v>2994</v>
      </c>
      <c r="E118" s="36" t="s">
        <v>4147</v>
      </c>
      <c r="F118" s="37" t="s">
        <v>4148</v>
      </c>
      <c r="G118" s="36" t="s">
        <v>4149</v>
      </c>
      <c r="H118" s="36" t="s">
        <v>4158</v>
      </c>
      <c r="I118" s="36" t="s">
        <v>4199</v>
      </c>
    </row>
    <row r="119" spans="1:9" x14ac:dyDescent="0.3">
      <c r="A119">
        <v>119</v>
      </c>
      <c r="B119" s="36" t="s">
        <v>4145</v>
      </c>
      <c r="C119" s="36" t="s">
        <v>4154</v>
      </c>
      <c r="D119" s="36" t="s">
        <v>2999</v>
      </c>
      <c r="E119" s="36" t="s">
        <v>4151</v>
      </c>
      <c r="F119" s="37" t="s">
        <v>4148</v>
      </c>
      <c r="G119" s="36" t="s">
        <v>4149</v>
      </c>
      <c r="H119" s="36" t="s">
        <v>4156</v>
      </c>
      <c r="I119" s="36" t="s">
        <v>824</v>
      </c>
    </row>
    <row r="120" spans="1:9" x14ac:dyDescent="0.3">
      <c r="A120">
        <v>120</v>
      </c>
      <c r="B120" s="36" t="s">
        <v>4145</v>
      </c>
      <c r="C120" s="36" t="s">
        <v>4146</v>
      </c>
      <c r="D120" s="36" t="s">
        <v>3040</v>
      </c>
      <c r="E120" s="36" t="s">
        <v>4151</v>
      </c>
      <c r="F120" s="37" t="s">
        <v>4155</v>
      </c>
      <c r="G120" s="36" t="s">
        <v>4153</v>
      </c>
      <c r="H120" s="36" t="s">
        <v>4150</v>
      </c>
      <c r="I120" s="36" t="s">
        <v>824</v>
      </c>
    </row>
    <row r="121" spans="1:9" x14ac:dyDescent="0.3">
      <c r="A121">
        <v>121</v>
      </c>
      <c r="B121" s="36" t="s">
        <v>4145</v>
      </c>
      <c r="C121" s="36" t="s">
        <v>4146</v>
      </c>
      <c r="D121" s="36" t="s">
        <v>2999</v>
      </c>
      <c r="E121" s="36" t="s">
        <v>4151</v>
      </c>
      <c r="F121" s="37" t="s">
        <v>4155</v>
      </c>
      <c r="G121" s="36" t="s">
        <v>4153</v>
      </c>
      <c r="H121" s="36" t="s">
        <v>4156</v>
      </c>
      <c r="I121" s="36" t="s">
        <v>4199</v>
      </c>
    </row>
    <row r="122" spans="1:9" x14ac:dyDescent="0.3">
      <c r="A122">
        <v>122</v>
      </c>
      <c r="B122" s="36" t="s">
        <v>4145</v>
      </c>
      <c r="C122" s="36" t="s">
        <v>4146</v>
      </c>
      <c r="D122" s="36" t="s">
        <v>3001</v>
      </c>
      <c r="E122" s="36" t="s">
        <v>4147</v>
      </c>
      <c r="F122" s="37" t="s">
        <v>4148</v>
      </c>
      <c r="G122" s="36" t="s">
        <v>4153</v>
      </c>
      <c r="H122" s="36" t="s">
        <v>4150</v>
      </c>
      <c r="I122" s="36" t="s">
        <v>824</v>
      </c>
    </row>
    <row r="123" spans="1:9" x14ac:dyDescent="0.3">
      <c r="A123">
        <v>123</v>
      </c>
      <c r="B123" s="36" t="s">
        <v>4145</v>
      </c>
      <c r="C123" s="36" t="s">
        <v>4146</v>
      </c>
      <c r="D123" s="36" t="s">
        <v>2994</v>
      </c>
      <c r="E123" s="36" t="s">
        <v>4147</v>
      </c>
      <c r="F123" s="37" t="s">
        <v>4148</v>
      </c>
      <c r="G123" s="36" t="s">
        <v>4153</v>
      </c>
      <c r="H123" s="36" t="s">
        <v>4156</v>
      </c>
      <c r="I123" s="36" t="s">
        <v>4199</v>
      </c>
    </row>
    <row r="124" spans="1:9" x14ac:dyDescent="0.3">
      <c r="A124">
        <v>124</v>
      </c>
      <c r="B124" s="36" t="s">
        <v>4145</v>
      </c>
      <c r="C124" s="36" t="s">
        <v>4146</v>
      </c>
      <c r="D124" s="36" t="s">
        <v>2999</v>
      </c>
      <c r="E124" s="36" t="s">
        <v>4151</v>
      </c>
      <c r="F124" s="37" t="s">
        <v>4157</v>
      </c>
      <c r="G124" s="36" t="s">
        <v>4153</v>
      </c>
      <c r="H124" s="36" t="s">
        <v>4158</v>
      </c>
      <c r="I124" s="36" t="s">
        <v>4199</v>
      </c>
    </row>
    <row r="125" spans="1:9" x14ac:dyDescent="0.3">
      <c r="A125">
        <v>125</v>
      </c>
      <c r="B125" s="36" t="s">
        <v>4145</v>
      </c>
      <c r="C125" s="36" t="s">
        <v>4146</v>
      </c>
      <c r="D125" s="36" t="s">
        <v>3001</v>
      </c>
      <c r="E125" s="36" t="s">
        <v>4147</v>
      </c>
      <c r="F125" s="37" t="s">
        <v>4155</v>
      </c>
      <c r="G125" s="36" t="s">
        <v>4153</v>
      </c>
      <c r="H125" s="36" t="s">
        <v>4158</v>
      </c>
      <c r="I125" s="36" t="s">
        <v>4199</v>
      </c>
    </row>
    <row r="126" spans="1:9" x14ac:dyDescent="0.3">
      <c r="A126">
        <v>126</v>
      </c>
      <c r="B126" s="36" t="s">
        <v>4145</v>
      </c>
      <c r="C126" s="36" t="s">
        <v>4154</v>
      </c>
      <c r="D126" s="36" t="s">
        <v>2999</v>
      </c>
      <c r="E126" s="36" t="s">
        <v>4151</v>
      </c>
      <c r="F126" s="37" t="s">
        <v>4148</v>
      </c>
      <c r="G126" s="36" t="s">
        <v>4149</v>
      </c>
      <c r="H126" s="36" t="s">
        <v>4156</v>
      </c>
      <c r="I126" s="36" t="s">
        <v>824</v>
      </c>
    </row>
    <row r="127" spans="1:9" x14ac:dyDescent="0.3">
      <c r="A127">
        <v>127</v>
      </c>
      <c r="B127" s="36" t="s">
        <v>4145</v>
      </c>
      <c r="C127" s="36" t="s">
        <v>4154</v>
      </c>
      <c r="D127" s="36" t="s">
        <v>2999</v>
      </c>
      <c r="E127" s="36" t="s">
        <v>4151</v>
      </c>
      <c r="F127" s="37" t="s">
        <v>4155</v>
      </c>
      <c r="G127" s="36" t="s">
        <v>4153</v>
      </c>
      <c r="H127" s="36" t="s">
        <v>4158</v>
      </c>
      <c r="I127" s="36" t="s">
        <v>824</v>
      </c>
    </row>
    <row r="128" spans="1:9" x14ac:dyDescent="0.3">
      <c r="A128">
        <v>128</v>
      </c>
      <c r="B128" s="36" t="s">
        <v>4145</v>
      </c>
      <c r="C128" s="36" t="s">
        <v>4146</v>
      </c>
      <c r="D128" s="36" t="s">
        <v>3001</v>
      </c>
      <c r="E128" s="36" t="s">
        <v>4147</v>
      </c>
      <c r="F128" s="37" t="s">
        <v>4155</v>
      </c>
      <c r="G128" s="36" t="s">
        <v>4153</v>
      </c>
      <c r="H128" s="36" t="s">
        <v>4158</v>
      </c>
      <c r="I128" s="36" t="s">
        <v>824</v>
      </c>
    </row>
    <row r="129" spans="1:9" x14ac:dyDescent="0.3">
      <c r="A129">
        <v>129</v>
      </c>
      <c r="B129" s="36" t="s">
        <v>4145</v>
      </c>
      <c r="C129" s="36" t="s">
        <v>4154</v>
      </c>
      <c r="D129" s="36" t="s">
        <v>2999</v>
      </c>
      <c r="E129" s="36" t="s">
        <v>4151</v>
      </c>
      <c r="F129" s="37" t="s">
        <v>4155</v>
      </c>
      <c r="G129" s="36" t="s">
        <v>4149</v>
      </c>
      <c r="H129" s="36" t="s">
        <v>4156</v>
      </c>
      <c r="I129" s="36" t="s">
        <v>824</v>
      </c>
    </row>
    <row r="130" spans="1:9" x14ac:dyDescent="0.3">
      <c r="A130">
        <v>130</v>
      </c>
      <c r="B130" s="36" t="s">
        <v>4145</v>
      </c>
      <c r="C130" s="36" t="s">
        <v>4146</v>
      </c>
      <c r="D130" s="36" t="s">
        <v>2994</v>
      </c>
      <c r="E130" s="36" t="s">
        <v>4147</v>
      </c>
      <c r="F130" s="37" t="s">
        <v>4155</v>
      </c>
      <c r="G130" s="36" t="s">
        <v>4149</v>
      </c>
      <c r="H130" s="36" t="s">
        <v>4150</v>
      </c>
      <c r="I130" s="36" t="s">
        <v>4199</v>
      </c>
    </row>
    <row r="131" spans="1:9" x14ac:dyDescent="0.3">
      <c r="A131">
        <v>131</v>
      </c>
      <c r="B131" s="36" t="s">
        <v>4145</v>
      </c>
      <c r="C131" s="36" t="s">
        <v>4146</v>
      </c>
      <c r="D131" s="36" t="s">
        <v>2994</v>
      </c>
      <c r="E131" s="36" t="s">
        <v>4147</v>
      </c>
      <c r="F131" s="37" t="s">
        <v>4148</v>
      </c>
      <c r="G131" s="36" t="s">
        <v>4153</v>
      </c>
      <c r="H131" s="36" t="s">
        <v>4158</v>
      </c>
      <c r="I131" s="36" t="s">
        <v>4199</v>
      </c>
    </row>
    <row r="132" spans="1:9" x14ac:dyDescent="0.3">
      <c r="A132">
        <v>132</v>
      </c>
      <c r="B132" s="36" t="s">
        <v>4145</v>
      </c>
      <c r="C132" s="36" t="s">
        <v>4146</v>
      </c>
      <c r="D132" s="36" t="s">
        <v>3001</v>
      </c>
      <c r="E132" s="36" t="s">
        <v>4147</v>
      </c>
      <c r="F132" s="37" t="s">
        <v>4155</v>
      </c>
      <c r="G132" s="36" t="s">
        <v>4153</v>
      </c>
      <c r="H132" s="36" t="s">
        <v>4158</v>
      </c>
      <c r="I132" s="36" t="s">
        <v>4199</v>
      </c>
    </row>
    <row r="133" spans="1:9" x14ac:dyDescent="0.3">
      <c r="A133">
        <v>133</v>
      </c>
      <c r="B133" s="36" t="s">
        <v>4145</v>
      </c>
      <c r="C133" s="36" t="s">
        <v>4154</v>
      </c>
      <c r="D133" s="36" t="s">
        <v>2999</v>
      </c>
      <c r="E133" s="36" t="s">
        <v>4151</v>
      </c>
      <c r="F133" s="37" t="s">
        <v>4148</v>
      </c>
      <c r="G133" s="36" t="s">
        <v>4149</v>
      </c>
      <c r="H133" s="36" t="s">
        <v>4158</v>
      </c>
      <c r="I133" s="36" t="s">
        <v>4199</v>
      </c>
    </row>
    <row r="134" spans="1:9" x14ac:dyDescent="0.3">
      <c r="A134">
        <v>134</v>
      </c>
      <c r="B134" s="36" t="s">
        <v>4145</v>
      </c>
      <c r="C134" s="36" t="s">
        <v>4146</v>
      </c>
      <c r="D134" s="36" t="s">
        <v>2999</v>
      </c>
      <c r="E134" s="36" t="s">
        <v>4151</v>
      </c>
      <c r="F134" s="37" t="s">
        <v>4155</v>
      </c>
      <c r="G134" s="36" t="s">
        <v>4153</v>
      </c>
      <c r="H134" s="36" t="s">
        <v>4158</v>
      </c>
      <c r="I134" s="36" t="s">
        <v>4199</v>
      </c>
    </row>
    <row r="135" spans="1:9" x14ac:dyDescent="0.3">
      <c r="A135">
        <v>135</v>
      </c>
      <c r="B135" s="36" t="s">
        <v>4145</v>
      </c>
      <c r="C135" s="36" t="s">
        <v>4146</v>
      </c>
      <c r="D135" s="36" t="s">
        <v>3001</v>
      </c>
      <c r="E135" s="36" t="s">
        <v>4147</v>
      </c>
      <c r="F135" s="37" t="s">
        <v>4148</v>
      </c>
      <c r="G135" s="36" t="s">
        <v>4153</v>
      </c>
      <c r="H135" s="36" t="s">
        <v>4158</v>
      </c>
      <c r="I135" s="36" t="s">
        <v>4199</v>
      </c>
    </row>
    <row r="136" spans="1:9" x14ac:dyDescent="0.3">
      <c r="A136">
        <v>136</v>
      </c>
      <c r="B136" s="36" t="s">
        <v>4145</v>
      </c>
      <c r="C136" s="36" t="s">
        <v>4154</v>
      </c>
      <c r="D136" s="36" t="s">
        <v>2999</v>
      </c>
      <c r="E136" s="36" t="s">
        <v>4151</v>
      </c>
      <c r="F136" s="37" t="s">
        <v>4157</v>
      </c>
      <c r="G136" s="36" t="s">
        <v>4149</v>
      </c>
      <c r="H136" s="36" t="s">
        <v>4156</v>
      </c>
      <c r="I136" s="36" t="s">
        <v>4199</v>
      </c>
    </row>
    <row r="137" spans="1:9" x14ac:dyDescent="0.3">
      <c r="A137">
        <v>137</v>
      </c>
      <c r="B137" s="36" t="s">
        <v>4145</v>
      </c>
      <c r="C137" s="36" t="s">
        <v>4146</v>
      </c>
      <c r="D137" s="36" t="s">
        <v>3008</v>
      </c>
      <c r="E137" s="36" t="s">
        <v>4151</v>
      </c>
      <c r="F137" s="37" t="s">
        <v>4157</v>
      </c>
      <c r="G137" s="36" t="s">
        <v>4149</v>
      </c>
      <c r="H137" s="36" t="s">
        <v>4156</v>
      </c>
      <c r="I137" s="36" t="s">
        <v>4199</v>
      </c>
    </row>
    <row r="138" spans="1:9" x14ac:dyDescent="0.3">
      <c r="A138">
        <v>138</v>
      </c>
      <c r="B138" s="36" t="s">
        <v>4145</v>
      </c>
      <c r="C138" s="36" t="s">
        <v>4146</v>
      </c>
      <c r="D138" s="36" t="s">
        <v>2994</v>
      </c>
      <c r="E138" s="36" t="s">
        <v>4147</v>
      </c>
      <c r="F138" s="37" t="s">
        <v>4148</v>
      </c>
      <c r="G138" s="36" t="s">
        <v>4149</v>
      </c>
      <c r="H138" s="36" t="s">
        <v>4156</v>
      </c>
      <c r="I138" s="36" t="s">
        <v>824</v>
      </c>
    </row>
    <row r="139" spans="1:9" x14ac:dyDescent="0.3">
      <c r="A139">
        <v>139</v>
      </c>
      <c r="B139" s="36" t="s">
        <v>4145</v>
      </c>
      <c r="C139" s="36" t="s">
        <v>4154</v>
      </c>
      <c r="D139" s="36" t="s">
        <v>2999</v>
      </c>
      <c r="E139" s="36" t="s">
        <v>4151</v>
      </c>
      <c r="F139" s="37" t="s">
        <v>4155</v>
      </c>
      <c r="G139" s="36" t="s">
        <v>4153</v>
      </c>
      <c r="H139" s="36" t="s">
        <v>4150</v>
      </c>
      <c r="I139" s="36" t="s">
        <v>824</v>
      </c>
    </row>
    <row r="140" spans="1:9" x14ac:dyDescent="0.3">
      <c r="A140">
        <v>140</v>
      </c>
      <c r="B140" s="36" t="s">
        <v>4145</v>
      </c>
      <c r="C140" s="36" t="s">
        <v>4146</v>
      </c>
      <c r="D140" s="36" t="s">
        <v>3001</v>
      </c>
      <c r="E140" s="36" t="s">
        <v>4147</v>
      </c>
      <c r="F140" s="37" t="s">
        <v>4157</v>
      </c>
      <c r="G140" s="36" t="s">
        <v>4153</v>
      </c>
      <c r="H140" s="36" t="s">
        <v>4150</v>
      </c>
      <c r="I140" s="36" t="s">
        <v>824</v>
      </c>
    </row>
    <row r="141" spans="1:9" x14ac:dyDescent="0.3">
      <c r="A141">
        <v>141</v>
      </c>
      <c r="B141" s="36" t="s">
        <v>4145</v>
      </c>
      <c r="C141" s="36" t="s">
        <v>4146</v>
      </c>
      <c r="D141" s="36" t="s">
        <v>2999</v>
      </c>
      <c r="E141" s="36" t="s">
        <v>4151</v>
      </c>
      <c r="F141" s="37" t="s">
        <v>4148</v>
      </c>
      <c r="G141" s="36" t="s">
        <v>4153</v>
      </c>
      <c r="H141" s="36" t="s">
        <v>4158</v>
      </c>
      <c r="I141" s="36" t="s">
        <v>4199</v>
      </c>
    </row>
    <row r="142" spans="1:9" x14ac:dyDescent="0.3">
      <c r="A142">
        <v>142</v>
      </c>
      <c r="B142" s="36" t="s">
        <v>4145</v>
      </c>
      <c r="C142" s="36" t="s">
        <v>4146</v>
      </c>
      <c r="D142" s="36" t="s">
        <v>3001</v>
      </c>
      <c r="E142" s="36" t="s">
        <v>4147</v>
      </c>
      <c r="F142" s="37" t="s">
        <v>4155</v>
      </c>
      <c r="G142" s="36" t="s">
        <v>4153</v>
      </c>
      <c r="H142" s="36" t="s">
        <v>4158</v>
      </c>
      <c r="I142" s="36" t="s">
        <v>4199</v>
      </c>
    </row>
    <row r="143" spans="1:9" x14ac:dyDescent="0.3">
      <c r="A143">
        <v>143</v>
      </c>
      <c r="B143" s="36" t="s">
        <v>4145</v>
      </c>
      <c r="C143" s="36" t="s">
        <v>4154</v>
      </c>
      <c r="D143" s="36" t="s">
        <v>2999</v>
      </c>
      <c r="E143" s="36" t="s">
        <v>4151</v>
      </c>
      <c r="F143" s="37" t="s">
        <v>4155</v>
      </c>
      <c r="G143" s="36" t="s">
        <v>4149</v>
      </c>
      <c r="H143" s="36" t="s">
        <v>4158</v>
      </c>
      <c r="I143" s="36" t="s">
        <v>4199</v>
      </c>
    </row>
    <row r="144" spans="1:9" x14ac:dyDescent="0.3">
      <c r="A144">
        <v>144</v>
      </c>
      <c r="B144" s="36" t="s">
        <v>4145</v>
      </c>
      <c r="C144" s="36" t="s">
        <v>4146</v>
      </c>
      <c r="D144" s="36" t="s">
        <v>2999</v>
      </c>
      <c r="E144" s="36" t="s">
        <v>4151</v>
      </c>
      <c r="F144" s="37" t="s">
        <v>4148</v>
      </c>
      <c r="G144" s="36" t="s">
        <v>4153</v>
      </c>
      <c r="H144" s="36" t="s">
        <v>4158</v>
      </c>
      <c r="I144" s="36" t="s">
        <v>4199</v>
      </c>
    </row>
    <row r="145" spans="1:9" x14ac:dyDescent="0.3">
      <c r="A145">
        <v>145</v>
      </c>
      <c r="B145" s="36" t="s">
        <v>4145</v>
      </c>
      <c r="C145" s="36" t="s">
        <v>4146</v>
      </c>
      <c r="D145" s="36" t="s">
        <v>3001</v>
      </c>
      <c r="E145" s="36" t="s">
        <v>4147</v>
      </c>
      <c r="F145" s="37" t="s">
        <v>4148</v>
      </c>
      <c r="G145" s="36" t="s">
        <v>4153</v>
      </c>
      <c r="H145" s="36" t="s">
        <v>4158</v>
      </c>
      <c r="I145" s="36" t="s">
        <v>4199</v>
      </c>
    </row>
    <row r="146" spans="1:9" x14ac:dyDescent="0.3">
      <c r="A146">
        <v>146</v>
      </c>
      <c r="B146" s="36" t="s">
        <v>4145</v>
      </c>
      <c r="C146" s="36" t="s">
        <v>4146</v>
      </c>
      <c r="D146" s="36" t="s">
        <v>2999</v>
      </c>
      <c r="E146" s="36" t="s">
        <v>4151</v>
      </c>
      <c r="F146" s="37" t="s">
        <v>4155</v>
      </c>
      <c r="G146" s="36" t="s">
        <v>4153</v>
      </c>
      <c r="H146" s="36" t="s">
        <v>4158</v>
      </c>
      <c r="I146" s="36" t="s">
        <v>4199</v>
      </c>
    </row>
    <row r="147" spans="1:9" x14ac:dyDescent="0.3">
      <c r="A147">
        <v>147</v>
      </c>
      <c r="B147" s="36" t="s">
        <v>4145</v>
      </c>
      <c r="C147" s="36" t="s">
        <v>4146</v>
      </c>
      <c r="D147" s="36" t="s">
        <v>3001</v>
      </c>
      <c r="E147" s="36" t="s">
        <v>4147</v>
      </c>
      <c r="F147" s="37" t="s">
        <v>4155</v>
      </c>
      <c r="G147" s="36" t="s">
        <v>4153</v>
      </c>
      <c r="H147" s="36" t="s">
        <v>4158</v>
      </c>
      <c r="I147" s="36" t="s">
        <v>4199</v>
      </c>
    </row>
    <row r="148" spans="1:9" x14ac:dyDescent="0.3">
      <c r="A148">
        <v>148</v>
      </c>
      <c r="B148" s="36" t="s">
        <v>4145</v>
      </c>
      <c r="C148" s="36" t="s">
        <v>4154</v>
      </c>
      <c r="D148" s="36" t="s">
        <v>2999</v>
      </c>
      <c r="E148" s="36" t="s">
        <v>4151</v>
      </c>
      <c r="F148" s="37" t="s">
        <v>4148</v>
      </c>
      <c r="G148" s="36" t="s">
        <v>4149</v>
      </c>
      <c r="H148" s="36" t="s">
        <v>4156</v>
      </c>
      <c r="I148" s="36" t="s">
        <v>824</v>
      </c>
    </row>
    <row r="149" spans="1:9" x14ac:dyDescent="0.3">
      <c r="A149">
        <v>149</v>
      </c>
      <c r="B149" s="36" t="s">
        <v>4145</v>
      </c>
      <c r="C149" s="36" t="s">
        <v>4154</v>
      </c>
      <c r="D149" s="36" t="s">
        <v>2999</v>
      </c>
      <c r="E149" s="36" t="s">
        <v>4151</v>
      </c>
      <c r="F149" s="37" t="s">
        <v>4155</v>
      </c>
      <c r="G149" s="36" t="s">
        <v>4153</v>
      </c>
      <c r="H149" s="36" t="s">
        <v>4158</v>
      </c>
      <c r="I149" s="36" t="s">
        <v>824</v>
      </c>
    </row>
    <row r="150" spans="1:9" x14ac:dyDescent="0.3">
      <c r="A150">
        <v>150</v>
      </c>
      <c r="B150" s="36" t="s">
        <v>4145</v>
      </c>
      <c r="C150" s="36" t="s">
        <v>4146</v>
      </c>
      <c r="D150" s="36" t="s">
        <v>3001</v>
      </c>
      <c r="E150" s="36" t="s">
        <v>4147</v>
      </c>
      <c r="F150" s="37" t="s">
        <v>4155</v>
      </c>
      <c r="G150" s="36" t="s">
        <v>4153</v>
      </c>
      <c r="H150" s="36" t="s">
        <v>4158</v>
      </c>
      <c r="I150" s="36" t="s">
        <v>824</v>
      </c>
    </row>
    <row r="151" spans="1:9" x14ac:dyDescent="0.3">
      <c r="A151">
        <v>151</v>
      </c>
      <c r="B151" s="36" t="s">
        <v>4145</v>
      </c>
      <c r="C151" s="36" t="s">
        <v>4154</v>
      </c>
      <c r="D151" s="36" t="s">
        <v>2999</v>
      </c>
      <c r="E151" s="36" t="s">
        <v>4151</v>
      </c>
      <c r="F151" s="37" t="s">
        <v>4155</v>
      </c>
      <c r="G151" s="36" t="s">
        <v>4149</v>
      </c>
      <c r="H151" s="36" t="s">
        <v>4156</v>
      </c>
      <c r="I151" s="36" t="s">
        <v>824</v>
      </c>
    </row>
    <row r="152" spans="1:9" x14ac:dyDescent="0.3">
      <c r="A152">
        <v>152</v>
      </c>
      <c r="B152" s="36" t="s">
        <v>4145</v>
      </c>
      <c r="C152" s="36" t="s">
        <v>4146</v>
      </c>
      <c r="D152" s="36" t="s">
        <v>2999</v>
      </c>
      <c r="E152" s="36" t="s">
        <v>4151</v>
      </c>
      <c r="F152" s="37" t="s">
        <v>4148</v>
      </c>
      <c r="G152" s="36" t="s">
        <v>4149</v>
      </c>
      <c r="H152" s="36" t="s">
        <v>4158</v>
      </c>
      <c r="I152" s="36" t="s">
        <v>4199</v>
      </c>
    </row>
    <row r="153" spans="1:9" x14ac:dyDescent="0.3">
      <c r="A153">
        <v>153</v>
      </c>
      <c r="B153" s="36" t="s">
        <v>4145</v>
      </c>
      <c r="C153" s="36" t="s">
        <v>4146</v>
      </c>
      <c r="D153" s="36" t="s">
        <v>2999</v>
      </c>
      <c r="E153" s="36" t="s">
        <v>4151</v>
      </c>
      <c r="F153" s="37" t="s">
        <v>4148</v>
      </c>
      <c r="G153" s="36" t="s">
        <v>4149</v>
      </c>
      <c r="H153" s="36" t="s">
        <v>4156</v>
      </c>
      <c r="I153" s="36" t="s">
        <v>824</v>
      </c>
    </row>
    <row r="154" spans="1:9" x14ac:dyDescent="0.3">
      <c r="A154">
        <v>154</v>
      </c>
      <c r="B154" s="36" t="s">
        <v>4145</v>
      </c>
      <c r="C154" s="36" t="s">
        <v>4146</v>
      </c>
      <c r="D154" s="36" t="s">
        <v>2994</v>
      </c>
      <c r="E154" s="36" t="s">
        <v>4147</v>
      </c>
      <c r="F154" s="37" t="s">
        <v>4148</v>
      </c>
      <c r="G154" s="36" t="s">
        <v>4149</v>
      </c>
      <c r="H154" s="36" t="s">
        <v>4158</v>
      </c>
      <c r="I154" s="36" t="s">
        <v>4199</v>
      </c>
    </row>
    <row r="155" spans="1:9" x14ac:dyDescent="0.3">
      <c r="A155">
        <v>155</v>
      </c>
      <c r="B155" s="36" t="s">
        <v>4145</v>
      </c>
      <c r="C155" s="36" t="s">
        <v>4154</v>
      </c>
      <c r="D155" s="36" t="s">
        <v>2999</v>
      </c>
      <c r="E155" s="36" t="s">
        <v>4151</v>
      </c>
      <c r="F155" s="37" t="s">
        <v>4157</v>
      </c>
      <c r="G155" s="36" t="s">
        <v>4153</v>
      </c>
      <c r="H155" s="36" t="s">
        <v>4158</v>
      </c>
      <c r="I155" s="36" t="s">
        <v>824</v>
      </c>
    </row>
    <row r="156" spans="1:9" x14ac:dyDescent="0.3">
      <c r="A156">
        <v>156</v>
      </c>
      <c r="B156" s="36" t="s">
        <v>4145</v>
      </c>
      <c r="C156" s="36" t="s">
        <v>4146</v>
      </c>
      <c r="D156" s="36" t="s">
        <v>3001</v>
      </c>
      <c r="E156" s="36" t="s">
        <v>4147</v>
      </c>
      <c r="F156" s="37" t="s">
        <v>4157</v>
      </c>
      <c r="G156" s="36" t="s">
        <v>4153</v>
      </c>
      <c r="H156" s="36" t="s">
        <v>4158</v>
      </c>
      <c r="I156" s="36" t="s">
        <v>824</v>
      </c>
    </row>
    <row r="157" spans="1:9" x14ac:dyDescent="0.3">
      <c r="A157">
        <v>157</v>
      </c>
      <c r="B157" s="36" t="s">
        <v>4145</v>
      </c>
      <c r="C157" s="36" t="s">
        <v>4154</v>
      </c>
      <c r="D157" s="36" t="s">
        <v>2999</v>
      </c>
      <c r="E157" s="36" t="s">
        <v>4151</v>
      </c>
      <c r="F157" s="37" t="s">
        <v>4155</v>
      </c>
      <c r="G157" s="36" t="s">
        <v>4149</v>
      </c>
      <c r="H157" s="36" t="s">
        <v>4156</v>
      </c>
      <c r="I157" s="36" t="s">
        <v>824</v>
      </c>
    </row>
    <row r="158" spans="1:9" x14ac:dyDescent="0.3">
      <c r="A158">
        <v>158</v>
      </c>
      <c r="B158" s="36" t="s">
        <v>4145</v>
      </c>
      <c r="C158" s="36" t="s">
        <v>4154</v>
      </c>
      <c r="D158" s="36" t="s">
        <v>2999</v>
      </c>
      <c r="E158" s="36" t="s">
        <v>4151</v>
      </c>
      <c r="F158" s="37" t="s">
        <v>4148</v>
      </c>
      <c r="G158" s="36" t="s">
        <v>4149</v>
      </c>
      <c r="H158" s="36" t="s">
        <v>4158</v>
      </c>
      <c r="I158" s="36" t="s">
        <v>824</v>
      </c>
    </row>
    <row r="159" spans="1:9" x14ac:dyDescent="0.3">
      <c r="A159">
        <v>159</v>
      </c>
      <c r="B159" s="36" t="s">
        <v>4145</v>
      </c>
      <c r="C159" s="36" t="s">
        <v>4154</v>
      </c>
      <c r="D159" s="36" t="s">
        <v>2999</v>
      </c>
      <c r="E159" s="36" t="s">
        <v>4151</v>
      </c>
      <c r="F159" s="37" t="s">
        <v>4157</v>
      </c>
      <c r="G159" s="36" t="s">
        <v>4149</v>
      </c>
      <c r="H159" s="36" t="s">
        <v>4156</v>
      </c>
      <c r="I159" s="36" t="s">
        <v>824</v>
      </c>
    </row>
    <row r="160" spans="1:9" x14ac:dyDescent="0.3">
      <c r="A160">
        <v>160</v>
      </c>
      <c r="B160" s="36" t="s">
        <v>4145</v>
      </c>
      <c r="C160" s="36" t="s">
        <v>4146</v>
      </c>
      <c r="D160" s="36" t="s">
        <v>2994</v>
      </c>
      <c r="E160" s="36" t="s">
        <v>4147</v>
      </c>
      <c r="F160" s="37" t="s">
        <v>4159</v>
      </c>
      <c r="G160" s="36" t="s">
        <v>4153</v>
      </c>
      <c r="H160" s="36" t="s">
        <v>4158</v>
      </c>
      <c r="I160" s="36" t="s">
        <v>4199</v>
      </c>
    </row>
    <row r="161" spans="1:9" x14ac:dyDescent="0.3">
      <c r="A161">
        <v>161</v>
      </c>
      <c r="B161" s="36" t="s">
        <v>4145</v>
      </c>
      <c r="C161" s="36" t="s">
        <v>4146</v>
      </c>
      <c r="D161" s="36" t="s">
        <v>3001</v>
      </c>
      <c r="E161" s="36" t="s">
        <v>4147</v>
      </c>
      <c r="F161" s="37" t="s">
        <v>4155</v>
      </c>
      <c r="G161" s="36" t="s">
        <v>4153</v>
      </c>
      <c r="H161" s="36" t="s">
        <v>4158</v>
      </c>
      <c r="I161" s="36" t="s">
        <v>4199</v>
      </c>
    </row>
    <row r="162" spans="1:9" x14ac:dyDescent="0.3">
      <c r="A162">
        <v>162</v>
      </c>
      <c r="B162" s="36" t="s">
        <v>4145</v>
      </c>
      <c r="C162" s="36" t="s">
        <v>4146</v>
      </c>
      <c r="D162" s="36" t="s">
        <v>3001</v>
      </c>
      <c r="E162" s="36" t="s">
        <v>4147</v>
      </c>
      <c r="F162" s="37" t="s">
        <v>4157</v>
      </c>
      <c r="G162" s="36" t="s">
        <v>4153</v>
      </c>
      <c r="H162" s="36" t="s">
        <v>4158</v>
      </c>
      <c r="I162" s="36" t="s">
        <v>824</v>
      </c>
    </row>
    <row r="163" spans="1:9" x14ac:dyDescent="0.3">
      <c r="A163">
        <v>163</v>
      </c>
      <c r="B163" s="36" t="s">
        <v>4145</v>
      </c>
      <c r="C163" s="36" t="s">
        <v>4154</v>
      </c>
      <c r="D163" s="36" t="s">
        <v>2999</v>
      </c>
      <c r="E163" s="36" t="s">
        <v>4151</v>
      </c>
      <c r="F163" s="37" t="s">
        <v>4155</v>
      </c>
      <c r="G163" s="36" t="s">
        <v>4153</v>
      </c>
      <c r="H163" s="36" t="s">
        <v>4158</v>
      </c>
      <c r="I163" s="36" t="s">
        <v>824</v>
      </c>
    </row>
    <row r="164" spans="1:9" x14ac:dyDescent="0.3">
      <c r="A164">
        <v>164</v>
      </c>
      <c r="B164" s="36" t="s">
        <v>4145</v>
      </c>
      <c r="C164" s="36" t="s">
        <v>4146</v>
      </c>
      <c r="D164" s="36" t="s">
        <v>3001</v>
      </c>
      <c r="E164" s="36" t="s">
        <v>4147</v>
      </c>
      <c r="F164" s="37" t="s">
        <v>4155</v>
      </c>
      <c r="G164" s="36" t="s">
        <v>4153</v>
      </c>
      <c r="H164" s="36" t="s">
        <v>4158</v>
      </c>
      <c r="I164" s="36" t="s">
        <v>824</v>
      </c>
    </row>
    <row r="165" spans="1:9" x14ac:dyDescent="0.3">
      <c r="A165">
        <v>165</v>
      </c>
      <c r="B165" s="36" t="s">
        <v>4145</v>
      </c>
      <c r="C165" s="36" t="s">
        <v>4146</v>
      </c>
      <c r="D165" s="36" t="s">
        <v>2999</v>
      </c>
      <c r="E165" s="36" t="s">
        <v>4151</v>
      </c>
      <c r="F165" s="37" t="s">
        <v>4155</v>
      </c>
      <c r="G165" s="36" t="s">
        <v>4149</v>
      </c>
      <c r="H165" s="36" t="s">
        <v>4156</v>
      </c>
      <c r="I165" s="36" t="s">
        <v>4199</v>
      </c>
    </row>
    <row r="166" spans="1:9" x14ac:dyDescent="0.3">
      <c r="A166">
        <v>166</v>
      </c>
      <c r="B166" s="36" t="s">
        <v>4145</v>
      </c>
      <c r="C166" s="36" t="s">
        <v>4146</v>
      </c>
      <c r="D166" s="36" t="s">
        <v>2999</v>
      </c>
      <c r="E166" s="36" t="s">
        <v>4151</v>
      </c>
      <c r="F166" s="37" t="s">
        <v>4155</v>
      </c>
      <c r="G166" s="36" t="s">
        <v>4153</v>
      </c>
      <c r="H166" s="36" t="s">
        <v>4158</v>
      </c>
      <c r="I166" s="36" t="s">
        <v>824</v>
      </c>
    </row>
    <row r="167" spans="1:9" x14ac:dyDescent="0.3">
      <c r="A167">
        <v>167</v>
      </c>
      <c r="B167" s="36" t="s">
        <v>4145</v>
      </c>
      <c r="C167" s="36" t="s">
        <v>4154</v>
      </c>
      <c r="D167" s="36" t="s">
        <v>2999</v>
      </c>
      <c r="E167" s="36" t="s">
        <v>4151</v>
      </c>
      <c r="F167" s="37" t="s">
        <v>4148</v>
      </c>
      <c r="G167" s="36" t="s">
        <v>4149</v>
      </c>
      <c r="H167" s="36" t="s">
        <v>4156</v>
      </c>
      <c r="I167" s="36" t="s">
        <v>4199</v>
      </c>
    </row>
    <row r="168" spans="1:9" x14ac:dyDescent="0.3">
      <c r="A168">
        <v>168</v>
      </c>
      <c r="B168" s="36" t="s">
        <v>4145</v>
      </c>
      <c r="C168" s="36" t="s">
        <v>4146</v>
      </c>
      <c r="D168" s="36" t="s">
        <v>3001</v>
      </c>
      <c r="E168" s="36" t="s">
        <v>4147</v>
      </c>
      <c r="F168" s="37" t="s">
        <v>4155</v>
      </c>
      <c r="G168" s="36" t="s">
        <v>4153</v>
      </c>
      <c r="H168" s="36" t="s">
        <v>4158</v>
      </c>
      <c r="I168" s="36" t="s">
        <v>824</v>
      </c>
    </row>
    <row r="169" spans="1:9" x14ac:dyDescent="0.3">
      <c r="A169">
        <v>169</v>
      </c>
      <c r="B169" s="36" t="s">
        <v>4145</v>
      </c>
      <c r="C169" s="36" t="s">
        <v>4146</v>
      </c>
      <c r="D169" s="36" t="s">
        <v>2994</v>
      </c>
      <c r="E169" s="36" t="s">
        <v>4147</v>
      </c>
      <c r="F169" s="37" t="s">
        <v>4155</v>
      </c>
      <c r="G169" s="36" t="s">
        <v>4149</v>
      </c>
      <c r="H169" s="36" t="s">
        <v>4158</v>
      </c>
      <c r="I169" s="36" t="s">
        <v>824</v>
      </c>
    </row>
    <row r="170" spans="1:9" x14ac:dyDescent="0.3">
      <c r="A170">
        <v>170</v>
      </c>
      <c r="B170" s="36" t="s">
        <v>4145</v>
      </c>
      <c r="C170" s="36" t="s">
        <v>4154</v>
      </c>
      <c r="D170" s="36" t="s">
        <v>2994</v>
      </c>
      <c r="E170" s="36" t="s">
        <v>4147</v>
      </c>
      <c r="F170" s="37" t="s">
        <v>4155</v>
      </c>
      <c r="G170" s="36" t="s">
        <v>4149</v>
      </c>
      <c r="H170" s="36" t="s">
        <v>4156</v>
      </c>
      <c r="I170" s="36" t="s">
        <v>4199</v>
      </c>
    </row>
    <row r="171" spans="1:9" x14ac:dyDescent="0.3">
      <c r="A171">
        <v>171</v>
      </c>
      <c r="B171" s="36" t="s">
        <v>4145</v>
      </c>
      <c r="C171" s="36" t="s">
        <v>4146</v>
      </c>
      <c r="D171" s="36" t="s">
        <v>2999</v>
      </c>
      <c r="E171" s="36" t="s">
        <v>4151</v>
      </c>
      <c r="F171" s="37" t="s">
        <v>4155</v>
      </c>
      <c r="G171" s="36" t="s">
        <v>4149</v>
      </c>
      <c r="H171" s="36" t="s">
        <v>4156</v>
      </c>
      <c r="I171" s="36" t="s">
        <v>824</v>
      </c>
    </row>
    <row r="172" spans="1:9" x14ac:dyDescent="0.3">
      <c r="A172">
        <v>172</v>
      </c>
      <c r="B172" s="36" t="s">
        <v>4145</v>
      </c>
      <c r="C172" s="36" t="s">
        <v>4154</v>
      </c>
      <c r="D172" s="36" t="s">
        <v>2999</v>
      </c>
      <c r="E172" s="36" t="s">
        <v>4151</v>
      </c>
      <c r="F172" s="37" t="s">
        <v>4155</v>
      </c>
      <c r="G172" s="36" t="s">
        <v>4149</v>
      </c>
      <c r="H172" s="36" t="s">
        <v>4156</v>
      </c>
      <c r="I172" s="36" t="s">
        <v>824</v>
      </c>
    </row>
    <row r="173" spans="1:9" x14ac:dyDescent="0.3">
      <c r="A173">
        <v>173</v>
      </c>
      <c r="B173" s="36" t="s">
        <v>4145</v>
      </c>
      <c r="C173" s="36" t="s">
        <v>4154</v>
      </c>
      <c r="D173" s="36" t="s">
        <v>2999</v>
      </c>
      <c r="E173" s="36" t="s">
        <v>4151</v>
      </c>
      <c r="F173" s="37" t="s">
        <v>4155</v>
      </c>
      <c r="G173" s="36" t="s">
        <v>4149</v>
      </c>
      <c r="H173" s="36" t="s">
        <v>4156</v>
      </c>
      <c r="I173" s="36" t="s">
        <v>824</v>
      </c>
    </row>
    <row r="174" spans="1:9" x14ac:dyDescent="0.3">
      <c r="A174">
        <v>174</v>
      </c>
      <c r="B174" s="36" t="s">
        <v>4145</v>
      </c>
      <c r="C174" s="36" t="s">
        <v>4154</v>
      </c>
      <c r="D174" s="36" t="s">
        <v>2999</v>
      </c>
      <c r="E174" s="36" t="s">
        <v>4151</v>
      </c>
      <c r="F174" s="37" t="s">
        <v>4155</v>
      </c>
      <c r="G174" s="36" t="s">
        <v>4149</v>
      </c>
      <c r="H174" s="36" t="s">
        <v>4150</v>
      </c>
      <c r="I174" s="36" t="s">
        <v>4199</v>
      </c>
    </row>
    <row r="175" spans="1:9" x14ac:dyDescent="0.3">
      <c r="A175">
        <v>175</v>
      </c>
      <c r="B175" s="36" t="s">
        <v>4145</v>
      </c>
      <c r="C175" s="36" t="s">
        <v>4154</v>
      </c>
      <c r="D175" s="36" t="s">
        <v>2999</v>
      </c>
      <c r="E175" s="36" t="s">
        <v>4151</v>
      </c>
      <c r="F175" s="37" t="s">
        <v>4157</v>
      </c>
      <c r="G175" s="36" t="s">
        <v>4149</v>
      </c>
      <c r="H175" s="36" t="s">
        <v>4156</v>
      </c>
      <c r="I175" s="36" t="s">
        <v>4199</v>
      </c>
    </row>
    <row r="176" spans="1:9" x14ac:dyDescent="0.3">
      <c r="A176">
        <v>176</v>
      </c>
      <c r="B176" s="36" t="s">
        <v>4145</v>
      </c>
      <c r="C176" s="36" t="s">
        <v>4154</v>
      </c>
      <c r="D176" s="36" t="s">
        <v>2999</v>
      </c>
      <c r="E176" s="36" t="s">
        <v>4151</v>
      </c>
      <c r="F176" s="37" t="s">
        <v>4155</v>
      </c>
      <c r="G176" s="36" t="s">
        <v>4153</v>
      </c>
      <c r="H176" s="36" t="s">
        <v>4158</v>
      </c>
      <c r="I176" s="36" t="s">
        <v>824</v>
      </c>
    </row>
    <row r="177" spans="1:9" x14ac:dyDescent="0.3">
      <c r="A177">
        <v>177</v>
      </c>
      <c r="B177" s="36" t="s">
        <v>4145</v>
      </c>
      <c r="C177" s="36" t="s">
        <v>4146</v>
      </c>
      <c r="D177" s="36" t="s">
        <v>3001</v>
      </c>
      <c r="E177" s="36" t="s">
        <v>4147</v>
      </c>
      <c r="F177" s="37" t="s">
        <v>4148</v>
      </c>
      <c r="G177" s="36" t="s">
        <v>4153</v>
      </c>
      <c r="H177" s="36" t="s">
        <v>4158</v>
      </c>
      <c r="I177" s="36" t="s">
        <v>824</v>
      </c>
    </row>
    <row r="178" spans="1:9" x14ac:dyDescent="0.3">
      <c r="A178">
        <v>178</v>
      </c>
      <c r="B178" s="36" t="s">
        <v>4145</v>
      </c>
      <c r="C178" s="36" t="s">
        <v>4146</v>
      </c>
      <c r="D178" s="36" t="s">
        <v>2999</v>
      </c>
      <c r="E178" s="36" t="s">
        <v>4151</v>
      </c>
      <c r="F178" s="37" t="s">
        <v>4155</v>
      </c>
      <c r="G178" s="36" t="s">
        <v>4153</v>
      </c>
      <c r="H178" s="36" t="s">
        <v>4158</v>
      </c>
      <c r="I178" s="36" t="s">
        <v>824</v>
      </c>
    </row>
    <row r="179" spans="1:9" x14ac:dyDescent="0.3">
      <c r="A179">
        <v>179</v>
      </c>
      <c r="B179" s="36" t="s">
        <v>4145</v>
      </c>
      <c r="C179" s="36" t="s">
        <v>4146</v>
      </c>
      <c r="D179" s="36" t="s">
        <v>3001</v>
      </c>
      <c r="E179" s="36" t="s">
        <v>4147</v>
      </c>
      <c r="F179" s="37" t="s">
        <v>4155</v>
      </c>
      <c r="G179" s="36" t="s">
        <v>4153</v>
      </c>
      <c r="H179" s="36" t="s">
        <v>4158</v>
      </c>
      <c r="I179" s="36" t="s">
        <v>824</v>
      </c>
    </row>
    <row r="180" spans="1:9" x14ac:dyDescent="0.3">
      <c r="A180">
        <v>180</v>
      </c>
      <c r="B180" s="36" t="s">
        <v>4145</v>
      </c>
      <c r="C180" s="36" t="s">
        <v>4154</v>
      </c>
      <c r="D180" s="36" t="s">
        <v>2999</v>
      </c>
      <c r="E180" s="36" t="s">
        <v>4151</v>
      </c>
      <c r="F180" s="37" t="s">
        <v>4148</v>
      </c>
      <c r="G180" s="36" t="s">
        <v>4149</v>
      </c>
      <c r="H180" s="36" t="s">
        <v>4156</v>
      </c>
      <c r="I180" s="36" t="s">
        <v>824</v>
      </c>
    </row>
    <row r="181" spans="1:9" x14ac:dyDescent="0.3">
      <c r="A181">
        <v>181</v>
      </c>
      <c r="B181" s="36" t="s">
        <v>4145</v>
      </c>
      <c r="C181" s="36" t="s">
        <v>4146</v>
      </c>
      <c r="D181" s="36" t="s">
        <v>2994</v>
      </c>
      <c r="E181" s="36" t="s">
        <v>4147</v>
      </c>
      <c r="F181" s="37" t="s">
        <v>4155</v>
      </c>
      <c r="G181" s="36" t="s">
        <v>4149</v>
      </c>
      <c r="H181" s="36" t="s">
        <v>4150</v>
      </c>
      <c r="I181" s="36" t="s">
        <v>824</v>
      </c>
    </row>
    <row r="182" spans="1:9" x14ac:dyDescent="0.3">
      <c r="A182">
        <v>182</v>
      </c>
      <c r="B182" s="36" t="s">
        <v>4145</v>
      </c>
      <c r="C182" s="36" t="s">
        <v>4146</v>
      </c>
      <c r="D182" s="36" t="s">
        <v>3040</v>
      </c>
      <c r="E182" s="36" t="s">
        <v>4147</v>
      </c>
      <c r="F182" s="37" t="s">
        <v>4155</v>
      </c>
      <c r="G182" s="36" t="s">
        <v>4149</v>
      </c>
      <c r="H182" s="36" t="s">
        <v>4156</v>
      </c>
      <c r="I182" s="36" t="s">
        <v>824</v>
      </c>
    </row>
    <row r="183" spans="1:9" x14ac:dyDescent="0.3">
      <c r="A183">
        <v>183</v>
      </c>
      <c r="B183" s="36" t="s">
        <v>4145</v>
      </c>
      <c r="C183" s="36" t="s">
        <v>4146</v>
      </c>
      <c r="D183" s="36" t="s">
        <v>2994</v>
      </c>
      <c r="E183" s="36" t="s">
        <v>4147</v>
      </c>
      <c r="F183" s="37" t="s">
        <v>4148</v>
      </c>
      <c r="G183" s="36" t="s">
        <v>4149</v>
      </c>
      <c r="H183" s="36" t="s">
        <v>4150</v>
      </c>
      <c r="I183" s="36" t="s">
        <v>4199</v>
      </c>
    </row>
    <row r="184" spans="1:9" x14ac:dyDescent="0.3">
      <c r="A184">
        <v>184</v>
      </c>
      <c r="B184" s="36" t="s">
        <v>4145</v>
      </c>
      <c r="C184" s="36" t="s">
        <v>4146</v>
      </c>
      <c r="D184" s="36" t="s">
        <v>2999</v>
      </c>
      <c r="E184" s="36" t="s">
        <v>4151</v>
      </c>
      <c r="F184" s="37" t="s">
        <v>4155</v>
      </c>
      <c r="G184" s="36" t="s">
        <v>4149</v>
      </c>
      <c r="H184" s="36" t="s">
        <v>4150</v>
      </c>
      <c r="I184" s="36" t="s">
        <v>4199</v>
      </c>
    </row>
    <row r="185" spans="1:9" x14ac:dyDescent="0.3">
      <c r="A185">
        <v>185</v>
      </c>
      <c r="B185" s="36" t="s">
        <v>4145</v>
      </c>
      <c r="C185" s="36" t="s">
        <v>4154</v>
      </c>
      <c r="D185" s="36" t="s">
        <v>2999</v>
      </c>
      <c r="E185" s="36" t="s">
        <v>4151</v>
      </c>
      <c r="F185" s="37" t="s">
        <v>4148</v>
      </c>
      <c r="G185" s="36" t="s">
        <v>4149</v>
      </c>
      <c r="H185" s="36" t="s">
        <v>4156</v>
      </c>
      <c r="I185" s="36" t="s">
        <v>4199</v>
      </c>
    </row>
    <row r="186" spans="1:9" x14ac:dyDescent="0.3">
      <c r="A186">
        <v>186</v>
      </c>
      <c r="B186" s="36" t="s">
        <v>4145</v>
      </c>
      <c r="C186" s="36" t="s">
        <v>4154</v>
      </c>
      <c r="D186" s="36" t="s">
        <v>2999</v>
      </c>
      <c r="E186" s="36" t="s">
        <v>4151</v>
      </c>
      <c r="F186" s="37" t="s">
        <v>4155</v>
      </c>
      <c r="G186" s="36" t="s">
        <v>4149</v>
      </c>
      <c r="H186" s="36" t="s">
        <v>4156</v>
      </c>
      <c r="I186" s="36" t="s">
        <v>824</v>
      </c>
    </row>
    <row r="187" spans="1:9" x14ac:dyDescent="0.3">
      <c r="A187">
        <v>187</v>
      </c>
      <c r="B187" s="36" t="s">
        <v>4145</v>
      </c>
      <c r="C187" s="36" t="s">
        <v>4146</v>
      </c>
      <c r="D187" s="36" t="s">
        <v>3001</v>
      </c>
      <c r="E187" s="36" t="s">
        <v>4147</v>
      </c>
      <c r="F187" s="37" t="s">
        <v>4157</v>
      </c>
      <c r="G187" s="36" t="s">
        <v>4149</v>
      </c>
      <c r="H187" s="36" t="s">
        <v>4156</v>
      </c>
      <c r="I187" s="36" t="s">
        <v>4199</v>
      </c>
    </row>
    <row r="188" spans="1:9" x14ac:dyDescent="0.3">
      <c r="A188">
        <v>188</v>
      </c>
      <c r="B188" s="36" t="s">
        <v>4145</v>
      </c>
      <c r="C188" s="36" t="s">
        <v>4146</v>
      </c>
      <c r="D188" s="36" t="s">
        <v>2994</v>
      </c>
      <c r="E188" s="36" t="s">
        <v>4147</v>
      </c>
      <c r="F188" s="37" t="s">
        <v>4159</v>
      </c>
      <c r="G188" s="36" t="s">
        <v>4153</v>
      </c>
      <c r="H188" s="36" t="s">
        <v>4156</v>
      </c>
      <c r="I188" s="36" t="s">
        <v>824</v>
      </c>
    </row>
    <row r="189" spans="1:9" x14ac:dyDescent="0.3">
      <c r="A189">
        <v>189</v>
      </c>
      <c r="B189" s="36" t="s">
        <v>4145</v>
      </c>
      <c r="C189" s="36" t="s">
        <v>4146</v>
      </c>
      <c r="D189" s="36" t="s">
        <v>3001</v>
      </c>
      <c r="E189" s="36" t="s">
        <v>4147</v>
      </c>
      <c r="F189" s="37" t="s">
        <v>4157</v>
      </c>
      <c r="G189" s="36" t="s">
        <v>4153</v>
      </c>
      <c r="H189" s="36" t="s">
        <v>4156</v>
      </c>
      <c r="I189" s="36" t="s">
        <v>824</v>
      </c>
    </row>
    <row r="190" spans="1:9" x14ac:dyDescent="0.3">
      <c r="A190">
        <v>190</v>
      </c>
      <c r="B190" s="36" t="s">
        <v>4145</v>
      </c>
      <c r="C190" s="36" t="s">
        <v>4154</v>
      </c>
      <c r="D190" s="36" t="s">
        <v>2999</v>
      </c>
      <c r="E190" s="36" t="s">
        <v>4151</v>
      </c>
      <c r="F190" s="37" t="s">
        <v>4148</v>
      </c>
      <c r="G190" s="36" t="s">
        <v>4149</v>
      </c>
      <c r="H190" s="36" t="s">
        <v>4156</v>
      </c>
      <c r="I190" s="36" t="s">
        <v>824</v>
      </c>
    </row>
    <row r="191" spans="1:9" x14ac:dyDescent="0.3">
      <c r="A191">
        <v>191</v>
      </c>
      <c r="B191" s="36" t="s">
        <v>4145</v>
      </c>
      <c r="C191" s="36" t="s">
        <v>4146</v>
      </c>
      <c r="D191" s="36" t="s">
        <v>2994</v>
      </c>
      <c r="E191" s="36" t="s">
        <v>4147</v>
      </c>
      <c r="F191" s="37" t="s">
        <v>4148</v>
      </c>
      <c r="G191" s="36" t="s">
        <v>4149</v>
      </c>
      <c r="H191" s="36" t="s">
        <v>4158</v>
      </c>
      <c r="I191" s="36" t="s">
        <v>824</v>
      </c>
    </row>
    <row r="192" spans="1:9" x14ac:dyDescent="0.3">
      <c r="A192">
        <v>192</v>
      </c>
      <c r="B192" s="36" t="s">
        <v>4145</v>
      </c>
      <c r="C192" s="36" t="s">
        <v>4154</v>
      </c>
      <c r="D192" s="36" t="s">
        <v>2999</v>
      </c>
      <c r="E192" s="36" t="s">
        <v>4151</v>
      </c>
      <c r="F192" s="37" t="s">
        <v>4148</v>
      </c>
      <c r="G192" s="36" t="s">
        <v>4149</v>
      </c>
      <c r="H192" s="36" t="s">
        <v>4156</v>
      </c>
      <c r="I192" s="36" t="s">
        <v>824</v>
      </c>
    </row>
    <row r="193" spans="1:9" x14ac:dyDescent="0.3">
      <c r="A193">
        <v>193</v>
      </c>
      <c r="B193" s="36" t="s">
        <v>4145</v>
      </c>
      <c r="C193" s="36" t="s">
        <v>4146</v>
      </c>
      <c r="D193" s="36" t="s">
        <v>2994</v>
      </c>
      <c r="E193" s="36" t="s">
        <v>4147</v>
      </c>
      <c r="F193" s="37" t="s">
        <v>4157</v>
      </c>
      <c r="G193" s="36" t="s">
        <v>4149</v>
      </c>
      <c r="H193" s="36" t="s">
        <v>4150</v>
      </c>
      <c r="I193" s="36" t="s">
        <v>4199</v>
      </c>
    </row>
    <row r="194" spans="1:9" x14ac:dyDescent="0.3">
      <c r="A194">
        <v>194</v>
      </c>
      <c r="B194" s="36" t="s">
        <v>4145</v>
      </c>
      <c r="C194" s="36" t="s">
        <v>4146</v>
      </c>
      <c r="D194" s="36" t="s">
        <v>2994</v>
      </c>
      <c r="E194" s="36" t="s">
        <v>4147</v>
      </c>
      <c r="F194" s="37" t="s">
        <v>4159</v>
      </c>
      <c r="G194" s="36" t="s">
        <v>4153</v>
      </c>
      <c r="H194" s="36" t="s">
        <v>4150</v>
      </c>
      <c r="I194" s="36" t="s">
        <v>824</v>
      </c>
    </row>
    <row r="195" spans="1:9" x14ac:dyDescent="0.3">
      <c r="A195">
        <v>195</v>
      </c>
      <c r="B195" s="36" t="s">
        <v>4145</v>
      </c>
      <c r="C195" s="36" t="s">
        <v>4154</v>
      </c>
      <c r="D195" s="36" t="s">
        <v>2999</v>
      </c>
      <c r="E195" s="36" t="s">
        <v>4151</v>
      </c>
      <c r="F195" s="37" t="s">
        <v>4148</v>
      </c>
      <c r="G195" s="36" t="s">
        <v>4149</v>
      </c>
      <c r="H195" s="36" t="s">
        <v>4156</v>
      </c>
      <c r="I195" s="36" t="s">
        <v>824</v>
      </c>
    </row>
    <row r="196" spans="1:9" x14ac:dyDescent="0.3">
      <c r="A196">
        <v>196</v>
      </c>
      <c r="B196" s="36" t="s">
        <v>4145</v>
      </c>
      <c r="C196" s="36" t="s">
        <v>4146</v>
      </c>
      <c r="D196" s="36" t="s">
        <v>2994</v>
      </c>
      <c r="E196" s="36" t="s">
        <v>4147</v>
      </c>
      <c r="F196" s="37" t="s">
        <v>4159</v>
      </c>
      <c r="G196" s="36" t="s">
        <v>4149</v>
      </c>
      <c r="H196" s="36" t="s">
        <v>4158</v>
      </c>
      <c r="I196" s="36" t="s">
        <v>824</v>
      </c>
    </row>
    <row r="197" spans="1:9" x14ac:dyDescent="0.3">
      <c r="A197">
        <v>197</v>
      </c>
      <c r="B197" s="36" t="s">
        <v>4145</v>
      </c>
      <c r="C197" s="36" t="s">
        <v>4146</v>
      </c>
      <c r="D197" s="36" t="s">
        <v>2999</v>
      </c>
      <c r="E197" s="36" t="s">
        <v>4151</v>
      </c>
      <c r="F197" s="37" t="s">
        <v>4148</v>
      </c>
      <c r="G197" s="36" t="s">
        <v>4149</v>
      </c>
      <c r="H197" s="36" t="s">
        <v>4156</v>
      </c>
      <c r="I197" s="36" t="s">
        <v>4199</v>
      </c>
    </row>
    <row r="198" spans="1:9" x14ac:dyDescent="0.3">
      <c r="A198">
        <v>198</v>
      </c>
      <c r="B198" s="36" t="s">
        <v>4145</v>
      </c>
      <c r="C198" s="36" t="s">
        <v>4154</v>
      </c>
      <c r="D198" s="36" t="s">
        <v>2999</v>
      </c>
      <c r="E198" s="36" t="s">
        <v>4151</v>
      </c>
      <c r="F198" s="37" t="s">
        <v>4148</v>
      </c>
      <c r="G198" s="36" t="s">
        <v>4153</v>
      </c>
      <c r="H198" s="36" t="s">
        <v>4158</v>
      </c>
      <c r="I198" s="36" t="s">
        <v>824</v>
      </c>
    </row>
    <row r="199" spans="1:9" x14ac:dyDescent="0.3">
      <c r="A199">
        <v>199</v>
      </c>
      <c r="B199" s="36" t="s">
        <v>4145</v>
      </c>
      <c r="C199" s="36" t="s">
        <v>4146</v>
      </c>
      <c r="D199" s="36" t="s">
        <v>3001</v>
      </c>
      <c r="E199" s="36" t="s">
        <v>4147</v>
      </c>
      <c r="F199" s="37" t="s">
        <v>4159</v>
      </c>
      <c r="G199" s="36" t="s">
        <v>4153</v>
      </c>
      <c r="H199" s="36" t="s">
        <v>4158</v>
      </c>
      <c r="I199" s="36" t="s">
        <v>824</v>
      </c>
    </row>
    <row r="200" spans="1:9" x14ac:dyDescent="0.3">
      <c r="A200">
        <v>200</v>
      </c>
      <c r="B200" s="36" t="s">
        <v>4145</v>
      </c>
      <c r="C200" s="36" t="s">
        <v>4146</v>
      </c>
      <c r="D200" s="36" t="s">
        <v>3202</v>
      </c>
      <c r="E200" s="36" t="s">
        <v>4147</v>
      </c>
      <c r="F200" s="37" t="s">
        <v>4148</v>
      </c>
      <c r="G200" s="36" t="s">
        <v>4149</v>
      </c>
      <c r="H200" s="36" t="s">
        <v>4156</v>
      </c>
      <c r="I200" s="36" t="s">
        <v>4199</v>
      </c>
    </row>
    <row r="201" spans="1:9" x14ac:dyDescent="0.3">
      <c r="A201">
        <v>201</v>
      </c>
      <c r="B201" s="36" t="s">
        <v>4145</v>
      </c>
      <c r="C201" s="36" t="s">
        <v>4154</v>
      </c>
      <c r="D201" s="36" t="s">
        <v>2999</v>
      </c>
      <c r="E201" s="36" t="s">
        <v>4151</v>
      </c>
      <c r="F201" s="37" t="s">
        <v>4155</v>
      </c>
      <c r="G201" s="36" t="s">
        <v>4149</v>
      </c>
      <c r="H201" s="36" t="s">
        <v>4158</v>
      </c>
      <c r="I201" s="36" t="s">
        <v>4199</v>
      </c>
    </row>
    <row r="202" spans="1:9" x14ac:dyDescent="0.3">
      <c r="A202">
        <v>202</v>
      </c>
      <c r="B202" s="36" t="s">
        <v>4145</v>
      </c>
      <c r="C202" s="36" t="s">
        <v>4154</v>
      </c>
      <c r="D202" s="36" t="s">
        <v>2999</v>
      </c>
      <c r="E202" s="36" t="s">
        <v>4151</v>
      </c>
      <c r="F202" s="37" t="s">
        <v>4157</v>
      </c>
      <c r="G202" s="36" t="s">
        <v>4149</v>
      </c>
      <c r="H202" s="36" t="s">
        <v>4158</v>
      </c>
      <c r="I202" s="36" t="s">
        <v>824</v>
      </c>
    </row>
    <row r="203" spans="1:9" x14ac:dyDescent="0.3">
      <c r="A203">
        <v>203</v>
      </c>
      <c r="B203" s="36" t="s">
        <v>4145</v>
      </c>
      <c r="C203" s="36" t="s">
        <v>4146</v>
      </c>
      <c r="D203" s="36" t="s">
        <v>2999</v>
      </c>
      <c r="E203" s="36" t="s">
        <v>4151</v>
      </c>
      <c r="F203" s="37" t="s">
        <v>4155</v>
      </c>
      <c r="G203" s="36" t="s">
        <v>4149</v>
      </c>
      <c r="H203" s="36" t="s">
        <v>4156</v>
      </c>
      <c r="I203" s="36" t="s">
        <v>824</v>
      </c>
    </row>
    <row r="204" spans="1:9" x14ac:dyDescent="0.3">
      <c r="A204">
        <v>204</v>
      </c>
      <c r="B204" s="36" t="s">
        <v>4145</v>
      </c>
      <c r="C204" s="36" t="s">
        <v>4154</v>
      </c>
      <c r="D204" s="36" t="s">
        <v>2999</v>
      </c>
      <c r="E204" s="36" t="s">
        <v>4151</v>
      </c>
      <c r="F204" s="37" t="s">
        <v>4148</v>
      </c>
      <c r="G204" s="36" t="s">
        <v>4153</v>
      </c>
      <c r="H204" s="36" t="s">
        <v>4158</v>
      </c>
      <c r="I204" s="36" t="s">
        <v>4199</v>
      </c>
    </row>
    <row r="205" spans="1:9" x14ac:dyDescent="0.3">
      <c r="A205">
        <v>205</v>
      </c>
      <c r="B205" s="36" t="s">
        <v>4145</v>
      </c>
      <c r="C205" s="36" t="s">
        <v>4146</v>
      </c>
      <c r="D205" s="36" t="s">
        <v>3001</v>
      </c>
      <c r="E205" s="36" t="s">
        <v>4147</v>
      </c>
      <c r="F205" s="37" t="s">
        <v>4148</v>
      </c>
      <c r="G205" s="36" t="s">
        <v>4153</v>
      </c>
      <c r="H205" s="36" t="s">
        <v>4158</v>
      </c>
      <c r="I205" s="36" t="s">
        <v>4199</v>
      </c>
    </row>
    <row r="206" spans="1:9" x14ac:dyDescent="0.3">
      <c r="A206">
        <v>206</v>
      </c>
      <c r="B206" s="36" t="s">
        <v>4145</v>
      </c>
      <c r="C206" s="36" t="s">
        <v>4154</v>
      </c>
      <c r="D206" s="36" t="s">
        <v>2999</v>
      </c>
      <c r="E206" s="36" t="s">
        <v>4151</v>
      </c>
      <c r="F206" s="37" t="s">
        <v>4157</v>
      </c>
      <c r="G206" s="36" t="s">
        <v>4149</v>
      </c>
      <c r="H206" s="36" t="s">
        <v>4156</v>
      </c>
      <c r="I206" s="36" t="s">
        <v>824</v>
      </c>
    </row>
    <row r="207" spans="1:9" x14ac:dyDescent="0.3">
      <c r="A207">
        <v>207</v>
      </c>
      <c r="B207" s="36" t="s">
        <v>4145</v>
      </c>
      <c r="C207" s="36" t="s">
        <v>4154</v>
      </c>
      <c r="D207" s="36" t="s">
        <v>3040</v>
      </c>
      <c r="E207" s="36" t="s">
        <v>4151</v>
      </c>
      <c r="F207" s="37" t="s">
        <v>4155</v>
      </c>
      <c r="G207" s="36" t="s">
        <v>4153</v>
      </c>
      <c r="H207" s="36" t="s">
        <v>4158</v>
      </c>
      <c r="I207" s="36" t="s">
        <v>4160</v>
      </c>
    </row>
    <row r="208" spans="1:9" x14ac:dyDescent="0.3">
      <c r="A208">
        <v>208</v>
      </c>
      <c r="B208" s="36" t="s">
        <v>4145</v>
      </c>
      <c r="C208" s="36" t="s">
        <v>4146</v>
      </c>
      <c r="D208" s="36" t="s">
        <v>2994</v>
      </c>
      <c r="E208" s="36" t="s">
        <v>4147</v>
      </c>
      <c r="F208" s="37" t="s">
        <v>4155</v>
      </c>
      <c r="G208" s="36" t="s">
        <v>4153</v>
      </c>
      <c r="H208" s="36" t="s">
        <v>4158</v>
      </c>
      <c r="I208" s="36" t="s">
        <v>4160</v>
      </c>
    </row>
    <row r="209" spans="1:9" x14ac:dyDescent="0.3">
      <c r="A209">
        <v>209</v>
      </c>
      <c r="B209" s="36" t="s">
        <v>4145</v>
      </c>
      <c r="C209" s="36" t="s">
        <v>4146</v>
      </c>
      <c r="D209" s="36" t="s">
        <v>3001</v>
      </c>
      <c r="E209" s="36" t="s">
        <v>4147</v>
      </c>
      <c r="F209" s="37" t="s">
        <v>4155</v>
      </c>
      <c r="G209" s="36" t="s">
        <v>4153</v>
      </c>
      <c r="H209" s="36" t="s">
        <v>4158</v>
      </c>
      <c r="I209" s="36" t="s">
        <v>4160</v>
      </c>
    </row>
    <row r="210" spans="1:9" x14ac:dyDescent="0.3">
      <c r="A210">
        <v>210</v>
      </c>
      <c r="B210" s="36" t="s">
        <v>4145</v>
      </c>
      <c r="C210" s="36" t="s">
        <v>4146</v>
      </c>
      <c r="D210" s="36" t="s">
        <v>2999</v>
      </c>
      <c r="E210" s="36" t="s">
        <v>4151</v>
      </c>
      <c r="F210" s="37" t="s">
        <v>4148</v>
      </c>
      <c r="G210" s="36" t="s">
        <v>4153</v>
      </c>
      <c r="H210" s="36" t="s">
        <v>4158</v>
      </c>
      <c r="I210" s="36" t="s">
        <v>4199</v>
      </c>
    </row>
    <row r="211" spans="1:9" x14ac:dyDescent="0.3">
      <c r="A211">
        <v>211</v>
      </c>
      <c r="B211" s="36" t="s">
        <v>4145</v>
      </c>
      <c r="C211" s="36" t="s">
        <v>4154</v>
      </c>
      <c r="D211" s="36" t="s">
        <v>2999</v>
      </c>
      <c r="E211" s="36" t="s">
        <v>4151</v>
      </c>
      <c r="F211" s="37" t="s">
        <v>4157</v>
      </c>
      <c r="G211" s="36" t="s">
        <v>4149</v>
      </c>
      <c r="H211" s="36" t="s">
        <v>4156</v>
      </c>
      <c r="I211" s="36" t="s">
        <v>824</v>
      </c>
    </row>
    <row r="212" spans="1:9" x14ac:dyDescent="0.3">
      <c r="A212">
        <v>212</v>
      </c>
      <c r="B212" s="36" t="s">
        <v>4145</v>
      </c>
      <c r="C212" s="36" t="s">
        <v>4154</v>
      </c>
      <c r="D212" s="36" t="s">
        <v>2999</v>
      </c>
      <c r="E212" s="36" t="s">
        <v>4151</v>
      </c>
      <c r="F212" s="37" t="s">
        <v>4155</v>
      </c>
      <c r="G212" s="36" t="s">
        <v>4149</v>
      </c>
      <c r="H212" s="36" t="s">
        <v>4156</v>
      </c>
      <c r="I212" s="36" t="s">
        <v>824</v>
      </c>
    </row>
    <row r="213" spans="1:9" x14ac:dyDescent="0.3">
      <c r="A213">
        <v>213</v>
      </c>
      <c r="B213" s="36" t="s">
        <v>4145</v>
      </c>
      <c r="C213" s="36" t="s">
        <v>4154</v>
      </c>
      <c r="D213" s="36" t="s">
        <v>2999</v>
      </c>
      <c r="E213" s="36" t="s">
        <v>4151</v>
      </c>
      <c r="F213" s="37" t="s">
        <v>4155</v>
      </c>
      <c r="G213" s="36" t="s">
        <v>4153</v>
      </c>
      <c r="H213" s="36" t="s">
        <v>4156</v>
      </c>
      <c r="I213" s="36" t="s">
        <v>4199</v>
      </c>
    </row>
    <row r="214" spans="1:9" x14ac:dyDescent="0.3">
      <c r="A214">
        <v>214</v>
      </c>
      <c r="B214" s="36" t="s">
        <v>4145</v>
      </c>
      <c r="C214" s="36" t="s">
        <v>4146</v>
      </c>
      <c r="D214" s="36" t="s">
        <v>2994</v>
      </c>
      <c r="E214" s="36" t="s">
        <v>4147</v>
      </c>
      <c r="F214" s="37" t="s">
        <v>4155</v>
      </c>
      <c r="G214" s="36" t="s">
        <v>4153</v>
      </c>
      <c r="H214" s="36" t="s">
        <v>4150</v>
      </c>
      <c r="I214" s="36" t="s">
        <v>4199</v>
      </c>
    </row>
    <row r="215" spans="1:9" x14ac:dyDescent="0.3">
      <c r="A215">
        <v>215</v>
      </c>
      <c r="B215" s="36" t="s">
        <v>4145</v>
      </c>
      <c r="C215" s="36" t="s">
        <v>4146</v>
      </c>
      <c r="D215" s="36" t="s">
        <v>2994</v>
      </c>
      <c r="E215" s="36" t="s">
        <v>4147</v>
      </c>
      <c r="F215" s="37" t="s">
        <v>4148</v>
      </c>
      <c r="G215" s="36" t="s">
        <v>4153</v>
      </c>
      <c r="H215" s="36" t="s">
        <v>4150</v>
      </c>
      <c r="I215" s="36" t="s">
        <v>4199</v>
      </c>
    </row>
    <row r="216" spans="1:9" x14ac:dyDescent="0.3">
      <c r="A216">
        <v>216</v>
      </c>
      <c r="B216" s="36" t="s">
        <v>4145</v>
      </c>
      <c r="C216" s="36" t="s">
        <v>4154</v>
      </c>
      <c r="D216" s="36" t="s">
        <v>2999</v>
      </c>
      <c r="E216" s="36" t="s">
        <v>4151</v>
      </c>
      <c r="F216" s="37" t="s">
        <v>4157</v>
      </c>
      <c r="G216" s="36" t="s">
        <v>4153</v>
      </c>
      <c r="H216" s="36" t="s">
        <v>4150</v>
      </c>
      <c r="I216" s="36" t="s">
        <v>4199</v>
      </c>
    </row>
    <row r="217" spans="1:9" x14ac:dyDescent="0.3">
      <c r="A217">
        <v>217</v>
      </c>
      <c r="B217" s="36" t="s">
        <v>4145</v>
      </c>
      <c r="C217" s="36" t="s">
        <v>4146</v>
      </c>
      <c r="D217" s="36" t="s">
        <v>2994</v>
      </c>
      <c r="E217" s="36" t="s">
        <v>4147</v>
      </c>
      <c r="F217" s="37" t="s">
        <v>4148</v>
      </c>
      <c r="G217" s="36" t="s">
        <v>4153</v>
      </c>
      <c r="H217" s="36" t="s">
        <v>4156</v>
      </c>
      <c r="I217" s="36" t="s">
        <v>824</v>
      </c>
    </row>
    <row r="218" spans="1:9" x14ac:dyDescent="0.3">
      <c r="A218">
        <v>218</v>
      </c>
      <c r="B218" s="36" t="s">
        <v>4145</v>
      </c>
      <c r="C218" s="36" t="s">
        <v>4154</v>
      </c>
      <c r="D218" s="36" t="s">
        <v>2999</v>
      </c>
      <c r="E218" s="36" t="s">
        <v>4151</v>
      </c>
      <c r="F218" s="37" t="s">
        <v>4157</v>
      </c>
      <c r="G218" s="36" t="s">
        <v>4149</v>
      </c>
      <c r="H218" s="36" t="s">
        <v>4156</v>
      </c>
      <c r="I218" s="36" t="s">
        <v>824</v>
      </c>
    </row>
    <row r="219" spans="1:9" x14ac:dyDescent="0.3">
      <c r="A219">
        <v>220</v>
      </c>
      <c r="B219" s="36" t="s">
        <v>4145</v>
      </c>
      <c r="C219" s="36" t="s">
        <v>4146</v>
      </c>
      <c r="D219" s="36" t="s">
        <v>2999</v>
      </c>
      <c r="E219" s="36" t="s">
        <v>4151</v>
      </c>
      <c r="F219" s="37" t="s">
        <v>4148</v>
      </c>
      <c r="G219" s="36" t="s">
        <v>4149</v>
      </c>
      <c r="H219" s="36" t="s">
        <v>4156</v>
      </c>
      <c r="I219" s="36" t="s">
        <v>4199</v>
      </c>
    </row>
    <row r="220" spans="1:9" x14ac:dyDescent="0.3">
      <c r="A220">
        <v>221</v>
      </c>
      <c r="B220" s="36" t="s">
        <v>4145</v>
      </c>
      <c r="C220" s="36" t="s">
        <v>4146</v>
      </c>
      <c r="D220" s="36" t="s">
        <v>2994</v>
      </c>
      <c r="E220" s="36" t="s">
        <v>4147</v>
      </c>
      <c r="F220" s="37" t="s">
        <v>4148</v>
      </c>
      <c r="G220" s="36" t="s">
        <v>4153</v>
      </c>
      <c r="H220" s="36" t="s">
        <v>4158</v>
      </c>
      <c r="I220" s="36" t="s">
        <v>4199</v>
      </c>
    </row>
    <row r="221" spans="1:9" x14ac:dyDescent="0.3">
      <c r="A221">
        <v>222</v>
      </c>
      <c r="B221" s="36" t="s">
        <v>4145</v>
      </c>
      <c r="C221" s="36" t="s">
        <v>4154</v>
      </c>
      <c r="D221" s="36" t="s">
        <v>2999</v>
      </c>
      <c r="E221" s="36" t="s">
        <v>4151</v>
      </c>
      <c r="F221" s="37" t="s">
        <v>4157</v>
      </c>
      <c r="G221" s="36" t="s">
        <v>4153</v>
      </c>
      <c r="H221" s="36" t="s">
        <v>4158</v>
      </c>
      <c r="I221" s="36" t="s">
        <v>4199</v>
      </c>
    </row>
    <row r="222" spans="1:9" x14ac:dyDescent="0.3">
      <c r="A222">
        <v>223</v>
      </c>
      <c r="B222" s="36" t="s">
        <v>4145</v>
      </c>
      <c r="C222" s="36" t="s">
        <v>4154</v>
      </c>
      <c r="D222" s="36" t="s">
        <v>2999</v>
      </c>
      <c r="E222" s="36" t="s">
        <v>4151</v>
      </c>
      <c r="F222" s="37" t="s">
        <v>4148</v>
      </c>
      <c r="G222" s="36" t="s">
        <v>4149</v>
      </c>
      <c r="H222" s="36" t="s">
        <v>4156</v>
      </c>
      <c r="I222" s="36" t="s">
        <v>4199</v>
      </c>
    </row>
    <row r="223" spans="1:9" x14ac:dyDescent="0.3">
      <c r="A223">
        <v>224</v>
      </c>
      <c r="B223" s="36" t="s">
        <v>4145</v>
      </c>
      <c r="C223" s="36" t="s">
        <v>4154</v>
      </c>
      <c r="D223" s="36" t="s">
        <v>2999</v>
      </c>
      <c r="E223" s="36" t="s">
        <v>4151</v>
      </c>
      <c r="F223" s="37" t="s">
        <v>4148</v>
      </c>
      <c r="G223" s="36" t="s">
        <v>4149</v>
      </c>
      <c r="H223" s="36" t="s">
        <v>4156</v>
      </c>
      <c r="I223" s="36" t="s">
        <v>824</v>
      </c>
    </row>
    <row r="224" spans="1:9" x14ac:dyDescent="0.3">
      <c r="A224">
        <v>225</v>
      </c>
      <c r="B224" s="36" t="s">
        <v>4145</v>
      </c>
      <c r="C224" s="36" t="s">
        <v>4154</v>
      </c>
      <c r="D224" s="36" t="s">
        <v>2999</v>
      </c>
      <c r="E224" s="36" t="s">
        <v>4151</v>
      </c>
      <c r="F224" s="37" t="s">
        <v>4155</v>
      </c>
      <c r="G224" s="36" t="s">
        <v>4149</v>
      </c>
      <c r="H224" s="36" t="s">
        <v>4156</v>
      </c>
      <c r="I224" s="36" t="s">
        <v>824</v>
      </c>
    </row>
    <row r="225" spans="1:9" x14ac:dyDescent="0.3">
      <c r="A225">
        <v>226</v>
      </c>
      <c r="B225" s="36" t="s">
        <v>4145</v>
      </c>
      <c r="C225" s="36" t="s">
        <v>4154</v>
      </c>
      <c r="D225" s="36" t="s">
        <v>2999</v>
      </c>
      <c r="E225" s="36" t="s">
        <v>4151</v>
      </c>
      <c r="F225" s="37" t="s">
        <v>4148</v>
      </c>
      <c r="G225" s="36" t="s">
        <v>4149</v>
      </c>
      <c r="H225" s="36" t="s">
        <v>4158</v>
      </c>
      <c r="I225" s="36" t="s">
        <v>824</v>
      </c>
    </row>
    <row r="226" spans="1:9" x14ac:dyDescent="0.3">
      <c r="A226">
        <v>227</v>
      </c>
      <c r="B226" s="36" t="s">
        <v>4145</v>
      </c>
      <c r="C226" s="36" t="s">
        <v>4154</v>
      </c>
      <c r="D226" s="36" t="s">
        <v>2999</v>
      </c>
      <c r="E226" s="36" t="s">
        <v>4151</v>
      </c>
      <c r="F226" s="37" t="s">
        <v>4148</v>
      </c>
      <c r="G226" s="36" t="s">
        <v>4153</v>
      </c>
      <c r="H226" s="36" t="s">
        <v>4158</v>
      </c>
      <c r="I226" s="36" t="s">
        <v>824</v>
      </c>
    </row>
    <row r="227" spans="1:9" x14ac:dyDescent="0.3">
      <c r="A227">
        <v>228</v>
      </c>
      <c r="B227" s="36" t="s">
        <v>4145</v>
      </c>
      <c r="C227" s="36" t="s">
        <v>4146</v>
      </c>
      <c r="D227" s="36" t="s">
        <v>3001</v>
      </c>
      <c r="E227" s="36" t="s">
        <v>4147</v>
      </c>
      <c r="F227" s="37" t="s">
        <v>4148</v>
      </c>
      <c r="G227" s="36" t="s">
        <v>4153</v>
      </c>
      <c r="H227" s="36" t="s">
        <v>4158</v>
      </c>
      <c r="I227" s="36" t="s">
        <v>824</v>
      </c>
    </row>
    <row r="228" spans="1:9" x14ac:dyDescent="0.3">
      <c r="A228">
        <v>229</v>
      </c>
      <c r="B228" s="36" t="s">
        <v>4145</v>
      </c>
      <c r="C228" s="36" t="s">
        <v>4154</v>
      </c>
      <c r="D228" s="36" t="s">
        <v>2999</v>
      </c>
      <c r="E228" s="36" t="s">
        <v>4151</v>
      </c>
      <c r="F228" s="37" t="s">
        <v>4159</v>
      </c>
      <c r="G228" s="36" t="s">
        <v>4153</v>
      </c>
      <c r="H228" s="36" t="s">
        <v>4150</v>
      </c>
      <c r="I228" s="36" t="s">
        <v>4199</v>
      </c>
    </row>
    <row r="229" spans="1:9" x14ac:dyDescent="0.3">
      <c r="A229">
        <v>230</v>
      </c>
      <c r="B229" s="36" t="s">
        <v>4145</v>
      </c>
      <c r="C229" s="36" t="s">
        <v>4146</v>
      </c>
      <c r="D229" s="36" t="s">
        <v>3001</v>
      </c>
      <c r="E229" s="36" t="s">
        <v>4147</v>
      </c>
      <c r="F229" s="37" t="s">
        <v>4159</v>
      </c>
      <c r="G229" s="36" t="s">
        <v>4153</v>
      </c>
      <c r="H229" s="36" t="s">
        <v>4150</v>
      </c>
      <c r="I229" s="36" t="s">
        <v>4199</v>
      </c>
    </row>
    <row r="230" spans="1:9" x14ac:dyDescent="0.3">
      <c r="A230">
        <v>231</v>
      </c>
      <c r="B230" s="36" t="s">
        <v>4145</v>
      </c>
      <c r="C230" s="36" t="s">
        <v>4146</v>
      </c>
      <c r="D230" s="36" t="s">
        <v>2994</v>
      </c>
      <c r="E230" s="36" t="s">
        <v>4147</v>
      </c>
      <c r="F230" s="37" t="s">
        <v>4148</v>
      </c>
      <c r="G230" s="36" t="s">
        <v>4149</v>
      </c>
      <c r="H230" s="36" t="s">
        <v>4158</v>
      </c>
      <c r="I230" s="36" t="s">
        <v>824</v>
      </c>
    </row>
    <row r="231" spans="1:9" x14ac:dyDescent="0.3">
      <c r="A231">
        <v>232</v>
      </c>
      <c r="B231" s="36" t="s">
        <v>4145</v>
      </c>
      <c r="C231" s="36" t="s">
        <v>4146</v>
      </c>
      <c r="D231" s="36" t="s">
        <v>3046</v>
      </c>
      <c r="E231" s="36" t="s">
        <v>4151</v>
      </c>
      <c r="F231" s="37" t="s">
        <v>4157</v>
      </c>
      <c r="G231" s="36" t="s">
        <v>4149</v>
      </c>
      <c r="H231" s="36" t="s">
        <v>4156</v>
      </c>
      <c r="I231" s="36" t="s">
        <v>824</v>
      </c>
    </row>
    <row r="232" spans="1:9" x14ac:dyDescent="0.3">
      <c r="A232">
        <v>233</v>
      </c>
      <c r="B232" s="36" t="s">
        <v>4145</v>
      </c>
      <c r="C232" s="36" t="s">
        <v>4154</v>
      </c>
      <c r="D232" s="36" t="s">
        <v>2999</v>
      </c>
      <c r="E232" s="36" t="s">
        <v>4151</v>
      </c>
      <c r="F232" s="37" t="s">
        <v>4155</v>
      </c>
      <c r="G232" s="36" t="s">
        <v>4149</v>
      </c>
      <c r="H232" s="36" t="s">
        <v>4158</v>
      </c>
      <c r="I232" s="36" t="s">
        <v>824</v>
      </c>
    </row>
    <row r="233" spans="1:9" x14ac:dyDescent="0.3">
      <c r="A233">
        <v>234</v>
      </c>
      <c r="B233" s="36" t="s">
        <v>4145</v>
      </c>
      <c r="C233" s="36" t="s">
        <v>4146</v>
      </c>
      <c r="D233" s="36" t="s">
        <v>3001</v>
      </c>
      <c r="E233" s="36" t="s">
        <v>4147</v>
      </c>
      <c r="F233" s="37" t="s">
        <v>4157</v>
      </c>
      <c r="G233" s="36" t="s">
        <v>4153</v>
      </c>
      <c r="H233" s="36" t="s">
        <v>4158</v>
      </c>
      <c r="I233" s="36" t="s">
        <v>4199</v>
      </c>
    </row>
    <row r="234" spans="1:9" x14ac:dyDescent="0.3">
      <c r="A234">
        <v>236</v>
      </c>
      <c r="B234" s="36" t="s">
        <v>4145</v>
      </c>
      <c r="C234" s="36" t="s">
        <v>4146</v>
      </c>
      <c r="D234" s="36" t="s">
        <v>2999</v>
      </c>
      <c r="E234" s="36" t="s">
        <v>4151</v>
      </c>
      <c r="F234" s="37" t="s">
        <v>4148</v>
      </c>
      <c r="G234" s="36" t="s">
        <v>4149</v>
      </c>
      <c r="H234" s="36" t="s">
        <v>4156</v>
      </c>
      <c r="I234" s="36" t="s">
        <v>824</v>
      </c>
    </row>
    <row r="235" spans="1:9" x14ac:dyDescent="0.3">
      <c r="A235">
        <v>237</v>
      </c>
      <c r="B235" s="36" t="s">
        <v>4145</v>
      </c>
      <c r="C235" s="36" t="s">
        <v>4154</v>
      </c>
      <c r="D235" s="36" t="s">
        <v>2999</v>
      </c>
      <c r="E235" s="36" t="s">
        <v>4151</v>
      </c>
      <c r="F235" s="37" t="s">
        <v>4148</v>
      </c>
      <c r="G235" s="36" t="s">
        <v>4149</v>
      </c>
      <c r="H235" s="36" t="s">
        <v>4150</v>
      </c>
      <c r="I235" s="36" t="s">
        <v>4199</v>
      </c>
    </row>
    <row r="236" spans="1:9" x14ac:dyDescent="0.3">
      <c r="A236">
        <v>238</v>
      </c>
      <c r="B236" s="36" t="s">
        <v>4145</v>
      </c>
      <c r="C236" s="36" t="s">
        <v>4154</v>
      </c>
      <c r="D236" s="36" t="s">
        <v>2999</v>
      </c>
      <c r="E236" s="36" t="s">
        <v>4151</v>
      </c>
      <c r="F236" s="37" t="s">
        <v>4148</v>
      </c>
      <c r="G236" s="36" t="s">
        <v>4149</v>
      </c>
      <c r="H236" s="36" t="s">
        <v>4150</v>
      </c>
      <c r="I236" s="36" t="s">
        <v>4199</v>
      </c>
    </row>
    <row r="237" spans="1:9" x14ac:dyDescent="0.3">
      <c r="A237">
        <v>239</v>
      </c>
      <c r="B237" s="36" t="s">
        <v>4145</v>
      </c>
      <c r="C237" s="36" t="s">
        <v>4146</v>
      </c>
      <c r="D237" s="36" t="s">
        <v>3001</v>
      </c>
      <c r="E237" s="36" t="s">
        <v>4147</v>
      </c>
      <c r="F237" s="37" t="s">
        <v>4155</v>
      </c>
      <c r="G237" s="36" t="s">
        <v>4153</v>
      </c>
      <c r="H237" s="36" t="s">
        <v>4150</v>
      </c>
      <c r="I237" s="36" t="s">
        <v>824</v>
      </c>
    </row>
    <row r="238" spans="1:9" x14ac:dyDescent="0.3">
      <c r="A238">
        <v>240</v>
      </c>
      <c r="B238" s="36" t="s">
        <v>4145</v>
      </c>
      <c r="C238" s="36" t="s">
        <v>4154</v>
      </c>
      <c r="D238" s="36" t="s">
        <v>2999</v>
      </c>
      <c r="E238" s="36" t="s">
        <v>4151</v>
      </c>
      <c r="F238" s="37" t="s">
        <v>4155</v>
      </c>
      <c r="G238" s="36" t="s">
        <v>4149</v>
      </c>
      <c r="H238" s="36" t="s">
        <v>4158</v>
      </c>
      <c r="I238" s="36" t="s">
        <v>824</v>
      </c>
    </row>
    <row r="239" spans="1:9" x14ac:dyDescent="0.3">
      <c r="A239">
        <v>241</v>
      </c>
      <c r="B239" s="36" t="s">
        <v>4145</v>
      </c>
      <c r="C239" s="36" t="s">
        <v>4146</v>
      </c>
      <c r="D239" s="36" t="s">
        <v>2999</v>
      </c>
      <c r="E239" s="36" t="s">
        <v>4151</v>
      </c>
      <c r="F239" s="37" t="s">
        <v>4155</v>
      </c>
      <c r="G239" s="36" t="s">
        <v>4149</v>
      </c>
      <c r="H239" s="36" t="s">
        <v>4156</v>
      </c>
      <c r="I239" s="36" t="s">
        <v>824</v>
      </c>
    </row>
    <row r="240" spans="1:9" x14ac:dyDescent="0.3">
      <c r="A240">
        <v>242</v>
      </c>
      <c r="B240" s="36" t="s">
        <v>4145</v>
      </c>
      <c r="C240" s="36" t="s">
        <v>4154</v>
      </c>
      <c r="D240" s="36" t="s">
        <v>2999</v>
      </c>
      <c r="E240" s="36" t="s">
        <v>4151</v>
      </c>
      <c r="F240" s="37" t="s">
        <v>4148</v>
      </c>
      <c r="G240" s="36" t="s">
        <v>4149</v>
      </c>
      <c r="H240" s="36" t="s">
        <v>4156</v>
      </c>
      <c r="I240" s="36" t="s">
        <v>824</v>
      </c>
    </row>
    <row r="241" spans="1:9" x14ac:dyDescent="0.3">
      <c r="A241">
        <v>243</v>
      </c>
      <c r="B241" s="36" t="s">
        <v>4145</v>
      </c>
      <c r="C241" s="36" t="s">
        <v>4146</v>
      </c>
      <c r="D241" s="36" t="s">
        <v>2994</v>
      </c>
      <c r="E241" s="36" t="s">
        <v>4147</v>
      </c>
      <c r="F241" s="37" t="s">
        <v>4155</v>
      </c>
      <c r="G241" s="36" t="s">
        <v>4149</v>
      </c>
      <c r="H241" s="36" t="s">
        <v>4156</v>
      </c>
      <c r="I241" s="36" t="s">
        <v>4199</v>
      </c>
    </row>
    <row r="242" spans="1:9" x14ac:dyDescent="0.3">
      <c r="A242">
        <v>244</v>
      </c>
      <c r="B242" s="36" t="s">
        <v>4145</v>
      </c>
      <c r="C242" s="36" t="s">
        <v>4154</v>
      </c>
      <c r="D242" s="36" t="s">
        <v>2999</v>
      </c>
      <c r="E242" s="36" t="s">
        <v>4151</v>
      </c>
      <c r="F242" s="37" t="s">
        <v>4155</v>
      </c>
      <c r="G242" s="36" t="s">
        <v>4149</v>
      </c>
      <c r="H242" s="36" t="s">
        <v>4158</v>
      </c>
      <c r="I242" s="36" t="s">
        <v>4199</v>
      </c>
    </row>
    <row r="243" spans="1:9" x14ac:dyDescent="0.3">
      <c r="A243">
        <v>245</v>
      </c>
      <c r="B243" s="36" t="s">
        <v>4145</v>
      </c>
      <c r="C243" s="36" t="s">
        <v>4154</v>
      </c>
      <c r="D243" s="36" t="s">
        <v>2999</v>
      </c>
      <c r="E243" s="36" t="s">
        <v>4151</v>
      </c>
      <c r="F243" s="37" t="s">
        <v>4155</v>
      </c>
      <c r="G243" s="36" t="s">
        <v>4149</v>
      </c>
      <c r="H243" s="36" t="s">
        <v>4156</v>
      </c>
      <c r="I243" s="36" t="s">
        <v>4199</v>
      </c>
    </row>
    <row r="244" spans="1:9" x14ac:dyDescent="0.3">
      <c r="A244">
        <v>246</v>
      </c>
      <c r="B244" s="36" t="s">
        <v>4145</v>
      </c>
      <c r="C244" s="36" t="s">
        <v>4146</v>
      </c>
      <c r="D244" s="36" t="s">
        <v>3248</v>
      </c>
      <c r="E244" s="36" t="s">
        <v>4147</v>
      </c>
      <c r="F244" s="37" t="s">
        <v>4155</v>
      </c>
      <c r="G244" s="36" t="s">
        <v>4149</v>
      </c>
      <c r="H244" s="36" t="s">
        <v>4158</v>
      </c>
      <c r="I244" s="36" t="s">
        <v>824</v>
      </c>
    </row>
    <row r="245" spans="1:9" x14ac:dyDescent="0.3">
      <c r="A245">
        <v>247</v>
      </c>
      <c r="B245" s="36" t="s">
        <v>4145</v>
      </c>
      <c r="C245" s="36" t="s">
        <v>4154</v>
      </c>
      <c r="D245" s="36" t="s">
        <v>2999</v>
      </c>
      <c r="E245" s="36" t="s">
        <v>4151</v>
      </c>
      <c r="F245" s="37" t="s">
        <v>4157</v>
      </c>
      <c r="G245" s="36" t="s">
        <v>4153</v>
      </c>
      <c r="H245" s="36" t="s">
        <v>4158</v>
      </c>
      <c r="I245" s="36" t="s">
        <v>4199</v>
      </c>
    </row>
    <row r="246" spans="1:9" x14ac:dyDescent="0.3">
      <c r="A246">
        <v>248</v>
      </c>
      <c r="B246" s="36" t="s">
        <v>4145</v>
      </c>
      <c r="C246" s="36" t="s">
        <v>4146</v>
      </c>
      <c r="D246" s="36" t="s">
        <v>3001</v>
      </c>
      <c r="E246" s="36" t="s">
        <v>4147</v>
      </c>
      <c r="F246" s="37" t="s">
        <v>4157</v>
      </c>
      <c r="G246" s="36" t="s">
        <v>4153</v>
      </c>
      <c r="H246" s="36" t="s">
        <v>4158</v>
      </c>
      <c r="I246" s="36" t="s">
        <v>4199</v>
      </c>
    </row>
    <row r="247" spans="1:9" x14ac:dyDescent="0.3">
      <c r="A247">
        <v>249</v>
      </c>
      <c r="B247" s="36" t="s">
        <v>4145</v>
      </c>
      <c r="C247" s="36" t="s">
        <v>4154</v>
      </c>
      <c r="D247" s="36" t="s">
        <v>2999</v>
      </c>
      <c r="E247" s="36" t="s">
        <v>4151</v>
      </c>
      <c r="F247" s="37" t="s">
        <v>4155</v>
      </c>
      <c r="G247" s="36" t="s">
        <v>4149</v>
      </c>
      <c r="H247" s="36" t="s">
        <v>4156</v>
      </c>
      <c r="I247" s="36" t="s">
        <v>824</v>
      </c>
    </row>
    <row r="248" spans="1:9" x14ac:dyDescent="0.3">
      <c r="A248">
        <v>250</v>
      </c>
      <c r="B248" s="36" t="s">
        <v>4145</v>
      </c>
      <c r="C248" s="36" t="s">
        <v>4146</v>
      </c>
      <c r="D248" s="36" t="s">
        <v>2996</v>
      </c>
      <c r="E248" s="36" t="s">
        <v>4151</v>
      </c>
      <c r="F248" s="37" t="s">
        <v>4152</v>
      </c>
      <c r="G248" s="36" t="s">
        <v>4153</v>
      </c>
      <c r="H248" s="36" t="s">
        <v>4150</v>
      </c>
      <c r="I248" s="36" t="s">
        <v>4199</v>
      </c>
    </row>
    <row r="249" spans="1:9" x14ac:dyDescent="0.3">
      <c r="A249">
        <v>251</v>
      </c>
      <c r="B249" s="36" t="s">
        <v>4145</v>
      </c>
      <c r="C249" s="36" t="s">
        <v>4146</v>
      </c>
      <c r="D249" s="36" t="s">
        <v>2994</v>
      </c>
      <c r="E249" s="36" t="s">
        <v>4147</v>
      </c>
      <c r="F249" s="37" t="s">
        <v>4159</v>
      </c>
      <c r="G249" s="36" t="s">
        <v>4153</v>
      </c>
      <c r="H249" s="36" t="s">
        <v>4150</v>
      </c>
      <c r="I249" s="36" t="s">
        <v>4199</v>
      </c>
    </row>
    <row r="250" spans="1:9" x14ac:dyDescent="0.3">
      <c r="A250">
        <v>252</v>
      </c>
      <c r="B250" s="36" t="s">
        <v>4145</v>
      </c>
      <c r="C250" s="36" t="s">
        <v>4146</v>
      </c>
      <c r="D250" s="36" t="s">
        <v>2994</v>
      </c>
      <c r="E250" s="36" t="s">
        <v>4147</v>
      </c>
      <c r="F250" s="37" t="s">
        <v>4148</v>
      </c>
      <c r="G250" s="36" t="s">
        <v>4153</v>
      </c>
      <c r="H250" s="36" t="s">
        <v>4150</v>
      </c>
      <c r="I250" s="36" t="s">
        <v>4199</v>
      </c>
    </row>
    <row r="251" spans="1:9" x14ac:dyDescent="0.3">
      <c r="A251">
        <v>253</v>
      </c>
      <c r="B251" s="36" t="s">
        <v>4145</v>
      </c>
      <c r="C251" s="36" t="s">
        <v>4154</v>
      </c>
      <c r="D251" s="36" t="s">
        <v>2999</v>
      </c>
      <c r="E251" s="36" t="s">
        <v>4151</v>
      </c>
      <c r="F251" s="37" t="s">
        <v>4157</v>
      </c>
      <c r="G251" s="36" t="s">
        <v>4153</v>
      </c>
      <c r="H251" s="36" t="s">
        <v>4150</v>
      </c>
      <c r="I251" s="36" t="s">
        <v>4199</v>
      </c>
    </row>
    <row r="252" spans="1:9" x14ac:dyDescent="0.3">
      <c r="A252">
        <v>254</v>
      </c>
      <c r="B252" s="36" t="s">
        <v>4145</v>
      </c>
      <c r="C252" s="36" t="s">
        <v>4146</v>
      </c>
      <c r="D252" s="36" t="s">
        <v>3001</v>
      </c>
      <c r="E252" s="36" t="s">
        <v>4147</v>
      </c>
      <c r="F252" s="37" t="s">
        <v>4155</v>
      </c>
      <c r="G252" s="36" t="s">
        <v>4153</v>
      </c>
      <c r="H252" s="36" t="s">
        <v>4150</v>
      </c>
      <c r="I252" s="36" t="s">
        <v>4199</v>
      </c>
    </row>
    <row r="253" spans="1:9" x14ac:dyDescent="0.3">
      <c r="A253">
        <v>255</v>
      </c>
      <c r="B253" s="36" t="s">
        <v>4145</v>
      </c>
      <c r="C253" s="36" t="s">
        <v>4146</v>
      </c>
      <c r="D253" s="36" t="s">
        <v>2999</v>
      </c>
      <c r="E253" s="36" t="s">
        <v>4151</v>
      </c>
      <c r="F253" s="37" t="s">
        <v>4148</v>
      </c>
      <c r="G253" s="36" t="s">
        <v>4149</v>
      </c>
      <c r="H253" s="36" t="s">
        <v>4156</v>
      </c>
      <c r="I253" s="36" t="s">
        <v>824</v>
      </c>
    </row>
    <row r="254" spans="1:9" x14ac:dyDescent="0.3">
      <c r="A254">
        <v>256</v>
      </c>
      <c r="B254" s="36" t="s">
        <v>4145</v>
      </c>
      <c r="C254" s="36" t="s">
        <v>4146</v>
      </c>
      <c r="D254" s="36" t="s">
        <v>3202</v>
      </c>
      <c r="E254" s="36" t="s">
        <v>4147</v>
      </c>
      <c r="F254" s="37" t="s">
        <v>4148</v>
      </c>
      <c r="G254" s="36" t="s">
        <v>4149</v>
      </c>
      <c r="H254" s="36" t="s">
        <v>4158</v>
      </c>
      <c r="I254" s="36" t="s">
        <v>4199</v>
      </c>
    </row>
    <row r="255" spans="1:9" x14ac:dyDescent="0.3">
      <c r="A255">
        <v>257</v>
      </c>
      <c r="B255" s="36" t="s">
        <v>4145</v>
      </c>
      <c r="C255" s="36" t="s">
        <v>4146</v>
      </c>
      <c r="D255" s="36" t="s">
        <v>2999</v>
      </c>
      <c r="E255" s="36" t="s">
        <v>4151</v>
      </c>
      <c r="F255" s="37" t="s">
        <v>4148</v>
      </c>
      <c r="G255" s="36" t="s">
        <v>4149</v>
      </c>
      <c r="H255" s="36" t="s">
        <v>4156</v>
      </c>
      <c r="I255" s="36" t="s">
        <v>824</v>
      </c>
    </row>
    <row r="256" spans="1:9" x14ac:dyDescent="0.3">
      <c r="A256">
        <v>258</v>
      </c>
      <c r="B256" s="36" t="s">
        <v>4145</v>
      </c>
      <c r="C256" s="36" t="s">
        <v>4146</v>
      </c>
      <c r="D256" s="36" t="s">
        <v>3001</v>
      </c>
      <c r="E256" s="36" t="s">
        <v>4147</v>
      </c>
      <c r="F256" s="37" t="s">
        <v>4155</v>
      </c>
      <c r="G256" s="36" t="s">
        <v>4153</v>
      </c>
      <c r="H256" s="36" t="s">
        <v>4158</v>
      </c>
      <c r="I256" s="36" t="s">
        <v>4199</v>
      </c>
    </row>
    <row r="257" spans="1:9" x14ac:dyDescent="0.3">
      <c r="A257">
        <v>259</v>
      </c>
      <c r="B257" s="36" t="s">
        <v>4145</v>
      </c>
      <c r="C257" s="36" t="s">
        <v>4146</v>
      </c>
      <c r="D257" s="36" t="s">
        <v>2994</v>
      </c>
      <c r="E257" s="36" t="s">
        <v>4147</v>
      </c>
      <c r="F257" s="37" t="s">
        <v>4148</v>
      </c>
      <c r="G257" s="36" t="s">
        <v>4149</v>
      </c>
      <c r="H257" s="36" t="s">
        <v>4156</v>
      </c>
      <c r="I257" s="36" t="s">
        <v>4199</v>
      </c>
    </row>
    <row r="258" spans="1:9" x14ac:dyDescent="0.3">
      <c r="A258">
        <v>260</v>
      </c>
      <c r="B258" s="36" t="s">
        <v>4145</v>
      </c>
      <c r="C258" s="36" t="s">
        <v>4146</v>
      </c>
      <c r="D258" s="36" t="s">
        <v>2999</v>
      </c>
      <c r="E258" s="36" t="s">
        <v>4151</v>
      </c>
      <c r="F258" s="37" t="s">
        <v>4155</v>
      </c>
      <c r="G258" s="36" t="s">
        <v>4149</v>
      </c>
      <c r="H258" s="36" t="s">
        <v>4156</v>
      </c>
      <c r="I258" s="36" t="s">
        <v>824</v>
      </c>
    </row>
    <row r="259" spans="1:9" x14ac:dyDescent="0.3">
      <c r="A259">
        <v>261</v>
      </c>
      <c r="B259" s="36" t="s">
        <v>4145</v>
      </c>
      <c r="C259" s="36" t="s">
        <v>4146</v>
      </c>
      <c r="D259" s="36" t="s">
        <v>2994</v>
      </c>
      <c r="E259" s="36" t="s">
        <v>4147</v>
      </c>
      <c r="F259" s="37" t="s">
        <v>4155</v>
      </c>
      <c r="G259" s="36" t="s">
        <v>4149</v>
      </c>
      <c r="H259" s="36" t="s">
        <v>4150</v>
      </c>
      <c r="I259" s="36" t="s">
        <v>824</v>
      </c>
    </row>
    <row r="260" spans="1:9" x14ac:dyDescent="0.3">
      <c r="A260">
        <v>262</v>
      </c>
      <c r="B260" s="36" t="s">
        <v>4145</v>
      </c>
      <c r="C260" s="36" t="s">
        <v>4146</v>
      </c>
      <c r="D260" s="36" t="s">
        <v>2999</v>
      </c>
      <c r="E260" s="36" t="s">
        <v>4151</v>
      </c>
      <c r="F260" s="37" t="s">
        <v>4155</v>
      </c>
      <c r="G260" s="36" t="s">
        <v>4149</v>
      </c>
      <c r="H260" s="36" t="s">
        <v>4156</v>
      </c>
      <c r="I260" s="36" t="s">
        <v>824</v>
      </c>
    </row>
    <row r="261" spans="1:9" x14ac:dyDescent="0.3">
      <c r="A261">
        <v>263</v>
      </c>
      <c r="B261" s="36" t="s">
        <v>4145</v>
      </c>
      <c r="C261" s="36" t="s">
        <v>4154</v>
      </c>
      <c r="D261" s="36" t="s">
        <v>2999</v>
      </c>
      <c r="E261" s="36" t="s">
        <v>4151</v>
      </c>
      <c r="F261" s="37" t="s">
        <v>4155</v>
      </c>
      <c r="G261" s="36" t="s">
        <v>4153</v>
      </c>
      <c r="H261" s="36" t="s">
        <v>4158</v>
      </c>
      <c r="I261" s="36" t="s">
        <v>824</v>
      </c>
    </row>
    <row r="262" spans="1:9" x14ac:dyDescent="0.3">
      <c r="A262">
        <v>264</v>
      </c>
      <c r="B262" s="36" t="s">
        <v>4145</v>
      </c>
      <c r="C262" s="36" t="s">
        <v>4146</v>
      </c>
      <c r="D262" s="36" t="s">
        <v>3001</v>
      </c>
      <c r="E262" s="36" t="s">
        <v>4147</v>
      </c>
      <c r="F262" s="37" t="s">
        <v>4155</v>
      </c>
      <c r="G262" s="36" t="s">
        <v>4153</v>
      </c>
      <c r="H262" s="36" t="s">
        <v>4158</v>
      </c>
      <c r="I262" s="36" t="s">
        <v>824</v>
      </c>
    </row>
    <row r="263" spans="1:9" x14ac:dyDescent="0.3">
      <c r="A263">
        <v>265</v>
      </c>
      <c r="B263" s="36" t="s">
        <v>4145</v>
      </c>
      <c r="C263" s="36" t="s">
        <v>4146</v>
      </c>
      <c r="D263" s="36" t="s">
        <v>3008</v>
      </c>
      <c r="E263" s="36" t="s">
        <v>4151</v>
      </c>
      <c r="F263" s="37" t="s">
        <v>4157</v>
      </c>
      <c r="G263" s="36" t="s">
        <v>4149</v>
      </c>
      <c r="H263" s="36" t="s">
        <v>4156</v>
      </c>
      <c r="I263" s="36" t="s">
        <v>4199</v>
      </c>
    </row>
    <row r="264" spans="1:9" x14ac:dyDescent="0.3">
      <c r="A264">
        <v>266</v>
      </c>
      <c r="B264" s="36" t="s">
        <v>4145</v>
      </c>
      <c r="C264" s="36" t="s">
        <v>4146</v>
      </c>
      <c r="D264" s="36" t="s">
        <v>2999</v>
      </c>
      <c r="E264" s="36" t="s">
        <v>4151</v>
      </c>
      <c r="F264" s="37" t="s">
        <v>4148</v>
      </c>
      <c r="G264" s="36" t="s">
        <v>4149</v>
      </c>
      <c r="H264" s="36" t="s">
        <v>4156</v>
      </c>
      <c r="I264" s="36" t="s">
        <v>824</v>
      </c>
    </row>
    <row r="265" spans="1:9" x14ac:dyDescent="0.3">
      <c r="A265">
        <v>267</v>
      </c>
      <c r="B265" s="36" t="s">
        <v>4145</v>
      </c>
      <c r="C265" s="36" t="s">
        <v>4154</v>
      </c>
      <c r="D265" s="36" t="s">
        <v>2999</v>
      </c>
      <c r="E265" s="36" t="s">
        <v>4151</v>
      </c>
      <c r="F265" s="37" t="s">
        <v>4157</v>
      </c>
      <c r="G265" s="36" t="s">
        <v>4149</v>
      </c>
      <c r="H265" s="36" t="s">
        <v>4156</v>
      </c>
      <c r="I265" s="36" t="s">
        <v>824</v>
      </c>
    </row>
    <row r="266" spans="1:9" x14ac:dyDescent="0.3">
      <c r="A266">
        <v>268</v>
      </c>
      <c r="B266" s="36" t="s">
        <v>4145</v>
      </c>
      <c r="C266" s="36" t="s">
        <v>4154</v>
      </c>
      <c r="D266" s="36" t="s">
        <v>2999</v>
      </c>
      <c r="E266" s="36" t="s">
        <v>4151</v>
      </c>
      <c r="F266" s="37" t="s">
        <v>4157</v>
      </c>
      <c r="G266" s="36" t="s">
        <v>4149</v>
      </c>
      <c r="H266" s="36" t="s">
        <v>4156</v>
      </c>
      <c r="I266" s="36" t="s">
        <v>4199</v>
      </c>
    </row>
    <row r="267" spans="1:9" x14ac:dyDescent="0.3">
      <c r="A267">
        <v>269</v>
      </c>
      <c r="B267" s="36" t="s">
        <v>4145</v>
      </c>
      <c r="C267" s="36" t="s">
        <v>4154</v>
      </c>
      <c r="D267" s="36" t="s">
        <v>2999</v>
      </c>
      <c r="E267" s="36" t="s">
        <v>4151</v>
      </c>
      <c r="F267" s="37" t="s">
        <v>4148</v>
      </c>
      <c r="G267" s="36" t="s">
        <v>4153</v>
      </c>
      <c r="H267" s="36" t="s">
        <v>4158</v>
      </c>
      <c r="I267" s="36" t="s">
        <v>824</v>
      </c>
    </row>
    <row r="268" spans="1:9" x14ac:dyDescent="0.3">
      <c r="A268">
        <v>270</v>
      </c>
      <c r="B268" s="36" t="s">
        <v>4145</v>
      </c>
      <c r="C268" s="36" t="s">
        <v>4154</v>
      </c>
      <c r="D268" s="36" t="s">
        <v>2999</v>
      </c>
      <c r="E268" s="36" t="s">
        <v>4151</v>
      </c>
      <c r="F268" s="37" t="s">
        <v>4148</v>
      </c>
      <c r="G268" s="36" t="s">
        <v>4149</v>
      </c>
      <c r="H268" s="36" t="s">
        <v>4156</v>
      </c>
      <c r="I268" s="36" t="s">
        <v>824</v>
      </c>
    </row>
    <row r="269" spans="1:9" x14ac:dyDescent="0.3">
      <c r="A269">
        <v>271</v>
      </c>
      <c r="B269" s="36" t="s">
        <v>4145</v>
      </c>
      <c r="C269" s="36" t="s">
        <v>4146</v>
      </c>
      <c r="D269" s="36" t="s">
        <v>3001</v>
      </c>
      <c r="E269" s="36" t="s">
        <v>4147</v>
      </c>
      <c r="F269" s="37" t="s">
        <v>4159</v>
      </c>
      <c r="G269" s="36" t="s">
        <v>4153</v>
      </c>
      <c r="H269" s="36" t="s">
        <v>4158</v>
      </c>
      <c r="I269" s="36" t="s">
        <v>824</v>
      </c>
    </row>
    <row r="270" spans="1:9" x14ac:dyDescent="0.3">
      <c r="A270">
        <v>272</v>
      </c>
      <c r="B270" s="36" t="s">
        <v>4145</v>
      </c>
      <c r="C270" s="36" t="s">
        <v>4146</v>
      </c>
      <c r="D270" s="36" t="s">
        <v>2999</v>
      </c>
      <c r="E270" s="36" t="s">
        <v>4151</v>
      </c>
      <c r="F270" s="37" t="s">
        <v>4148</v>
      </c>
      <c r="G270" s="36" t="s">
        <v>4153</v>
      </c>
      <c r="H270" s="36" t="s">
        <v>4158</v>
      </c>
      <c r="I270" s="36" t="s">
        <v>824</v>
      </c>
    </row>
    <row r="271" spans="1:9" x14ac:dyDescent="0.3">
      <c r="A271">
        <v>273</v>
      </c>
      <c r="B271" s="36" t="s">
        <v>4145</v>
      </c>
      <c r="C271" s="36" t="s">
        <v>4146</v>
      </c>
      <c r="D271" s="36" t="s">
        <v>3001</v>
      </c>
      <c r="E271" s="36" t="s">
        <v>4147</v>
      </c>
      <c r="F271" s="37" t="s">
        <v>4148</v>
      </c>
      <c r="G271" s="36" t="s">
        <v>4153</v>
      </c>
      <c r="H271" s="36" t="s">
        <v>4158</v>
      </c>
      <c r="I271" s="36" t="s">
        <v>824</v>
      </c>
    </row>
    <row r="272" spans="1:9" x14ac:dyDescent="0.3">
      <c r="A272">
        <v>274</v>
      </c>
      <c r="B272" s="36" t="s">
        <v>4145</v>
      </c>
      <c r="C272" s="36" t="s">
        <v>4146</v>
      </c>
      <c r="D272" s="36" t="s">
        <v>2996</v>
      </c>
      <c r="E272" s="36" t="s">
        <v>4151</v>
      </c>
      <c r="F272" s="37" t="s">
        <v>4152</v>
      </c>
      <c r="G272" s="36" t="s">
        <v>4153</v>
      </c>
      <c r="H272" s="36" t="s">
        <v>4150</v>
      </c>
      <c r="I272" s="36" t="s">
        <v>4199</v>
      </c>
    </row>
    <row r="273" spans="1:9" x14ac:dyDescent="0.3">
      <c r="A273">
        <v>275</v>
      </c>
      <c r="B273" s="36" t="s">
        <v>4145</v>
      </c>
      <c r="C273" s="36" t="s">
        <v>4146</v>
      </c>
      <c r="D273" s="36" t="s">
        <v>2999</v>
      </c>
      <c r="E273" s="36" t="s">
        <v>4151</v>
      </c>
      <c r="F273" s="37" t="s">
        <v>4155</v>
      </c>
      <c r="G273" s="36" t="s">
        <v>4153</v>
      </c>
      <c r="H273" s="36" t="s">
        <v>4150</v>
      </c>
      <c r="I273" s="36" t="s">
        <v>4199</v>
      </c>
    </row>
    <row r="274" spans="1:9" x14ac:dyDescent="0.3">
      <c r="A274">
        <v>276</v>
      </c>
      <c r="B274" s="36" t="s">
        <v>4145</v>
      </c>
      <c r="C274" s="36" t="s">
        <v>4146</v>
      </c>
      <c r="D274" s="36" t="s">
        <v>3001</v>
      </c>
      <c r="E274" s="36" t="s">
        <v>4147</v>
      </c>
      <c r="F274" s="37" t="s">
        <v>4155</v>
      </c>
      <c r="G274" s="36" t="s">
        <v>4153</v>
      </c>
      <c r="H274" s="36" t="s">
        <v>4150</v>
      </c>
      <c r="I274" s="36" t="s">
        <v>4199</v>
      </c>
    </row>
    <row r="275" spans="1:9" x14ac:dyDescent="0.3">
      <c r="A275">
        <v>277</v>
      </c>
      <c r="B275" s="36" t="s">
        <v>4145</v>
      </c>
      <c r="C275" s="36" t="s">
        <v>4154</v>
      </c>
      <c r="D275" s="36" t="s">
        <v>2999</v>
      </c>
      <c r="E275" s="36" t="s">
        <v>4151</v>
      </c>
      <c r="F275" s="37" t="s">
        <v>4157</v>
      </c>
      <c r="G275" s="36" t="s">
        <v>4153</v>
      </c>
      <c r="H275" s="36" t="s">
        <v>4150</v>
      </c>
      <c r="I275" s="36" t="s">
        <v>4199</v>
      </c>
    </row>
    <row r="276" spans="1:9" x14ac:dyDescent="0.3">
      <c r="A276">
        <v>278</v>
      </c>
      <c r="B276" s="36" t="s">
        <v>4145</v>
      </c>
      <c r="C276" s="36" t="s">
        <v>4146</v>
      </c>
      <c r="D276" s="36" t="s">
        <v>3001</v>
      </c>
      <c r="E276" s="36" t="s">
        <v>4147</v>
      </c>
      <c r="F276" s="37" t="s">
        <v>4148</v>
      </c>
      <c r="G276" s="36" t="s">
        <v>4153</v>
      </c>
      <c r="H276" s="36" t="s">
        <v>4150</v>
      </c>
      <c r="I276" s="36" t="s">
        <v>4199</v>
      </c>
    </row>
    <row r="277" spans="1:9" x14ac:dyDescent="0.3">
      <c r="A277">
        <v>279</v>
      </c>
      <c r="B277" s="36" t="s">
        <v>4145</v>
      </c>
      <c r="C277" s="36" t="s">
        <v>4146</v>
      </c>
      <c r="D277" s="36" t="s">
        <v>3040</v>
      </c>
      <c r="E277" s="36" t="s">
        <v>4151</v>
      </c>
      <c r="F277" s="37" t="s">
        <v>4155</v>
      </c>
      <c r="G277" s="36" t="s">
        <v>4149</v>
      </c>
      <c r="H277" s="36" t="s">
        <v>4156</v>
      </c>
      <c r="I277" s="36" t="s">
        <v>4199</v>
      </c>
    </row>
    <row r="278" spans="1:9" x14ac:dyDescent="0.3">
      <c r="A278">
        <v>280</v>
      </c>
      <c r="B278" s="36" t="s">
        <v>4145</v>
      </c>
      <c r="C278" s="36" t="s">
        <v>4154</v>
      </c>
      <c r="D278" s="36" t="s">
        <v>2999</v>
      </c>
      <c r="E278" s="36" t="s">
        <v>4151</v>
      </c>
      <c r="F278" s="37" t="s">
        <v>4157</v>
      </c>
      <c r="G278" s="36" t="s">
        <v>4149</v>
      </c>
      <c r="H278" s="36" t="s">
        <v>4156</v>
      </c>
      <c r="I278" s="36" t="s">
        <v>824</v>
      </c>
    </row>
    <row r="279" spans="1:9" x14ac:dyDescent="0.3">
      <c r="A279">
        <v>281</v>
      </c>
      <c r="B279" s="36" t="s">
        <v>4145</v>
      </c>
      <c r="C279" s="36" t="s">
        <v>4146</v>
      </c>
      <c r="D279" s="36" t="s">
        <v>2999</v>
      </c>
      <c r="E279" s="36" t="s">
        <v>4151</v>
      </c>
      <c r="F279" s="37" t="s">
        <v>4157</v>
      </c>
      <c r="G279" s="36" t="s">
        <v>4153</v>
      </c>
      <c r="H279" s="36" t="s">
        <v>4158</v>
      </c>
      <c r="I279" s="36" t="s">
        <v>4199</v>
      </c>
    </row>
    <row r="280" spans="1:9" x14ac:dyDescent="0.3">
      <c r="A280">
        <v>282</v>
      </c>
      <c r="B280" s="36" t="s">
        <v>4145</v>
      </c>
      <c r="C280" s="36" t="s">
        <v>4146</v>
      </c>
      <c r="D280" s="36" t="s">
        <v>3001</v>
      </c>
      <c r="E280" s="36" t="s">
        <v>4147</v>
      </c>
      <c r="F280" s="37" t="s">
        <v>4155</v>
      </c>
      <c r="G280" s="36" t="s">
        <v>4153</v>
      </c>
      <c r="H280" s="36" t="s">
        <v>4158</v>
      </c>
      <c r="I280" s="36" t="s">
        <v>4199</v>
      </c>
    </row>
    <row r="281" spans="1:9" x14ac:dyDescent="0.3">
      <c r="A281">
        <v>283</v>
      </c>
      <c r="B281" s="36" t="s">
        <v>4145</v>
      </c>
      <c r="C281" s="36" t="s">
        <v>4146</v>
      </c>
      <c r="D281" s="36" t="s">
        <v>3001</v>
      </c>
      <c r="E281" s="36" t="s">
        <v>4147</v>
      </c>
      <c r="F281" s="37" t="s">
        <v>4157</v>
      </c>
      <c r="G281" s="36" t="s">
        <v>4153</v>
      </c>
      <c r="H281" s="36" t="s">
        <v>4158</v>
      </c>
      <c r="I281" s="36" t="s">
        <v>4199</v>
      </c>
    </row>
    <row r="282" spans="1:9" x14ac:dyDescent="0.3">
      <c r="A282">
        <v>284</v>
      </c>
      <c r="B282" s="36" t="s">
        <v>4145</v>
      </c>
      <c r="C282" s="36" t="s">
        <v>4154</v>
      </c>
      <c r="D282" s="36" t="s">
        <v>2999</v>
      </c>
      <c r="E282" s="36" t="s">
        <v>4151</v>
      </c>
      <c r="F282" s="37" t="s">
        <v>4148</v>
      </c>
      <c r="G282" s="36" t="s">
        <v>4149</v>
      </c>
      <c r="H282" s="36" t="s">
        <v>4156</v>
      </c>
      <c r="I282" s="36" t="s">
        <v>4199</v>
      </c>
    </row>
    <row r="283" spans="1:9" x14ac:dyDescent="0.3">
      <c r="A283">
        <v>285</v>
      </c>
      <c r="B283" s="36" t="s">
        <v>4145</v>
      </c>
      <c r="C283" s="36" t="s">
        <v>4146</v>
      </c>
      <c r="D283" s="36" t="s">
        <v>3001</v>
      </c>
      <c r="E283" s="36" t="s">
        <v>4147</v>
      </c>
      <c r="F283" s="37" t="s">
        <v>4157</v>
      </c>
      <c r="G283" s="36" t="s">
        <v>4149</v>
      </c>
      <c r="H283" s="36" t="s">
        <v>4158</v>
      </c>
      <c r="I283" s="36" t="s">
        <v>824</v>
      </c>
    </row>
    <row r="284" spans="1:9" x14ac:dyDescent="0.3">
      <c r="A284">
        <v>286</v>
      </c>
      <c r="B284" s="36" t="s">
        <v>4145</v>
      </c>
      <c r="C284" s="36" t="s">
        <v>4154</v>
      </c>
      <c r="D284" s="36" t="s">
        <v>2999</v>
      </c>
      <c r="E284" s="36" t="s">
        <v>4151</v>
      </c>
      <c r="F284" s="37" t="s">
        <v>4157</v>
      </c>
      <c r="G284" s="36" t="s">
        <v>4153</v>
      </c>
      <c r="H284" s="36" t="s">
        <v>4150</v>
      </c>
      <c r="I284" s="36" t="s">
        <v>824</v>
      </c>
    </row>
    <row r="285" spans="1:9" x14ac:dyDescent="0.3">
      <c r="A285">
        <v>287</v>
      </c>
      <c r="B285" s="36" t="s">
        <v>4145</v>
      </c>
      <c r="C285" s="36" t="s">
        <v>4154</v>
      </c>
      <c r="D285" s="36" t="s">
        <v>3001</v>
      </c>
      <c r="E285" s="36" t="s">
        <v>4147</v>
      </c>
      <c r="F285" s="37" t="s">
        <v>4157</v>
      </c>
      <c r="G285" s="36" t="s">
        <v>4153</v>
      </c>
      <c r="H285" s="36" t="s">
        <v>4150</v>
      </c>
      <c r="I285" s="36" t="s">
        <v>824</v>
      </c>
    </row>
    <row r="286" spans="1:9" x14ac:dyDescent="0.3">
      <c r="A286">
        <v>288</v>
      </c>
      <c r="B286" s="36" t="s">
        <v>4145</v>
      </c>
      <c r="C286" s="36" t="s">
        <v>4154</v>
      </c>
      <c r="D286" s="36" t="s">
        <v>2999</v>
      </c>
      <c r="E286" s="36" t="s">
        <v>4151</v>
      </c>
      <c r="F286" s="37" t="s">
        <v>4157</v>
      </c>
      <c r="G286" s="36" t="s">
        <v>4149</v>
      </c>
      <c r="H286" s="36" t="s">
        <v>4156</v>
      </c>
      <c r="I286" s="36" t="s">
        <v>824</v>
      </c>
    </row>
    <row r="287" spans="1:9" x14ac:dyDescent="0.3">
      <c r="A287">
        <v>289</v>
      </c>
      <c r="B287" s="36" t="s">
        <v>4145</v>
      </c>
      <c r="C287" s="36" t="s">
        <v>4146</v>
      </c>
      <c r="D287" s="36" t="s">
        <v>3001</v>
      </c>
      <c r="E287" s="36" t="s">
        <v>4147</v>
      </c>
      <c r="F287" s="37" t="s">
        <v>4155</v>
      </c>
      <c r="G287" s="36" t="s">
        <v>4149</v>
      </c>
      <c r="H287" s="36" t="s">
        <v>4156</v>
      </c>
      <c r="I287" s="36" t="s">
        <v>824</v>
      </c>
    </row>
    <row r="288" spans="1:9" x14ac:dyDescent="0.3">
      <c r="A288">
        <v>290</v>
      </c>
      <c r="B288" s="36" t="s">
        <v>4145</v>
      </c>
      <c r="C288" s="36" t="s">
        <v>4146</v>
      </c>
      <c r="D288" s="36" t="s">
        <v>2994</v>
      </c>
      <c r="E288" s="36" t="s">
        <v>4147</v>
      </c>
      <c r="F288" s="37" t="s">
        <v>4159</v>
      </c>
      <c r="G288" s="36" t="s">
        <v>4153</v>
      </c>
      <c r="H288" s="36" t="s">
        <v>4158</v>
      </c>
      <c r="I288" s="36" t="s">
        <v>824</v>
      </c>
    </row>
    <row r="289" spans="1:9" x14ac:dyDescent="0.3">
      <c r="A289">
        <v>291</v>
      </c>
      <c r="B289" s="36" t="s">
        <v>4145</v>
      </c>
      <c r="C289" s="36" t="s">
        <v>4154</v>
      </c>
      <c r="D289" s="36" t="s">
        <v>2999</v>
      </c>
      <c r="E289" s="36" t="s">
        <v>4151</v>
      </c>
      <c r="F289" s="37" t="s">
        <v>4157</v>
      </c>
      <c r="G289" s="36" t="s">
        <v>4153</v>
      </c>
      <c r="H289" s="36" t="s">
        <v>4158</v>
      </c>
      <c r="I289" s="36" t="s">
        <v>824</v>
      </c>
    </row>
    <row r="290" spans="1:9" x14ac:dyDescent="0.3">
      <c r="A290">
        <v>292</v>
      </c>
      <c r="B290" s="36" t="s">
        <v>4145</v>
      </c>
      <c r="C290" s="36" t="s">
        <v>4146</v>
      </c>
      <c r="D290" s="36" t="s">
        <v>3001</v>
      </c>
      <c r="E290" s="36" t="s">
        <v>4147</v>
      </c>
      <c r="F290" s="37" t="s">
        <v>4155</v>
      </c>
      <c r="G290" s="36" t="s">
        <v>4153</v>
      </c>
      <c r="H290" s="36" t="s">
        <v>4158</v>
      </c>
      <c r="I290" s="36" t="s">
        <v>824</v>
      </c>
    </row>
    <row r="291" spans="1:9" x14ac:dyDescent="0.3">
      <c r="A291">
        <v>293</v>
      </c>
      <c r="B291" s="36" t="s">
        <v>4145</v>
      </c>
      <c r="C291" s="36" t="s">
        <v>4146</v>
      </c>
      <c r="D291" s="36" t="s">
        <v>2999</v>
      </c>
      <c r="E291" s="36" t="s">
        <v>4151</v>
      </c>
      <c r="F291" s="37" t="s">
        <v>4155</v>
      </c>
      <c r="G291" s="36" t="s">
        <v>4153</v>
      </c>
      <c r="H291" s="36" t="s">
        <v>4158</v>
      </c>
      <c r="I291" s="36" t="s">
        <v>824</v>
      </c>
    </row>
    <row r="292" spans="1:9" x14ac:dyDescent="0.3">
      <c r="A292">
        <v>294</v>
      </c>
      <c r="B292" s="36" t="s">
        <v>4145</v>
      </c>
      <c r="C292" s="36" t="s">
        <v>4146</v>
      </c>
      <c r="D292" s="36" t="s">
        <v>3001</v>
      </c>
      <c r="E292" s="36" t="s">
        <v>4147</v>
      </c>
      <c r="F292" s="37" t="s">
        <v>4148</v>
      </c>
      <c r="G292" s="36" t="s">
        <v>4153</v>
      </c>
      <c r="H292" s="36" t="s">
        <v>4158</v>
      </c>
      <c r="I292" s="36" t="s">
        <v>824</v>
      </c>
    </row>
    <row r="293" spans="1:9" x14ac:dyDescent="0.3">
      <c r="A293">
        <v>295</v>
      </c>
      <c r="B293" s="36" t="s">
        <v>4145</v>
      </c>
      <c r="C293" s="36" t="s">
        <v>4154</v>
      </c>
      <c r="D293" s="36" t="s">
        <v>2999</v>
      </c>
      <c r="E293" s="36" t="s">
        <v>4151</v>
      </c>
      <c r="F293" s="37" t="s">
        <v>4155</v>
      </c>
      <c r="G293" s="36" t="s">
        <v>4153</v>
      </c>
      <c r="H293" s="36" t="s">
        <v>4150</v>
      </c>
      <c r="I293" s="36" t="s">
        <v>4199</v>
      </c>
    </row>
    <row r="294" spans="1:9" x14ac:dyDescent="0.3">
      <c r="A294">
        <v>296</v>
      </c>
      <c r="B294" s="36" t="s">
        <v>4145</v>
      </c>
      <c r="C294" s="36" t="s">
        <v>4146</v>
      </c>
      <c r="D294" s="36" t="s">
        <v>2999</v>
      </c>
      <c r="E294" s="36" t="s">
        <v>4151</v>
      </c>
      <c r="F294" s="37" t="s">
        <v>4159</v>
      </c>
      <c r="G294" s="36" t="s">
        <v>4153</v>
      </c>
      <c r="H294" s="36" t="s">
        <v>4150</v>
      </c>
      <c r="I294" s="36" t="s">
        <v>4199</v>
      </c>
    </row>
    <row r="295" spans="1:9" x14ac:dyDescent="0.3">
      <c r="A295">
        <v>297</v>
      </c>
      <c r="B295" s="36" t="s">
        <v>4145</v>
      </c>
      <c r="C295" s="36" t="s">
        <v>4146</v>
      </c>
      <c r="D295" s="36" t="s">
        <v>3001</v>
      </c>
      <c r="E295" s="36" t="s">
        <v>4147</v>
      </c>
      <c r="F295" s="37" t="s">
        <v>4155</v>
      </c>
      <c r="G295" s="36" t="s">
        <v>4153</v>
      </c>
      <c r="H295" s="36" t="s">
        <v>4150</v>
      </c>
      <c r="I295" s="36" t="s">
        <v>4199</v>
      </c>
    </row>
    <row r="296" spans="1:9" x14ac:dyDescent="0.3">
      <c r="A296">
        <v>298</v>
      </c>
      <c r="B296" s="36" t="s">
        <v>4145</v>
      </c>
      <c r="C296" s="36" t="s">
        <v>4146</v>
      </c>
      <c r="D296" s="36" t="s">
        <v>3001</v>
      </c>
      <c r="E296" s="36" t="s">
        <v>4147</v>
      </c>
      <c r="F296" s="37" t="s">
        <v>4148</v>
      </c>
      <c r="G296" s="36" t="s">
        <v>4149</v>
      </c>
      <c r="H296" s="36" t="s">
        <v>4158</v>
      </c>
      <c r="I296" s="36" t="s">
        <v>4199</v>
      </c>
    </row>
    <row r="297" spans="1:9" x14ac:dyDescent="0.3">
      <c r="A297">
        <v>299</v>
      </c>
      <c r="B297" s="36" t="s">
        <v>4145</v>
      </c>
      <c r="C297" s="36" t="s">
        <v>4146</v>
      </c>
      <c r="D297" s="36" t="s">
        <v>2999</v>
      </c>
      <c r="E297" s="36" t="s">
        <v>4151</v>
      </c>
      <c r="F297" s="37" t="s">
        <v>4155</v>
      </c>
      <c r="G297" s="36" t="s">
        <v>4149</v>
      </c>
      <c r="H297" s="36" t="s">
        <v>4156</v>
      </c>
      <c r="I297" s="36" t="s">
        <v>4199</v>
      </c>
    </row>
    <row r="298" spans="1:9" x14ac:dyDescent="0.3">
      <c r="A298">
        <v>301</v>
      </c>
      <c r="B298" s="36" t="s">
        <v>4145</v>
      </c>
      <c r="C298" s="36" t="s">
        <v>4154</v>
      </c>
      <c r="D298" s="36" t="s">
        <v>2999</v>
      </c>
      <c r="E298" s="36" t="s">
        <v>4151</v>
      </c>
      <c r="F298" s="37" t="s">
        <v>4157</v>
      </c>
      <c r="G298" s="36" t="s">
        <v>4149</v>
      </c>
      <c r="H298" s="36" t="s">
        <v>4156</v>
      </c>
      <c r="I298" s="36" t="s">
        <v>824</v>
      </c>
    </row>
    <row r="299" spans="1:9" x14ac:dyDescent="0.3">
      <c r="A299">
        <v>302</v>
      </c>
      <c r="B299" s="36" t="s">
        <v>4145</v>
      </c>
      <c r="C299" s="36" t="s">
        <v>4154</v>
      </c>
      <c r="D299" s="36" t="s">
        <v>2999</v>
      </c>
      <c r="E299" s="36" t="s">
        <v>4151</v>
      </c>
      <c r="F299" s="37" t="s">
        <v>4155</v>
      </c>
      <c r="G299" s="36" t="s">
        <v>4149</v>
      </c>
      <c r="H299" s="36" t="s">
        <v>4156</v>
      </c>
      <c r="I299" s="36" t="s">
        <v>824</v>
      </c>
    </row>
    <row r="300" spans="1:9" x14ac:dyDescent="0.3">
      <c r="A300">
        <v>303</v>
      </c>
      <c r="B300" s="36" t="s">
        <v>4145</v>
      </c>
      <c r="C300" s="36" t="s">
        <v>4146</v>
      </c>
      <c r="D300" s="36" t="s">
        <v>2994</v>
      </c>
      <c r="E300" s="36" t="s">
        <v>4147</v>
      </c>
      <c r="F300" s="37" t="s">
        <v>4155</v>
      </c>
      <c r="G300" s="36" t="s">
        <v>4149</v>
      </c>
      <c r="H300" s="36" t="s">
        <v>4150</v>
      </c>
      <c r="I300" s="36" t="s">
        <v>4199</v>
      </c>
    </row>
    <row r="301" spans="1:9" x14ac:dyDescent="0.3">
      <c r="A301">
        <v>304</v>
      </c>
      <c r="B301" s="36" t="s">
        <v>4145</v>
      </c>
      <c r="C301" s="36" t="s">
        <v>4154</v>
      </c>
      <c r="D301" s="36" t="s">
        <v>2999</v>
      </c>
      <c r="E301" s="36" t="s">
        <v>4151</v>
      </c>
      <c r="F301" s="37" t="s">
        <v>4157</v>
      </c>
      <c r="G301" s="36" t="s">
        <v>4153</v>
      </c>
      <c r="H301" s="36" t="s">
        <v>4158</v>
      </c>
      <c r="I301" s="36" t="s">
        <v>4199</v>
      </c>
    </row>
    <row r="302" spans="1:9" x14ac:dyDescent="0.3">
      <c r="A302">
        <v>305</v>
      </c>
      <c r="B302" s="36" t="s">
        <v>4145</v>
      </c>
      <c r="C302" s="36" t="s">
        <v>4146</v>
      </c>
      <c r="D302" s="36" t="s">
        <v>3001</v>
      </c>
      <c r="E302" s="36" t="s">
        <v>4147</v>
      </c>
      <c r="F302" s="37" t="s">
        <v>4157</v>
      </c>
      <c r="G302" s="36" t="s">
        <v>4153</v>
      </c>
      <c r="H302" s="36" t="s">
        <v>4158</v>
      </c>
      <c r="I302" s="36" t="s">
        <v>4199</v>
      </c>
    </row>
    <row r="303" spans="1:9" x14ac:dyDescent="0.3">
      <c r="A303">
        <v>306</v>
      </c>
      <c r="B303" s="36" t="s">
        <v>4145</v>
      </c>
      <c r="C303" s="36" t="s">
        <v>4154</v>
      </c>
      <c r="D303" s="36" t="s">
        <v>3008</v>
      </c>
      <c r="E303" s="36" t="s">
        <v>4151</v>
      </c>
      <c r="F303" s="37" t="s">
        <v>4157</v>
      </c>
      <c r="G303" s="36" t="s">
        <v>4149</v>
      </c>
      <c r="H303" s="36" t="s">
        <v>4156</v>
      </c>
      <c r="I303" s="36" t="s">
        <v>824</v>
      </c>
    </row>
    <row r="304" spans="1:9" x14ac:dyDescent="0.3">
      <c r="A304">
        <v>307</v>
      </c>
      <c r="B304" s="36" t="s">
        <v>4145</v>
      </c>
      <c r="C304" s="36" t="s">
        <v>4154</v>
      </c>
      <c r="D304" s="36" t="s">
        <v>2999</v>
      </c>
      <c r="E304" s="36" t="s">
        <v>4151</v>
      </c>
      <c r="F304" s="37" t="s">
        <v>4157</v>
      </c>
      <c r="G304" s="36" t="s">
        <v>4153</v>
      </c>
      <c r="H304" s="36" t="s">
        <v>4158</v>
      </c>
      <c r="I304" s="36" t="s">
        <v>824</v>
      </c>
    </row>
    <row r="305" spans="1:9" x14ac:dyDescent="0.3">
      <c r="A305">
        <v>308</v>
      </c>
      <c r="B305" s="36" t="s">
        <v>4145</v>
      </c>
      <c r="C305" s="36" t="s">
        <v>4154</v>
      </c>
      <c r="D305" s="36" t="s">
        <v>2999</v>
      </c>
      <c r="E305" s="36" t="s">
        <v>4151</v>
      </c>
      <c r="F305" s="37" t="s">
        <v>4148</v>
      </c>
      <c r="G305" s="36" t="s">
        <v>4153</v>
      </c>
      <c r="H305" s="36" t="s">
        <v>4158</v>
      </c>
      <c r="I305" s="36" t="s">
        <v>824</v>
      </c>
    </row>
    <row r="306" spans="1:9" x14ac:dyDescent="0.3">
      <c r="A306">
        <v>309</v>
      </c>
      <c r="B306" s="36" t="s">
        <v>4145</v>
      </c>
      <c r="C306" s="36" t="s">
        <v>4146</v>
      </c>
      <c r="D306" s="36" t="s">
        <v>3001</v>
      </c>
      <c r="E306" s="36" t="s">
        <v>4147</v>
      </c>
      <c r="F306" s="37" t="s">
        <v>4157</v>
      </c>
      <c r="G306" s="36" t="s">
        <v>4149</v>
      </c>
      <c r="H306" s="36" t="s">
        <v>4150</v>
      </c>
      <c r="I306" s="36" t="s">
        <v>4199</v>
      </c>
    </row>
    <row r="307" spans="1:9" x14ac:dyDescent="0.3">
      <c r="A307">
        <v>310</v>
      </c>
      <c r="B307" s="36" t="s">
        <v>4145</v>
      </c>
      <c r="C307" s="36" t="s">
        <v>4146</v>
      </c>
      <c r="D307" s="36" t="s">
        <v>2994</v>
      </c>
      <c r="E307" s="36" t="s">
        <v>4147</v>
      </c>
      <c r="F307" s="37" t="s">
        <v>4155</v>
      </c>
      <c r="G307" s="36" t="s">
        <v>4153</v>
      </c>
      <c r="H307" s="36" t="s">
        <v>4150</v>
      </c>
      <c r="I307" s="36" t="s">
        <v>824</v>
      </c>
    </row>
    <row r="308" spans="1:9" x14ac:dyDescent="0.3">
      <c r="A308">
        <v>311</v>
      </c>
      <c r="B308" s="36" t="s">
        <v>4145</v>
      </c>
      <c r="C308" s="36" t="s">
        <v>4154</v>
      </c>
      <c r="D308" s="36" t="s">
        <v>2999</v>
      </c>
      <c r="E308" s="36" t="s">
        <v>4151</v>
      </c>
      <c r="F308" s="37" t="s">
        <v>4157</v>
      </c>
      <c r="G308" s="36" t="s">
        <v>4153</v>
      </c>
      <c r="H308" s="36" t="s">
        <v>4150</v>
      </c>
      <c r="I308" s="36" t="s">
        <v>824</v>
      </c>
    </row>
    <row r="309" spans="1:9" x14ac:dyDescent="0.3">
      <c r="A309">
        <v>312</v>
      </c>
      <c r="B309" s="36" t="s">
        <v>4145</v>
      </c>
      <c r="C309" s="36" t="s">
        <v>4146</v>
      </c>
      <c r="D309" s="36" t="s">
        <v>3001</v>
      </c>
      <c r="E309" s="36" t="s">
        <v>4147</v>
      </c>
      <c r="F309" s="37" t="s">
        <v>4155</v>
      </c>
      <c r="G309" s="36" t="s">
        <v>4153</v>
      </c>
      <c r="H309" s="36" t="s">
        <v>4150</v>
      </c>
      <c r="I309" s="36" t="s">
        <v>824</v>
      </c>
    </row>
    <row r="310" spans="1:9" x14ac:dyDescent="0.3">
      <c r="A310">
        <v>313</v>
      </c>
      <c r="B310" s="36" t="s">
        <v>4145</v>
      </c>
      <c r="C310" s="36" t="s">
        <v>4154</v>
      </c>
      <c r="D310" s="36" t="s">
        <v>2999</v>
      </c>
      <c r="E310" s="36" t="s">
        <v>4151</v>
      </c>
      <c r="F310" s="37" t="s">
        <v>4155</v>
      </c>
      <c r="G310" s="36" t="s">
        <v>4153</v>
      </c>
      <c r="H310" s="36" t="s">
        <v>4150</v>
      </c>
      <c r="I310" s="36" t="s">
        <v>4199</v>
      </c>
    </row>
    <row r="311" spans="1:9" x14ac:dyDescent="0.3">
      <c r="A311">
        <v>314</v>
      </c>
      <c r="B311" s="36" t="s">
        <v>4145</v>
      </c>
      <c r="C311" s="36" t="s">
        <v>4154</v>
      </c>
      <c r="D311" s="36" t="s">
        <v>2999</v>
      </c>
      <c r="E311" s="36" t="s">
        <v>4151</v>
      </c>
      <c r="F311" s="37" t="s">
        <v>4148</v>
      </c>
      <c r="G311" s="36" t="s">
        <v>4153</v>
      </c>
      <c r="H311" s="36" t="s">
        <v>4150</v>
      </c>
      <c r="I311" s="36" t="s">
        <v>4199</v>
      </c>
    </row>
    <row r="312" spans="1:9" x14ac:dyDescent="0.3">
      <c r="A312">
        <v>315</v>
      </c>
      <c r="B312" s="36" t="s">
        <v>4145</v>
      </c>
      <c r="C312" s="36" t="s">
        <v>4146</v>
      </c>
      <c r="D312" s="36" t="s">
        <v>3001</v>
      </c>
      <c r="E312" s="36" t="s">
        <v>4147</v>
      </c>
      <c r="F312" s="37" t="s">
        <v>4155</v>
      </c>
      <c r="G312" s="36" t="s">
        <v>4153</v>
      </c>
      <c r="H312" s="36" t="s">
        <v>4150</v>
      </c>
      <c r="I312" s="36" t="s">
        <v>4199</v>
      </c>
    </row>
    <row r="313" spans="1:9" x14ac:dyDescent="0.3">
      <c r="A313">
        <v>316</v>
      </c>
      <c r="B313" s="36" t="s">
        <v>4145</v>
      </c>
      <c r="C313" s="36" t="s">
        <v>4146</v>
      </c>
      <c r="D313" s="36" t="s">
        <v>2994</v>
      </c>
      <c r="E313" s="36" t="s">
        <v>4147</v>
      </c>
      <c r="F313" s="37" t="s">
        <v>4148</v>
      </c>
      <c r="G313" s="36" t="s">
        <v>4149</v>
      </c>
      <c r="H313" s="36" t="s">
        <v>4156</v>
      </c>
      <c r="I313" s="36" t="s">
        <v>824</v>
      </c>
    </row>
    <row r="314" spans="1:9" x14ac:dyDescent="0.3">
      <c r="A314">
        <v>317</v>
      </c>
      <c r="B314" s="36" t="s">
        <v>4145</v>
      </c>
      <c r="C314" s="36" t="s">
        <v>4154</v>
      </c>
      <c r="D314" s="36" t="s">
        <v>2999</v>
      </c>
      <c r="E314" s="36" t="s">
        <v>4151</v>
      </c>
      <c r="F314" s="37" t="s">
        <v>4157</v>
      </c>
      <c r="G314" s="36" t="s">
        <v>4153</v>
      </c>
      <c r="H314" s="36" t="s">
        <v>4158</v>
      </c>
      <c r="I314" s="36" t="s">
        <v>4199</v>
      </c>
    </row>
    <row r="315" spans="1:9" x14ac:dyDescent="0.3">
      <c r="A315">
        <v>318</v>
      </c>
      <c r="B315" s="36" t="s">
        <v>4145</v>
      </c>
      <c r="C315" s="36" t="s">
        <v>4146</v>
      </c>
      <c r="D315" s="36" t="s">
        <v>2999</v>
      </c>
      <c r="E315" s="36" t="s">
        <v>4151</v>
      </c>
      <c r="F315" s="37" t="s">
        <v>4148</v>
      </c>
      <c r="G315" s="36" t="s">
        <v>4153</v>
      </c>
      <c r="H315" s="36" t="s">
        <v>4158</v>
      </c>
      <c r="I315" s="36" t="s">
        <v>4199</v>
      </c>
    </row>
    <row r="316" spans="1:9" x14ac:dyDescent="0.3">
      <c r="A316">
        <v>319</v>
      </c>
      <c r="B316" s="36" t="s">
        <v>4145</v>
      </c>
      <c r="C316" s="36" t="s">
        <v>4154</v>
      </c>
      <c r="D316" s="36" t="s">
        <v>2999</v>
      </c>
      <c r="E316" s="36" t="s">
        <v>4151</v>
      </c>
      <c r="F316" s="37" t="s">
        <v>4148</v>
      </c>
      <c r="G316" s="36" t="s">
        <v>4149</v>
      </c>
      <c r="H316" s="36" t="s">
        <v>4156</v>
      </c>
      <c r="I316" s="36" t="s">
        <v>824</v>
      </c>
    </row>
    <row r="317" spans="1:9" x14ac:dyDescent="0.3">
      <c r="A317">
        <v>320</v>
      </c>
      <c r="B317" s="36" t="s">
        <v>4145</v>
      </c>
      <c r="C317" s="36" t="s">
        <v>4146</v>
      </c>
      <c r="D317" s="36" t="s">
        <v>2994</v>
      </c>
      <c r="E317" s="36" t="s">
        <v>4147</v>
      </c>
      <c r="F317" s="37" t="s">
        <v>4155</v>
      </c>
      <c r="G317" s="36" t="s">
        <v>4149</v>
      </c>
      <c r="H317" s="36" t="s">
        <v>4150</v>
      </c>
      <c r="I317" s="36" t="s">
        <v>4199</v>
      </c>
    </row>
    <row r="318" spans="1:9" x14ac:dyDescent="0.3">
      <c r="A318">
        <v>321</v>
      </c>
      <c r="B318" s="36" t="s">
        <v>4145</v>
      </c>
      <c r="C318" s="36" t="s">
        <v>4146</v>
      </c>
      <c r="D318" s="36" t="s">
        <v>2999</v>
      </c>
      <c r="E318" s="36" t="s">
        <v>4151</v>
      </c>
      <c r="F318" s="37" t="s">
        <v>4148</v>
      </c>
      <c r="G318" s="36" t="s">
        <v>4149</v>
      </c>
      <c r="H318" s="36" t="s">
        <v>4156</v>
      </c>
      <c r="I318" s="36" t="s">
        <v>824</v>
      </c>
    </row>
    <row r="319" spans="1:9" x14ac:dyDescent="0.3">
      <c r="A319">
        <v>322</v>
      </c>
      <c r="B319" s="36" t="s">
        <v>4145</v>
      </c>
      <c r="C319" s="36" t="s">
        <v>4154</v>
      </c>
      <c r="D319" s="36" t="s">
        <v>2999</v>
      </c>
      <c r="E319" s="36" t="s">
        <v>4151</v>
      </c>
      <c r="F319" s="37" t="s">
        <v>4157</v>
      </c>
      <c r="G319" s="36" t="s">
        <v>4149</v>
      </c>
      <c r="H319" s="36" t="s">
        <v>4156</v>
      </c>
      <c r="I319" s="36" t="s">
        <v>824</v>
      </c>
    </row>
    <row r="320" spans="1:9" x14ac:dyDescent="0.3">
      <c r="A320">
        <v>323</v>
      </c>
      <c r="B320" s="36" t="s">
        <v>4145</v>
      </c>
      <c r="C320" s="36" t="s">
        <v>4146</v>
      </c>
      <c r="D320" s="36" t="s">
        <v>2994</v>
      </c>
      <c r="E320" s="36" t="s">
        <v>4147</v>
      </c>
      <c r="F320" s="37" t="s">
        <v>4155</v>
      </c>
      <c r="G320" s="36" t="s">
        <v>4149</v>
      </c>
      <c r="H320" s="36" t="s">
        <v>4150</v>
      </c>
      <c r="I320" s="36" t="s">
        <v>4199</v>
      </c>
    </row>
    <row r="321" spans="1:9" x14ac:dyDescent="0.3">
      <c r="A321">
        <v>324</v>
      </c>
      <c r="B321" s="36" t="s">
        <v>4161</v>
      </c>
      <c r="C321" s="36" t="s">
        <v>4154</v>
      </c>
      <c r="D321" s="36" t="s">
        <v>2999</v>
      </c>
      <c r="E321" s="36" t="s">
        <v>4151</v>
      </c>
      <c r="F321" s="37" t="s">
        <v>4148</v>
      </c>
      <c r="G321" s="36" t="s">
        <v>4153</v>
      </c>
      <c r="H321" s="36" t="s">
        <v>4156</v>
      </c>
      <c r="I321" s="36" t="s">
        <v>4199</v>
      </c>
    </row>
    <row r="322" spans="1:9" x14ac:dyDescent="0.3">
      <c r="A322">
        <v>325</v>
      </c>
      <c r="B322" s="36" t="s">
        <v>4161</v>
      </c>
      <c r="C322" s="36" t="s">
        <v>4146</v>
      </c>
      <c r="D322" s="36" t="s">
        <v>3001</v>
      </c>
      <c r="E322" s="36" t="s">
        <v>4147</v>
      </c>
      <c r="F322" s="37" t="s">
        <v>4148</v>
      </c>
      <c r="G322" s="36" t="s">
        <v>4153</v>
      </c>
      <c r="H322" s="36" t="s">
        <v>4156</v>
      </c>
      <c r="I322" s="36" t="s">
        <v>4199</v>
      </c>
    </row>
    <row r="323" spans="1:9" x14ac:dyDescent="0.3">
      <c r="A323">
        <v>326</v>
      </c>
      <c r="B323" s="36" t="s">
        <v>4161</v>
      </c>
      <c r="C323" s="36" t="s">
        <v>4154</v>
      </c>
      <c r="D323" s="36" t="s">
        <v>2999</v>
      </c>
      <c r="E323" s="36" t="s">
        <v>4151</v>
      </c>
      <c r="F323" s="37" t="s">
        <v>4148</v>
      </c>
      <c r="G323" s="36" t="s">
        <v>4149</v>
      </c>
      <c r="H323" s="36" t="s">
        <v>4156</v>
      </c>
      <c r="I323" s="36" t="s">
        <v>824</v>
      </c>
    </row>
    <row r="324" spans="1:9" x14ac:dyDescent="0.3">
      <c r="A324">
        <v>327</v>
      </c>
      <c r="B324" s="36" t="s">
        <v>4161</v>
      </c>
      <c r="C324" s="36" t="s">
        <v>4154</v>
      </c>
      <c r="D324" s="36" t="s">
        <v>2999</v>
      </c>
      <c r="E324" s="36" t="s">
        <v>4151</v>
      </c>
      <c r="F324" s="37" t="s">
        <v>4159</v>
      </c>
      <c r="G324" s="36" t="s">
        <v>4149</v>
      </c>
      <c r="H324" s="36" t="s">
        <v>4156</v>
      </c>
      <c r="I324" s="36" t="s">
        <v>824</v>
      </c>
    </row>
    <row r="325" spans="1:9" x14ac:dyDescent="0.3">
      <c r="A325">
        <v>328</v>
      </c>
      <c r="B325" s="36" t="s">
        <v>4161</v>
      </c>
      <c r="C325" s="36" t="s">
        <v>4154</v>
      </c>
      <c r="D325" s="36" t="s">
        <v>2999</v>
      </c>
      <c r="E325" s="36" t="s">
        <v>4151</v>
      </c>
      <c r="F325" s="37" t="s">
        <v>4148</v>
      </c>
      <c r="G325" s="36" t="s">
        <v>4149</v>
      </c>
      <c r="H325" s="36" t="s">
        <v>4156</v>
      </c>
      <c r="I325" s="36" t="s">
        <v>824</v>
      </c>
    </row>
    <row r="326" spans="1:9" x14ac:dyDescent="0.3">
      <c r="A326">
        <v>329</v>
      </c>
      <c r="B326" s="36" t="s">
        <v>4161</v>
      </c>
      <c r="C326" s="36" t="s">
        <v>4154</v>
      </c>
      <c r="D326" s="36" t="s">
        <v>2999</v>
      </c>
      <c r="E326" s="36" t="s">
        <v>4151</v>
      </c>
      <c r="F326" s="37" t="s">
        <v>4155</v>
      </c>
      <c r="G326" s="36" t="s">
        <v>4153</v>
      </c>
      <c r="H326" s="36" t="s">
        <v>4156</v>
      </c>
      <c r="I326" s="36" t="s">
        <v>824</v>
      </c>
    </row>
    <row r="327" spans="1:9" x14ac:dyDescent="0.3">
      <c r="A327">
        <v>330</v>
      </c>
      <c r="B327" s="36" t="s">
        <v>4161</v>
      </c>
      <c r="C327" s="36" t="s">
        <v>4146</v>
      </c>
      <c r="D327" s="36" t="s">
        <v>3001</v>
      </c>
      <c r="E327" s="36" t="s">
        <v>4147</v>
      </c>
      <c r="F327" s="37" t="s">
        <v>4155</v>
      </c>
      <c r="G327" s="36" t="s">
        <v>4153</v>
      </c>
      <c r="H327" s="36" t="s">
        <v>4156</v>
      </c>
      <c r="I327" s="36" t="s">
        <v>824</v>
      </c>
    </row>
    <row r="328" spans="1:9" x14ac:dyDescent="0.3">
      <c r="A328">
        <v>331</v>
      </c>
      <c r="B328" s="36" t="s">
        <v>4161</v>
      </c>
      <c r="C328" s="36" t="s">
        <v>4154</v>
      </c>
      <c r="D328" s="36" t="s">
        <v>2999</v>
      </c>
      <c r="E328" s="36" t="s">
        <v>4151</v>
      </c>
      <c r="F328" s="37" t="s">
        <v>4157</v>
      </c>
      <c r="G328" s="36" t="s">
        <v>4149</v>
      </c>
      <c r="H328" s="36" t="s">
        <v>4156</v>
      </c>
      <c r="I328" s="36" t="s">
        <v>824</v>
      </c>
    </row>
    <row r="329" spans="1:9" x14ac:dyDescent="0.3">
      <c r="A329">
        <v>332</v>
      </c>
      <c r="B329" s="36" t="s">
        <v>4161</v>
      </c>
      <c r="C329" s="36" t="s">
        <v>4154</v>
      </c>
      <c r="D329" s="36" t="s">
        <v>2999</v>
      </c>
      <c r="E329" s="36" t="s">
        <v>4151</v>
      </c>
      <c r="F329" s="37" t="s">
        <v>4159</v>
      </c>
      <c r="G329" s="36" t="s">
        <v>4149</v>
      </c>
      <c r="H329" s="36" t="s">
        <v>4156</v>
      </c>
      <c r="I329" s="36" t="s">
        <v>824</v>
      </c>
    </row>
    <row r="330" spans="1:9" x14ac:dyDescent="0.3">
      <c r="A330">
        <v>333</v>
      </c>
      <c r="B330" s="36" t="s">
        <v>4161</v>
      </c>
      <c r="C330" s="36" t="s">
        <v>4154</v>
      </c>
      <c r="D330" s="36" t="s">
        <v>2999</v>
      </c>
      <c r="E330" s="36" t="s">
        <v>4151</v>
      </c>
      <c r="F330" s="37" t="s">
        <v>4148</v>
      </c>
      <c r="G330" s="36" t="s">
        <v>4149</v>
      </c>
      <c r="H330" s="36" t="s">
        <v>4156</v>
      </c>
      <c r="I330" s="36" t="s">
        <v>824</v>
      </c>
    </row>
    <row r="331" spans="1:9" x14ac:dyDescent="0.3">
      <c r="A331">
        <v>334</v>
      </c>
      <c r="B331" s="36" t="s">
        <v>4161</v>
      </c>
      <c r="C331" s="36" t="s">
        <v>4146</v>
      </c>
      <c r="D331" s="36" t="s">
        <v>3001</v>
      </c>
      <c r="E331" s="36" t="s">
        <v>4147</v>
      </c>
      <c r="F331" s="37" t="s">
        <v>4155</v>
      </c>
      <c r="G331" s="36" t="s">
        <v>4149</v>
      </c>
      <c r="H331" s="36" t="s">
        <v>4156</v>
      </c>
      <c r="I331" s="36" t="s">
        <v>824</v>
      </c>
    </row>
    <row r="332" spans="1:9" x14ac:dyDescent="0.3">
      <c r="A332">
        <v>335</v>
      </c>
      <c r="B332" s="36" t="s">
        <v>4161</v>
      </c>
      <c r="C332" s="36" t="s">
        <v>4154</v>
      </c>
      <c r="D332" s="36" t="s">
        <v>2999</v>
      </c>
      <c r="E332" s="36" t="s">
        <v>4151</v>
      </c>
      <c r="F332" s="37" t="s">
        <v>4148</v>
      </c>
      <c r="G332" s="36" t="s">
        <v>4149</v>
      </c>
      <c r="H332" s="36" t="s">
        <v>4156</v>
      </c>
      <c r="I332" s="36" t="s">
        <v>824</v>
      </c>
    </row>
    <row r="333" spans="1:9" x14ac:dyDescent="0.3">
      <c r="A333">
        <v>336</v>
      </c>
      <c r="B333" s="36" t="s">
        <v>4161</v>
      </c>
      <c r="C333" s="36" t="s">
        <v>4154</v>
      </c>
      <c r="D333" s="36" t="s">
        <v>3338</v>
      </c>
      <c r="E333" s="36" t="s">
        <v>4151</v>
      </c>
      <c r="F333" s="37" t="s">
        <v>4157</v>
      </c>
      <c r="G333" s="36" t="s">
        <v>4149</v>
      </c>
      <c r="H333" s="36" t="s">
        <v>4156</v>
      </c>
      <c r="I333" s="36" t="s">
        <v>824</v>
      </c>
    </row>
    <row r="334" spans="1:9" x14ac:dyDescent="0.3">
      <c r="A334">
        <v>337</v>
      </c>
      <c r="B334" s="36" t="s">
        <v>4161</v>
      </c>
      <c r="C334" s="36" t="s">
        <v>4146</v>
      </c>
      <c r="D334" s="36" t="s">
        <v>2999</v>
      </c>
      <c r="E334" s="36" t="s">
        <v>4151</v>
      </c>
      <c r="F334" s="37" t="s">
        <v>4155</v>
      </c>
      <c r="G334" s="36" t="s">
        <v>4153</v>
      </c>
      <c r="H334" s="36" t="s">
        <v>4156</v>
      </c>
      <c r="I334" s="36" t="s">
        <v>824</v>
      </c>
    </row>
    <row r="335" spans="1:9" x14ac:dyDescent="0.3">
      <c r="A335">
        <v>338</v>
      </c>
      <c r="B335" s="36" t="s">
        <v>4161</v>
      </c>
      <c r="C335" s="36" t="s">
        <v>4146</v>
      </c>
      <c r="D335" s="36" t="s">
        <v>3001</v>
      </c>
      <c r="E335" s="36" t="s">
        <v>4147</v>
      </c>
      <c r="F335" s="37" t="s">
        <v>4148</v>
      </c>
      <c r="G335" s="36" t="s">
        <v>4153</v>
      </c>
      <c r="H335" s="36" t="s">
        <v>4156</v>
      </c>
      <c r="I335" s="36" t="s">
        <v>824</v>
      </c>
    </row>
    <row r="336" spans="1:9" x14ac:dyDescent="0.3">
      <c r="A336">
        <v>339</v>
      </c>
      <c r="B336" s="36" t="s">
        <v>4161</v>
      </c>
      <c r="C336" s="36" t="s">
        <v>4154</v>
      </c>
      <c r="D336" s="36" t="s">
        <v>2999</v>
      </c>
      <c r="E336" s="36" t="s">
        <v>4151</v>
      </c>
      <c r="F336" s="37" t="s">
        <v>4148</v>
      </c>
      <c r="G336" s="36" t="s">
        <v>4149</v>
      </c>
      <c r="H336" s="36" t="s">
        <v>4156</v>
      </c>
      <c r="I336" s="36" t="s">
        <v>824</v>
      </c>
    </row>
    <row r="337" spans="1:9" x14ac:dyDescent="0.3">
      <c r="A337">
        <v>340</v>
      </c>
      <c r="B337" s="36" t="s">
        <v>4161</v>
      </c>
      <c r="C337" s="36" t="s">
        <v>4146</v>
      </c>
      <c r="D337" s="36" t="s">
        <v>2996</v>
      </c>
      <c r="E337" s="36" t="s">
        <v>4151</v>
      </c>
      <c r="F337" s="37" t="s">
        <v>4152</v>
      </c>
      <c r="G337" s="36" t="s">
        <v>4153</v>
      </c>
      <c r="H337" s="36" t="s">
        <v>4156</v>
      </c>
      <c r="I337" s="36" t="s">
        <v>824</v>
      </c>
    </row>
    <row r="338" spans="1:9" x14ac:dyDescent="0.3">
      <c r="A338">
        <v>341</v>
      </c>
      <c r="B338" s="36" t="s">
        <v>4161</v>
      </c>
      <c r="C338" s="36" t="s">
        <v>4146</v>
      </c>
      <c r="D338" s="36" t="s">
        <v>2994</v>
      </c>
      <c r="E338" s="36" t="s">
        <v>4147</v>
      </c>
      <c r="F338" s="37" t="s">
        <v>4152</v>
      </c>
      <c r="G338" s="36" t="s">
        <v>4153</v>
      </c>
      <c r="H338" s="36" t="s">
        <v>4156</v>
      </c>
      <c r="I338" s="36" t="s">
        <v>824</v>
      </c>
    </row>
    <row r="339" spans="1:9" x14ac:dyDescent="0.3">
      <c r="A339">
        <v>342</v>
      </c>
      <c r="B339" s="36" t="s">
        <v>4161</v>
      </c>
      <c r="C339" s="36" t="s">
        <v>4146</v>
      </c>
      <c r="D339" s="36" t="s">
        <v>2994</v>
      </c>
      <c r="E339" s="36" t="s">
        <v>4147</v>
      </c>
      <c r="F339" s="37" t="s">
        <v>4152</v>
      </c>
      <c r="G339" s="36" t="s">
        <v>4153</v>
      </c>
      <c r="H339" s="36" t="s">
        <v>4156</v>
      </c>
      <c r="I339" s="36" t="s">
        <v>824</v>
      </c>
    </row>
    <row r="340" spans="1:9" x14ac:dyDescent="0.3">
      <c r="A340">
        <v>343</v>
      </c>
      <c r="B340" s="36" t="s">
        <v>4161</v>
      </c>
      <c r="C340" s="36" t="s">
        <v>4146</v>
      </c>
      <c r="D340" s="36" t="s">
        <v>3001</v>
      </c>
      <c r="E340" s="36" t="s">
        <v>4147</v>
      </c>
      <c r="F340" s="37" t="s">
        <v>4155</v>
      </c>
      <c r="G340" s="36" t="s">
        <v>4153</v>
      </c>
      <c r="H340" s="36" t="s">
        <v>4156</v>
      </c>
      <c r="I340" s="36" t="s">
        <v>824</v>
      </c>
    </row>
    <row r="341" spans="1:9" x14ac:dyDescent="0.3">
      <c r="A341">
        <v>344</v>
      </c>
      <c r="B341" s="36" t="s">
        <v>4161</v>
      </c>
      <c r="C341" s="36" t="s">
        <v>4146</v>
      </c>
      <c r="D341" s="36" t="s">
        <v>2999</v>
      </c>
      <c r="E341" s="36" t="s">
        <v>4151</v>
      </c>
      <c r="F341" s="37" t="s">
        <v>4155</v>
      </c>
      <c r="G341" s="36" t="s">
        <v>4149</v>
      </c>
      <c r="H341" s="36" t="s">
        <v>4156</v>
      </c>
      <c r="I341" s="36" t="s">
        <v>824</v>
      </c>
    </row>
    <row r="342" spans="1:9" x14ac:dyDescent="0.3">
      <c r="A342">
        <v>345</v>
      </c>
      <c r="B342" s="36" t="s">
        <v>4161</v>
      </c>
      <c r="C342" s="36" t="s">
        <v>4146</v>
      </c>
      <c r="D342" s="36" t="s">
        <v>2994</v>
      </c>
      <c r="E342" s="36" t="s">
        <v>4147</v>
      </c>
      <c r="F342" s="37" t="s">
        <v>4148</v>
      </c>
      <c r="G342" s="36" t="s">
        <v>4149</v>
      </c>
      <c r="H342" s="36" t="s">
        <v>4156</v>
      </c>
      <c r="I342" s="36" t="s">
        <v>824</v>
      </c>
    </row>
    <row r="343" spans="1:9" x14ac:dyDescent="0.3">
      <c r="A343">
        <v>346</v>
      </c>
      <c r="B343" s="36" t="s">
        <v>4161</v>
      </c>
      <c r="C343" s="36" t="s">
        <v>4154</v>
      </c>
      <c r="D343" s="36" t="s">
        <v>2999</v>
      </c>
      <c r="E343" s="36" t="s">
        <v>4151</v>
      </c>
      <c r="F343" s="37" t="s">
        <v>4148</v>
      </c>
      <c r="G343" s="36" t="s">
        <v>4149</v>
      </c>
      <c r="H343" s="36" t="s">
        <v>4156</v>
      </c>
      <c r="I343" s="36" t="s">
        <v>824</v>
      </c>
    </row>
    <row r="344" spans="1:9" x14ac:dyDescent="0.3">
      <c r="A344">
        <v>347</v>
      </c>
      <c r="B344" s="36" t="s">
        <v>4161</v>
      </c>
      <c r="C344" s="36" t="s">
        <v>4154</v>
      </c>
      <c r="D344" s="36" t="s">
        <v>2999</v>
      </c>
      <c r="E344" s="36" t="s">
        <v>4151</v>
      </c>
      <c r="F344" s="37" t="s">
        <v>4148</v>
      </c>
      <c r="G344" s="36" t="s">
        <v>4149</v>
      </c>
      <c r="H344" s="36" t="s">
        <v>4156</v>
      </c>
      <c r="I344" s="36" t="s">
        <v>824</v>
      </c>
    </row>
    <row r="345" spans="1:9" x14ac:dyDescent="0.3">
      <c r="A345">
        <v>348</v>
      </c>
      <c r="B345" s="36" t="s">
        <v>4161</v>
      </c>
      <c r="C345" s="36" t="s">
        <v>4154</v>
      </c>
      <c r="D345" s="36" t="s">
        <v>2999</v>
      </c>
      <c r="E345" s="36" t="s">
        <v>4151</v>
      </c>
      <c r="F345" s="37" t="s">
        <v>4155</v>
      </c>
      <c r="G345" s="36" t="s">
        <v>4149</v>
      </c>
      <c r="H345" s="36" t="s">
        <v>4156</v>
      </c>
      <c r="I345" s="36" t="s">
        <v>824</v>
      </c>
    </row>
    <row r="346" spans="1:9" x14ac:dyDescent="0.3">
      <c r="A346">
        <v>349</v>
      </c>
      <c r="B346" s="36" t="s">
        <v>4161</v>
      </c>
      <c r="C346" s="36" t="s">
        <v>4154</v>
      </c>
      <c r="D346" s="36" t="s">
        <v>2999</v>
      </c>
      <c r="E346" s="36" t="s">
        <v>4151</v>
      </c>
      <c r="F346" s="37" t="s">
        <v>4148</v>
      </c>
      <c r="G346" s="36" t="s">
        <v>4149</v>
      </c>
      <c r="H346" s="36" t="s">
        <v>4156</v>
      </c>
      <c r="I346" s="36" t="s">
        <v>824</v>
      </c>
    </row>
    <row r="347" spans="1:9" x14ac:dyDescent="0.3">
      <c r="A347">
        <v>350</v>
      </c>
      <c r="B347" s="36" t="s">
        <v>4161</v>
      </c>
      <c r="C347" s="36" t="s">
        <v>4146</v>
      </c>
      <c r="D347" s="36" t="s">
        <v>2994</v>
      </c>
      <c r="E347" s="36" t="s">
        <v>4147</v>
      </c>
      <c r="F347" s="37" t="s">
        <v>4148</v>
      </c>
      <c r="G347" s="36" t="s">
        <v>4149</v>
      </c>
      <c r="H347" s="36" t="s">
        <v>4156</v>
      </c>
      <c r="I347" s="36" t="s">
        <v>824</v>
      </c>
    </row>
    <row r="348" spans="1:9" x14ac:dyDescent="0.3">
      <c r="A348">
        <v>351</v>
      </c>
      <c r="B348" s="36" t="s">
        <v>4161</v>
      </c>
      <c r="C348" s="36" t="s">
        <v>4146</v>
      </c>
      <c r="D348" s="36" t="s">
        <v>2994</v>
      </c>
      <c r="E348" s="36" t="s">
        <v>4147</v>
      </c>
      <c r="F348" s="37" t="s">
        <v>4159</v>
      </c>
      <c r="G348" s="36" t="s">
        <v>4153</v>
      </c>
      <c r="H348" s="36" t="s">
        <v>4156</v>
      </c>
      <c r="I348" s="36" t="s">
        <v>824</v>
      </c>
    </row>
    <row r="349" spans="1:9" x14ac:dyDescent="0.3">
      <c r="A349">
        <v>352</v>
      </c>
      <c r="B349" s="36" t="s">
        <v>4161</v>
      </c>
      <c r="C349" s="36" t="s">
        <v>4154</v>
      </c>
      <c r="D349" s="36" t="s">
        <v>2999</v>
      </c>
      <c r="E349" s="36" t="s">
        <v>4151</v>
      </c>
      <c r="F349" s="37" t="s">
        <v>4157</v>
      </c>
      <c r="G349" s="36" t="s">
        <v>4153</v>
      </c>
      <c r="H349" s="36" t="s">
        <v>4156</v>
      </c>
      <c r="I349" s="36" t="s">
        <v>824</v>
      </c>
    </row>
    <row r="350" spans="1:9" x14ac:dyDescent="0.3">
      <c r="A350">
        <v>353</v>
      </c>
      <c r="B350" s="36" t="s">
        <v>4161</v>
      </c>
      <c r="C350" s="36" t="s">
        <v>4146</v>
      </c>
      <c r="D350" s="36" t="s">
        <v>3001</v>
      </c>
      <c r="E350" s="36" t="s">
        <v>4147</v>
      </c>
      <c r="F350" s="37" t="s">
        <v>4155</v>
      </c>
      <c r="G350" s="36" t="s">
        <v>4153</v>
      </c>
      <c r="H350" s="36" t="s">
        <v>4156</v>
      </c>
      <c r="I350" s="36" t="s">
        <v>824</v>
      </c>
    </row>
    <row r="351" spans="1:9" x14ac:dyDescent="0.3">
      <c r="A351">
        <v>354</v>
      </c>
      <c r="B351" s="36" t="s">
        <v>4161</v>
      </c>
      <c r="C351" s="36" t="s">
        <v>4146</v>
      </c>
      <c r="D351" s="36" t="s">
        <v>2994</v>
      </c>
      <c r="E351" s="36" t="s">
        <v>4147</v>
      </c>
      <c r="F351" s="37" t="s">
        <v>4148</v>
      </c>
      <c r="G351" s="36" t="s">
        <v>4153</v>
      </c>
      <c r="H351" s="36" t="s">
        <v>4156</v>
      </c>
      <c r="I351" s="36" t="s">
        <v>824</v>
      </c>
    </row>
    <row r="352" spans="1:9" x14ac:dyDescent="0.3">
      <c r="A352">
        <v>355</v>
      </c>
      <c r="B352" s="36" t="s">
        <v>4161</v>
      </c>
      <c r="C352" s="36" t="s">
        <v>4154</v>
      </c>
      <c r="D352" s="36" t="s">
        <v>2999</v>
      </c>
      <c r="E352" s="36" t="s">
        <v>4151</v>
      </c>
      <c r="F352" s="37" t="s">
        <v>4148</v>
      </c>
      <c r="G352" s="36" t="s">
        <v>4153</v>
      </c>
      <c r="H352" s="36" t="s">
        <v>4156</v>
      </c>
      <c r="I352" s="36" t="s">
        <v>824</v>
      </c>
    </row>
    <row r="353" spans="1:9" x14ac:dyDescent="0.3">
      <c r="A353">
        <v>356</v>
      </c>
      <c r="B353" s="36" t="s">
        <v>4161</v>
      </c>
      <c r="C353" s="36" t="s">
        <v>4146</v>
      </c>
      <c r="D353" s="36" t="s">
        <v>2994</v>
      </c>
      <c r="E353" s="36" t="s">
        <v>4147</v>
      </c>
      <c r="F353" s="37" t="s">
        <v>4155</v>
      </c>
      <c r="G353" s="36" t="s">
        <v>4149</v>
      </c>
      <c r="H353" s="36" t="s">
        <v>4156</v>
      </c>
      <c r="I353" s="36" t="s">
        <v>824</v>
      </c>
    </row>
    <row r="354" spans="1:9" x14ac:dyDescent="0.3">
      <c r="A354">
        <v>357</v>
      </c>
      <c r="B354" s="36" t="s">
        <v>4161</v>
      </c>
      <c r="C354" s="36" t="s">
        <v>4154</v>
      </c>
      <c r="D354" s="36" t="s">
        <v>2999</v>
      </c>
      <c r="E354" s="36" t="s">
        <v>4151</v>
      </c>
      <c r="F354" s="37" t="s">
        <v>4148</v>
      </c>
      <c r="G354" s="36" t="s">
        <v>4149</v>
      </c>
      <c r="H354" s="36" t="s">
        <v>4156</v>
      </c>
      <c r="I354" s="36" t="s">
        <v>824</v>
      </c>
    </row>
    <row r="355" spans="1:9" x14ac:dyDescent="0.3">
      <c r="A355">
        <v>358</v>
      </c>
      <c r="B355" s="36" t="s">
        <v>4161</v>
      </c>
      <c r="C355" s="36" t="s">
        <v>4154</v>
      </c>
      <c r="D355" s="36" t="s">
        <v>3338</v>
      </c>
      <c r="E355" s="36" t="s">
        <v>4151</v>
      </c>
      <c r="F355" s="37" t="s">
        <v>4155</v>
      </c>
      <c r="G355" s="36" t="s">
        <v>4149</v>
      </c>
      <c r="H355" s="36" t="s">
        <v>4156</v>
      </c>
      <c r="I355" s="36" t="s">
        <v>824</v>
      </c>
    </row>
    <row r="356" spans="1:9" x14ac:dyDescent="0.3">
      <c r="A356">
        <v>359</v>
      </c>
      <c r="B356" s="36" t="s">
        <v>4161</v>
      </c>
      <c r="C356" s="36" t="s">
        <v>4146</v>
      </c>
      <c r="D356" s="36" t="s">
        <v>3001</v>
      </c>
      <c r="E356" s="36" t="s">
        <v>4147</v>
      </c>
      <c r="F356" s="37" t="s">
        <v>4155</v>
      </c>
      <c r="G356" s="36" t="s">
        <v>4149</v>
      </c>
      <c r="H356" s="36" t="s">
        <v>4156</v>
      </c>
      <c r="I356" s="36" t="s">
        <v>824</v>
      </c>
    </row>
    <row r="357" spans="1:9" x14ac:dyDescent="0.3">
      <c r="A357">
        <v>360</v>
      </c>
      <c r="B357" s="36" t="s">
        <v>4161</v>
      </c>
      <c r="C357" s="36" t="s">
        <v>4146</v>
      </c>
      <c r="D357" s="36" t="s">
        <v>2996</v>
      </c>
      <c r="E357" s="36" t="s">
        <v>4151</v>
      </c>
      <c r="F357" s="37" t="s">
        <v>4152</v>
      </c>
      <c r="G357" s="36" t="s">
        <v>4153</v>
      </c>
      <c r="H357" s="36" t="s">
        <v>4156</v>
      </c>
      <c r="I357" s="36" t="s">
        <v>824</v>
      </c>
    </row>
    <row r="358" spans="1:9" x14ac:dyDescent="0.3">
      <c r="A358">
        <v>361</v>
      </c>
      <c r="B358" s="36" t="s">
        <v>4161</v>
      </c>
      <c r="C358" s="36" t="s">
        <v>4146</v>
      </c>
      <c r="D358" s="36" t="s">
        <v>2999</v>
      </c>
      <c r="E358" s="36" t="s">
        <v>4151</v>
      </c>
      <c r="F358" s="37" t="s">
        <v>4148</v>
      </c>
      <c r="G358" s="36" t="s">
        <v>4153</v>
      </c>
      <c r="H358" s="36" t="s">
        <v>4156</v>
      </c>
      <c r="I358" s="36" t="s">
        <v>824</v>
      </c>
    </row>
    <row r="359" spans="1:9" x14ac:dyDescent="0.3">
      <c r="A359">
        <v>362</v>
      </c>
      <c r="B359" s="36" t="s">
        <v>4161</v>
      </c>
      <c r="C359" s="36" t="s">
        <v>4146</v>
      </c>
      <c r="D359" s="36" t="s">
        <v>3001</v>
      </c>
      <c r="E359" s="36" t="s">
        <v>4147</v>
      </c>
      <c r="F359" s="37" t="s">
        <v>4148</v>
      </c>
      <c r="G359" s="36" t="s">
        <v>4153</v>
      </c>
      <c r="H359" s="36" t="s">
        <v>4156</v>
      </c>
      <c r="I359" s="36" t="s">
        <v>824</v>
      </c>
    </row>
    <row r="360" spans="1:9" x14ac:dyDescent="0.3">
      <c r="A360">
        <v>363</v>
      </c>
      <c r="B360" s="36" t="s">
        <v>4161</v>
      </c>
      <c r="C360" s="36" t="s">
        <v>4146</v>
      </c>
      <c r="D360" s="36" t="s">
        <v>2994</v>
      </c>
      <c r="E360" s="36" t="s">
        <v>4147</v>
      </c>
      <c r="F360" s="37" t="s">
        <v>4155</v>
      </c>
      <c r="G360" s="36" t="s">
        <v>4149</v>
      </c>
      <c r="H360" s="36" t="s">
        <v>4156</v>
      </c>
      <c r="I360" s="36" t="s">
        <v>824</v>
      </c>
    </row>
    <row r="361" spans="1:9" x14ac:dyDescent="0.3">
      <c r="A361">
        <v>364</v>
      </c>
      <c r="B361" s="36" t="s">
        <v>4161</v>
      </c>
      <c r="C361" s="36" t="s">
        <v>4154</v>
      </c>
      <c r="D361" s="36" t="s">
        <v>2999</v>
      </c>
      <c r="E361" s="36" t="s">
        <v>4151</v>
      </c>
      <c r="F361" s="37" t="s">
        <v>4148</v>
      </c>
      <c r="G361" s="36" t="s">
        <v>4149</v>
      </c>
      <c r="H361" s="36" t="s">
        <v>4156</v>
      </c>
      <c r="I361" s="36" t="s">
        <v>824</v>
      </c>
    </row>
    <row r="362" spans="1:9" x14ac:dyDescent="0.3">
      <c r="A362">
        <v>365</v>
      </c>
      <c r="B362" s="36" t="s">
        <v>4161</v>
      </c>
      <c r="C362" s="36" t="s">
        <v>4154</v>
      </c>
      <c r="D362" s="36" t="s">
        <v>2999</v>
      </c>
      <c r="E362" s="36" t="s">
        <v>4151</v>
      </c>
      <c r="F362" s="37" t="s">
        <v>4148</v>
      </c>
      <c r="G362" s="36" t="s">
        <v>4149</v>
      </c>
      <c r="H362" s="36" t="s">
        <v>4156</v>
      </c>
      <c r="I362" s="36" t="s">
        <v>824</v>
      </c>
    </row>
    <row r="363" spans="1:9" x14ac:dyDescent="0.3">
      <c r="A363">
        <v>366</v>
      </c>
      <c r="B363" s="36" t="s">
        <v>4161</v>
      </c>
      <c r="C363" s="36" t="s">
        <v>4154</v>
      </c>
      <c r="D363" s="36" t="s">
        <v>3001</v>
      </c>
      <c r="E363" s="36" t="s">
        <v>4147</v>
      </c>
      <c r="F363" s="37" t="s">
        <v>4155</v>
      </c>
      <c r="G363" s="36" t="s">
        <v>4153</v>
      </c>
      <c r="H363" s="36" t="s">
        <v>4156</v>
      </c>
      <c r="I363" s="36" t="s">
        <v>824</v>
      </c>
    </row>
    <row r="364" spans="1:9" x14ac:dyDescent="0.3">
      <c r="A364">
        <v>367</v>
      </c>
      <c r="B364" s="36" t="s">
        <v>4161</v>
      </c>
      <c r="C364" s="36" t="s">
        <v>4154</v>
      </c>
      <c r="D364" s="36" t="s">
        <v>3338</v>
      </c>
      <c r="E364" s="36" t="s">
        <v>4151</v>
      </c>
      <c r="F364" s="37" t="s">
        <v>4157</v>
      </c>
      <c r="G364" s="36" t="s">
        <v>4153</v>
      </c>
      <c r="H364" s="36" t="s">
        <v>4156</v>
      </c>
      <c r="I364" s="36" t="s">
        <v>824</v>
      </c>
    </row>
    <row r="365" spans="1:9" x14ac:dyDescent="0.3">
      <c r="A365">
        <v>368</v>
      </c>
      <c r="B365" s="36" t="s">
        <v>4161</v>
      </c>
      <c r="C365" s="36" t="s">
        <v>4154</v>
      </c>
      <c r="D365" s="36" t="s">
        <v>2999</v>
      </c>
      <c r="E365" s="36" t="s">
        <v>4151</v>
      </c>
      <c r="F365" s="37" t="s">
        <v>4157</v>
      </c>
      <c r="G365" s="36" t="s">
        <v>4149</v>
      </c>
      <c r="H365" s="36" t="s">
        <v>4156</v>
      </c>
      <c r="I365" s="36" t="s">
        <v>824</v>
      </c>
    </row>
    <row r="366" spans="1:9" x14ac:dyDescent="0.3">
      <c r="A366">
        <v>369</v>
      </c>
      <c r="B366" s="36" t="s">
        <v>4161</v>
      </c>
      <c r="C366" s="36" t="s">
        <v>4154</v>
      </c>
      <c r="D366" s="36" t="s">
        <v>2999</v>
      </c>
      <c r="E366" s="36" t="s">
        <v>4151</v>
      </c>
      <c r="F366" s="37" t="s">
        <v>4155</v>
      </c>
      <c r="G366" s="36" t="s">
        <v>4153</v>
      </c>
      <c r="H366" s="36" t="s">
        <v>4156</v>
      </c>
      <c r="I366" s="36" t="s">
        <v>824</v>
      </c>
    </row>
    <row r="367" spans="1:9" x14ac:dyDescent="0.3">
      <c r="A367">
        <v>370</v>
      </c>
      <c r="B367" s="36" t="s">
        <v>4161</v>
      </c>
      <c r="C367" s="36" t="s">
        <v>4154</v>
      </c>
      <c r="D367" s="36" t="s">
        <v>3001</v>
      </c>
      <c r="E367" s="36" t="s">
        <v>4147</v>
      </c>
      <c r="F367" s="37" t="s">
        <v>4148</v>
      </c>
      <c r="G367" s="36" t="s">
        <v>4153</v>
      </c>
      <c r="H367" s="36" t="s">
        <v>4156</v>
      </c>
      <c r="I367" s="36" t="s">
        <v>824</v>
      </c>
    </row>
    <row r="368" spans="1:9" x14ac:dyDescent="0.3">
      <c r="A368">
        <v>371</v>
      </c>
      <c r="B368" s="36" t="s">
        <v>4161</v>
      </c>
      <c r="C368" s="36" t="s">
        <v>4146</v>
      </c>
      <c r="D368" s="36" t="s">
        <v>2994</v>
      </c>
      <c r="E368" s="36" t="s">
        <v>4147</v>
      </c>
      <c r="F368" s="37" t="s">
        <v>4148</v>
      </c>
      <c r="G368" s="36" t="s">
        <v>4153</v>
      </c>
      <c r="H368" s="36" t="s">
        <v>4156</v>
      </c>
      <c r="I368" s="36" t="s">
        <v>824</v>
      </c>
    </row>
    <row r="369" spans="1:9" x14ac:dyDescent="0.3">
      <c r="A369">
        <v>372</v>
      </c>
      <c r="B369" s="36" t="s">
        <v>4161</v>
      </c>
      <c r="C369" s="36" t="s">
        <v>4146</v>
      </c>
      <c r="D369" s="36" t="s">
        <v>3001</v>
      </c>
      <c r="E369" s="36" t="s">
        <v>4147</v>
      </c>
      <c r="F369" s="37" t="s">
        <v>4155</v>
      </c>
      <c r="G369" s="36" t="s">
        <v>4153</v>
      </c>
      <c r="H369" s="36" t="s">
        <v>4156</v>
      </c>
      <c r="I369" s="36" t="s">
        <v>824</v>
      </c>
    </row>
    <row r="370" spans="1:9" x14ac:dyDescent="0.3">
      <c r="A370">
        <v>373</v>
      </c>
      <c r="B370" s="36" t="s">
        <v>4161</v>
      </c>
      <c r="C370" s="36" t="s">
        <v>4154</v>
      </c>
      <c r="D370" s="36" t="s">
        <v>2999</v>
      </c>
      <c r="E370" s="36" t="s">
        <v>4151</v>
      </c>
      <c r="F370" s="37" t="s">
        <v>4148</v>
      </c>
      <c r="G370" s="36" t="s">
        <v>4153</v>
      </c>
      <c r="H370" s="36" t="s">
        <v>4156</v>
      </c>
      <c r="I370" s="36" t="s">
        <v>824</v>
      </c>
    </row>
    <row r="371" spans="1:9" x14ac:dyDescent="0.3">
      <c r="A371">
        <v>374</v>
      </c>
      <c r="B371" s="36" t="s">
        <v>4161</v>
      </c>
      <c r="C371" s="36" t="s">
        <v>4146</v>
      </c>
      <c r="D371" s="36" t="s">
        <v>3001</v>
      </c>
      <c r="E371" s="36" t="s">
        <v>4147</v>
      </c>
      <c r="F371" s="37" t="s">
        <v>4148</v>
      </c>
      <c r="G371" s="36" t="s">
        <v>4153</v>
      </c>
      <c r="H371" s="36" t="s">
        <v>4156</v>
      </c>
      <c r="I371" s="36" t="s">
        <v>824</v>
      </c>
    </row>
    <row r="372" spans="1:9" x14ac:dyDescent="0.3">
      <c r="A372">
        <v>375</v>
      </c>
      <c r="B372" s="36" t="s">
        <v>4161</v>
      </c>
      <c r="C372" s="36" t="s">
        <v>4154</v>
      </c>
      <c r="D372" s="36" t="s">
        <v>2999</v>
      </c>
      <c r="E372" s="36" t="s">
        <v>4151</v>
      </c>
      <c r="F372" s="37" t="s">
        <v>4148</v>
      </c>
      <c r="G372" s="36" t="s">
        <v>4149</v>
      </c>
      <c r="H372" s="36" t="s">
        <v>4156</v>
      </c>
      <c r="I372" s="36" t="s">
        <v>824</v>
      </c>
    </row>
    <row r="373" spans="1:9" x14ac:dyDescent="0.3">
      <c r="A373">
        <v>376</v>
      </c>
      <c r="B373" s="36" t="s">
        <v>4161</v>
      </c>
      <c r="C373" s="36" t="s">
        <v>4154</v>
      </c>
      <c r="D373" s="36" t="s">
        <v>2999</v>
      </c>
      <c r="E373" s="36" t="s">
        <v>4151</v>
      </c>
      <c r="F373" s="37" t="s">
        <v>4148</v>
      </c>
      <c r="G373" s="36" t="s">
        <v>4149</v>
      </c>
      <c r="H373" s="36" t="s">
        <v>4156</v>
      </c>
      <c r="I373" s="36" t="s">
        <v>824</v>
      </c>
    </row>
    <row r="374" spans="1:9" x14ac:dyDescent="0.3">
      <c r="A374">
        <v>377</v>
      </c>
      <c r="B374" s="36" t="s">
        <v>4161</v>
      </c>
      <c r="C374" s="36" t="s">
        <v>4146</v>
      </c>
      <c r="D374" s="36" t="s">
        <v>2999</v>
      </c>
      <c r="E374" s="36" t="s">
        <v>4151</v>
      </c>
      <c r="F374" s="37" t="s">
        <v>4148</v>
      </c>
      <c r="G374" s="36" t="s">
        <v>4149</v>
      </c>
      <c r="H374" s="36" t="s">
        <v>4156</v>
      </c>
      <c r="I374" s="36" t="s">
        <v>824</v>
      </c>
    </row>
    <row r="375" spans="1:9" x14ac:dyDescent="0.3">
      <c r="A375">
        <v>378</v>
      </c>
      <c r="B375" s="36" t="s">
        <v>4161</v>
      </c>
      <c r="C375" s="36" t="s">
        <v>4146</v>
      </c>
      <c r="D375" s="36" t="s">
        <v>2994</v>
      </c>
      <c r="E375" s="36" t="s">
        <v>4147</v>
      </c>
      <c r="F375" s="37" t="s">
        <v>4152</v>
      </c>
      <c r="G375" s="36" t="s">
        <v>4153</v>
      </c>
      <c r="H375" s="36" t="s">
        <v>4156</v>
      </c>
      <c r="I375" s="36" t="s">
        <v>824</v>
      </c>
    </row>
    <row r="376" spans="1:9" x14ac:dyDescent="0.3">
      <c r="A376">
        <v>379</v>
      </c>
      <c r="B376" s="36" t="s">
        <v>4161</v>
      </c>
      <c r="C376" s="36" t="s">
        <v>4154</v>
      </c>
      <c r="D376" s="36" t="s">
        <v>2999</v>
      </c>
      <c r="E376" s="36" t="s">
        <v>4151</v>
      </c>
      <c r="F376" s="37" t="s">
        <v>4155</v>
      </c>
      <c r="G376" s="36" t="s">
        <v>4153</v>
      </c>
      <c r="H376" s="36" t="s">
        <v>4156</v>
      </c>
      <c r="I376" s="36" t="s">
        <v>824</v>
      </c>
    </row>
    <row r="377" spans="1:9" x14ac:dyDescent="0.3">
      <c r="A377">
        <v>380</v>
      </c>
      <c r="B377" s="36" t="s">
        <v>4161</v>
      </c>
      <c r="C377" s="36" t="s">
        <v>4146</v>
      </c>
      <c r="D377" s="36" t="s">
        <v>3001</v>
      </c>
      <c r="E377" s="36" t="s">
        <v>4147</v>
      </c>
      <c r="F377" s="37" t="s">
        <v>4155</v>
      </c>
      <c r="G377" s="36" t="s">
        <v>4153</v>
      </c>
      <c r="H377" s="36" t="s">
        <v>4156</v>
      </c>
      <c r="I377" s="36" t="s">
        <v>824</v>
      </c>
    </row>
    <row r="378" spans="1:9" x14ac:dyDescent="0.3">
      <c r="A378">
        <v>381</v>
      </c>
      <c r="B378" s="36" t="s">
        <v>4161</v>
      </c>
      <c r="C378" s="36" t="s">
        <v>4146</v>
      </c>
      <c r="D378" s="36" t="s">
        <v>3001</v>
      </c>
      <c r="E378" s="36" t="s">
        <v>4147</v>
      </c>
      <c r="F378" s="37" t="s">
        <v>4148</v>
      </c>
      <c r="G378" s="36" t="s">
        <v>4149</v>
      </c>
      <c r="H378" s="36" t="s">
        <v>4156</v>
      </c>
      <c r="I378" s="36" t="s">
        <v>824</v>
      </c>
    </row>
    <row r="379" spans="1:9" x14ac:dyDescent="0.3">
      <c r="A379">
        <v>382</v>
      </c>
      <c r="B379" s="36" t="s">
        <v>4161</v>
      </c>
      <c r="C379" s="36" t="s">
        <v>4154</v>
      </c>
      <c r="D379" s="36" t="s">
        <v>3001</v>
      </c>
      <c r="E379" s="36" t="s">
        <v>4147</v>
      </c>
      <c r="F379" s="37" t="s">
        <v>4148</v>
      </c>
      <c r="G379" s="36" t="s">
        <v>4149</v>
      </c>
      <c r="H379" s="36" t="s">
        <v>4156</v>
      </c>
      <c r="I379" s="36" t="s">
        <v>824</v>
      </c>
    </row>
    <row r="380" spans="1:9" x14ac:dyDescent="0.3">
      <c r="A380">
        <v>383</v>
      </c>
      <c r="B380" s="36" t="s">
        <v>4161</v>
      </c>
      <c r="C380" s="36" t="s">
        <v>4154</v>
      </c>
      <c r="D380" s="36" t="s">
        <v>3001</v>
      </c>
      <c r="E380" s="36" t="s">
        <v>4147</v>
      </c>
      <c r="F380" s="37" t="s">
        <v>4148</v>
      </c>
      <c r="G380" s="36" t="s">
        <v>4149</v>
      </c>
      <c r="H380" s="36" t="s">
        <v>4156</v>
      </c>
      <c r="I380" s="36" t="s">
        <v>824</v>
      </c>
    </row>
    <row r="381" spans="1:9" x14ac:dyDescent="0.3">
      <c r="A381">
        <v>384</v>
      </c>
      <c r="B381" s="36" t="s">
        <v>4161</v>
      </c>
      <c r="C381" s="36" t="s">
        <v>4154</v>
      </c>
      <c r="D381" s="36" t="s">
        <v>2999</v>
      </c>
      <c r="E381" s="36" t="s">
        <v>4151</v>
      </c>
      <c r="F381" s="37" t="s">
        <v>4148</v>
      </c>
      <c r="G381" s="36" t="s">
        <v>4149</v>
      </c>
      <c r="H381" s="36" t="s">
        <v>4156</v>
      </c>
      <c r="I381" s="36" t="s">
        <v>824</v>
      </c>
    </row>
    <row r="382" spans="1:9" x14ac:dyDescent="0.3">
      <c r="A382">
        <v>385</v>
      </c>
      <c r="B382" s="36" t="s">
        <v>4161</v>
      </c>
      <c r="C382" s="36" t="s">
        <v>4154</v>
      </c>
      <c r="D382" s="36" t="s">
        <v>2999</v>
      </c>
      <c r="E382" s="36" t="s">
        <v>4151</v>
      </c>
      <c r="F382" s="37" t="s">
        <v>4148</v>
      </c>
      <c r="G382" s="36" t="s">
        <v>4149</v>
      </c>
      <c r="H382" s="36" t="s">
        <v>4156</v>
      </c>
      <c r="I382" s="36" t="s">
        <v>824</v>
      </c>
    </row>
    <row r="383" spans="1:9" x14ac:dyDescent="0.3">
      <c r="A383">
        <v>386</v>
      </c>
      <c r="B383" s="36" t="s">
        <v>4161</v>
      </c>
      <c r="C383" s="36" t="s">
        <v>4146</v>
      </c>
      <c r="D383" s="36" t="s">
        <v>2996</v>
      </c>
      <c r="E383" s="36" t="s">
        <v>4151</v>
      </c>
      <c r="F383" s="37" t="s">
        <v>4152</v>
      </c>
      <c r="G383" s="36" t="s">
        <v>4153</v>
      </c>
      <c r="H383" s="36" t="s">
        <v>4156</v>
      </c>
      <c r="I383" s="36" t="s">
        <v>824</v>
      </c>
    </row>
    <row r="384" spans="1:9" x14ac:dyDescent="0.3">
      <c r="A384">
        <v>387</v>
      </c>
      <c r="B384" s="36" t="s">
        <v>4161</v>
      </c>
      <c r="C384" s="36" t="s">
        <v>4154</v>
      </c>
      <c r="D384" s="36" t="s">
        <v>2999</v>
      </c>
      <c r="E384" s="36" t="s">
        <v>4151</v>
      </c>
      <c r="F384" s="37" t="s">
        <v>4159</v>
      </c>
      <c r="G384" s="36" t="s">
        <v>4149</v>
      </c>
      <c r="H384" s="36" t="s">
        <v>4158</v>
      </c>
      <c r="I384" s="36" t="s">
        <v>824</v>
      </c>
    </row>
    <row r="385" spans="1:9" x14ac:dyDescent="0.3">
      <c r="A385">
        <v>388</v>
      </c>
      <c r="B385" s="36" t="s">
        <v>4161</v>
      </c>
      <c r="C385" s="36" t="s">
        <v>4146</v>
      </c>
      <c r="D385" s="36" t="s">
        <v>3001</v>
      </c>
      <c r="E385" s="36" t="s">
        <v>4147</v>
      </c>
      <c r="F385" s="37" t="s">
        <v>4155</v>
      </c>
      <c r="G385" s="36" t="s">
        <v>4153</v>
      </c>
      <c r="H385" s="36" t="s">
        <v>4156</v>
      </c>
      <c r="I385" s="36" t="s">
        <v>824</v>
      </c>
    </row>
    <row r="386" spans="1:9" x14ac:dyDescent="0.3">
      <c r="A386">
        <v>389</v>
      </c>
      <c r="B386" s="36" t="s">
        <v>4161</v>
      </c>
      <c r="C386" s="36" t="s">
        <v>4146</v>
      </c>
      <c r="D386" s="36" t="s">
        <v>2994</v>
      </c>
      <c r="E386" s="36" t="s">
        <v>4147</v>
      </c>
      <c r="F386" s="37" t="s">
        <v>4148</v>
      </c>
      <c r="G386" s="36" t="s">
        <v>4149</v>
      </c>
      <c r="H386" s="36" t="s">
        <v>4156</v>
      </c>
      <c r="I386" s="36" t="s">
        <v>824</v>
      </c>
    </row>
    <row r="387" spans="1:9" x14ac:dyDescent="0.3">
      <c r="A387">
        <v>390</v>
      </c>
      <c r="B387" s="36" t="s">
        <v>4161</v>
      </c>
      <c r="C387" s="36" t="s">
        <v>4154</v>
      </c>
      <c r="D387" s="36" t="s">
        <v>2999</v>
      </c>
      <c r="E387" s="36" t="s">
        <v>4151</v>
      </c>
      <c r="F387" s="37" t="s">
        <v>4155</v>
      </c>
      <c r="G387" s="36" t="s">
        <v>4149</v>
      </c>
      <c r="H387" s="36" t="s">
        <v>4156</v>
      </c>
      <c r="I387" s="36" t="s">
        <v>824</v>
      </c>
    </row>
    <row r="388" spans="1:9" x14ac:dyDescent="0.3">
      <c r="A388">
        <v>391</v>
      </c>
      <c r="B388" s="36" t="s">
        <v>4161</v>
      </c>
      <c r="C388" s="36" t="s">
        <v>4154</v>
      </c>
      <c r="D388" s="36" t="s">
        <v>2999</v>
      </c>
      <c r="E388" s="36" t="s">
        <v>4151</v>
      </c>
      <c r="F388" s="37" t="s">
        <v>4159</v>
      </c>
      <c r="G388" s="36" t="s">
        <v>4149</v>
      </c>
      <c r="H388" s="36" t="s">
        <v>4158</v>
      </c>
      <c r="I388" s="36" t="s">
        <v>824</v>
      </c>
    </row>
    <row r="389" spans="1:9" x14ac:dyDescent="0.3">
      <c r="A389">
        <v>392</v>
      </c>
      <c r="B389" s="36" t="s">
        <v>4161</v>
      </c>
      <c r="C389" s="36" t="s">
        <v>4154</v>
      </c>
      <c r="D389" s="36" t="s">
        <v>2999</v>
      </c>
      <c r="E389" s="36" t="s">
        <v>4151</v>
      </c>
      <c r="F389" s="37" t="s">
        <v>4148</v>
      </c>
      <c r="G389" s="36" t="s">
        <v>4153</v>
      </c>
      <c r="H389" s="36" t="s">
        <v>4156</v>
      </c>
      <c r="I389" s="36" t="s">
        <v>4199</v>
      </c>
    </row>
    <row r="390" spans="1:9" x14ac:dyDescent="0.3">
      <c r="A390">
        <v>393</v>
      </c>
      <c r="B390" s="36" t="s">
        <v>4161</v>
      </c>
      <c r="C390" s="36" t="s">
        <v>4146</v>
      </c>
      <c r="D390" s="36" t="s">
        <v>3001</v>
      </c>
      <c r="E390" s="36" t="s">
        <v>4147</v>
      </c>
      <c r="F390" s="37" t="s">
        <v>4148</v>
      </c>
      <c r="G390" s="36" t="s">
        <v>4153</v>
      </c>
      <c r="H390" s="36" t="s">
        <v>4156</v>
      </c>
      <c r="I390" s="36" t="s">
        <v>4199</v>
      </c>
    </row>
    <row r="391" spans="1:9" x14ac:dyDescent="0.3">
      <c r="A391">
        <v>394</v>
      </c>
      <c r="B391" s="36" t="s">
        <v>4161</v>
      </c>
      <c r="C391" s="36" t="s">
        <v>4154</v>
      </c>
      <c r="D391" s="36" t="s">
        <v>2999</v>
      </c>
      <c r="E391" s="36" t="s">
        <v>4151</v>
      </c>
      <c r="F391" s="37" t="s">
        <v>4148</v>
      </c>
      <c r="G391" s="36" t="s">
        <v>4149</v>
      </c>
      <c r="H391" s="36" t="s">
        <v>4156</v>
      </c>
      <c r="I391" s="36" t="s">
        <v>824</v>
      </c>
    </row>
    <row r="392" spans="1:9" x14ac:dyDescent="0.3">
      <c r="A392">
        <v>395</v>
      </c>
      <c r="B392" s="36" t="s">
        <v>4161</v>
      </c>
      <c r="C392" s="36" t="s">
        <v>4154</v>
      </c>
      <c r="D392" s="36" t="s">
        <v>2999</v>
      </c>
      <c r="E392" s="36" t="s">
        <v>4151</v>
      </c>
      <c r="F392" s="37" t="s">
        <v>4159</v>
      </c>
      <c r="G392" s="36" t="s">
        <v>4149</v>
      </c>
      <c r="H392" s="36" t="s">
        <v>4158</v>
      </c>
      <c r="I392" s="36" t="s">
        <v>824</v>
      </c>
    </row>
    <row r="393" spans="1:9" x14ac:dyDescent="0.3">
      <c r="A393">
        <v>396</v>
      </c>
      <c r="B393" s="36" t="s">
        <v>4161</v>
      </c>
      <c r="C393" s="36" t="s">
        <v>4146</v>
      </c>
      <c r="D393" s="36" t="s">
        <v>2994</v>
      </c>
      <c r="E393" s="36" t="s">
        <v>4147</v>
      </c>
      <c r="F393" s="37" t="s">
        <v>4159</v>
      </c>
      <c r="G393" s="36" t="s">
        <v>4153</v>
      </c>
      <c r="H393" s="36" t="s">
        <v>4156</v>
      </c>
      <c r="I393" s="36" t="s">
        <v>824</v>
      </c>
    </row>
    <row r="394" spans="1:9" x14ac:dyDescent="0.3">
      <c r="A394">
        <v>397</v>
      </c>
      <c r="B394" s="36" t="s">
        <v>4161</v>
      </c>
      <c r="C394" s="36" t="s">
        <v>4146</v>
      </c>
      <c r="D394" s="36" t="s">
        <v>3001</v>
      </c>
      <c r="E394" s="36" t="s">
        <v>4147</v>
      </c>
      <c r="F394" s="37" t="s">
        <v>4155</v>
      </c>
      <c r="G394" s="36" t="s">
        <v>4153</v>
      </c>
      <c r="H394" s="36" t="s">
        <v>4156</v>
      </c>
      <c r="I394" s="36" t="s">
        <v>824</v>
      </c>
    </row>
    <row r="395" spans="1:9" x14ac:dyDescent="0.3">
      <c r="A395">
        <v>398</v>
      </c>
      <c r="B395" s="36" t="s">
        <v>4161</v>
      </c>
      <c r="C395" s="36" t="s">
        <v>4154</v>
      </c>
      <c r="D395" s="36" t="s">
        <v>2999</v>
      </c>
      <c r="E395" s="36" t="s">
        <v>4151</v>
      </c>
      <c r="F395" s="37" t="s">
        <v>4157</v>
      </c>
      <c r="G395" s="36" t="s">
        <v>4149</v>
      </c>
      <c r="H395" s="36" t="s">
        <v>4156</v>
      </c>
      <c r="I395" s="36" t="s">
        <v>824</v>
      </c>
    </row>
    <row r="396" spans="1:9" x14ac:dyDescent="0.3">
      <c r="A396">
        <v>399</v>
      </c>
      <c r="B396" s="36" t="s">
        <v>4161</v>
      </c>
      <c r="C396" s="36" t="s">
        <v>4146</v>
      </c>
      <c r="D396" s="36" t="s">
        <v>2996</v>
      </c>
      <c r="E396" s="36" t="s">
        <v>4151</v>
      </c>
      <c r="F396" s="37" t="s">
        <v>4152</v>
      </c>
      <c r="G396" s="36" t="s">
        <v>4153</v>
      </c>
      <c r="H396" s="36" t="s">
        <v>4156</v>
      </c>
      <c r="I396" s="36" t="s">
        <v>824</v>
      </c>
    </row>
    <row r="397" spans="1:9" x14ac:dyDescent="0.3">
      <c r="A397">
        <v>400</v>
      </c>
      <c r="B397" s="36" t="s">
        <v>4161</v>
      </c>
      <c r="C397" s="36" t="s">
        <v>4154</v>
      </c>
      <c r="D397" s="36" t="s">
        <v>2999</v>
      </c>
      <c r="E397" s="36" t="s">
        <v>4151</v>
      </c>
      <c r="F397" s="37" t="s">
        <v>4155</v>
      </c>
      <c r="G397" s="36" t="s">
        <v>4153</v>
      </c>
      <c r="H397" s="36" t="s">
        <v>4156</v>
      </c>
      <c r="I397" s="36" t="s">
        <v>824</v>
      </c>
    </row>
    <row r="398" spans="1:9" x14ac:dyDescent="0.3">
      <c r="A398">
        <v>401</v>
      </c>
      <c r="B398" s="36" t="s">
        <v>4161</v>
      </c>
      <c r="C398" s="36" t="s">
        <v>4146</v>
      </c>
      <c r="D398" s="36" t="s">
        <v>3001</v>
      </c>
      <c r="E398" s="36" t="s">
        <v>4147</v>
      </c>
      <c r="F398" s="37" t="s">
        <v>4155</v>
      </c>
      <c r="G398" s="36" t="s">
        <v>4153</v>
      </c>
      <c r="H398" s="36" t="s">
        <v>4156</v>
      </c>
      <c r="I398" s="36" t="s">
        <v>824</v>
      </c>
    </row>
    <row r="399" spans="1:9" x14ac:dyDescent="0.3">
      <c r="A399">
        <v>402</v>
      </c>
      <c r="B399" s="36" t="s">
        <v>4161</v>
      </c>
      <c r="C399" s="36" t="s">
        <v>4146</v>
      </c>
      <c r="D399" s="36" t="s">
        <v>2994</v>
      </c>
      <c r="E399" s="36" t="s">
        <v>4147</v>
      </c>
      <c r="F399" s="37" t="s">
        <v>4148</v>
      </c>
      <c r="G399" s="36" t="s">
        <v>4153</v>
      </c>
      <c r="H399" s="36" t="s">
        <v>4156</v>
      </c>
      <c r="I399" s="36" t="s">
        <v>4199</v>
      </c>
    </row>
    <row r="400" spans="1:9" x14ac:dyDescent="0.3">
      <c r="A400">
        <v>403</v>
      </c>
      <c r="B400" s="36" t="s">
        <v>4161</v>
      </c>
      <c r="C400" s="36" t="s">
        <v>4146</v>
      </c>
      <c r="D400" s="36" t="s">
        <v>2994</v>
      </c>
      <c r="E400" s="36" t="s">
        <v>4147</v>
      </c>
      <c r="F400" s="37" t="s">
        <v>4148</v>
      </c>
      <c r="G400" s="36" t="s">
        <v>4153</v>
      </c>
      <c r="H400" s="36" t="s">
        <v>4156</v>
      </c>
      <c r="I400" s="36" t="s">
        <v>4199</v>
      </c>
    </row>
    <row r="401" spans="1:9" x14ac:dyDescent="0.3">
      <c r="A401">
        <v>404</v>
      </c>
      <c r="B401" s="36" t="s">
        <v>4161</v>
      </c>
      <c r="C401" s="36" t="s">
        <v>4154</v>
      </c>
      <c r="D401" s="36" t="s">
        <v>2999</v>
      </c>
      <c r="E401" s="36" t="s">
        <v>4151</v>
      </c>
      <c r="F401" s="37" t="s">
        <v>4148</v>
      </c>
      <c r="G401" s="36" t="s">
        <v>4149</v>
      </c>
      <c r="H401" s="36" t="s">
        <v>4156</v>
      </c>
      <c r="I401" s="36" t="s">
        <v>824</v>
      </c>
    </row>
    <row r="402" spans="1:9" x14ac:dyDescent="0.3">
      <c r="A402">
        <v>405</v>
      </c>
      <c r="B402" s="36" t="s">
        <v>4161</v>
      </c>
      <c r="C402" s="36" t="s">
        <v>4154</v>
      </c>
      <c r="D402" s="36" t="s">
        <v>2999</v>
      </c>
      <c r="E402" s="36" t="s">
        <v>4151</v>
      </c>
      <c r="F402" s="37" t="s">
        <v>4148</v>
      </c>
      <c r="G402" s="36" t="s">
        <v>4149</v>
      </c>
      <c r="H402" s="36" t="s">
        <v>4156</v>
      </c>
      <c r="I402" s="36" t="s">
        <v>824</v>
      </c>
    </row>
    <row r="403" spans="1:9" x14ac:dyDescent="0.3">
      <c r="A403">
        <v>406</v>
      </c>
      <c r="B403" s="36" t="s">
        <v>4161</v>
      </c>
      <c r="C403" s="36" t="s">
        <v>4154</v>
      </c>
      <c r="D403" s="36" t="s">
        <v>2999</v>
      </c>
      <c r="E403" s="36" t="s">
        <v>4151</v>
      </c>
      <c r="F403" s="37" t="s">
        <v>4159</v>
      </c>
      <c r="G403" s="36" t="s">
        <v>4149</v>
      </c>
      <c r="H403" s="36" t="s">
        <v>4156</v>
      </c>
      <c r="I403" s="36" t="s">
        <v>824</v>
      </c>
    </row>
    <row r="404" spans="1:9" x14ac:dyDescent="0.3">
      <c r="A404">
        <v>407</v>
      </c>
      <c r="B404" s="36" t="s">
        <v>4161</v>
      </c>
      <c r="C404" s="36" t="s">
        <v>4154</v>
      </c>
      <c r="D404" s="36" t="s">
        <v>2999</v>
      </c>
      <c r="E404" s="36" t="s">
        <v>4151</v>
      </c>
      <c r="F404" s="37" t="s">
        <v>4155</v>
      </c>
      <c r="G404" s="36" t="s">
        <v>4153</v>
      </c>
      <c r="H404" s="36" t="s">
        <v>4156</v>
      </c>
      <c r="I404" s="36" t="s">
        <v>824</v>
      </c>
    </row>
    <row r="405" spans="1:9" x14ac:dyDescent="0.3">
      <c r="A405">
        <v>408</v>
      </c>
      <c r="B405" s="36" t="s">
        <v>4161</v>
      </c>
      <c r="C405" s="36" t="s">
        <v>4146</v>
      </c>
      <c r="D405" s="36" t="s">
        <v>3001</v>
      </c>
      <c r="E405" s="36" t="s">
        <v>4147</v>
      </c>
      <c r="F405" s="37" t="s">
        <v>4148</v>
      </c>
      <c r="G405" s="36" t="s">
        <v>4153</v>
      </c>
      <c r="H405" s="36" t="s">
        <v>4156</v>
      </c>
      <c r="I405" s="36" t="s">
        <v>824</v>
      </c>
    </row>
    <row r="406" spans="1:9" x14ac:dyDescent="0.3">
      <c r="A406">
        <v>409</v>
      </c>
      <c r="B406" s="36" t="s">
        <v>4161</v>
      </c>
      <c r="C406" s="36" t="s">
        <v>4154</v>
      </c>
      <c r="D406" s="36" t="s">
        <v>2999</v>
      </c>
      <c r="E406" s="36" t="s">
        <v>4151</v>
      </c>
      <c r="F406" s="37" t="s">
        <v>4159</v>
      </c>
      <c r="G406" s="36" t="s">
        <v>4149</v>
      </c>
      <c r="H406" s="36" t="s">
        <v>4156</v>
      </c>
      <c r="I406" s="36" t="s">
        <v>824</v>
      </c>
    </row>
    <row r="407" spans="1:9" x14ac:dyDescent="0.3">
      <c r="A407">
        <v>410</v>
      </c>
      <c r="B407" s="36" t="s">
        <v>4161</v>
      </c>
      <c r="C407" s="36" t="s">
        <v>4154</v>
      </c>
      <c r="D407" s="36" t="s">
        <v>2999</v>
      </c>
      <c r="E407" s="36" t="s">
        <v>4151</v>
      </c>
      <c r="F407" s="37" t="s">
        <v>4155</v>
      </c>
      <c r="G407" s="36" t="s">
        <v>4149</v>
      </c>
      <c r="H407" s="36" t="s">
        <v>4156</v>
      </c>
      <c r="I407" s="36" t="s">
        <v>824</v>
      </c>
    </row>
    <row r="408" spans="1:9" x14ac:dyDescent="0.3">
      <c r="A408">
        <v>411</v>
      </c>
      <c r="B408" s="36" t="s">
        <v>4161</v>
      </c>
      <c r="C408" s="36" t="s">
        <v>4154</v>
      </c>
      <c r="D408" s="36" t="s">
        <v>2999</v>
      </c>
      <c r="E408" s="36" t="s">
        <v>4151</v>
      </c>
      <c r="F408" s="37" t="s">
        <v>4148</v>
      </c>
      <c r="G408" s="36" t="s">
        <v>4149</v>
      </c>
      <c r="H408" s="36" t="s">
        <v>4156</v>
      </c>
      <c r="I408" s="36" t="s">
        <v>824</v>
      </c>
    </row>
    <row r="409" spans="1:9" x14ac:dyDescent="0.3">
      <c r="A409">
        <v>412</v>
      </c>
      <c r="B409" s="36" t="s">
        <v>4161</v>
      </c>
      <c r="C409" s="36" t="s">
        <v>4154</v>
      </c>
      <c r="D409" s="36" t="s">
        <v>2994</v>
      </c>
      <c r="E409" s="36" t="s">
        <v>4147</v>
      </c>
      <c r="F409" s="37" t="s">
        <v>4155</v>
      </c>
      <c r="G409" s="36" t="s">
        <v>4149</v>
      </c>
      <c r="H409" s="36" t="s">
        <v>4156</v>
      </c>
      <c r="I409" s="36" t="s">
        <v>824</v>
      </c>
    </row>
    <row r="410" spans="1:9" x14ac:dyDescent="0.3">
      <c r="A410">
        <v>413</v>
      </c>
      <c r="B410" s="36" t="s">
        <v>4161</v>
      </c>
      <c r="C410" s="36" t="s">
        <v>4154</v>
      </c>
      <c r="D410" s="36" t="s">
        <v>2999</v>
      </c>
      <c r="E410" s="36" t="s">
        <v>4151</v>
      </c>
      <c r="F410" s="37" t="s">
        <v>4155</v>
      </c>
      <c r="G410" s="36" t="s">
        <v>4149</v>
      </c>
      <c r="H410" s="36" t="s">
        <v>4156</v>
      </c>
      <c r="I410" s="36" t="s">
        <v>824</v>
      </c>
    </row>
    <row r="411" spans="1:9" x14ac:dyDescent="0.3">
      <c r="A411">
        <v>414</v>
      </c>
      <c r="B411" s="36" t="s">
        <v>4161</v>
      </c>
      <c r="C411" s="36" t="s">
        <v>4154</v>
      </c>
      <c r="D411" s="36" t="s">
        <v>2999</v>
      </c>
      <c r="E411" s="36" t="s">
        <v>4151</v>
      </c>
      <c r="F411" s="37" t="s">
        <v>4155</v>
      </c>
      <c r="G411" s="36" t="s">
        <v>4153</v>
      </c>
      <c r="H411" s="36" t="s">
        <v>4156</v>
      </c>
      <c r="I411" s="36" t="s">
        <v>824</v>
      </c>
    </row>
    <row r="412" spans="1:9" x14ac:dyDescent="0.3">
      <c r="A412">
        <v>415</v>
      </c>
      <c r="B412" s="36" t="s">
        <v>4161</v>
      </c>
      <c r="C412" s="36" t="s">
        <v>4154</v>
      </c>
      <c r="D412" s="36" t="s">
        <v>2999</v>
      </c>
      <c r="E412" s="36" t="s">
        <v>4151</v>
      </c>
      <c r="F412" s="37" t="s">
        <v>4155</v>
      </c>
      <c r="G412" s="36" t="s">
        <v>4153</v>
      </c>
      <c r="H412" s="36" t="s">
        <v>4156</v>
      </c>
      <c r="I412" s="36" t="s">
        <v>824</v>
      </c>
    </row>
    <row r="413" spans="1:9" x14ac:dyDescent="0.3">
      <c r="A413">
        <v>416</v>
      </c>
      <c r="B413" s="36" t="s">
        <v>4161</v>
      </c>
      <c r="C413" s="36" t="s">
        <v>4146</v>
      </c>
      <c r="D413" s="36" t="s">
        <v>2994</v>
      </c>
      <c r="E413" s="36" t="s">
        <v>4147</v>
      </c>
      <c r="F413" s="37" t="s">
        <v>4155</v>
      </c>
      <c r="G413" s="36" t="s">
        <v>4149</v>
      </c>
      <c r="H413" s="36" t="s">
        <v>4156</v>
      </c>
      <c r="I413" s="36" t="s">
        <v>824</v>
      </c>
    </row>
    <row r="414" spans="1:9" x14ac:dyDescent="0.3">
      <c r="A414">
        <v>417</v>
      </c>
      <c r="B414" s="36" t="s">
        <v>4161</v>
      </c>
      <c r="C414" s="36" t="s">
        <v>4154</v>
      </c>
      <c r="D414" s="36" t="s">
        <v>2999</v>
      </c>
      <c r="E414" s="36" t="s">
        <v>4151</v>
      </c>
      <c r="F414" s="37" t="s">
        <v>4159</v>
      </c>
      <c r="G414" s="36" t="s">
        <v>4149</v>
      </c>
      <c r="H414" s="36" t="s">
        <v>4156</v>
      </c>
      <c r="I414" s="36" t="s">
        <v>824</v>
      </c>
    </row>
    <row r="415" spans="1:9" x14ac:dyDescent="0.3">
      <c r="A415">
        <v>418</v>
      </c>
      <c r="B415" s="36" t="s">
        <v>4161</v>
      </c>
      <c r="C415" s="36" t="s">
        <v>4154</v>
      </c>
      <c r="D415" s="36" t="s">
        <v>2999</v>
      </c>
      <c r="E415" s="36" t="s">
        <v>4151</v>
      </c>
      <c r="F415" s="37" t="s">
        <v>4148</v>
      </c>
      <c r="G415" s="36" t="s">
        <v>4149</v>
      </c>
      <c r="H415" s="36" t="s">
        <v>4156</v>
      </c>
      <c r="I415" s="36" t="s">
        <v>824</v>
      </c>
    </row>
    <row r="416" spans="1:9" x14ac:dyDescent="0.3">
      <c r="A416">
        <v>419</v>
      </c>
      <c r="B416" s="36" t="s">
        <v>4161</v>
      </c>
      <c r="C416" s="36" t="s">
        <v>4154</v>
      </c>
      <c r="D416" s="36" t="s">
        <v>2999</v>
      </c>
      <c r="E416" s="36" t="s">
        <v>4151</v>
      </c>
      <c r="F416" s="37" t="s">
        <v>4155</v>
      </c>
      <c r="G416" s="36" t="s">
        <v>4149</v>
      </c>
      <c r="H416" s="36" t="s">
        <v>4156</v>
      </c>
      <c r="I416" s="36" t="s">
        <v>824</v>
      </c>
    </row>
    <row r="417" spans="1:9" x14ac:dyDescent="0.3">
      <c r="A417">
        <v>420</v>
      </c>
      <c r="B417" s="36" t="s">
        <v>4161</v>
      </c>
      <c r="C417" s="36" t="s">
        <v>4154</v>
      </c>
      <c r="D417" s="36" t="s">
        <v>2999</v>
      </c>
      <c r="E417" s="36" t="s">
        <v>4151</v>
      </c>
      <c r="F417" s="37" t="s">
        <v>4148</v>
      </c>
      <c r="G417" s="36" t="s">
        <v>4153</v>
      </c>
      <c r="H417" s="36" t="s">
        <v>4156</v>
      </c>
      <c r="I417" s="36" t="s">
        <v>824</v>
      </c>
    </row>
    <row r="418" spans="1:9" x14ac:dyDescent="0.3">
      <c r="A418">
        <v>421</v>
      </c>
      <c r="B418" s="36" t="s">
        <v>4161</v>
      </c>
      <c r="C418" s="36" t="s">
        <v>4154</v>
      </c>
      <c r="D418" s="36" t="s">
        <v>2999</v>
      </c>
      <c r="E418" s="36" t="s">
        <v>4151</v>
      </c>
      <c r="F418" s="37" t="s">
        <v>4148</v>
      </c>
      <c r="G418" s="36" t="s">
        <v>4153</v>
      </c>
      <c r="H418" s="36" t="s">
        <v>4156</v>
      </c>
      <c r="I418" s="36" t="s">
        <v>824</v>
      </c>
    </row>
    <row r="419" spans="1:9" x14ac:dyDescent="0.3">
      <c r="A419">
        <v>422</v>
      </c>
      <c r="B419" s="36" t="s">
        <v>4161</v>
      </c>
      <c r="C419" s="36" t="s">
        <v>4154</v>
      </c>
      <c r="D419" s="36" t="s">
        <v>2999</v>
      </c>
      <c r="E419" s="36" t="s">
        <v>4151</v>
      </c>
      <c r="F419" s="37" t="s">
        <v>4148</v>
      </c>
      <c r="G419" s="36" t="s">
        <v>4149</v>
      </c>
      <c r="H419" s="36" t="s">
        <v>4156</v>
      </c>
      <c r="I419" s="36" t="s">
        <v>824</v>
      </c>
    </row>
    <row r="420" spans="1:9" x14ac:dyDescent="0.3">
      <c r="A420">
        <v>423</v>
      </c>
      <c r="B420" s="36" t="s">
        <v>4161</v>
      </c>
      <c r="C420" s="36" t="s">
        <v>4154</v>
      </c>
      <c r="D420" s="36" t="s">
        <v>2999</v>
      </c>
      <c r="E420" s="36" t="s">
        <v>4151</v>
      </c>
      <c r="F420" s="37" t="s">
        <v>4148</v>
      </c>
      <c r="G420" s="36" t="s">
        <v>4149</v>
      </c>
      <c r="H420" s="36" t="s">
        <v>4156</v>
      </c>
      <c r="I420" s="36" t="s">
        <v>824</v>
      </c>
    </row>
    <row r="421" spans="1:9" x14ac:dyDescent="0.3">
      <c r="A421">
        <v>424</v>
      </c>
      <c r="B421" s="36" t="s">
        <v>4161</v>
      </c>
      <c r="C421" s="36" t="s">
        <v>4154</v>
      </c>
      <c r="D421" s="36" t="s">
        <v>2999</v>
      </c>
      <c r="E421" s="36" t="s">
        <v>4151</v>
      </c>
      <c r="F421" s="37" t="s">
        <v>4155</v>
      </c>
      <c r="G421" s="36" t="s">
        <v>4149</v>
      </c>
      <c r="H421" s="36" t="s">
        <v>4156</v>
      </c>
      <c r="I421" s="36" t="s">
        <v>824</v>
      </c>
    </row>
    <row r="422" spans="1:9" x14ac:dyDescent="0.3">
      <c r="A422">
        <v>425</v>
      </c>
      <c r="B422" s="36" t="s">
        <v>4161</v>
      </c>
      <c r="C422" s="36" t="s">
        <v>4154</v>
      </c>
      <c r="D422" s="36" t="s">
        <v>2999</v>
      </c>
      <c r="E422" s="36" t="s">
        <v>4151</v>
      </c>
      <c r="F422" s="37" t="s">
        <v>4148</v>
      </c>
      <c r="G422" s="36" t="s">
        <v>4149</v>
      </c>
      <c r="H422" s="36" t="s">
        <v>4156</v>
      </c>
      <c r="I422" s="36" t="s">
        <v>824</v>
      </c>
    </row>
    <row r="423" spans="1:9" x14ac:dyDescent="0.3">
      <c r="A423">
        <v>426</v>
      </c>
      <c r="B423" s="36" t="s">
        <v>4161</v>
      </c>
      <c r="C423" s="36" t="s">
        <v>4154</v>
      </c>
      <c r="D423" s="36" t="s">
        <v>2999</v>
      </c>
      <c r="E423" s="36" t="s">
        <v>4151</v>
      </c>
      <c r="F423" s="37" t="s">
        <v>4157</v>
      </c>
      <c r="G423" s="36" t="s">
        <v>4149</v>
      </c>
      <c r="H423" s="36" t="s">
        <v>4156</v>
      </c>
      <c r="I423" s="36" t="s">
        <v>824</v>
      </c>
    </row>
    <row r="424" spans="1:9" x14ac:dyDescent="0.3">
      <c r="A424">
        <v>427</v>
      </c>
      <c r="B424" s="36" t="s">
        <v>4161</v>
      </c>
      <c r="C424" s="36" t="s">
        <v>4154</v>
      </c>
      <c r="D424" s="36" t="s">
        <v>2999</v>
      </c>
      <c r="E424" s="36" t="s">
        <v>4151</v>
      </c>
      <c r="F424" s="37" t="s">
        <v>4148</v>
      </c>
      <c r="G424" s="36" t="s">
        <v>4149</v>
      </c>
      <c r="H424" s="36" t="s">
        <v>4156</v>
      </c>
      <c r="I424" s="36" t="s">
        <v>824</v>
      </c>
    </row>
    <row r="425" spans="1:9" x14ac:dyDescent="0.3">
      <c r="A425">
        <v>428</v>
      </c>
      <c r="B425" s="36" t="s">
        <v>4161</v>
      </c>
      <c r="C425" s="36" t="s">
        <v>4146</v>
      </c>
      <c r="D425" s="36" t="s">
        <v>2996</v>
      </c>
      <c r="E425" s="36" t="s">
        <v>4151</v>
      </c>
      <c r="F425" s="37" t="s">
        <v>4152</v>
      </c>
      <c r="G425" s="36" t="s">
        <v>4153</v>
      </c>
      <c r="H425" s="36" t="s">
        <v>4156</v>
      </c>
      <c r="I425" s="36" t="s">
        <v>824</v>
      </c>
    </row>
    <row r="426" spans="1:9" x14ac:dyDescent="0.3">
      <c r="A426">
        <v>429</v>
      </c>
      <c r="B426" s="36" t="s">
        <v>4161</v>
      </c>
      <c r="C426" s="36" t="s">
        <v>4146</v>
      </c>
      <c r="D426" s="36" t="s">
        <v>3001</v>
      </c>
      <c r="E426" s="36" t="s">
        <v>4147</v>
      </c>
      <c r="F426" s="37" t="s">
        <v>4148</v>
      </c>
      <c r="G426" s="36" t="s">
        <v>4153</v>
      </c>
      <c r="H426" s="36" t="s">
        <v>4156</v>
      </c>
      <c r="I426" s="36" t="s">
        <v>824</v>
      </c>
    </row>
    <row r="427" spans="1:9" x14ac:dyDescent="0.3">
      <c r="A427">
        <v>430</v>
      </c>
      <c r="B427" s="36" t="s">
        <v>4161</v>
      </c>
      <c r="C427" s="36" t="s">
        <v>4154</v>
      </c>
      <c r="D427" s="36" t="s">
        <v>2999</v>
      </c>
      <c r="E427" s="36" t="s">
        <v>4151</v>
      </c>
      <c r="F427" s="37" t="s">
        <v>4155</v>
      </c>
      <c r="G427" s="36" t="s">
        <v>4149</v>
      </c>
      <c r="H427" s="36" t="s">
        <v>4156</v>
      </c>
      <c r="I427" s="36" t="s">
        <v>824</v>
      </c>
    </row>
    <row r="428" spans="1:9" x14ac:dyDescent="0.3">
      <c r="A428">
        <v>431</v>
      </c>
      <c r="B428" s="36" t="s">
        <v>4161</v>
      </c>
      <c r="C428" s="36" t="s">
        <v>4146</v>
      </c>
      <c r="D428" s="36" t="s">
        <v>2994</v>
      </c>
      <c r="E428" s="36" t="s">
        <v>4147</v>
      </c>
      <c r="F428" s="37" t="s">
        <v>4152</v>
      </c>
      <c r="G428" s="36" t="s">
        <v>4153</v>
      </c>
      <c r="H428" s="36" t="s">
        <v>4156</v>
      </c>
      <c r="I428" s="36" t="s">
        <v>824</v>
      </c>
    </row>
    <row r="429" spans="1:9" x14ac:dyDescent="0.3">
      <c r="A429">
        <v>432</v>
      </c>
      <c r="B429" s="36" t="s">
        <v>4161</v>
      </c>
      <c r="C429" s="36" t="s">
        <v>4154</v>
      </c>
      <c r="D429" s="36" t="s">
        <v>3338</v>
      </c>
      <c r="E429" s="36" t="s">
        <v>4151</v>
      </c>
      <c r="F429" s="37" t="s">
        <v>4148</v>
      </c>
      <c r="G429" s="36" t="s">
        <v>4153</v>
      </c>
      <c r="H429" s="36" t="s">
        <v>4156</v>
      </c>
      <c r="I429" s="36" t="s">
        <v>824</v>
      </c>
    </row>
    <row r="430" spans="1:9" x14ac:dyDescent="0.3">
      <c r="A430">
        <v>433</v>
      </c>
      <c r="B430" s="36" t="s">
        <v>4161</v>
      </c>
      <c r="C430" s="36" t="s">
        <v>4146</v>
      </c>
      <c r="D430" s="36" t="s">
        <v>2999</v>
      </c>
      <c r="E430" s="36" t="s">
        <v>4151</v>
      </c>
      <c r="F430" s="37" t="s">
        <v>4157</v>
      </c>
      <c r="G430" s="36" t="s">
        <v>4149</v>
      </c>
      <c r="H430" s="36" t="s">
        <v>4156</v>
      </c>
      <c r="I430" s="36" t="s">
        <v>824</v>
      </c>
    </row>
    <row r="431" spans="1:9" x14ac:dyDescent="0.3">
      <c r="A431">
        <v>434</v>
      </c>
      <c r="B431" s="36" t="s">
        <v>4161</v>
      </c>
      <c r="C431" s="36" t="s">
        <v>4154</v>
      </c>
      <c r="D431" s="36" t="s">
        <v>2999</v>
      </c>
      <c r="E431" s="36" t="s">
        <v>4151</v>
      </c>
      <c r="F431" s="37" t="s">
        <v>4148</v>
      </c>
      <c r="G431" s="36" t="s">
        <v>4149</v>
      </c>
      <c r="H431" s="36" t="s">
        <v>4156</v>
      </c>
      <c r="I431" s="36" t="s">
        <v>824</v>
      </c>
    </row>
    <row r="432" spans="1:9" x14ac:dyDescent="0.3">
      <c r="A432">
        <v>435</v>
      </c>
      <c r="B432" s="36" t="s">
        <v>4161</v>
      </c>
      <c r="C432" s="36" t="s">
        <v>4146</v>
      </c>
      <c r="D432" s="36" t="s">
        <v>2994</v>
      </c>
      <c r="E432" s="36" t="s">
        <v>4147</v>
      </c>
      <c r="F432" s="37" t="s">
        <v>4152</v>
      </c>
      <c r="G432" s="36" t="s">
        <v>4153</v>
      </c>
      <c r="H432" s="36" t="s">
        <v>4156</v>
      </c>
      <c r="I432" s="36" t="s">
        <v>824</v>
      </c>
    </row>
    <row r="433" spans="1:9" x14ac:dyDescent="0.3">
      <c r="A433">
        <v>436</v>
      </c>
      <c r="B433" s="36" t="s">
        <v>4161</v>
      </c>
      <c r="C433" s="36" t="s">
        <v>4154</v>
      </c>
      <c r="D433" s="36" t="s">
        <v>2999</v>
      </c>
      <c r="E433" s="36" t="s">
        <v>4151</v>
      </c>
      <c r="F433" s="37" t="s">
        <v>4155</v>
      </c>
      <c r="G433" s="36" t="s">
        <v>4153</v>
      </c>
      <c r="H433" s="36" t="s">
        <v>4156</v>
      </c>
      <c r="I433" s="36" t="s">
        <v>824</v>
      </c>
    </row>
    <row r="434" spans="1:9" x14ac:dyDescent="0.3">
      <c r="A434">
        <v>437</v>
      </c>
      <c r="B434" s="36" t="s">
        <v>4161</v>
      </c>
      <c r="C434" s="36" t="s">
        <v>4146</v>
      </c>
      <c r="D434" s="36" t="s">
        <v>3001</v>
      </c>
      <c r="E434" s="36" t="s">
        <v>4147</v>
      </c>
      <c r="F434" s="37" t="s">
        <v>4155</v>
      </c>
      <c r="G434" s="36" t="s">
        <v>4153</v>
      </c>
      <c r="H434" s="36" t="s">
        <v>4156</v>
      </c>
      <c r="I434" s="36" t="s">
        <v>824</v>
      </c>
    </row>
    <row r="435" spans="1:9" x14ac:dyDescent="0.3">
      <c r="A435">
        <v>438</v>
      </c>
      <c r="B435" s="36" t="s">
        <v>4161</v>
      </c>
      <c r="C435" s="36" t="s">
        <v>4146</v>
      </c>
      <c r="D435" s="36" t="s">
        <v>2994</v>
      </c>
      <c r="E435" s="36" t="s">
        <v>4147</v>
      </c>
      <c r="F435" s="37" t="s">
        <v>4148</v>
      </c>
      <c r="G435" s="36" t="s">
        <v>4153</v>
      </c>
      <c r="H435" s="36" t="s">
        <v>4158</v>
      </c>
      <c r="I435" s="36" t="s">
        <v>824</v>
      </c>
    </row>
    <row r="436" spans="1:9" x14ac:dyDescent="0.3">
      <c r="A436">
        <v>439</v>
      </c>
      <c r="B436" s="36" t="s">
        <v>4161</v>
      </c>
      <c r="C436" s="36" t="s">
        <v>4146</v>
      </c>
      <c r="D436" s="36" t="s">
        <v>2994</v>
      </c>
      <c r="E436" s="36" t="s">
        <v>4147</v>
      </c>
      <c r="F436" s="37" t="s">
        <v>4148</v>
      </c>
      <c r="G436" s="36" t="s">
        <v>4153</v>
      </c>
      <c r="H436" s="36" t="s">
        <v>4158</v>
      </c>
      <c r="I436" s="36" t="s">
        <v>824</v>
      </c>
    </row>
    <row r="437" spans="1:9" x14ac:dyDescent="0.3">
      <c r="A437">
        <v>440</v>
      </c>
      <c r="B437" s="36" t="s">
        <v>4161</v>
      </c>
      <c r="C437" s="36" t="s">
        <v>4154</v>
      </c>
      <c r="D437" s="36" t="s">
        <v>2999</v>
      </c>
      <c r="E437" s="36" t="s">
        <v>4151</v>
      </c>
      <c r="F437" s="37" t="s">
        <v>4155</v>
      </c>
      <c r="G437" s="36" t="s">
        <v>4153</v>
      </c>
      <c r="H437" s="36" t="s">
        <v>4158</v>
      </c>
      <c r="I437" s="36" t="s">
        <v>824</v>
      </c>
    </row>
    <row r="438" spans="1:9" x14ac:dyDescent="0.3">
      <c r="A438">
        <v>441</v>
      </c>
      <c r="B438" s="36" t="s">
        <v>4161</v>
      </c>
      <c r="C438" s="36" t="s">
        <v>4146</v>
      </c>
      <c r="D438" s="36" t="s">
        <v>3001</v>
      </c>
      <c r="E438" s="36" t="s">
        <v>4147</v>
      </c>
      <c r="F438" s="37" t="s">
        <v>4155</v>
      </c>
      <c r="G438" s="36" t="s">
        <v>4153</v>
      </c>
      <c r="H438" s="36" t="s">
        <v>4158</v>
      </c>
      <c r="I438" s="36" t="s">
        <v>824</v>
      </c>
    </row>
    <row r="439" spans="1:9" x14ac:dyDescent="0.3">
      <c r="A439">
        <v>442</v>
      </c>
      <c r="B439" s="36" t="s">
        <v>4161</v>
      </c>
      <c r="C439" s="36" t="s">
        <v>4146</v>
      </c>
      <c r="D439" s="36" t="s">
        <v>3001</v>
      </c>
      <c r="E439" s="36" t="s">
        <v>4147</v>
      </c>
      <c r="F439" s="37" t="s">
        <v>4157</v>
      </c>
      <c r="G439" s="36" t="s">
        <v>4149</v>
      </c>
      <c r="H439" s="36" t="s">
        <v>4156</v>
      </c>
      <c r="I439" s="36" t="s">
        <v>824</v>
      </c>
    </row>
    <row r="440" spans="1:9" x14ac:dyDescent="0.3">
      <c r="A440">
        <v>443</v>
      </c>
      <c r="B440" s="36" t="s">
        <v>4161</v>
      </c>
      <c r="C440" s="36" t="s">
        <v>4154</v>
      </c>
      <c r="D440" s="36" t="s">
        <v>2999</v>
      </c>
      <c r="E440" s="36" t="s">
        <v>4151</v>
      </c>
      <c r="F440" s="37" t="s">
        <v>4148</v>
      </c>
      <c r="G440" s="36" t="s">
        <v>4153</v>
      </c>
      <c r="H440" s="36" t="s">
        <v>4158</v>
      </c>
      <c r="I440" s="36" t="s">
        <v>824</v>
      </c>
    </row>
    <row r="441" spans="1:9" x14ac:dyDescent="0.3">
      <c r="A441">
        <v>444</v>
      </c>
      <c r="B441" s="36" t="s">
        <v>4161</v>
      </c>
      <c r="C441" s="36" t="s">
        <v>4154</v>
      </c>
      <c r="D441" s="36" t="s">
        <v>2999</v>
      </c>
      <c r="E441" s="36" t="s">
        <v>4151</v>
      </c>
      <c r="F441" s="37" t="s">
        <v>4155</v>
      </c>
      <c r="G441" s="36" t="s">
        <v>4153</v>
      </c>
      <c r="H441" s="36" t="s">
        <v>4158</v>
      </c>
      <c r="I441" s="36" t="s">
        <v>824</v>
      </c>
    </row>
    <row r="442" spans="1:9" x14ac:dyDescent="0.3">
      <c r="A442">
        <v>445</v>
      </c>
      <c r="B442" s="36" t="s">
        <v>4161</v>
      </c>
      <c r="C442" s="36" t="s">
        <v>4154</v>
      </c>
      <c r="D442" s="36" t="s">
        <v>2999</v>
      </c>
      <c r="E442" s="36" t="s">
        <v>4151</v>
      </c>
      <c r="F442" s="37" t="s">
        <v>4148</v>
      </c>
      <c r="G442" s="36" t="s">
        <v>4153</v>
      </c>
      <c r="H442" s="36" t="s">
        <v>4158</v>
      </c>
      <c r="I442" s="36" t="s">
        <v>824</v>
      </c>
    </row>
    <row r="443" spans="1:9" x14ac:dyDescent="0.3">
      <c r="A443">
        <v>446</v>
      </c>
      <c r="B443" s="36" t="s">
        <v>4161</v>
      </c>
      <c r="C443" s="36" t="s">
        <v>4154</v>
      </c>
      <c r="D443" s="36" t="s">
        <v>2994</v>
      </c>
      <c r="E443" s="36" t="s">
        <v>4147</v>
      </c>
      <c r="F443" s="37" t="s">
        <v>4159</v>
      </c>
      <c r="G443" s="36" t="s">
        <v>4153</v>
      </c>
      <c r="H443" s="36" t="s">
        <v>4156</v>
      </c>
      <c r="I443" s="36" t="s">
        <v>824</v>
      </c>
    </row>
    <row r="444" spans="1:9" x14ac:dyDescent="0.3">
      <c r="A444">
        <v>447</v>
      </c>
      <c r="B444" s="36" t="s">
        <v>4161</v>
      </c>
      <c r="C444" s="36" t="s">
        <v>4146</v>
      </c>
      <c r="D444" s="36" t="s">
        <v>2994</v>
      </c>
      <c r="E444" s="36" t="s">
        <v>4147</v>
      </c>
      <c r="F444" s="37" t="s">
        <v>4148</v>
      </c>
      <c r="G444" s="36" t="s">
        <v>4153</v>
      </c>
      <c r="H444" s="36" t="s">
        <v>4156</v>
      </c>
      <c r="I444" s="36" t="s">
        <v>824</v>
      </c>
    </row>
    <row r="445" spans="1:9" x14ac:dyDescent="0.3">
      <c r="A445">
        <v>448</v>
      </c>
      <c r="B445" s="36" t="s">
        <v>4161</v>
      </c>
      <c r="C445" s="36" t="s">
        <v>4154</v>
      </c>
      <c r="D445" s="36" t="s">
        <v>2999</v>
      </c>
      <c r="E445" s="36" t="s">
        <v>4151</v>
      </c>
      <c r="F445" s="37" t="s">
        <v>4148</v>
      </c>
      <c r="G445" s="36" t="s">
        <v>4153</v>
      </c>
      <c r="H445" s="36" t="s">
        <v>4156</v>
      </c>
      <c r="I445" s="36" t="s">
        <v>824</v>
      </c>
    </row>
    <row r="446" spans="1:9" x14ac:dyDescent="0.3">
      <c r="A446">
        <v>449</v>
      </c>
      <c r="B446" s="36" t="s">
        <v>4161</v>
      </c>
      <c r="C446" s="36" t="s">
        <v>4154</v>
      </c>
      <c r="D446" s="36" t="s">
        <v>2999</v>
      </c>
      <c r="E446" s="36" t="s">
        <v>4151</v>
      </c>
      <c r="F446" s="37" t="s">
        <v>4155</v>
      </c>
      <c r="G446" s="36" t="s">
        <v>4149</v>
      </c>
      <c r="H446" s="36" t="s">
        <v>4156</v>
      </c>
      <c r="I446" s="36" t="s">
        <v>824</v>
      </c>
    </row>
    <row r="447" spans="1:9" x14ac:dyDescent="0.3">
      <c r="A447">
        <v>450</v>
      </c>
      <c r="B447" s="36" t="s">
        <v>4161</v>
      </c>
      <c r="C447" s="36" t="s">
        <v>4146</v>
      </c>
      <c r="D447" s="36" t="s">
        <v>3001</v>
      </c>
      <c r="E447" s="36" t="s">
        <v>4147</v>
      </c>
      <c r="F447" s="37" t="s">
        <v>4157</v>
      </c>
      <c r="G447" s="36" t="s">
        <v>4153</v>
      </c>
      <c r="H447" s="36" t="s">
        <v>4156</v>
      </c>
      <c r="I447" s="36" t="s">
        <v>824</v>
      </c>
    </row>
    <row r="448" spans="1:9" x14ac:dyDescent="0.3">
      <c r="A448">
        <v>451</v>
      </c>
      <c r="B448" s="36" t="s">
        <v>4161</v>
      </c>
      <c r="C448" s="36" t="s">
        <v>4154</v>
      </c>
      <c r="D448" s="36" t="s">
        <v>2999</v>
      </c>
      <c r="E448" s="36" t="s">
        <v>4151</v>
      </c>
      <c r="F448" s="37" t="s">
        <v>4155</v>
      </c>
      <c r="G448" s="36" t="s">
        <v>4149</v>
      </c>
      <c r="H448" s="36" t="s">
        <v>4156</v>
      </c>
      <c r="I448" s="36" t="s">
        <v>824</v>
      </c>
    </row>
    <row r="449" spans="1:9" x14ac:dyDescent="0.3">
      <c r="A449">
        <v>452</v>
      </c>
      <c r="B449" s="36" t="s">
        <v>4161</v>
      </c>
      <c r="C449" s="36" t="s">
        <v>4154</v>
      </c>
      <c r="D449" s="36" t="s">
        <v>2999</v>
      </c>
      <c r="E449" s="36" t="s">
        <v>4151</v>
      </c>
      <c r="F449" s="37" t="s">
        <v>4155</v>
      </c>
      <c r="G449" s="36" t="s">
        <v>4153</v>
      </c>
      <c r="H449" s="36" t="s">
        <v>4156</v>
      </c>
      <c r="I449" s="36" t="s">
        <v>824</v>
      </c>
    </row>
    <row r="450" spans="1:9" x14ac:dyDescent="0.3">
      <c r="A450">
        <v>453</v>
      </c>
      <c r="B450" s="36" t="s">
        <v>4161</v>
      </c>
      <c r="C450" s="36" t="s">
        <v>4146</v>
      </c>
      <c r="D450" s="36" t="s">
        <v>3001</v>
      </c>
      <c r="E450" s="36" t="s">
        <v>4147</v>
      </c>
      <c r="F450" s="37" t="s">
        <v>4148</v>
      </c>
      <c r="G450" s="36" t="s">
        <v>4153</v>
      </c>
      <c r="H450" s="36" t="s">
        <v>4156</v>
      </c>
      <c r="I450" s="36" t="s">
        <v>824</v>
      </c>
    </row>
    <row r="451" spans="1:9" x14ac:dyDescent="0.3">
      <c r="A451">
        <v>454</v>
      </c>
      <c r="B451" s="36" t="s">
        <v>4161</v>
      </c>
      <c r="C451" s="36" t="s">
        <v>4154</v>
      </c>
      <c r="D451" s="36" t="s">
        <v>2999</v>
      </c>
      <c r="E451" s="36" t="s">
        <v>4151</v>
      </c>
      <c r="F451" s="37" t="s">
        <v>4148</v>
      </c>
      <c r="G451" s="36" t="s">
        <v>4149</v>
      </c>
      <c r="H451" s="36" t="s">
        <v>4158</v>
      </c>
      <c r="I451" s="36" t="s">
        <v>824</v>
      </c>
    </row>
    <row r="452" spans="1:9" x14ac:dyDescent="0.3">
      <c r="A452">
        <v>455</v>
      </c>
      <c r="B452" s="36" t="s">
        <v>4161</v>
      </c>
      <c r="C452" s="36" t="s">
        <v>4146</v>
      </c>
      <c r="D452" s="36" t="s">
        <v>2999</v>
      </c>
      <c r="E452" s="36" t="s">
        <v>4151</v>
      </c>
      <c r="F452" s="37" t="s">
        <v>4155</v>
      </c>
      <c r="G452" s="36" t="s">
        <v>4149</v>
      </c>
      <c r="H452" s="36" t="s">
        <v>4156</v>
      </c>
      <c r="I452" s="36" t="s">
        <v>824</v>
      </c>
    </row>
    <row r="453" spans="1:9" x14ac:dyDescent="0.3">
      <c r="A453">
        <v>456</v>
      </c>
      <c r="B453" s="36" t="s">
        <v>4161</v>
      </c>
      <c r="C453" s="36" t="s">
        <v>4154</v>
      </c>
      <c r="D453" s="36" t="s">
        <v>2999</v>
      </c>
      <c r="E453" s="36" t="s">
        <v>4151</v>
      </c>
      <c r="F453" s="37" t="s">
        <v>4157</v>
      </c>
      <c r="G453" s="36" t="s">
        <v>4153</v>
      </c>
      <c r="H453" s="36" t="s">
        <v>4156</v>
      </c>
      <c r="I453" s="36" t="s">
        <v>824</v>
      </c>
    </row>
    <row r="454" spans="1:9" x14ac:dyDescent="0.3">
      <c r="A454">
        <v>457</v>
      </c>
      <c r="B454" s="36" t="s">
        <v>4161</v>
      </c>
      <c r="C454" s="36" t="s">
        <v>4154</v>
      </c>
      <c r="D454" s="36" t="s">
        <v>3001</v>
      </c>
      <c r="E454" s="36" t="s">
        <v>4147</v>
      </c>
      <c r="F454" s="37" t="s">
        <v>4157</v>
      </c>
      <c r="G454" s="36" t="s">
        <v>4153</v>
      </c>
      <c r="H454" s="36" t="s">
        <v>4156</v>
      </c>
      <c r="I454" s="36" t="s">
        <v>824</v>
      </c>
    </row>
    <row r="455" spans="1:9" x14ac:dyDescent="0.3">
      <c r="A455">
        <v>458</v>
      </c>
      <c r="B455" s="36" t="s">
        <v>4161</v>
      </c>
      <c r="C455" s="36" t="s">
        <v>4154</v>
      </c>
      <c r="D455" s="36" t="s">
        <v>2999</v>
      </c>
      <c r="E455" s="36" t="s">
        <v>4151</v>
      </c>
      <c r="F455" s="37" t="s">
        <v>4155</v>
      </c>
      <c r="G455" s="36" t="s">
        <v>4149</v>
      </c>
      <c r="H455" s="36" t="s">
        <v>4156</v>
      </c>
      <c r="I455" s="36" t="s">
        <v>824</v>
      </c>
    </row>
    <row r="456" spans="1:9" x14ac:dyDescent="0.3">
      <c r="A456">
        <v>459</v>
      </c>
      <c r="B456" s="36" t="s">
        <v>4161</v>
      </c>
      <c r="C456" s="36" t="s">
        <v>4146</v>
      </c>
      <c r="D456" s="36" t="s">
        <v>2994</v>
      </c>
      <c r="E456" s="36" t="s">
        <v>4147</v>
      </c>
      <c r="F456" s="37" t="s">
        <v>4159</v>
      </c>
      <c r="G456" s="36" t="s">
        <v>4149</v>
      </c>
      <c r="H456" s="36" t="s">
        <v>4156</v>
      </c>
      <c r="I456" s="36" t="s">
        <v>824</v>
      </c>
    </row>
    <row r="457" spans="1:9" x14ac:dyDescent="0.3">
      <c r="A457">
        <v>460</v>
      </c>
      <c r="B457" s="36" t="s">
        <v>4161</v>
      </c>
      <c r="C457" s="36" t="s">
        <v>4154</v>
      </c>
      <c r="D457" s="36" t="s">
        <v>2999</v>
      </c>
      <c r="E457" s="36" t="s">
        <v>4151</v>
      </c>
      <c r="F457" s="37" t="s">
        <v>4155</v>
      </c>
      <c r="G457" s="36" t="s">
        <v>4153</v>
      </c>
      <c r="H457" s="36" t="s">
        <v>4156</v>
      </c>
      <c r="I457" s="36" t="s">
        <v>824</v>
      </c>
    </row>
    <row r="458" spans="1:9" x14ac:dyDescent="0.3">
      <c r="A458">
        <v>461</v>
      </c>
      <c r="B458" s="36" t="s">
        <v>4161</v>
      </c>
      <c r="C458" s="36" t="s">
        <v>4146</v>
      </c>
      <c r="D458" s="36" t="s">
        <v>3001</v>
      </c>
      <c r="E458" s="36" t="s">
        <v>4147</v>
      </c>
      <c r="F458" s="37" t="s">
        <v>4148</v>
      </c>
      <c r="G458" s="36" t="s">
        <v>4153</v>
      </c>
      <c r="H458" s="36" t="s">
        <v>4156</v>
      </c>
      <c r="I458" s="36" t="s">
        <v>824</v>
      </c>
    </row>
    <row r="459" spans="1:9" x14ac:dyDescent="0.3">
      <c r="A459">
        <v>462</v>
      </c>
      <c r="B459" s="36" t="s">
        <v>4161</v>
      </c>
      <c r="C459" s="36" t="s">
        <v>4154</v>
      </c>
      <c r="D459" s="36" t="s">
        <v>2999</v>
      </c>
      <c r="E459" s="36" t="s">
        <v>4151</v>
      </c>
      <c r="F459" s="37" t="s">
        <v>4155</v>
      </c>
      <c r="G459" s="36" t="s">
        <v>4149</v>
      </c>
      <c r="H459" s="36" t="s">
        <v>4156</v>
      </c>
      <c r="I459" s="36" t="s">
        <v>824</v>
      </c>
    </row>
    <row r="460" spans="1:9" x14ac:dyDescent="0.3">
      <c r="A460">
        <v>463</v>
      </c>
      <c r="B460" s="36" t="s">
        <v>4161</v>
      </c>
      <c r="C460" s="36" t="s">
        <v>4154</v>
      </c>
      <c r="D460" s="36" t="s">
        <v>2999</v>
      </c>
      <c r="E460" s="36" t="s">
        <v>4151</v>
      </c>
      <c r="F460" s="37" t="s">
        <v>4148</v>
      </c>
      <c r="G460" s="36" t="s">
        <v>4153</v>
      </c>
      <c r="H460" s="36" t="s">
        <v>4156</v>
      </c>
      <c r="I460" s="36" t="s">
        <v>824</v>
      </c>
    </row>
    <row r="461" spans="1:9" x14ac:dyDescent="0.3">
      <c r="A461">
        <v>464</v>
      </c>
      <c r="B461" s="36" t="s">
        <v>4161</v>
      </c>
      <c r="C461" s="36" t="s">
        <v>4154</v>
      </c>
      <c r="D461" s="36" t="s">
        <v>2999</v>
      </c>
      <c r="E461" s="36" t="s">
        <v>4151</v>
      </c>
      <c r="F461" s="37" t="s">
        <v>4148</v>
      </c>
      <c r="G461" s="36" t="s">
        <v>4153</v>
      </c>
      <c r="H461" s="36" t="s">
        <v>4156</v>
      </c>
      <c r="I461" s="36" t="s">
        <v>824</v>
      </c>
    </row>
    <row r="462" spans="1:9" x14ac:dyDescent="0.3">
      <c r="A462">
        <v>465</v>
      </c>
      <c r="B462" s="36" t="s">
        <v>4161</v>
      </c>
      <c r="C462" s="36" t="s">
        <v>4154</v>
      </c>
      <c r="D462" s="36" t="s">
        <v>2999</v>
      </c>
      <c r="E462" s="36" t="s">
        <v>4151</v>
      </c>
      <c r="F462" s="37" t="s">
        <v>4155</v>
      </c>
      <c r="G462" s="36" t="s">
        <v>4149</v>
      </c>
      <c r="H462" s="36" t="s">
        <v>4156</v>
      </c>
      <c r="I462" s="36" t="s">
        <v>824</v>
      </c>
    </row>
    <row r="463" spans="1:9" x14ac:dyDescent="0.3">
      <c r="A463">
        <v>466</v>
      </c>
      <c r="B463" s="36" t="s">
        <v>4161</v>
      </c>
      <c r="C463" s="36" t="s">
        <v>4146</v>
      </c>
      <c r="D463" s="36" t="s">
        <v>3001</v>
      </c>
      <c r="E463" s="36" t="s">
        <v>4147</v>
      </c>
      <c r="F463" s="37" t="s">
        <v>4148</v>
      </c>
      <c r="G463" s="36" t="s">
        <v>4149</v>
      </c>
      <c r="H463" s="36" t="s">
        <v>4156</v>
      </c>
      <c r="I463" s="36" t="s">
        <v>4199</v>
      </c>
    </row>
    <row r="464" spans="1:9" x14ac:dyDescent="0.3">
      <c r="A464">
        <v>467</v>
      </c>
      <c r="B464" s="36" t="s">
        <v>4161</v>
      </c>
      <c r="C464" s="36" t="s">
        <v>4154</v>
      </c>
      <c r="D464" s="36" t="s">
        <v>2999</v>
      </c>
      <c r="E464" s="36" t="s">
        <v>4151</v>
      </c>
      <c r="F464" s="37" t="s">
        <v>4155</v>
      </c>
      <c r="G464" s="36" t="s">
        <v>4153</v>
      </c>
      <c r="H464" s="36" t="s">
        <v>4156</v>
      </c>
      <c r="I464" s="36" t="s">
        <v>824</v>
      </c>
    </row>
    <row r="465" spans="1:9" x14ac:dyDescent="0.3">
      <c r="A465">
        <v>468</v>
      </c>
      <c r="B465" s="36" t="s">
        <v>4161</v>
      </c>
      <c r="C465" s="36" t="s">
        <v>4146</v>
      </c>
      <c r="D465" s="36" t="s">
        <v>3001</v>
      </c>
      <c r="E465" s="36" t="s">
        <v>4147</v>
      </c>
      <c r="F465" s="37" t="s">
        <v>4148</v>
      </c>
      <c r="G465" s="36" t="s">
        <v>4153</v>
      </c>
      <c r="H465" s="36" t="s">
        <v>4156</v>
      </c>
      <c r="I465" s="36" t="s">
        <v>824</v>
      </c>
    </row>
    <row r="466" spans="1:9" x14ac:dyDescent="0.3">
      <c r="A466">
        <v>469</v>
      </c>
      <c r="B466" s="36" t="s">
        <v>4161</v>
      </c>
      <c r="C466" s="36" t="s">
        <v>4154</v>
      </c>
      <c r="D466" s="36" t="s">
        <v>3001</v>
      </c>
      <c r="E466" s="36" t="s">
        <v>4147</v>
      </c>
      <c r="F466" s="37" t="s">
        <v>4148</v>
      </c>
      <c r="G466" s="36" t="s">
        <v>4149</v>
      </c>
      <c r="H466" s="36" t="s">
        <v>4156</v>
      </c>
      <c r="I466" s="36" t="s">
        <v>824</v>
      </c>
    </row>
    <row r="467" spans="1:9" x14ac:dyDescent="0.3">
      <c r="A467">
        <v>470</v>
      </c>
      <c r="B467" s="36" t="s">
        <v>4161</v>
      </c>
      <c r="C467" s="36" t="s">
        <v>4146</v>
      </c>
      <c r="D467" s="36" t="s">
        <v>2994</v>
      </c>
      <c r="E467" s="36" t="s">
        <v>4147</v>
      </c>
      <c r="F467" s="37" t="s">
        <v>4148</v>
      </c>
      <c r="G467" s="36" t="s">
        <v>4149</v>
      </c>
      <c r="H467" s="36" t="s">
        <v>4156</v>
      </c>
      <c r="I467" s="36" t="s">
        <v>4160</v>
      </c>
    </row>
    <row r="468" spans="1:9" x14ac:dyDescent="0.3">
      <c r="A468">
        <v>471</v>
      </c>
      <c r="B468" s="36" t="s">
        <v>4161</v>
      </c>
      <c r="C468" s="36" t="s">
        <v>4154</v>
      </c>
      <c r="D468" s="36" t="s">
        <v>2999</v>
      </c>
      <c r="E468" s="36" t="s">
        <v>4151</v>
      </c>
      <c r="F468" s="37" t="s">
        <v>4155</v>
      </c>
      <c r="G468" s="36" t="s">
        <v>4149</v>
      </c>
      <c r="H468" s="36" t="s">
        <v>4156</v>
      </c>
      <c r="I468" s="36" t="s">
        <v>4160</v>
      </c>
    </row>
    <row r="469" spans="1:9" x14ac:dyDescent="0.3">
      <c r="A469">
        <v>472</v>
      </c>
      <c r="B469" s="36" t="s">
        <v>4161</v>
      </c>
      <c r="C469" s="36" t="s">
        <v>4146</v>
      </c>
      <c r="D469" s="36" t="s">
        <v>3001</v>
      </c>
      <c r="E469" s="36" t="s">
        <v>4147</v>
      </c>
      <c r="F469" s="37" t="s">
        <v>4155</v>
      </c>
      <c r="G469" s="36" t="s">
        <v>4149</v>
      </c>
      <c r="H469" s="36" t="s">
        <v>4156</v>
      </c>
      <c r="I469" s="36" t="s">
        <v>824</v>
      </c>
    </row>
    <row r="470" spans="1:9" x14ac:dyDescent="0.3">
      <c r="A470">
        <v>473</v>
      </c>
      <c r="B470" s="36" t="s">
        <v>4161</v>
      </c>
      <c r="C470" s="36" t="s">
        <v>4154</v>
      </c>
      <c r="D470" s="36" t="s">
        <v>3338</v>
      </c>
      <c r="E470" s="36" t="s">
        <v>4151</v>
      </c>
      <c r="F470" s="37" t="s">
        <v>4157</v>
      </c>
      <c r="G470" s="36" t="s">
        <v>4149</v>
      </c>
      <c r="H470" s="36" t="s">
        <v>4156</v>
      </c>
      <c r="I470" s="36" t="s">
        <v>4160</v>
      </c>
    </row>
    <row r="471" spans="1:9" x14ac:dyDescent="0.3">
      <c r="A471">
        <v>474</v>
      </c>
      <c r="B471" s="36" t="s">
        <v>4161</v>
      </c>
      <c r="C471" s="36" t="s">
        <v>4154</v>
      </c>
      <c r="D471" s="36" t="s">
        <v>2999</v>
      </c>
      <c r="E471" s="36" t="s">
        <v>4151</v>
      </c>
      <c r="F471" s="37" t="s">
        <v>4148</v>
      </c>
      <c r="G471" s="36" t="s">
        <v>4149</v>
      </c>
      <c r="H471" s="36" t="s">
        <v>4156</v>
      </c>
      <c r="I471" s="36" t="s">
        <v>824</v>
      </c>
    </row>
    <row r="472" spans="1:9" x14ac:dyDescent="0.3">
      <c r="A472">
        <v>475</v>
      </c>
      <c r="B472" s="36" t="s">
        <v>4161</v>
      </c>
      <c r="C472" s="36" t="s">
        <v>4154</v>
      </c>
      <c r="D472" s="36" t="s">
        <v>2999</v>
      </c>
      <c r="E472" s="36" t="s">
        <v>4151</v>
      </c>
      <c r="F472" s="37" t="s">
        <v>4155</v>
      </c>
      <c r="G472" s="36" t="s">
        <v>4149</v>
      </c>
      <c r="H472" s="36" t="s">
        <v>4156</v>
      </c>
      <c r="I472" s="36" t="s">
        <v>824</v>
      </c>
    </row>
    <row r="473" spans="1:9" x14ac:dyDescent="0.3">
      <c r="A473">
        <v>476</v>
      </c>
      <c r="B473" s="36" t="s">
        <v>4161</v>
      </c>
      <c r="C473" s="36" t="s">
        <v>4154</v>
      </c>
      <c r="D473" s="36" t="s">
        <v>3001</v>
      </c>
      <c r="E473" s="36" t="s">
        <v>4147</v>
      </c>
      <c r="F473" s="37" t="s">
        <v>4148</v>
      </c>
      <c r="G473" s="36" t="s">
        <v>4153</v>
      </c>
      <c r="H473" s="36" t="s">
        <v>4156</v>
      </c>
      <c r="I473" s="36" t="s">
        <v>824</v>
      </c>
    </row>
    <row r="474" spans="1:9" x14ac:dyDescent="0.3">
      <c r="A474">
        <v>477</v>
      </c>
      <c r="B474" s="36" t="s">
        <v>4161</v>
      </c>
      <c r="C474" s="36" t="s">
        <v>4154</v>
      </c>
      <c r="D474" s="36" t="s">
        <v>3338</v>
      </c>
      <c r="E474" s="36" t="s">
        <v>4151</v>
      </c>
      <c r="F474" s="37" t="s">
        <v>4148</v>
      </c>
      <c r="G474" s="36" t="s">
        <v>4153</v>
      </c>
      <c r="H474" s="36" t="s">
        <v>4156</v>
      </c>
      <c r="I474" s="36" t="s">
        <v>824</v>
      </c>
    </row>
    <row r="475" spans="1:9" x14ac:dyDescent="0.3">
      <c r="A475">
        <v>478</v>
      </c>
      <c r="B475" s="36" t="s">
        <v>4161</v>
      </c>
      <c r="C475" s="36" t="s">
        <v>4154</v>
      </c>
      <c r="D475" s="36" t="s">
        <v>2999</v>
      </c>
      <c r="E475" s="36" t="s">
        <v>4151</v>
      </c>
      <c r="F475" s="37" t="s">
        <v>4148</v>
      </c>
      <c r="G475" s="36" t="s">
        <v>4149</v>
      </c>
      <c r="H475" s="36" t="s">
        <v>4156</v>
      </c>
      <c r="I475" s="36" t="s">
        <v>4160</v>
      </c>
    </row>
    <row r="476" spans="1:9" x14ac:dyDescent="0.3">
      <c r="A476">
        <v>479</v>
      </c>
      <c r="B476" s="36" t="s">
        <v>4161</v>
      </c>
      <c r="C476" s="36" t="s">
        <v>4146</v>
      </c>
      <c r="D476" s="36" t="s">
        <v>2994</v>
      </c>
      <c r="E476" s="36" t="s">
        <v>4147</v>
      </c>
      <c r="F476" s="37" t="s">
        <v>4152</v>
      </c>
      <c r="G476" s="36" t="s">
        <v>4153</v>
      </c>
      <c r="H476" s="36" t="s">
        <v>4156</v>
      </c>
      <c r="I476" s="36" t="s">
        <v>4199</v>
      </c>
    </row>
    <row r="477" spans="1:9" x14ac:dyDescent="0.3">
      <c r="A477">
        <v>480</v>
      </c>
      <c r="B477" s="36" t="s">
        <v>4161</v>
      </c>
      <c r="C477" s="36" t="s">
        <v>4146</v>
      </c>
      <c r="D477" s="36" t="s">
        <v>2994</v>
      </c>
      <c r="E477" s="36" t="s">
        <v>4147</v>
      </c>
      <c r="F477" s="37" t="s">
        <v>4152</v>
      </c>
      <c r="G477" s="36" t="s">
        <v>4153</v>
      </c>
      <c r="H477" s="36" t="s">
        <v>4156</v>
      </c>
      <c r="I477" s="36" t="s">
        <v>4199</v>
      </c>
    </row>
    <row r="478" spans="1:9" x14ac:dyDescent="0.3">
      <c r="A478">
        <v>481</v>
      </c>
      <c r="B478" s="36" t="s">
        <v>4161</v>
      </c>
      <c r="C478" s="36" t="s">
        <v>4154</v>
      </c>
      <c r="D478" s="36" t="s">
        <v>2999</v>
      </c>
      <c r="E478" s="36" t="s">
        <v>4151</v>
      </c>
      <c r="F478" s="37" t="s">
        <v>4148</v>
      </c>
      <c r="G478" s="36" t="s">
        <v>4153</v>
      </c>
      <c r="H478" s="36" t="s">
        <v>4156</v>
      </c>
      <c r="I478" s="36" t="s">
        <v>4199</v>
      </c>
    </row>
    <row r="479" spans="1:9" x14ac:dyDescent="0.3">
      <c r="A479">
        <v>482</v>
      </c>
      <c r="B479" s="36" t="s">
        <v>4161</v>
      </c>
      <c r="C479" s="36" t="s">
        <v>4146</v>
      </c>
      <c r="D479" s="36" t="s">
        <v>3001</v>
      </c>
      <c r="E479" s="36" t="s">
        <v>4147</v>
      </c>
      <c r="F479" s="37" t="s">
        <v>4148</v>
      </c>
      <c r="G479" s="36" t="s">
        <v>4153</v>
      </c>
      <c r="H479" s="36" t="s">
        <v>4156</v>
      </c>
      <c r="I479" s="36" t="s">
        <v>4199</v>
      </c>
    </row>
    <row r="480" spans="1:9" x14ac:dyDescent="0.3">
      <c r="A480">
        <v>483</v>
      </c>
      <c r="B480" s="36" t="s">
        <v>4161</v>
      </c>
      <c r="C480" s="36" t="s">
        <v>4146</v>
      </c>
      <c r="D480" s="36" t="s">
        <v>2994</v>
      </c>
      <c r="E480" s="36" t="s">
        <v>4147</v>
      </c>
      <c r="F480" s="37" t="s">
        <v>4159</v>
      </c>
      <c r="G480" s="36" t="s">
        <v>4149</v>
      </c>
      <c r="H480" s="36" t="s">
        <v>4156</v>
      </c>
      <c r="I480" s="36" t="s">
        <v>4199</v>
      </c>
    </row>
    <row r="481" spans="1:9" x14ac:dyDescent="0.3">
      <c r="A481">
        <v>484</v>
      </c>
      <c r="B481" s="36" t="s">
        <v>4161</v>
      </c>
      <c r="C481" s="36" t="s">
        <v>4146</v>
      </c>
      <c r="D481" s="36" t="s">
        <v>2994</v>
      </c>
      <c r="E481" s="36" t="s">
        <v>4147</v>
      </c>
      <c r="F481" s="37" t="s">
        <v>4148</v>
      </c>
      <c r="G481" s="36" t="s">
        <v>4149</v>
      </c>
      <c r="H481" s="36" t="s">
        <v>4156</v>
      </c>
      <c r="I481" s="36" t="s">
        <v>824</v>
      </c>
    </row>
    <row r="482" spans="1:9" x14ac:dyDescent="0.3">
      <c r="A482">
        <v>485</v>
      </c>
      <c r="B482" s="36" t="s">
        <v>4161</v>
      </c>
      <c r="C482" s="36" t="s">
        <v>4146</v>
      </c>
      <c r="D482" s="36" t="s">
        <v>3001</v>
      </c>
      <c r="E482" s="36" t="s">
        <v>4147</v>
      </c>
      <c r="F482" s="37" t="s">
        <v>4155</v>
      </c>
      <c r="G482" s="36" t="s">
        <v>4149</v>
      </c>
      <c r="H482" s="36" t="s">
        <v>4156</v>
      </c>
      <c r="I482" s="36" t="s">
        <v>824</v>
      </c>
    </row>
    <row r="483" spans="1:9" x14ac:dyDescent="0.3">
      <c r="A483">
        <v>486</v>
      </c>
      <c r="B483" s="36" t="s">
        <v>4161</v>
      </c>
      <c r="C483" s="36" t="s">
        <v>4154</v>
      </c>
      <c r="D483" s="36" t="s">
        <v>2999</v>
      </c>
      <c r="E483" s="36" t="s">
        <v>4151</v>
      </c>
      <c r="F483" s="37" t="s">
        <v>4155</v>
      </c>
      <c r="G483" s="36" t="s">
        <v>4149</v>
      </c>
      <c r="H483" s="36" t="s">
        <v>4156</v>
      </c>
      <c r="I483" s="36" t="s">
        <v>4199</v>
      </c>
    </row>
    <row r="484" spans="1:9" x14ac:dyDescent="0.3">
      <c r="A484">
        <v>487</v>
      </c>
      <c r="B484" s="36" t="s">
        <v>4161</v>
      </c>
      <c r="C484" s="36" t="s">
        <v>4154</v>
      </c>
      <c r="D484" s="36" t="s">
        <v>2999</v>
      </c>
      <c r="E484" s="36" t="s">
        <v>4151</v>
      </c>
      <c r="F484" s="37" t="s">
        <v>4148</v>
      </c>
      <c r="G484" s="36" t="s">
        <v>4149</v>
      </c>
      <c r="H484" s="36" t="s">
        <v>4156</v>
      </c>
      <c r="I484" s="36" t="s">
        <v>824</v>
      </c>
    </row>
    <row r="485" spans="1:9" x14ac:dyDescent="0.3">
      <c r="A485">
        <v>488</v>
      </c>
      <c r="B485" s="36" t="s">
        <v>4161</v>
      </c>
      <c r="C485" s="36" t="s">
        <v>4154</v>
      </c>
      <c r="D485" s="36" t="s">
        <v>2999</v>
      </c>
      <c r="E485" s="36" t="s">
        <v>4151</v>
      </c>
      <c r="F485" s="37" t="s">
        <v>4157</v>
      </c>
      <c r="G485" s="36" t="s">
        <v>4149</v>
      </c>
      <c r="H485" s="36" t="s">
        <v>4156</v>
      </c>
      <c r="I485" s="36" t="s">
        <v>4160</v>
      </c>
    </row>
    <row r="486" spans="1:9" x14ac:dyDescent="0.3">
      <c r="A486">
        <v>489</v>
      </c>
      <c r="B486" s="36" t="s">
        <v>4161</v>
      </c>
      <c r="C486" s="36" t="s">
        <v>4154</v>
      </c>
      <c r="D486" s="36" t="s">
        <v>2999</v>
      </c>
      <c r="E486" s="36" t="s">
        <v>4151</v>
      </c>
      <c r="F486" s="37" t="s">
        <v>4155</v>
      </c>
      <c r="G486" s="36" t="s">
        <v>4153</v>
      </c>
      <c r="H486" s="36" t="s">
        <v>4156</v>
      </c>
      <c r="I486" s="36" t="s">
        <v>824</v>
      </c>
    </row>
    <row r="487" spans="1:9" x14ac:dyDescent="0.3">
      <c r="A487">
        <v>490</v>
      </c>
      <c r="B487" s="36" t="s">
        <v>4161</v>
      </c>
      <c r="C487" s="36" t="s">
        <v>4146</v>
      </c>
      <c r="D487" s="36" t="s">
        <v>3001</v>
      </c>
      <c r="E487" s="36" t="s">
        <v>4147</v>
      </c>
      <c r="F487" s="37" t="s">
        <v>4155</v>
      </c>
      <c r="G487" s="36" t="s">
        <v>4153</v>
      </c>
      <c r="H487" s="36" t="s">
        <v>4156</v>
      </c>
      <c r="I487" s="36" t="s">
        <v>824</v>
      </c>
    </row>
    <row r="488" spans="1:9" x14ac:dyDescent="0.3">
      <c r="A488">
        <v>491</v>
      </c>
      <c r="B488" s="36" t="s">
        <v>4161</v>
      </c>
      <c r="C488" s="36" t="s">
        <v>4154</v>
      </c>
      <c r="D488" s="36" t="s">
        <v>3001</v>
      </c>
      <c r="E488" s="36" t="s">
        <v>4147</v>
      </c>
      <c r="F488" s="37" t="s">
        <v>4157</v>
      </c>
      <c r="G488" s="36" t="s">
        <v>4149</v>
      </c>
      <c r="H488" s="36" t="s">
        <v>4156</v>
      </c>
      <c r="I488" s="36" t="s">
        <v>824</v>
      </c>
    </row>
    <row r="489" spans="1:9" x14ac:dyDescent="0.3">
      <c r="A489">
        <v>492</v>
      </c>
      <c r="B489" s="36" t="s">
        <v>4161</v>
      </c>
      <c r="C489" s="36" t="s">
        <v>4154</v>
      </c>
      <c r="D489" s="36" t="s">
        <v>2999</v>
      </c>
      <c r="E489" s="36" t="s">
        <v>4151</v>
      </c>
      <c r="F489" s="37" t="s">
        <v>4148</v>
      </c>
      <c r="G489" s="36" t="s">
        <v>4149</v>
      </c>
      <c r="H489" s="36" t="s">
        <v>4156</v>
      </c>
      <c r="I489" s="36" t="s">
        <v>4199</v>
      </c>
    </row>
    <row r="490" spans="1:9" x14ac:dyDescent="0.3">
      <c r="A490">
        <v>493</v>
      </c>
      <c r="B490" s="36" t="s">
        <v>4161</v>
      </c>
      <c r="C490" s="36" t="s">
        <v>4146</v>
      </c>
      <c r="D490" s="36" t="s">
        <v>2996</v>
      </c>
      <c r="E490" s="36" t="s">
        <v>4151</v>
      </c>
      <c r="F490" s="37" t="s">
        <v>4152</v>
      </c>
      <c r="G490" s="36" t="s">
        <v>4153</v>
      </c>
      <c r="H490" s="36" t="s">
        <v>4156</v>
      </c>
      <c r="I490" s="36" t="s">
        <v>4199</v>
      </c>
    </row>
    <row r="491" spans="1:9" x14ac:dyDescent="0.3">
      <c r="A491">
        <v>494</v>
      </c>
      <c r="B491" s="36" t="s">
        <v>4161</v>
      </c>
      <c r="C491" s="36" t="s">
        <v>4154</v>
      </c>
      <c r="D491" s="36" t="s">
        <v>2999</v>
      </c>
      <c r="E491" s="36" t="s">
        <v>4151</v>
      </c>
      <c r="F491" s="37" t="s">
        <v>4155</v>
      </c>
      <c r="G491" s="36" t="s">
        <v>4153</v>
      </c>
      <c r="H491" s="36" t="s">
        <v>4156</v>
      </c>
      <c r="I491" s="36" t="s">
        <v>4199</v>
      </c>
    </row>
    <row r="492" spans="1:9" x14ac:dyDescent="0.3">
      <c r="A492">
        <v>495</v>
      </c>
      <c r="B492" s="36" t="s">
        <v>4161</v>
      </c>
      <c r="C492" s="36" t="s">
        <v>4146</v>
      </c>
      <c r="D492" s="36" t="s">
        <v>3001</v>
      </c>
      <c r="E492" s="36" t="s">
        <v>4147</v>
      </c>
      <c r="F492" s="37" t="s">
        <v>4148</v>
      </c>
      <c r="G492" s="36" t="s">
        <v>4153</v>
      </c>
      <c r="H492" s="36" t="s">
        <v>4156</v>
      </c>
      <c r="I492" s="36" t="s">
        <v>4199</v>
      </c>
    </row>
    <row r="493" spans="1:9" x14ac:dyDescent="0.3">
      <c r="A493">
        <v>496</v>
      </c>
      <c r="B493" s="36" t="s">
        <v>4161</v>
      </c>
      <c r="C493" s="36" t="s">
        <v>4154</v>
      </c>
      <c r="D493" s="36" t="s">
        <v>2999</v>
      </c>
      <c r="E493" s="36" t="s">
        <v>4151</v>
      </c>
      <c r="F493" s="37" t="s">
        <v>4148</v>
      </c>
      <c r="G493" s="36" t="s">
        <v>4149</v>
      </c>
      <c r="H493" s="36" t="s">
        <v>4156</v>
      </c>
      <c r="I493" s="36" t="s">
        <v>4199</v>
      </c>
    </row>
    <row r="494" spans="1:9" x14ac:dyDescent="0.3">
      <c r="A494">
        <v>497</v>
      </c>
      <c r="B494" s="36" t="s">
        <v>4161</v>
      </c>
      <c r="C494" s="36" t="s">
        <v>4154</v>
      </c>
      <c r="D494" s="36" t="s">
        <v>2999</v>
      </c>
      <c r="E494" s="36" t="s">
        <v>4151</v>
      </c>
      <c r="F494" s="37" t="s">
        <v>4148</v>
      </c>
      <c r="G494" s="36" t="s">
        <v>4149</v>
      </c>
      <c r="H494" s="36" t="s">
        <v>4156</v>
      </c>
      <c r="I494" s="36" t="s">
        <v>824</v>
      </c>
    </row>
    <row r="495" spans="1:9" x14ac:dyDescent="0.3">
      <c r="A495">
        <v>498</v>
      </c>
      <c r="B495" s="36" t="s">
        <v>4161</v>
      </c>
      <c r="C495" s="36" t="s">
        <v>4154</v>
      </c>
      <c r="D495" s="36" t="s">
        <v>2999</v>
      </c>
      <c r="E495" s="36" t="s">
        <v>4151</v>
      </c>
      <c r="F495" s="37" t="s">
        <v>4155</v>
      </c>
      <c r="G495" s="36" t="s">
        <v>4149</v>
      </c>
      <c r="H495" s="36" t="s">
        <v>4156</v>
      </c>
      <c r="I495" s="36" t="s">
        <v>824</v>
      </c>
    </row>
    <row r="496" spans="1:9" x14ac:dyDescent="0.3">
      <c r="A496">
        <v>499</v>
      </c>
      <c r="B496" s="36" t="s">
        <v>4161</v>
      </c>
      <c r="C496" s="36" t="s">
        <v>4154</v>
      </c>
      <c r="D496" s="36" t="s">
        <v>2999</v>
      </c>
      <c r="E496" s="36" t="s">
        <v>4151</v>
      </c>
      <c r="F496" s="37" t="s">
        <v>4155</v>
      </c>
      <c r="G496" s="36" t="s">
        <v>4149</v>
      </c>
      <c r="H496" s="36" t="s">
        <v>4156</v>
      </c>
      <c r="I496" s="36" t="s">
        <v>824</v>
      </c>
    </row>
    <row r="497" spans="1:9" x14ac:dyDescent="0.3">
      <c r="A497">
        <v>500</v>
      </c>
      <c r="B497" s="36" t="s">
        <v>4161</v>
      </c>
      <c r="C497" s="36" t="s">
        <v>4154</v>
      </c>
      <c r="D497" s="36" t="s">
        <v>2999</v>
      </c>
      <c r="E497" s="36" t="s">
        <v>4151</v>
      </c>
      <c r="F497" s="37" t="s">
        <v>4148</v>
      </c>
      <c r="G497" s="36" t="s">
        <v>4149</v>
      </c>
      <c r="H497" s="36" t="s">
        <v>4156</v>
      </c>
      <c r="I497" s="36" t="s">
        <v>824</v>
      </c>
    </row>
    <row r="498" spans="1:9" x14ac:dyDescent="0.3">
      <c r="A498">
        <v>501</v>
      </c>
      <c r="B498" s="36" t="s">
        <v>4161</v>
      </c>
      <c r="C498" s="36" t="s">
        <v>4154</v>
      </c>
      <c r="D498" s="36" t="s">
        <v>2999</v>
      </c>
      <c r="E498" s="36" t="s">
        <v>4151</v>
      </c>
      <c r="F498" s="37" t="s">
        <v>4155</v>
      </c>
      <c r="G498" s="36" t="s">
        <v>4149</v>
      </c>
      <c r="H498" s="36" t="s">
        <v>4156</v>
      </c>
      <c r="I498" s="36" t="s">
        <v>824</v>
      </c>
    </row>
    <row r="499" spans="1:9" x14ac:dyDescent="0.3">
      <c r="A499">
        <v>502</v>
      </c>
      <c r="B499" s="36" t="s">
        <v>4161</v>
      </c>
      <c r="C499" s="36" t="s">
        <v>4146</v>
      </c>
      <c r="D499" s="36" t="s">
        <v>2994</v>
      </c>
      <c r="E499" s="36" t="s">
        <v>4147</v>
      </c>
      <c r="F499" s="37" t="s">
        <v>4152</v>
      </c>
      <c r="G499" s="36" t="s">
        <v>4153</v>
      </c>
      <c r="H499" s="36" t="s">
        <v>4156</v>
      </c>
      <c r="I499" s="36" t="s">
        <v>824</v>
      </c>
    </row>
    <row r="500" spans="1:9" x14ac:dyDescent="0.3">
      <c r="A500">
        <v>503</v>
      </c>
      <c r="B500" s="36" t="s">
        <v>4161</v>
      </c>
      <c r="C500" s="36" t="s">
        <v>4146</v>
      </c>
      <c r="D500" s="36" t="s">
        <v>3001</v>
      </c>
      <c r="E500" s="36" t="s">
        <v>4147</v>
      </c>
      <c r="F500" s="37" t="s">
        <v>4155</v>
      </c>
      <c r="G500" s="36" t="s">
        <v>4153</v>
      </c>
      <c r="H500" s="36" t="s">
        <v>4156</v>
      </c>
      <c r="I500" s="36" t="s">
        <v>824</v>
      </c>
    </row>
    <row r="501" spans="1:9" x14ac:dyDescent="0.3">
      <c r="A501">
        <v>504</v>
      </c>
      <c r="B501" s="36" t="s">
        <v>4161</v>
      </c>
      <c r="C501" s="36" t="s">
        <v>4146</v>
      </c>
      <c r="D501" s="36" t="s">
        <v>2999</v>
      </c>
      <c r="E501" s="36" t="s">
        <v>4151</v>
      </c>
      <c r="F501" s="37" t="s">
        <v>4148</v>
      </c>
      <c r="G501" s="36" t="s">
        <v>4149</v>
      </c>
      <c r="H501" s="36" t="s">
        <v>4156</v>
      </c>
      <c r="I501" s="36" t="s">
        <v>824</v>
      </c>
    </row>
    <row r="502" spans="1:9" x14ac:dyDescent="0.3">
      <c r="A502">
        <v>505</v>
      </c>
      <c r="B502" s="36" t="s">
        <v>4161</v>
      </c>
      <c r="C502" s="36" t="s">
        <v>4154</v>
      </c>
      <c r="D502" s="36" t="s">
        <v>2999</v>
      </c>
      <c r="E502" s="36" t="s">
        <v>4151</v>
      </c>
      <c r="F502" s="37" t="s">
        <v>4155</v>
      </c>
      <c r="G502" s="36" t="s">
        <v>4149</v>
      </c>
      <c r="H502" s="36" t="s">
        <v>4156</v>
      </c>
      <c r="I502" s="36" t="s">
        <v>824</v>
      </c>
    </row>
    <row r="503" spans="1:9" x14ac:dyDescent="0.3">
      <c r="A503">
        <v>506</v>
      </c>
      <c r="B503" s="36" t="s">
        <v>4161</v>
      </c>
      <c r="C503" s="36" t="s">
        <v>4154</v>
      </c>
      <c r="D503" s="36" t="s">
        <v>2999</v>
      </c>
      <c r="E503" s="36" t="s">
        <v>4151</v>
      </c>
      <c r="F503" s="37" t="s">
        <v>4155</v>
      </c>
      <c r="G503" s="36" t="s">
        <v>4149</v>
      </c>
      <c r="H503" s="36" t="s">
        <v>4156</v>
      </c>
      <c r="I503" s="36" t="s">
        <v>824</v>
      </c>
    </row>
    <row r="504" spans="1:9" x14ac:dyDescent="0.3">
      <c r="A504">
        <v>507</v>
      </c>
      <c r="B504" s="36" t="s">
        <v>4161</v>
      </c>
      <c r="C504" s="36" t="s">
        <v>4154</v>
      </c>
      <c r="D504" s="36" t="s">
        <v>2999</v>
      </c>
      <c r="E504" s="36" t="s">
        <v>4151</v>
      </c>
      <c r="F504" s="37" t="s">
        <v>4157</v>
      </c>
      <c r="G504" s="36" t="s">
        <v>4149</v>
      </c>
      <c r="H504" s="36" t="s">
        <v>4156</v>
      </c>
      <c r="I504" s="36" t="s">
        <v>824</v>
      </c>
    </row>
    <row r="505" spans="1:9" x14ac:dyDescent="0.3">
      <c r="A505">
        <v>508</v>
      </c>
      <c r="B505" s="36" t="s">
        <v>4161</v>
      </c>
      <c r="C505" s="36" t="s">
        <v>4154</v>
      </c>
      <c r="D505" s="36" t="s">
        <v>3338</v>
      </c>
      <c r="E505" s="36" t="s">
        <v>4151</v>
      </c>
      <c r="F505" s="37" t="s">
        <v>4148</v>
      </c>
      <c r="G505" s="36" t="s">
        <v>4149</v>
      </c>
      <c r="H505" s="36" t="s">
        <v>4156</v>
      </c>
      <c r="I505" s="36" t="s">
        <v>824</v>
      </c>
    </row>
    <row r="506" spans="1:9" x14ac:dyDescent="0.3">
      <c r="A506">
        <v>509</v>
      </c>
      <c r="B506" s="36" t="s">
        <v>4161</v>
      </c>
      <c r="C506" s="36" t="s">
        <v>4154</v>
      </c>
      <c r="D506" s="36" t="s">
        <v>3040</v>
      </c>
      <c r="E506" s="36" t="s">
        <v>4151</v>
      </c>
      <c r="F506" s="37" t="s">
        <v>4157</v>
      </c>
      <c r="G506" s="36" t="s">
        <v>4149</v>
      </c>
      <c r="H506" s="36" t="s">
        <v>4156</v>
      </c>
      <c r="I506" s="36" t="s">
        <v>824</v>
      </c>
    </row>
    <row r="507" spans="1:9" x14ac:dyDescent="0.3">
      <c r="A507">
        <v>510</v>
      </c>
      <c r="B507" s="36" t="s">
        <v>4161</v>
      </c>
      <c r="C507" s="36" t="s">
        <v>4154</v>
      </c>
      <c r="D507" s="36" t="s">
        <v>2999</v>
      </c>
      <c r="E507" s="36" t="s">
        <v>4151</v>
      </c>
      <c r="F507" s="37" t="s">
        <v>4155</v>
      </c>
      <c r="G507" s="36" t="s">
        <v>4149</v>
      </c>
      <c r="H507" s="36" t="s">
        <v>4156</v>
      </c>
      <c r="I507" s="36" t="s">
        <v>824</v>
      </c>
    </row>
    <row r="508" spans="1:9" x14ac:dyDescent="0.3">
      <c r="A508">
        <v>511</v>
      </c>
      <c r="B508" s="36" t="s">
        <v>4161</v>
      </c>
      <c r="C508" s="36" t="s">
        <v>4154</v>
      </c>
      <c r="D508" s="36" t="s">
        <v>2999</v>
      </c>
      <c r="E508" s="36" t="s">
        <v>4151</v>
      </c>
      <c r="F508" s="37" t="s">
        <v>4159</v>
      </c>
      <c r="G508" s="36" t="s">
        <v>4149</v>
      </c>
      <c r="H508" s="36" t="s">
        <v>4156</v>
      </c>
      <c r="I508" s="36" t="s">
        <v>824</v>
      </c>
    </row>
    <row r="509" spans="1:9" x14ac:dyDescent="0.3">
      <c r="A509">
        <v>512</v>
      </c>
      <c r="B509" s="36" t="s">
        <v>4161</v>
      </c>
      <c r="C509" s="36" t="s">
        <v>4154</v>
      </c>
      <c r="D509" s="36" t="s">
        <v>2999</v>
      </c>
      <c r="E509" s="36" t="s">
        <v>4151</v>
      </c>
      <c r="F509" s="37" t="s">
        <v>4157</v>
      </c>
      <c r="G509" s="36" t="s">
        <v>4149</v>
      </c>
      <c r="H509" s="36" t="s">
        <v>4156</v>
      </c>
      <c r="I509" s="36" t="s">
        <v>4160</v>
      </c>
    </row>
    <row r="510" spans="1:9" x14ac:dyDescent="0.3">
      <c r="A510">
        <v>513</v>
      </c>
      <c r="B510" s="36" t="s">
        <v>4161</v>
      </c>
      <c r="C510" s="36" t="s">
        <v>4154</v>
      </c>
      <c r="D510" s="36" t="s">
        <v>2999</v>
      </c>
      <c r="E510" s="36" t="s">
        <v>4151</v>
      </c>
      <c r="F510" s="37" t="s">
        <v>4155</v>
      </c>
      <c r="G510" s="36" t="s">
        <v>4153</v>
      </c>
      <c r="H510" s="36" t="s">
        <v>4156</v>
      </c>
      <c r="I510" s="36" t="s">
        <v>4199</v>
      </c>
    </row>
    <row r="511" spans="1:9" x14ac:dyDescent="0.3">
      <c r="A511">
        <v>514</v>
      </c>
      <c r="B511" s="36" t="s">
        <v>4161</v>
      </c>
      <c r="C511" s="36" t="s">
        <v>4146</v>
      </c>
      <c r="D511" s="36" t="s">
        <v>3001</v>
      </c>
      <c r="E511" s="36" t="s">
        <v>4147</v>
      </c>
      <c r="F511" s="37" t="s">
        <v>4159</v>
      </c>
      <c r="G511" s="36" t="s">
        <v>4153</v>
      </c>
      <c r="H511" s="36" t="s">
        <v>4156</v>
      </c>
      <c r="I511" s="36" t="s">
        <v>4199</v>
      </c>
    </row>
    <row r="512" spans="1:9" x14ac:dyDescent="0.3">
      <c r="A512">
        <v>515</v>
      </c>
      <c r="B512" s="36" t="s">
        <v>4161</v>
      </c>
      <c r="C512" s="36" t="s">
        <v>4146</v>
      </c>
      <c r="D512" s="36" t="s">
        <v>2996</v>
      </c>
      <c r="E512" s="36" t="s">
        <v>4151</v>
      </c>
      <c r="F512" s="37" t="s">
        <v>4152</v>
      </c>
      <c r="G512" s="36" t="s">
        <v>4153</v>
      </c>
      <c r="H512" s="36" t="s">
        <v>4156</v>
      </c>
      <c r="I512" s="36" t="s">
        <v>824</v>
      </c>
    </row>
    <row r="513" spans="1:9" x14ac:dyDescent="0.3">
      <c r="A513">
        <v>516</v>
      </c>
      <c r="B513" s="36" t="s">
        <v>4161</v>
      </c>
      <c r="C513" s="36" t="s">
        <v>4146</v>
      </c>
      <c r="D513" s="36" t="s">
        <v>2996</v>
      </c>
      <c r="E513" s="36" t="s">
        <v>4151</v>
      </c>
      <c r="F513" s="37" t="s">
        <v>4152</v>
      </c>
      <c r="G513" s="36" t="s">
        <v>4153</v>
      </c>
      <c r="H513" s="36" t="s">
        <v>4156</v>
      </c>
      <c r="I513" s="36" t="s">
        <v>824</v>
      </c>
    </row>
    <row r="514" spans="1:9" x14ac:dyDescent="0.3">
      <c r="A514">
        <v>517</v>
      </c>
      <c r="B514" s="36" t="s">
        <v>4161</v>
      </c>
      <c r="C514" s="36" t="s">
        <v>4154</v>
      </c>
      <c r="D514" s="36" t="s">
        <v>2999</v>
      </c>
      <c r="E514" s="36" t="s">
        <v>4151</v>
      </c>
      <c r="F514" s="37" t="s">
        <v>4155</v>
      </c>
      <c r="G514" s="36" t="s">
        <v>4153</v>
      </c>
      <c r="H514" s="36" t="s">
        <v>4156</v>
      </c>
      <c r="I514" s="36" t="s">
        <v>824</v>
      </c>
    </row>
    <row r="515" spans="1:9" x14ac:dyDescent="0.3">
      <c r="A515">
        <v>518</v>
      </c>
      <c r="B515" s="36" t="s">
        <v>4161</v>
      </c>
      <c r="C515" s="36" t="s">
        <v>4154</v>
      </c>
      <c r="D515" s="36" t="s">
        <v>2999</v>
      </c>
      <c r="E515" s="36" t="s">
        <v>4151</v>
      </c>
      <c r="F515" s="37" t="s">
        <v>4148</v>
      </c>
      <c r="G515" s="36" t="s">
        <v>4149</v>
      </c>
      <c r="H515" s="36" t="s">
        <v>4156</v>
      </c>
      <c r="I515" s="36" t="s">
        <v>824</v>
      </c>
    </row>
    <row r="516" spans="1:9" x14ac:dyDescent="0.3">
      <c r="A516">
        <v>519</v>
      </c>
      <c r="B516" s="36" t="s">
        <v>4161</v>
      </c>
      <c r="C516" s="36" t="s">
        <v>4154</v>
      </c>
      <c r="D516" s="36" t="s">
        <v>2999</v>
      </c>
      <c r="E516" s="36" t="s">
        <v>4151</v>
      </c>
      <c r="F516" s="37" t="s">
        <v>4148</v>
      </c>
      <c r="G516" s="36" t="s">
        <v>4153</v>
      </c>
      <c r="H516" s="36" t="s">
        <v>4156</v>
      </c>
      <c r="I516" s="36" t="s">
        <v>824</v>
      </c>
    </row>
    <row r="517" spans="1:9" x14ac:dyDescent="0.3">
      <c r="A517">
        <v>520</v>
      </c>
      <c r="B517" s="36" t="s">
        <v>4161</v>
      </c>
      <c r="C517" s="36" t="s">
        <v>4154</v>
      </c>
      <c r="D517" s="36" t="s">
        <v>2999</v>
      </c>
      <c r="E517" s="36" t="s">
        <v>4151</v>
      </c>
      <c r="F517" s="37" t="s">
        <v>4148</v>
      </c>
      <c r="G517" s="36" t="s">
        <v>4149</v>
      </c>
      <c r="H517" s="36" t="s">
        <v>4156</v>
      </c>
      <c r="I517" s="36" t="s">
        <v>824</v>
      </c>
    </row>
    <row r="518" spans="1:9" x14ac:dyDescent="0.3">
      <c r="A518">
        <v>521</v>
      </c>
      <c r="B518" s="36" t="s">
        <v>4161</v>
      </c>
      <c r="C518" s="36" t="s">
        <v>4146</v>
      </c>
      <c r="D518" s="36" t="s">
        <v>2999</v>
      </c>
      <c r="E518" s="36" t="s">
        <v>4151</v>
      </c>
      <c r="F518" s="37" t="s">
        <v>4148</v>
      </c>
      <c r="G518" s="36" t="s">
        <v>4149</v>
      </c>
      <c r="H518" s="36" t="s">
        <v>4156</v>
      </c>
      <c r="I518" s="36" t="s">
        <v>4199</v>
      </c>
    </row>
    <row r="519" spans="1:9" x14ac:dyDescent="0.3">
      <c r="A519">
        <v>522</v>
      </c>
      <c r="B519" s="36" t="s">
        <v>4161</v>
      </c>
      <c r="C519" s="36" t="s">
        <v>4146</v>
      </c>
      <c r="D519" s="36" t="s">
        <v>3001</v>
      </c>
      <c r="E519" s="36" t="s">
        <v>4147</v>
      </c>
      <c r="F519" s="37" t="s">
        <v>4148</v>
      </c>
      <c r="G519" s="36" t="s">
        <v>4149</v>
      </c>
      <c r="H519" s="36" t="s">
        <v>4156</v>
      </c>
      <c r="I519" s="36" t="s">
        <v>824</v>
      </c>
    </row>
    <row r="520" spans="1:9" x14ac:dyDescent="0.3">
      <c r="A520">
        <v>523</v>
      </c>
      <c r="B520" s="36" t="s">
        <v>4161</v>
      </c>
      <c r="C520" s="36" t="s">
        <v>4154</v>
      </c>
      <c r="D520" s="36" t="s">
        <v>2999</v>
      </c>
      <c r="E520" s="36" t="s">
        <v>4151</v>
      </c>
      <c r="F520" s="37" t="s">
        <v>4155</v>
      </c>
      <c r="G520" s="36" t="s">
        <v>4149</v>
      </c>
      <c r="H520" s="36" t="s">
        <v>4156</v>
      </c>
      <c r="I520" s="36" t="s">
        <v>824</v>
      </c>
    </row>
    <row r="521" spans="1:9" x14ac:dyDescent="0.3">
      <c r="A521">
        <v>524</v>
      </c>
      <c r="B521" s="36" t="s">
        <v>4161</v>
      </c>
      <c r="C521" s="36" t="s">
        <v>4146</v>
      </c>
      <c r="D521" s="36" t="s">
        <v>2999</v>
      </c>
      <c r="E521" s="36" t="s">
        <v>4151</v>
      </c>
      <c r="F521" s="37" t="s">
        <v>4148</v>
      </c>
      <c r="G521" s="36" t="s">
        <v>4149</v>
      </c>
      <c r="H521" s="36" t="s">
        <v>4156</v>
      </c>
      <c r="I521" s="36" t="s">
        <v>824</v>
      </c>
    </row>
    <row r="522" spans="1:9" x14ac:dyDescent="0.3">
      <c r="A522">
        <v>525</v>
      </c>
      <c r="B522" s="36" t="s">
        <v>4161</v>
      </c>
      <c r="C522" s="36" t="s">
        <v>4146</v>
      </c>
      <c r="D522" s="36" t="s">
        <v>2999</v>
      </c>
      <c r="E522" s="36" t="s">
        <v>4151</v>
      </c>
      <c r="F522" s="37" t="s">
        <v>4148</v>
      </c>
      <c r="G522" s="36" t="s">
        <v>4149</v>
      </c>
      <c r="H522" s="36" t="s">
        <v>4156</v>
      </c>
      <c r="I522" s="36" t="s">
        <v>4199</v>
      </c>
    </row>
    <row r="523" spans="1:9" x14ac:dyDescent="0.3">
      <c r="A523">
        <v>526</v>
      </c>
      <c r="B523" s="36" t="s">
        <v>4161</v>
      </c>
      <c r="C523" s="36" t="s">
        <v>4154</v>
      </c>
      <c r="D523" s="36" t="s">
        <v>3040</v>
      </c>
      <c r="E523" s="36" t="s">
        <v>4151</v>
      </c>
      <c r="F523" s="37" t="s">
        <v>4148</v>
      </c>
      <c r="G523" s="36" t="s">
        <v>4149</v>
      </c>
      <c r="H523" s="36" t="s">
        <v>4156</v>
      </c>
      <c r="I523" s="36" t="s">
        <v>824</v>
      </c>
    </row>
    <row r="524" spans="1:9" x14ac:dyDescent="0.3">
      <c r="A524">
        <v>527</v>
      </c>
      <c r="B524" s="36" t="s">
        <v>4161</v>
      </c>
      <c r="C524" s="36" t="s">
        <v>4146</v>
      </c>
      <c r="D524" s="36" t="s">
        <v>2999</v>
      </c>
      <c r="E524" s="36" t="s">
        <v>4151</v>
      </c>
      <c r="F524" s="37" t="s">
        <v>4148</v>
      </c>
      <c r="G524" s="36" t="s">
        <v>4149</v>
      </c>
      <c r="H524" s="36" t="s">
        <v>4156</v>
      </c>
      <c r="I524" s="36" t="s">
        <v>4199</v>
      </c>
    </row>
    <row r="525" spans="1:9" x14ac:dyDescent="0.3">
      <c r="A525">
        <v>528</v>
      </c>
      <c r="B525" s="36" t="s">
        <v>4161</v>
      </c>
      <c r="C525" s="36" t="s">
        <v>4154</v>
      </c>
      <c r="D525" s="36" t="s">
        <v>2999</v>
      </c>
      <c r="E525" s="36" t="s">
        <v>4151</v>
      </c>
      <c r="F525" s="37" t="s">
        <v>4148</v>
      </c>
      <c r="G525" s="36" t="s">
        <v>4149</v>
      </c>
      <c r="H525" s="36" t="s">
        <v>4156</v>
      </c>
      <c r="I525" s="36" t="s">
        <v>824</v>
      </c>
    </row>
    <row r="526" spans="1:9" x14ac:dyDescent="0.3">
      <c r="A526">
        <v>529</v>
      </c>
      <c r="B526" s="36" t="s">
        <v>4161</v>
      </c>
      <c r="C526" s="36" t="s">
        <v>4154</v>
      </c>
      <c r="D526" s="36" t="s">
        <v>2999</v>
      </c>
      <c r="E526" s="36" t="s">
        <v>4151</v>
      </c>
      <c r="F526" s="37" t="s">
        <v>4148</v>
      </c>
      <c r="G526" s="36" t="s">
        <v>4149</v>
      </c>
      <c r="H526" s="36" t="s">
        <v>4156</v>
      </c>
      <c r="I526" s="36" t="s">
        <v>824</v>
      </c>
    </row>
    <row r="527" spans="1:9" x14ac:dyDescent="0.3">
      <c r="A527">
        <v>530</v>
      </c>
      <c r="B527" s="36" t="s">
        <v>4161</v>
      </c>
      <c r="C527" s="36" t="s">
        <v>4146</v>
      </c>
      <c r="D527" s="36" t="s">
        <v>3001</v>
      </c>
      <c r="E527" s="36" t="s">
        <v>4147</v>
      </c>
      <c r="F527" s="37" t="s">
        <v>4155</v>
      </c>
      <c r="G527" s="36" t="s">
        <v>4153</v>
      </c>
      <c r="H527" s="36" t="s">
        <v>4156</v>
      </c>
      <c r="I527" s="36" t="s">
        <v>824</v>
      </c>
    </row>
    <row r="528" spans="1:9" x14ac:dyDescent="0.3">
      <c r="A528">
        <v>531</v>
      </c>
      <c r="B528" s="36" t="s">
        <v>4161</v>
      </c>
      <c r="C528" s="36" t="s">
        <v>4154</v>
      </c>
      <c r="D528" s="36" t="s">
        <v>2999</v>
      </c>
      <c r="E528" s="36" t="s">
        <v>4151</v>
      </c>
      <c r="F528" s="37" t="s">
        <v>4148</v>
      </c>
      <c r="G528" s="36" t="s">
        <v>4149</v>
      </c>
      <c r="H528" s="36" t="s">
        <v>4156</v>
      </c>
      <c r="I528" s="36" t="s">
        <v>824</v>
      </c>
    </row>
    <row r="529" spans="1:9" x14ac:dyDescent="0.3">
      <c r="A529">
        <v>532</v>
      </c>
      <c r="B529" s="36" t="s">
        <v>4161</v>
      </c>
      <c r="C529" s="36" t="s">
        <v>4154</v>
      </c>
      <c r="D529" s="36" t="s">
        <v>2999</v>
      </c>
      <c r="E529" s="36" t="s">
        <v>4151</v>
      </c>
      <c r="F529" s="37" t="s">
        <v>4148</v>
      </c>
      <c r="G529" s="36" t="s">
        <v>4149</v>
      </c>
      <c r="H529" s="36" t="s">
        <v>4156</v>
      </c>
      <c r="I529" s="36" t="s">
        <v>4199</v>
      </c>
    </row>
    <row r="530" spans="1:9" x14ac:dyDescent="0.3">
      <c r="A530">
        <v>533</v>
      </c>
      <c r="B530" s="36" t="s">
        <v>4161</v>
      </c>
      <c r="C530" s="36" t="s">
        <v>4154</v>
      </c>
      <c r="D530" s="36" t="s">
        <v>3338</v>
      </c>
      <c r="E530" s="36" t="s">
        <v>4151</v>
      </c>
      <c r="F530" s="37" t="s">
        <v>4155</v>
      </c>
      <c r="G530" s="36" t="s">
        <v>4149</v>
      </c>
      <c r="H530" s="36" t="s">
        <v>4156</v>
      </c>
      <c r="I530" s="36" t="s">
        <v>824</v>
      </c>
    </row>
    <row r="531" spans="1:9" x14ac:dyDescent="0.3">
      <c r="A531">
        <v>534</v>
      </c>
      <c r="B531" s="36" t="s">
        <v>4161</v>
      </c>
      <c r="C531" s="36" t="s">
        <v>4146</v>
      </c>
      <c r="D531" s="36" t="s">
        <v>2994</v>
      </c>
      <c r="E531" s="36" t="s">
        <v>4147</v>
      </c>
      <c r="F531" s="37" t="s">
        <v>4148</v>
      </c>
      <c r="G531" s="36" t="s">
        <v>4153</v>
      </c>
      <c r="H531" s="36" t="s">
        <v>4156</v>
      </c>
      <c r="I531" s="36" t="s">
        <v>824</v>
      </c>
    </row>
    <row r="532" spans="1:9" x14ac:dyDescent="0.3">
      <c r="A532">
        <v>535</v>
      </c>
      <c r="B532" s="36" t="s">
        <v>4161</v>
      </c>
      <c r="C532" s="36" t="s">
        <v>4146</v>
      </c>
      <c r="D532" s="36" t="s">
        <v>2994</v>
      </c>
      <c r="E532" s="36" t="s">
        <v>4147</v>
      </c>
      <c r="F532" s="37" t="s">
        <v>4148</v>
      </c>
      <c r="G532" s="36" t="s">
        <v>4149</v>
      </c>
      <c r="H532" s="36" t="s">
        <v>4156</v>
      </c>
      <c r="I532" s="36" t="s">
        <v>824</v>
      </c>
    </row>
    <row r="533" spans="1:9" x14ac:dyDescent="0.3">
      <c r="A533">
        <v>536</v>
      </c>
      <c r="B533" s="36" t="s">
        <v>4161</v>
      </c>
      <c r="C533" s="36" t="s">
        <v>4154</v>
      </c>
      <c r="D533" s="36" t="s">
        <v>2999</v>
      </c>
      <c r="E533" s="36" t="s">
        <v>4151</v>
      </c>
      <c r="F533" s="37" t="s">
        <v>4155</v>
      </c>
      <c r="G533" s="36" t="s">
        <v>4153</v>
      </c>
      <c r="H533" s="36" t="s">
        <v>4156</v>
      </c>
      <c r="I533" s="36" t="s">
        <v>824</v>
      </c>
    </row>
    <row r="534" spans="1:9" x14ac:dyDescent="0.3">
      <c r="A534">
        <v>537</v>
      </c>
      <c r="B534" s="36" t="s">
        <v>4161</v>
      </c>
      <c r="C534" s="36" t="s">
        <v>4146</v>
      </c>
      <c r="D534" s="36" t="s">
        <v>3001</v>
      </c>
      <c r="E534" s="36" t="s">
        <v>4147</v>
      </c>
      <c r="F534" s="37" t="s">
        <v>4155</v>
      </c>
      <c r="G534" s="36" t="s">
        <v>4149</v>
      </c>
      <c r="H534" s="36" t="s">
        <v>4156</v>
      </c>
      <c r="I534" s="36" t="s">
        <v>824</v>
      </c>
    </row>
    <row r="535" spans="1:9" x14ac:dyDescent="0.3">
      <c r="A535">
        <v>538</v>
      </c>
      <c r="B535" s="36" t="s">
        <v>4161</v>
      </c>
      <c r="C535" s="36" t="s">
        <v>4154</v>
      </c>
      <c r="D535" s="36" t="s">
        <v>2999</v>
      </c>
      <c r="E535" s="36" t="s">
        <v>4151</v>
      </c>
      <c r="F535" s="37" t="s">
        <v>4155</v>
      </c>
      <c r="G535" s="36" t="s">
        <v>4149</v>
      </c>
      <c r="H535" s="36" t="s">
        <v>4156</v>
      </c>
      <c r="I535" s="36" t="s">
        <v>824</v>
      </c>
    </row>
    <row r="536" spans="1:9" x14ac:dyDescent="0.3">
      <c r="A536">
        <v>539</v>
      </c>
      <c r="B536" s="36" t="s">
        <v>4161</v>
      </c>
      <c r="C536" s="36" t="s">
        <v>4146</v>
      </c>
      <c r="D536" s="36" t="s">
        <v>2999</v>
      </c>
      <c r="E536" s="36" t="s">
        <v>4151</v>
      </c>
      <c r="F536" s="37" t="s">
        <v>4148</v>
      </c>
      <c r="G536" s="36" t="s">
        <v>4149</v>
      </c>
      <c r="H536" s="36" t="s">
        <v>4156</v>
      </c>
      <c r="I536" s="36" t="s">
        <v>4199</v>
      </c>
    </row>
    <row r="537" spans="1:9" x14ac:dyDescent="0.3">
      <c r="A537">
        <v>540</v>
      </c>
      <c r="B537" s="36" t="s">
        <v>4161</v>
      </c>
      <c r="C537" s="36" t="s">
        <v>4154</v>
      </c>
      <c r="D537" s="36" t="s">
        <v>2999</v>
      </c>
      <c r="E537" s="36" t="s">
        <v>4151</v>
      </c>
      <c r="F537" s="37" t="s">
        <v>4148</v>
      </c>
      <c r="G537" s="36" t="s">
        <v>4149</v>
      </c>
      <c r="H537" s="36" t="s">
        <v>4156</v>
      </c>
      <c r="I537" s="36" t="s">
        <v>4199</v>
      </c>
    </row>
    <row r="538" spans="1:9" x14ac:dyDescent="0.3">
      <c r="A538">
        <v>541</v>
      </c>
      <c r="B538" s="36" t="s">
        <v>4161</v>
      </c>
      <c r="C538" s="36" t="s">
        <v>4146</v>
      </c>
      <c r="D538" s="36" t="s">
        <v>2994</v>
      </c>
      <c r="E538" s="36" t="s">
        <v>4147</v>
      </c>
      <c r="F538" s="37" t="s">
        <v>4152</v>
      </c>
      <c r="G538" s="36" t="s">
        <v>4153</v>
      </c>
      <c r="H538" s="36" t="s">
        <v>4156</v>
      </c>
      <c r="I538" s="36" t="s">
        <v>824</v>
      </c>
    </row>
    <row r="539" spans="1:9" x14ac:dyDescent="0.3">
      <c r="A539">
        <v>542</v>
      </c>
      <c r="B539" s="36" t="s">
        <v>4161</v>
      </c>
      <c r="C539" s="36" t="s">
        <v>4146</v>
      </c>
      <c r="D539" s="36" t="s">
        <v>2994</v>
      </c>
      <c r="E539" s="36" t="s">
        <v>4147</v>
      </c>
      <c r="F539" s="37" t="s">
        <v>4152</v>
      </c>
      <c r="G539" s="36" t="s">
        <v>4153</v>
      </c>
      <c r="H539" s="36" t="s">
        <v>4156</v>
      </c>
      <c r="I539" s="36" t="s">
        <v>824</v>
      </c>
    </row>
    <row r="540" spans="1:9" x14ac:dyDescent="0.3">
      <c r="A540">
        <v>543</v>
      </c>
      <c r="B540" s="36" t="s">
        <v>4161</v>
      </c>
      <c r="C540" s="36" t="s">
        <v>4146</v>
      </c>
      <c r="D540" s="36" t="s">
        <v>3001</v>
      </c>
      <c r="E540" s="36" t="s">
        <v>4147</v>
      </c>
      <c r="F540" s="37" t="s">
        <v>4155</v>
      </c>
      <c r="G540" s="36" t="s">
        <v>4153</v>
      </c>
      <c r="H540" s="36" t="s">
        <v>4156</v>
      </c>
      <c r="I540" s="36" t="s">
        <v>824</v>
      </c>
    </row>
    <row r="541" spans="1:9" x14ac:dyDescent="0.3">
      <c r="A541">
        <v>544</v>
      </c>
      <c r="B541" s="36" t="s">
        <v>4161</v>
      </c>
      <c r="C541" s="36" t="s">
        <v>4154</v>
      </c>
      <c r="D541" s="36" t="s">
        <v>2999</v>
      </c>
      <c r="E541" s="36" t="s">
        <v>4151</v>
      </c>
      <c r="F541" s="37" t="s">
        <v>4155</v>
      </c>
      <c r="G541" s="36" t="s">
        <v>4149</v>
      </c>
      <c r="H541" s="36" t="s">
        <v>4156</v>
      </c>
      <c r="I541" s="36" t="s">
        <v>824</v>
      </c>
    </row>
    <row r="542" spans="1:9" x14ac:dyDescent="0.3">
      <c r="A542">
        <v>545</v>
      </c>
      <c r="B542" s="36" t="s">
        <v>4161</v>
      </c>
      <c r="C542" s="36" t="s">
        <v>4154</v>
      </c>
      <c r="D542" s="36" t="s">
        <v>2999</v>
      </c>
      <c r="E542" s="36" t="s">
        <v>4151</v>
      </c>
      <c r="F542" s="37" t="s">
        <v>4155</v>
      </c>
      <c r="G542" s="36" t="s">
        <v>4153</v>
      </c>
      <c r="H542" s="36" t="s">
        <v>4156</v>
      </c>
      <c r="I542" s="36" t="s">
        <v>824</v>
      </c>
    </row>
    <row r="543" spans="1:9" x14ac:dyDescent="0.3">
      <c r="A543">
        <v>546</v>
      </c>
      <c r="B543" s="36" t="s">
        <v>4161</v>
      </c>
      <c r="C543" s="36" t="s">
        <v>4146</v>
      </c>
      <c r="D543" s="36" t="s">
        <v>3001</v>
      </c>
      <c r="E543" s="36" t="s">
        <v>4147</v>
      </c>
      <c r="F543" s="37" t="s">
        <v>4148</v>
      </c>
      <c r="G543" s="36" t="s">
        <v>4153</v>
      </c>
      <c r="H543" s="36" t="s">
        <v>4156</v>
      </c>
      <c r="I543" s="36" t="s">
        <v>824</v>
      </c>
    </row>
    <row r="544" spans="1:9" x14ac:dyDescent="0.3">
      <c r="A544">
        <v>547</v>
      </c>
      <c r="B544" s="36" t="s">
        <v>4161</v>
      </c>
      <c r="C544" s="36" t="s">
        <v>4146</v>
      </c>
      <c r="D544" s="36" t="s">
        <v>3520</v>
      </c>
      <c r="E544" s="36" t="s">
        <v>4147</v>
      </c>
      <c r="F544" s="37" t="s">
        <v>4148</v>
      </c>
      <c r="G544" s="36" t="s">
        <v>4149</v>
      </c>
      <c r="H544" s="36" t="s">
        <v>4156</v>
      </c>
      <c r="I544" s="36" t="s">
        <v>824</v>
      </c>
    </row>
    <row r="545" spans="1:9" x14ac:dyDescent="0.3">
      <c r="A545">
        <v>548</v>
      </c>
      <c r="B545" s="36" t="s">
        <v>4161</v>
      </c>
      <c r="C545" s="36" t="s">
        <v>4154</v>
      </c>
      <c r="D545" s="36" t="s">
        <v>2999</v>
      </c>
      <c r="E545" s="36" t="s">
        <v>4151</v>
      </c>
      <c r="F545" s="37" t="s">
        <v>4148</v>
      </c>
      <c r="G545" s="36" t="s">
        <v>4149</v>
      </c>
      <c r="H545" s="36" t="s">
        <v>4156</v>
      </c>
      <c r="I545" s="36" t="s">
        <v>4199</v>
      </c>
    </row>
    <row r="546" spans="1:9" x14ac:dyDescent="0.3">
      <c r="A546">
        <v>549</v>
      </c>
      <c r="B546" s="36" t="s">
        <v>4161</v>
      </c>
      <c r="C546" s="36" t="s">
        <v>4146</v>
      </c>
      <c r="D546" s="36" t="s">
        <v>2996</v>
      </c>
      <c r="E546" s="36" t="s">
        <v>4151</v>
      </c>
      <c r="F546" s="37" t="s">
        <v>4152</v>
      </c>
      <c r="G546" s="36" t="s">
        <v>4153</v>
      </c>
      <c r="H546" s="36" t="s">
        <v>4156</v>
      </c>
      <c r="I546" s="36" t="s">
        <v>824</v>
      </c>
    </row>
    <row r="547" spans="1:9" x14ac:dyDescent="0.3">
      <c r="A547">
        <v>550</v>
      </c>
      <c r="B547" s="36" t="s">
        <v>4161</v>
      </c>
      <c r="C547" s="36" t="s">
        <v>4146</v>
      </c>
      <c r="D547" s="36" t="s">
        <v>2996</v>
      </c>
      <c r="E547" s="36" t="s">
        <v>4151</v>
      </c>
      <c r="F547" s="37" t="s">
        <v>4152</v>
      </c>
      <c r="G547" s="36" t="s">
        <v>4153</v>
      </c>
      <c r="H547" s="36" t="s">
        <v>4156</v>
      </c>
      <c r="I547" s="36" t="s">
        <v>824</v>
      </c>
    </row>
    <row r="548" spans="1:9" x14ac:dyDescent="0.3">
      <c r="A548">
        <v>551</v>
      </c>
      <c r="B548" s="36" t="s">
        <v>4161</v>
      </c>
      <c r="C548" s="36" t="s">
        <v>4146</v>
      </c>
      <c r="D548" s="36" t="s">
        <v>3001</v>
      </c>
      <c r="E548" s="36" t="s">
        <v>4147</v>
      </c>
      <c r="F548" s="37" t="s">
        <v>4148</v>
      </c>
      <c r="G548" s="36" t="s">
        <v>4153</v>
      </c>
      <c r="H548" s="36" t="s">
        <v>4156</v>
      </c>
      <c r="I548" s="36" t="s">
        <v>824</v>
      </c>
    </row>
    <row r="549" spans="1:9" x14ac:dyDescent="0.3">
      <c r="A549">
        <v>552</v>
      </c>
      <c r="B549" s="36" t="s">
        <v>4161</v>
      </c>
      <c r="C549" s="36" t="s">
        <v>4146</v>
      </c>
      <c r="D549" s="36" t="s">
        <v>2994</v>
      </c>
      <c r="E549" s="36" t="s">
        <v>4147</v>
      </c>
      <c r="F549" s="37" t="s">
        <v>4155</v>
      </c>
      <c r="G549" s="36" t="s">
        <v>4149</v>
      </c>
      <c r="H549" s="36" t="s">
        <v>4156</v>
      </c>
      <c r="I549" s="36" t="s">
        <v>824</v>
      </c>
    </row>
    <row r="550" spans="1:9" x14ac:dyDescent="0.3">
      <c r="A550">
        <v>553</v>
      </c>
      <c r="B550" s="36" t="s">
        <v>4161</v>
      </c>
      <c r="C550" s="36" t="s">
        <v>4154</v>
      </c>
      <c r="D550" s="36" t="s">
        <v>2999</v>
      </c>
      <c r="E550" s="36" t="s">
        <v>4151</v>
      </c>
      <c r="F550" s="37" t="s">
        <v>4148</v>
      </c>
      <c r="G550" s="36" t="s">
        <v>4149</v>
      </c>
      <c r="H550" s="36" t="s">
        <v>4156</v>
      </c>
      <c r="I550" s="36" t="s">
        <v>824</v>
      </c>
    </row>
    <row r="551" spans="1:9" x14ac:dyDescent="0.3">
      <c r="A551">
        <v>554</v>
      </c>
      <c r="B551" s="36" t="s">
        <v>4161</v>
      </c>
      <c r="C551" s="36" t="s">
        <v>4146</v>
      </c>
      <c r="D551" s="36" t="s">
        <v>2994</v>
      </c>
      <c r="E551" s="36" t="s">
        <v>4147</v>
      </c>
      <c r="F551" s="37" t="s">
        <v>4148</v>
      </c>
      <c r="G551" s="36" t="s">
        <v>4149</v>
      </c>
      <c r="H551" s="36" t="s">
        <v>4156</v>
      </c>
      <c r="I551" s="36" t="s">
        <v>824</v>
      </c>
    </row>
    <row r="552" spans="1:9" x14ac:dyDescent="0.3">
      <c r="A552">
        <v>555</v>
      </c>
      <c r="B552" s="36" t="s">
        <v>4161</v>
      </c>
      <c r="C552" s="36" t="s">
        <v>4154</v>
      </c>
      <c r="D552" s="36" t="s">
        <v>2999</v>
      </c>
      <c r="E552" s="36" t="s">
        <v>4151</v>
      </c>
      <c r="F552" s="37" t="s">
        <v>4148</v>
      </c>
      <c r="G552" s="36" t="s">
        <v>4149</v>
      </c>
      <c r="H552" s="36" t="s">
        <v>4156</v>
      </c>
      <c r="I552" s="36" t="s">
        <v>824</v>
      </c>
    </row>
    <row r="553" spans="1:9" x14ac:dyDescent="0.3">
      <c r="A553">
        <v>556</v>
      </c>
      <c r="B553" s="36" t="s">
        <v>4161</v>
      </c>
      <c r="C553" s="36" t="s">
        <v>4154</v>
      </c>
      <c r="D553" s="36" t="s">
        <v>2999</v>
      </c>
      <c r="E553" s="36" t="s">
        <v>4151</v>
      </c>
      <c r="F553" s="37" t="s">
        <v>4148</v>
      </c>
      <c r="G553" s="36" t="s">
        <v>4149</v>
      </c>
      <c r="H553" s="36" t="s">
        <v>4156</v>
      </c>
      <c r="I553" s="36" t="s">
        <v>824</v>
      </c>
    </row>
    <row r="554" spans="1:9" x14ac:dyDescent="0.3">
      <c r="A554">
        <v>557</v>
      </c>
      <c r="B554" s="36" t="s">
        <v>4161</v>
      </c>
      <c r="C554" s="36" t="s">
        <v>4154</v>
      </c>
      <c r="D554" s="36" t="s">
        <v>2999</v>
      </c>
      <c r="E554" s="36" t="s">
        <v>4151</v>
      </c>
      <c r="F554" s="37" t="s">
        <v>4148</v>
      </c>
      <c r="G554" s="36" t="s">
        <v>4149</v>
      </c>
      <c r="H554" s="36" t="s">
        <v>4156</v>
      </c>
      <c r="I554" s="36" t="s">
        <v>824</v>
      </c>
    </row>
    <row r="555" spans="1:9" x14ac:dyDescent="0.3">
      <c r="A555">
        <v>558</v>
      </c>
      <c r="B555" s="36" t="s">
        <v>4161</v>
      </c>
      <c r="C555" s="36" t="s">
        <v>4146</v>
      </c>
      <c r="D555" s="36" t="s">
        <v>3001</v>
      </c>
      <c r="E555" s="36" t="s">
        <v>4147</v>
      </c>
      <c r="F555" s="37" t="s">
        <v>4148</v>
      </c>
      <c r="G555" s="36" t="s">
        <v>4153</v>
      </c>
      <c r="H555" s="36" t="s">
        <v>4156</v>
      </c>
      <c r="I555" s="36" t="s">
        <v>824</v>
      </c>
    </row>
    <row r="556" spans="1:9" x14ac:dyDescent="0.3">
      <c r="A556">
        <v>559</v>
      </c>
      <c r="B556" s="36" t="s">
        <v>4161</v>
      </c>
      <c r="C556" s="36" t="s">
        <v>4146</v>
      </c>
      <c r="D556" s="36" t="s">
        <v>2994</v>
      </c>
      <c r="E556" s="36" t="s">
        <v>4147</v>
      </c>
      <c r="F556" s="37" t="s">
        <v>4159</v>
      </c>
      <c r="G556" s="36" t="s">
        <v>4153</v>
      </c>
      <c r="H556" s="36" t="s">
        <v>4156</v>
      </c>
      <c r="I556" s="36" t="s">
        <v>824</v>
      </c>
    </row>
    <row r="557" spans="1:9" x14ac:dyDescent="0.3">
      <c r="A557">
        <v>560</v>
      </c>
      <c r="B557" s="36" t="s">
        <v>4161</v>
      </c>
      <c r="C557" s="36" t="s">
        <v>4146</v>
      </c>
      <c r="D557" s="36" t="s">
        <v>2994</v>
      </c>
      <c r="E557" s="36" t="s">
        <v>4147</v>
      </c>
      <c r="F557" s="37" t="s">
        <v>4148</v>
      </c>
      <c r="G557" s="36" t="s">
        <v>4149</v>
      </c>
      <c r="H557" s="36" t="s">
        <v>4156</v>
      </c>
      <c r="I557" s="36" t="s">
        <v>824</v>
      </c>
    </row>
    <row r="558" spans="1:9" x14ac:dyDescent="0.3">
      <c r="A558">
        <v>561</v>
      </c>
      <c r="B558" s="36" t="s">
        <v>4161</v>
      </c>
      <c r="C558" s="36" t="s">
        <v>4146</v>
      </c>
      <c r="D558" s="36" t="s">
        <v>2994</v>
      </c>
      <c r="E558" s="36" t="s">
        <v>4147</v>
      </c>
      <c r="F558" s="37" t="s">
        <v>4148</v>
      </c>
      <c r="G558" s="36" t="s">
        <v>4149</v>
      </c>
      <c r="H558" s="36" t="s">
        <v>4156</v>
      </c>
      <c r="I558" s="36" t="s">
        <v>824</v>
      </c>
    </row>
    <row r="559" spans="1:9" x14ac:dyDescent="0.3">
      <c r="A559">
        <v>562</v>
      </c>
      <c r="B559" s="36" t="s">
        <v>4161</v>
      </c>
      <c r="C559" s="36" t="s">
        <v>4154</v>
      </c>
      <c r="D559" s="36" t="s">
        <v>2999</v>
      </c>
      <c r="E559" s="36" t="s">
        <v>4151</v>
      </c>
      <c r="F559" s="37" t="s">
        <v>4157</v>
      </c>
      <c r="G559" s="36" t="s">
        <v>4149</v>
      </c>
      <c r="H559" s="36" t="s">
        <v>4156</v>
      </c>
      <c r="I559" s="36" t="s">
        <v>824</v>
      </c>
    </row>
    <row r="560" spans="1:9" x14ac:dyDescent="0.3">
      <c r="A560">
        <v>563</v>
      </c>
      <c r="B560" s="36" t="s">
        <v>4161</v>
      </c>
      <c r="C560" s="36" t="s">
        <v>4146</v>
      </c>
      <c r="D560" s="36" t="s">
        <v>2994</v>
      </c>
      <c r="E560" s="36" t="s">
        <v>4147</v>
      </c>
      <c r="F560" s="37" t="s">
        <v>4148</v>
      </c>
      <c r="G560" s="36" t="s">
        <v>4149</v>
      </c>
      <c r="H560" s="36" t="s">
        <v>4156</v>
      </c>
      <c r="I560" s="36" t="s">
        <v>4160</v>
      </c>
    </row>
    <row r="561" spans="1:9" x14ac:dyDescent="0.3">
      <c r="A561">
        <v>564</v>
      </c>
      <c r="B561" s="36" t="s">
        <v>4161</v>
      </c>
      <c r="C561" s="36" t="s">
        <v>4154</v>
      </c>
      <c r="D561" s="36" t="s">
        <v>2999</v>
      </c>
      <c r="E561" s="36" t="s">
        <v>4151</v>
      </c>
      <c r="F561" s="37" t="s">
        <v>4155</v>
      </c>
      <c r="G561" s="36" t="s">
        <v>4149</v>
      </c>
      <c r="H561" s="36" t="s">
        <v>4156</v>
      </c>
      <c r="I561" s="36" t="s">
        <v>824</v>
      </c>
    </row>
    <row r="562" spans="1:9" x14ac:dyDescent="0.3">
      <c r="A562">
        <v>565</v>
      </c>
      <c r="B562" s="36" t="s">
        <v>4161</v>
      </c>
      <c r="C562" s="36" t="s">
        <v>4146</v>
      </c>
      <c r="D562" s="36" t="s">
        <v>2994</v>
      </c>
      <c r="E562" s="36" t="s">
        <v>4147</v>
      </c>
      <c r="F562" s="37" t="s">
        <v>4155</v>
      </c>
      <c r="G562" s="36" t="s">
        <v>4149</v>
      </c>
      <c r="H562" s="36" t="s">
        <v>4156</v>
      </c>
      <c r="I562" s="36" t="s">
        <v>824</v>
      </c>
    </row>
    <row r="563" spans="1:9" x14ac:dyDescent="0.3">
      <c r="A563">
        <v>566</v>
      </c>
      <c r="B563" s="36" t="s">
        <v>4161</v>
      </c>
      <c r="C563" s="36" t="s">
        <v>4154</v>
      </c>
      <c r="D563" s="36" t="s">
        <v>2999</v>
      </c>
      <c r="E563" s="36" t="s">
        <v>4151</v>
      </c>
      <c r="F563" s="37" t="s">
        <v>4148</v>
      </c>
      <c r="G563" s="36" t="s">
        <v>4149</v>
      </c>
      <c r="H563" s="36" t="s">
        <v>4156</v>
      </c>
      <c r="I563" s="36" t="s">
        <v>824</v>
      </c>
    </row>
    <row r="564" spans="1:9" x14ac:dyDescent="0.3">
      <c r="A564">
        <v>567</v>
      </c>
      <c r="B564" s="36" t="s">
        <v>4161</v>
      </c>
      <c r="C564" s="36" t="s">
        <v>4154</v>
      </c>
      <c r="D564" s="36" t="s">
        <v>2999</v>
      </c>
      <c r="E564" s="36" t="s">
        <v>4151</v>
      </c>
      <c r="F564" s="37" t="s">
        <v>4155</v>
      </c>
      <c r="G564" s="36" t="s">
        <v>4149</v>
      </c>
      <c r="H564" s="36" t="s">
        <v>4156</v>
      </c>
      <c r="I564" s="36" t="s">
        <v>4199</v>
      </c>
    </row>
    <row r="565" spans="1:9" x14ac:dyDescent="0.3">
      <c r="A565">
        <v>568</v>
      </c>
      <c r="B565" s="36" t="s">
        <v>4161</v>
      </c>
      <c r="C565" s="36" t="s">
        <v>4154</v>
      </c>
      <c r="D565" s="36" t="s">
        <v>2999</v>
      </c>
      <c r="E565" s="36" t="s">
        <v>4151</v>
      </c>
      <c r="F565" s="37" t="s">
        <v>4148</v>
      </c>
      <c r="G565" s="36" t="s">
        <v>4149</v>
      </c>
      <c r="H565" s="36" t="s">
        <v>4156</v>
      </c>
      <c r="I565" s="36" t="s">
        <v>824</v>
      </c>
    </row>
    <row r="566" spans="1:9" x14ac:dyDescent="0.3">
      <c r="A566">
        <v>569</v>
      </c>
      <c r="B566" s="36" t="s">
        <v>4161</v>
      </c>
      <c r="C566" s="36" t="s">
        <v>4154</v>
      </c>
      <c r="D566" s="36" t="s">
        <v>2999</v>
      </c>
      <c r="E566" s="36" t="s">
        <v>4151</v>
      </c>
      <c r="F566" s="37" t="s">
        <v>4148</v>
      </c>
      <c r="G566" s="36" t="s">
        <v>4149</v>
      </c>
      <c r="H566" s="36" t="s">
        <v>4156</v>
      </c>
      <c r="I566" s="36" t="s">
        <v>824</v>
      </c>
    </row>
    <row r="567" spans="1:9" x14ac:dyDescent="0.3">
      <c r="A567">
        <v>570</v>
      </c>
      <c r="B567" s="36" t="s">
        <v>4161</v>
      </c>
      <c r="C567" s="36" t="s">
        <v>4154</v>
      </c>
      <c r="D567" s="36" t="s">
        <v>2999</v>
      </c>
      <c r="E567" s="36" t="s">
        <v>4151</v>
      </c>
      <c r="F567" s="37" t="s">
        <v>4159</v>
      </c>
      <c r="G567" s="36" t="s">
        <v>4149</v>
      </c>
      <c r="H567" s="36" t="s">
        <v>4158</v>
      </c>
      <c r="I567" s="36" t="s">
        <v>824</v>
      </c>
    </row>
    <row r="568" spans="1:9" x14ac:dyDescent="0.3">
      <c r="A568">
        <v>571</v>
      </c>
      <c r="B568" s="36" t="s">
        <v>4161</v>
      </c>
      <c r="C568" s="36" t="s">
        <v>4146</v>
      </c>
      <c r="D568" s="36" t="s">
        <v>2994</v>
      </c>
      <c r="E568" s="36" t="s">
        <v>4147</v>
      </c>
      <c r="F568" s="37" t="s">
        <v>4155</v>
      </c>
      <c r="G568" s="36" t="s">
        <v>4149</v>
      </c>
      <c r="H568" s="36" t="s">
        <v>4156</v>
      </c>
      <c r="I568" s="36" t="s">
        <v>824</v>
      </c>
    </row>
    <row r="569" spans="1:9" x14ac:dyDescent="0.3">
      <c r="A569">
        <v>572</v>
      </c>
      <c r="B569" s="36" t="s">
        <v>4161</v>
      </c>
      <c r="C569" s="36" t="s">
        <v>4154</v>
      </c>
      <c r="D569" s="36" t="s">
        <v>2999</v>
      </c>
      <c r="E569" s="36" t="s">
        <v>4151</v>
      </c>
      <c r="F569" s="37" t="s">
        <v>4148</v>
      </c>
      <c r="G569" s="36" t="s">
        <v>4149</v>
      </c>
      <c r="H569" s="36" t="s">
        <v>4156</v>
      </c>
      <c r="I569" s="36" t="s">
        <v>824</v>
      </c>
    </row>
    <row r="570" spans="1:9" x14ac:dyDescent="0.3">
      <c r="A570">
        <v>573</v>
      </c>
      <c r="B570" s="36" t="s">
        <v>4161</v>
      </c>
      <c r="C570" s="36" t="s">
        <v>4146</v>
      </c>
      <c r="D570" s="36" t="s">
        <v>3001</v>
      </c>
      <c r="E570" s="36" t="s">
        <v>4147</v>
      </c>
      <c r="F570" s="37" t="s">
        <v>4148</v>
      </c>
      <c r="G570" s="36" t="s">
        <v>4149</v>
      </c>
      <c r="H570" s="36" t="s">
        <v>4156</v>
      </c>
      <c r="I570" s="36" t="s">
        <v>824</v>
      </c>
    </row>
    <row r="571" spans="1:9" x14ac:dyDescent="0.3">
      <c r="A571">
        <v>574</v>
      </c>
      <c r="B571" s="36" t="s">
        <v>4161</v>
      </c>
      <c r="C571" s="36" t="s">
        <v>4146</v>
      </c>
      <c r="D571" s="36" t="s">
        <v>2994</v>
      </c>
      <c r="E571" s="36" t="s">
        <v>4147</v>
      </c>
      <c r="F571" s="37" t="s">
        <v>4148</v>
      </c>
      <c r="G571" s="36" t="s">
        <v>4149</v>
      </c>
      <c r="H571" s="36" t="s">
        <v>4156</v>
      </c>
      <c r="I571" s="36" t="s">
        <v>824</v>
      </c>
    </row>
    <row r="572" spans="1:9" x14ac:dyDescent="0.3">
      <c r="A572">
        <v>575</v>
      </c>
      <c r="B572" s="36" t="s">
        <v>4161</v>
      </c>
      <c r="C572" s="36" t="s">
        <v>4154</v>
      </c>
      <c r="D572" s="36" t="s">
        <v>2999</v>
      </c>
      <c r="E572" s="36" t="s">
        <v>4151</v>
      </c>
      <c r="F572" s="37" t="s">
        <v>4148</v>
      </c>
      <c r="G572" s="36" t="s">
        <v>4153</v>
      </c>
      <c r="H572" s="36" t="s">
        <v>4156</v>
      </c>
      <c r="I572" s="36" t="s">
        <v>824</v>
      </c>
    </row>
    <row r="573" spans="1:9" x14ac:dyDescent="0.3">
      <c r="A573">
        <v>576</v>
      </c>
      <c r="B573" s="36" t="s">
        <v>4161</v>
      </c>
      <c r="C573" s="36" t="s">
        <v>4154</v>
      </c>
      <c r="D573" s="36" t="s">
        <v>3001</v>
      </c>
      <c r="E573" s="36" t="s">
        <v>4147</v>
      </c>
      <c r="F573" s="37" t="s">
        <v>4148</v>
      </c>
      <c r="G573" s="36" t="s">
        <v>4153</v>
      </c>
      <c r="H573" s="36" t="s">
        <v>4156</v>
      </c>
      <c r="I573" s="36" t="s">
        <v>824</v>
      </c>
    </row>
    <row r="574" spans="1:9" x14ac:dyDescent="0.3">
      <c r="A574">
        <v>577</v>
      </c>
      <c r="B574" s="36" t="s">
        <v>4161</v>
      </c>
      <c r="C574" s="36" t="s">
        <v>4154</v>
      </c>
      <c r="D574" s="36" t="s">
        <v>2999</v>
      </c>
      <c r="E574" s="36" t="s">
        <v>4151</v>
      </c>
      <c r="F574" s="37" t="s">
        <v>4155</v>
      </c>
      <c r="G574" s="36" t="s">
        <v>4149</v>
      </c>
      <c r="H574" s="36" t="s">
        <v>4156</v>
      </c>
      <c r="I574" s="36" t="s">
        <v>824</v>
      </c>
    </row>
    <row r="575" spans="1:9" x14ac:dyDescent="0.3">
      <c r="A575">
        <v>578</v>
      </c>
      <c r="B575" s="36" t="s">
        <v>4161</v>
      </c>
      <c r="C575" s="36" t="s">
        <v>4146</v>
      </c>
      <c r="D575" s="36" t="s">
        <v>2994</v>
      </c>
      <c r="E575" s="36" t="s">
        <v>4147</v>
      </c>
      <c r="F575" s="37" t="s">
        <v>4155</v>
      </c>
      <c r="G575" s="36" t="s">
        <v>4149</v>
      </c>
      <c r="H575" s="36" t="s">
        <v>4156</v>
      </c>
      <c r="I575" s="36" t="s">
        <v>824</v>
      </c>
    </row>
    <row r="576" spans="1:9" x14ac:dyDescent="0.3">
      <c r="A576">
        <v>579</v>
      </c>
      <c r="B576" s="36" t="s">
        <v>4161</v>
      </c>
      <c r="C576" s="36" t="s">
        <v>4154</v>
      </c>
      <c r="D576" s="36" t="s">
        <v>2999</v>
      </c>
      <c r="E576" s="36" t="s">
        <v>4151</v>
      </c>
      <c r="F576" s="37" t="s">
        <v>4148</v>
      </c>
      <c r="G576" s="36" t="s">
        <v>4153</v>
      </c>
      <c r="H576" s="36" t="s">
        <v>4156</v>
      </c>
      <c r="I576" s="36" t="s">
        <v>824</v>
      </c>
    </row>
    <row r="577" spans="1:9" x14ac:dyDescent="0.3">
      <c r="A577">
        <v>580</v>
      </c>
      <c r="B577" s="36" t="s">
        <v>4161</v>
      </c>
      <c r="C577" s="36" t="s">
        <v>4154</v>
      </c>
      <c r="D577" s="36" t="s">
        <v>2999</v>
      </c>
      <c r="E577" s="36" t="s">
        <v>4151</v>
      </c>
      <c r="F577" s="37" t="s">
        <v>4148</v>
      </c>
      <c r="G577" s="36" t="s">
        <v>4153</v>
      </c>
      <c r="H577" s="36" t="s">
        <v>4156</v>
      </c>
      <c r="I577" s="36" t="s">
        <v>824</v>
      </c>
    </row>
    <row r="578" spans="1:9" x14ac:dyDescent="0.3">
      <c r="A578">
        <v>581</v>
      </c>
      <c r="B578" s="36" t="s">
        <v>4161</v>
      </c>
      <c r="C578" s="36" t="s">
        <v>4146</v>
      </c>
      <c r="D578" s="36" t="s">
        <v>3001</v>
      </c>
      <c r="E578" s="36" t="s">
        <v>4147</v>
      </c>
      <c r="F578" s="37" t="s">
        <v>4155</v>
      </c>
      <c r="G578" s="36" t="s">
        <v>4149</v>
      </c>
      <c r="H578" s="36" t="s">
        <v>4156</v>
      </c>
      <c r="I578" s="36" t="s">
        <v>824</v>
      </c>
    </row>
    <row r="579" spans="1:9" x14ac:dyDescent="0.3">
      <c r="A579">
        <v>582</v>
      </c>
      <c r="B579" s="36" t="s">
        <v>4161</v>
      </c>
      <c r="C579" s="36" t="s">
        <v>4154</v>
      </c>
      <c r="D579" s="36" t="s">
        <v>2999</v>
      </c>
      <c r="E579" s="36" t="s">
        <v>4151</v>
      </c>
      <c r="F579" s="37" t="s">
        <v>4148</v>
      </c>
      <c r="G579" s="36" t="s">
        <v>4149</v>
      </c>
      <c r="H579" s="36" t="s">
        <v>4156</v>
      </c>
      <c r="I579" s="36" t="s">
        <v>824</v>
      </c>
    </row>
    <row r="580" spans="1:9" x14ac:dyDescent="0.3">
      <c r="A580">
        <v>583</v>
      </c>
      <c r="B580" s="36" t="s">
        <v>4161</v>
      </c>
      <c r="C580" s="36" t="s">
        <v>4146</v>
      </c>
      <c r="D580" s="36" t="s">
        <v>2994</v>
      </c>
      <c r="E580" s="36" t="s">
        <v>4147</v>
      </c>
      <c r="F580" s="37" t="s">
        <v>4152</v>
      </c>
      <c r="G580" s="36" t="s">
        <v>4149</v>
      </c>
      <c r="H580" s="36" t="s">
        <v>4156</v>
      </c>
      <c r="I580" s="36" t="s">
        <v>824</v>
      </c>
    </row>
    <row r="581" spans="1:9" x14ac:dyDescent="0.3">
      <c r="A581">
        <v>584</v>
      </c>
      <c r="B581" s="36" t="s">
        <v>4161</v>
      </c>
      <c r="C581" s="36" t="s">
        <v>4146</v>
      </c>
      <c r="D581" s="36" t="s">
        <v>3001</v>
      </c>
      <c r="E581" s="36" t="s">
        <v>4147</v>
      </c>
      <c r="F581" s="37" t="s">
        <v>4155</v>
      </c>
      <c r="G581" s="36" t="s">
        <v>4149</v>
      </c>
      <c r="H581" s="36" t="s">
        <v>4156</v>
      </c>
      <c r="I581" s="36" t="s">
        <v>824</v>
      </c>
    </row>
    <row r="582" spans="1:9" x14ac:dyDescent="0.3">
      <c r="A582">
        <v>585</v>
      </c>
      <c r="B582" s="36" t="s">
        <v>4161</v>
      </c>
      <c r="C582" s="36" t="s">
        <v>4146</v>
      </c>
      <c r="D582" s="36" t="s">
        <v>2994</v>
      </c>
      <c r="E582" s="36" t="s">
        <v>4147</v>
      </c>
      <c r="F582" s="37" t="s">
        <v>4155</v>
      </c>
      <c r="G582" s="36" t="s">
        <v>4149</v>
      </c>
      <c r="H582" s="36" t="s">
        <v>4156</v>
      </c>
      <c r="I582" s="36" t="s">
        <v>824</v>
      </c>
    </row>
    <row r="583" spans="1:9" x14ac:dyDescent="0.3">
      <c r="A583">
        <v>586</v>
      </c>
      <c r="B583" s="36" t="s">
        <v>4161</v>
      </c>
      <c r="C583" s="36" t="s">
        <v>4154</v>
      </c>
      <c r="D583" s="36" t="s">
        <v>2999</v>
      </c>
      <c r="E583" s="36" t="s">
        <v>4151</v>
      </c>
      <c r="F583" s="37" t="s">
        <v>4148</v>
      </c>
      <c r="G583" s="36" t="s">
        <v>4153</v>
      </c>
      <c r="H583" s="36" t="s">
        <v>4156</v>
      </c>
      <c r="I583" s="36" t="s">
        <v>824</v>
      </c>
    </row>
    <row r="584" spans="1:9" x14ac:dyDescent="0.3">
      <c r="A584">
        <v>587</v>
      </c>
      <c r="B584" s="36" t="s">
        <v>4161</v>
      </c>
      <c r="C584" s="36" t="s">
        <v>4146</v>
      </c>
      <c r="D584" s="36" t="s">
        <v>3001</v>
      </c>
      <c r="E584" s="36" t="s">
        <v>4147</v>
      </c>
      <c r="F584" s="37" t="s">
        <v>4148</v>
      </c>
      <c r="G584" s="36" t="s">
        <v>4153</v>
      </c>
      <c r="H584" s="36" t="s">
        <v>4156</v>
      </c>
      <c r="I584" s="36" t="s">
        <v>824</v>
      </c>
    </row>
    <row r="585" spans="1:9" x14ac:dyDescent="0.3">
      <c r="A585">
        <v>588</v>
      </c>
      <c r="B585" s="36" t="s">
        <v>4161</v>
      </c>
      <c r="C585" s="36" t="s">
        <v>4146</v>
      </c>
      <c r="D585" s="36" t="s">
        <v>2996</v>
      </c>
      <c r="E585" s="36" t="s">
        <v>4151</v>
      </c>
      <c r="F585" s="37" t="s">
        <v>4152</v>
      </c>
      <c r="G585" s="36" t="s">
        <v>4153</v>
      </c>
      <c r="H585" s="36" t="s">
        <v>4156</v>
      </c>
      <c r="I585" s="36" t="s">
        <v>824</v>
      </c>
    </row>
    <row r="586" spans="1:9" x14ac:dyDescent="0.3">
      <c r="A586">
        <v>589</v>
      </c>
      <c r="B586" s="36" t="s">
        <v>4161</v>
      </c>
      <c r="C586" s="36" t="s">
        <v>4146</v>
      </c>
      <c r="D586" s="36" t="s">
        <v>2994</v>
      </c>
      <c r="E586" s="36" t="s">
        <v>4147</v>
      </c>
      <c r="F586" s="37" t="s">
        <v>4152</v>
      </c>
      <c r="G586" s="36" t="s">
        <v>4153</v>
      </c>
      <c r="H586" s="36" t="s">
        <v>4156</v>
      </c>
      <c r="I586" s="36" t="s">
        <v>824</v>
      </c>
    </row>
    <row r="587" spans="1:9" x14ac:dyDescent="0.3">
      <c r="A587">
        <v>590</v>
      </c>
      <c r="B587" s="36" t="s">
        <v>4161</v>
      </c>
      <c r="C587" s="36" t="s">
        <v>4146</v>
      </c>
      <c r="D587" s="36" t="s">
        <v>3001</v>
      </c>
      <c r="E587" s="36" t="s">
        <v>4147</v>
      </c>
      <c r="F587" s="37" t="s">
        <v>4148</v>
      </c>
      <c r="G587" s="36" t="s">
        <v>4153</v>
      </c>
      <c r="H587" s="36" t="s">
        <v>4156</v>
      </c>
      <c r="I587" s="36" t="s">
        <v>824</v>
      </c>
    </row>
    <row r="588" spans="1:9" x14ac:dyDescent="0.3">
      <c r="A588">
        <v>591</v>
      </c>
      <c r="B588" s="36" t="s">
        <v>4161</v>
      </c>
      <c r="C588" s="36" t="s">
        <v>4146</v>
      </c>
      <c r="D588" s="36" t="s">
        <v>2994</v>
      </c>
      <c r="E588" s="36" t="s">
        <v>4147</v>
      </c>
      <c r="F588" s="37" t="s">
        <v>4152</v>
      </c>
      <c r="G588" s="36" t="s">
        <v>4153</v>
      </c>
      <c r="H588" s="36" t="s">
        <v>4156</v>
      </c>
      <c r="I588" s="36" t="s">
        <v>824</v>
      </c>
    </row>
    <row r="589" spans="1:9" x14ac:dyDescent="0.3">
      <c r="A589">
        <v>592</v>
      </c>
      <c r="B589" s="36" t="s">
        <v>4161</v>
      </c>
      <c r="C589" s="36" t="s">
        <v>4146</v>
      </c>
      <c r="D589" s="36" t="s">
        <v>2994</v>
      </c>
      <c r="E589" s="36" t="s">
        <v>4147</v>
      </c>
      <c r="F589" s="37" t="s">
        <v>4152</v>
      </c>
      <c r="G589" s="36" t="s">
        <v>4153</v>
      </c>
      <c r="H589" s="36" t="s">
        <v>4156</v>
      </c>
      <c r="I589" s="36" t="s">
        <v>824</v>
      </c>
    </row>
    <row r="590" spans="1:9" x14ac:dyDescent="0.3">
      <c r="A590">
        <v>593</v>
      </c>
      <c r="B590" s="36" t="s">
        <v>4161</v>
      </c>
      <c r="C590" s="36" t="s">
        <v>4154</v>
      </c>
      <c r="D590" s="36" t="s">
        <v>2999</v>
      </c>
      <c r="E590" s="36" t="s">
        <v>4151</v>
      </c>
      <c r="F590" s="37" t="s">
        <v>4155</v>
      </c>
      <c r="G590" s="36" t="s">
        <v>4153</v>
      </c>
      <c r="H590" s="36" t="s">
        <v>4156</v>
      </c>
      <c r="I590" s="36" t="s">
        <v>824</v>
      </c>
    </row>
    <row r="591" spans="1:9" x14ac:dyDescent="0.3">
      <c r="A591">
        <v>594</v>
      </c>
      <c r="B591" s="36" t="s">
        <v>4161</v>
      </c>
      <c r="C591" s="36" t="s">
        <v>4146</v>
      </c>
      <c r="D591" s="36" t="s">
        <v>3001</v>
      </c>
      <c r="E591" s="36" t="s">
        <v>4147</v>
      </c>
      <c r="F591" s="37" t="s">
        <v>4155</v>
      </c>
      <c r="G591" s="36" t="s">
        <v>4153</v>
      </c>
      <c r="H591" s="36" t="s">
        <v>4156</v>
      </c>
      <c r="I591" s="36" t="s">
        <v>824</v>
      </c>
    </row>
    <row r="592" spans="1:9" x14ac:dyDescent="0.3">
      <c r="A592">
        <v>595</v>
      </c>
      <c r="B592" s="36" t="s">
        <v>4161</v>
      </c>
      <c r="C592" s="36" t="s">
        <v>4154</v>
      </c>
      <c r="D592" s="36" t="s">
        <v>2999</v>
      </c>
      <c r="E592" s="36" t="s">
        <v>4151</v>
      </c>
      <c r="F592" s="37" t="s">
        <v>4157</v>
      </c>
      <c r="G592" s="36" t="s">
        <v>4149</v>
      </c>
      <c r="H592" s="36" t="s">
        <v>4156</v>
      </c>
      <c r="I592" s="36" t="s">
        <v>824</v>
      </c>
    </row>
    <row r="593" spans="1:9" x14ac:dyDescent="0.3">
      <c r="A593">
        <v>596</v>
      </c>
      <c r="B593" s="36" t="s">
        <v>4161</v>
      </c>
      <c r="C593" s="36" t="s">
        <v>4154</v>
      </c>
      <c r="D593" s="36" t="s">
        <v>2999</v>
      </c>
      <c r="E593" s="36" t="s">
        <v>4151</v>
      </c>
      <c r="F593" s="37" t="s">
        <v>4148</v>
      </c>
      <c r="G593" s="36" t="s">
        <v>4149</v>
      </c>
      <c r="H593" s="36" t="s">
        <v>4156</v>
      </c>
      <c r="I593" s="36" t="s">
        <v>824</v>
      </c>
    </row>
    <row r="594" spans="1:9" x14ac:dyDescent="0.3">
      <c r="A594">
        <v>597</v>
      </c>
      <c r="B594" s="36" t="s">
        <v>4161</v>
      </c>
      <c r="C594" s="36" t="s">
        <v>4146</v>
      </c>
      <c r="D594" s="36" t="s">
        <v>2999</v>
      </c>
      <c r="E594" s="36" t="s">
        <v>4151</v>
      </c>
      <c r="F594" s="37" t="s">
        <v>4155</v>
      </c>
      <c r="G594" s="36" t="s">
        <v>4149</v>
      </c>
      <c r="H594" s="36" t="s">
        <v>4156</v>
      </c>
      <c r="I594" s="36" t="s">
        <v>824</v>
      </c>
    </row>
    <row r="595" spans="1:9" x14ac:dyDescent="0.3">
      <c r="A595">
        <v>598</v>
      </c>
      <c r="B595" s="36" t="s">
        <v>4161</v>
      </c>
      <c r="C595" s="36" t="s">
        <v>4146</v>
      </c>
      <c r="D595" s="36" t="s">
        <v>2999</v>
      </c>
      <c r="E595" s="36" t="s">
        <v>4151</v>
      </c>
      <c r="F595" s="37" t="s">
        <v>4148</v>
      </c>
      <c r="G595" s="36" t="s">
        <v>4149</v>
      </c>
      <c r="H595" s="36" t="s">
        <v>4156</v>
      </c>
      <c r="I595" s="36" t="s">
        <v>824</v>
      </c>
    </row>
    <row r="596" spans="1:9" x14ac:dyDescent="0.3">
      <c r="A596">
        <v>599</v>
      </c>
      <c r="B596" s="36" t="s">
        <v>4161</v>
      </c>
      <c r="C596" s="36" t="s">
        <v>4146</v>
      </c>
      <c r="D596" s="36" t="s">
        <v>2994</v>
      </c>
      <c r="E596" s="36" t="s">
        <v>4147</v>
      </c>
      <c r="F596" s="37" t="s">
        <v>4148</v>
      </c>
      <c r="G596" s="36" t="s">
        <v>4149</v>
      </c>
      <c r="H596" s="36" t="s">
        <v>4156</v>
      </c>
      <c r="I596" s="36" t="s">
        <v>824</v>
      </c>
    </row>
    <row r="597" spans="1:9" x14ac:dyDescent="0.3">
      <c r="A597">
        <v>600</v>
      </c>
      <c r="B597" s="36" t="s">
        <v>4161</v>
      </c>
      <c r="C597" s="36" t="s">
        <v>4154</v>
      </c>
      <c r="D597" s="36" t="s">
        <v>2994</v>
      </c>
      <c r="E597" s="36" t="s">
        <v>4147</v>
      </c>
      <c r="F597" s="37" t="s">
        <v>4148</v>
      </c>
      <c r="G597" s="36" t="s">
        <v>4149</v>
      </c>
      <c r="H597" s="36" t="s">
        <v>4156</v>
      </c>
      <c r="I597" s="36" t="s">
        <v>824</v>
      </c>
    </row>
    <row r="598" spans="1:9" x14ac:dyDescent="0.3">
      <c r="A598">
        <v>601</v>
      </c>
      <c r="B598" s="36" t="s">
        <v>4162</v>
      </c>
      <c r="C598" s="36" t="s">
        <v>4154</v>
      </c>
      <c r="D598" s="36" t="s">
        <v>2999</v>
      </c>
      <c r="E598" s="36" t="s">
        <v>4151</v>
      </c>
      <c r="F598" s="37" t="s">
        <v>4155</v>
      </c>
      <c r="G598" s="36" t="s">
        <v>4149</v>
      </c>
      <c r="H598" s="36" t="s">
        <v>4156</v>
      </c>
      <c r="I598" s="36" t="s">
        <v>824</v>
      </c>
    </row>
    <row r="599" spans="1:9" x14ac:dyDescent="0.3">
      <c r="A599">
        <v>602</v>
      </c>
      <c r="B599" s="36" t="s">
        <v>4162</v>
      </c>
      <c r="C599" s="36" t="s">
        <v>4154</v>
      </c>
      <c r="D599" s="36" t="s">
        <v>2996</v>
      </c>
      <c r="E599" s="36" t="s">
        <v>4151</v>
      </c>
      <c r="F599" s="37" t="s">
        <v>4152</v>
      </c>
      <c r="G599" s="36" t="s">
        <v>4153</v>
      </c>
      <c r="H599" s="36" t="s">
        <v>4156</v>
      </c>
      <c r="I599" s="36" t="s">
        <v>824</v>
      </c>
    </row>
    <row r="600" spans="1:9" x14ac:dyDescent="0.3">
      <c r="A600">
        <v>603</v>
      </c>
      <c r="B600" s="36" t="s">
        <v>4162</v>
      </c>
      <c r="C600" s="36" t="s">
        <v>4154</v>
      </c>
      <c r="D600" s="36" t="s">
        <v>2999</v>
      </c>
      <c r="E600" s="36" t="s">
        <v>4151</v>
      </c>
      <c r="F600" s="37" t="s">
        <v>4159</v>
      </c>
      <c r="G600" s="36" t="s">
        <v>4153</v>
      </c>
      <c r="H600" s="36" t="s">
        <v>4156</v>
      </c>
      <c r="I600" s="36" t="s">
        <v>824</v>
      </c>
    </row>
    <row r="601" spans="1:9" x14ac:dyDescent="0.3">
      <c r="A601">
        <v>604</v>
      </c>
      <c r="B601" s="36" t="s">
        <v>4162</v>
      </c>
      <c r="C601" s="36" t="s">
        <v>4146</v>
      </c>
      <c r="D601" s="36" t="s">
        <v>3001</v>
      </c>
      <c r="E601" s="36" t="s">
        <v>4147</v>
      </c>
      <c r="F601" s="37" t="s">
        <v>4155</v>
      </c>
      <c r="G601" s="36" t="s">
        <v>4153</v>
      </c>
      <c r="H601" s="36" t="s">
        <v>4156</v>
      </c>
      <c r="I601" s="36" t="s">
        <v>824</v>
      </c>
    </row>
    <row r="602" spans="1:9" x14ac:dyDescent="0.3">
      <c r="A602">
        <v>605</v>
      </c>
      <c r="B602" s="36" t="s">
        <v>4162</v>
      </c>
      <c r="C602" s="36" t="s">
        <v>4146</v>
      </c>
      <c r="D602" s="36" t="s">
        <v>2994</v>
      </c>
      <c r="E602" s="36" t="s">
        <v>4147</v>
      </c>
      <c r="F602" s="37" t="s">
        <v>4159</v>
      </c>
      <c r="G602" s="36" t="s">
        <v>4149</v>
      </c>
      <c r="H602" s="36" t="s">
        <v>4156</v>
      </c>
      <c r="I602" s="36" t="s">
        <v>824</v>
      </c>
    </row>
    <row r="603" spans="1:9" x14ac:dyDescent="0.3">
      <c r="A603">
        <v>606</v>
      </c>
      <c r="B603" s="36" t="s">
        <v>4162</v>
      </c>
      <c r="C603" s="36" t="s">
        <v>4146</v>
      </c>
      <c r="D603" s="36" t="s">
        <v>2999</v>
      </c>
      <c r="E603" s="36" t="s">
        <v>4151</v>
      </c>
      <c r="F603" s="37" t="s">
        <v>4148</v>
      </c>
      <c r="G603" s="36" t="s">
        <v>4149</v>
      </c>
      <c r="H603" s="36" t="s">
        <v>4156</v>
      </c>
      <c r="I603" s="36" t="s">
        <v>824</v>
      </c>
    </row>
    <row r="604" spans="1:9" x14ac:dyDescent="0.3">
      <c r="A604">
        <v>607</v>
      </c>
      <c r="B604" s="36" t="s">
        <v>4162</v>
      </c>
      <c r="C604" s="36" t="s">
        <v>4146</v>
      </c>
      <c r="D604" s="36" t="s">
        <v>2999</v>
      </c>
      <c r="E604" s="36" t="s">
        <v>4151</v>
      </c>
      <c r="F604" s="37" t="s">
        <v>4148</v>
      </c>
      <c r="G604" s="36" t="s">
        <v>4149</v>
      </c>
      <c r="H604" s="36" t="s">
        <v>4156</v>
      </c>
      <c r="I604" s="36" t="s">
        <v>824</v>
      </c>
    </row>
    <row r="605" spans="1:9" x14ac:dyDescent="0.3">
      <c r="A605">
        <v>608</v>
      </c>
      <c r="B605" s="36" t="s">
        <v>4162</v>
      </c>
      <c r="C605" s="36" t="s">
        <v>4146</v>
      </c>
      <c r="D605" s="36" t="s">
        <v>3001</v>
      </c>
      <c r="E605" s="36" t="s">
        <v>4147</v>
      </c>
      <c r="F605" s="37" t="s">
        <v>4159</v>
      </c>
      <c r="G605" s="36" t="s">
        <v>4149</v>
      </c>
      <c r="H605" s="36" t="s">
        <v>4156</v>
      </c>
      <c r="I605" s="36" t="s">
        <v>4199</v>
      </c>
    </row>
    <row r="606" spans="1:9" x14ac:dyDescent="0.3">
      <c r="A606">
        <v>609</v>
      </c>
      <c r="B606" s="36" t="s">
        <v>4162</v>
      </c>
      <c r="C606" s="36" t="s">
        <v>4154</v>
      </c>
      <c r="D606" s="36" t="s">
        <v>2999</v>
      </c>
      <c r="E606" s="36" t="s">
        <v>4151</v>
      </c>
      <c r="F606" s="37" t="s">
        <v>4148</v>
      </c>
      <c r="G606" s="36" t="s">
        <v>4149</v>
      </c>
      <c r="H606" s="36" t="s">
        <v>4156</v>
      </c>
      <c r="I606" s="36" t="s">
        <v>824</v>
      </c>
    </row>
    <row r="607" spans="1:9" x14ac:dyDescent="0.3">
      <c r="A607">
        <v>610</v>
      </c>
      <c r="B607" s="36" t="s">
        <v>4162</v>
      </c>
      <c r="C607" s="36" t="s">
        <v>4154</v>
      </c>
      <c r="D607" s="36" t="s">
        <v>2999</v>
      </c>
      <c r="E607" s="36" t="s">
        <v>4151</v>
      </c>
      <c r="F607" s="37" t="s">
        <v>4148</v>
      </c>
      <c r="G607" s="36" t="s">
        <v>4149</v>
      </c>
      <c r="H607" s="36" t="s">
        <v>4156</v>
      </c>
      <c r="I607" s="36" t="s">
        <v>824</v>
      </c>
    </row>
    <row r="608" spans="1:9" x14ac:dyDescent="0.3">
      <c r="A608">
        <v>611</v>
      </c>
      <c r="B608" s="36" t="s">
        <v>4162</v>
      </c>
      <c r="C608" s="36" t="s">
        <v>4154</v>
      </c>
      <c r="D608" s="36" t="s">
        <v>3001</v>
      </c>
      <c r="E608" s="36" t="s">
        <v>4147</v>
      </c>
      <c r="F608" s="37" t="s">
        <v>4155</v>
      </c>
      <c r="G608" s="36" t="s">
        <v>4153</v>
      </c>
      <c r="H608" s="36" t="s">
        <v>4156</v>
      </c>
      <c r="I608" s="36" t="s">
        <v>824</v>
      </c>
    </row>
    <row r="609" spans="1:9" x14ac:dyDescent="0.3">
      <c r="A609">
        <v>612</v>
      </c>
      <c r="B609" s="36" t="s">
        <v>4162</v>
      </c>
      <c r="C609" s="36" t="s">
        <v>4146</v>
      </c>
      <c r="D609" s="36" t="s">
        <v>2996</v>
      </c>
      <c r="E609" s="36" t="s">
        <v>4151</v>
      </c>
      <c r="F609" s="37" t="s">
        <v>4152</v>
      </c>
      <c r="G609" s="36" t="s">
        <v>4153</v>
      </c>
      <c r="H609" s="36" t="s">
        <v>4156</v>
      </c>
      <c r="I609" s="36" t="s">
        <v>824</v>
      </c>
    </row>
    <row r="610" spans="1:9" x14ac:dyDescent="0.3">
      <c r="A610">
        <v>613</v>
      </c>
      <c r="B610" s="36" t="s">
        <v>4162</v>
      </c>
      <c r="C610" s="36" t="s">
        <v>4146</v>
      </c>
      <c r="D610" s="36" t="s">
        <v>3001</v>
      </c>
      <c r="E610" s="36" t="s">
        <v>4147</v>
      </c>
      <c r="F610" s="37" t="s">
        <v>4159</v>
      </c>
      <c r="G610" s="36" t="s">
        <v>4153</v>
      </c>
      <c r="H610" s="36" t="s">
        <v>4156</v>
      </c>
      <c r="I610" s="36" t="s">
        <v>824</v>
      </c>
    </row>
    <row r="611" spans="1:9" x14ac:dyDescent="0.3">
      <c r="A611">
        <v>614</v>
      </c>
      <c r="B611" s="36" t="s">
        <v>4162</v>
      </c>
      <c r="C611" s="36" t="s">
        <v>4146</v>
      </c>
      <c r="D611" s="36" t="s">
        <v>2999</v>
      </c>
      <c r="E611" s="36" t="s">
        <v>4151</v>
      </c>
      <c r="F611" s="37" t="s">
        <v>4148</v>
      </c>
      <c r="G611" s="36" t="s">
        <v>4149</v>
      </c>
      <c r="H611" s="36" t="s">
        <v>4156</v>
      </c>
      <c r="I611" s="36" t="s">
        <v>4199</v>
      </c>
    </row>
    <row r="612" spans="1:9" x14ac:dyDescent="0.3">
      <c r="A612">
        <v>615</v>
      </c>
      <c r="B612" s="36" t="s">
        <v>4162</v>
      </c>
      <c r="C612" s="36" t="s">
        <v>4154</v>
      </c>
      <c r="D612" s="36" t="s">
        <v>2999</v>
      </c>
      <c r="E612" s="36" t="s">
        <v>4151</v>
      </c>
      <c r="F612" s="37" t="s">
        <v>4148</v>
      </c>
      <c r="G612" s="36" t="s">
        <v>4149</v>
      </c>
      <c r="H612" s="36" t="s">
        <v>4156</v>
      </c>
      <c r="I612" s="36" t="s">
        <v>824</v>
      </c>
    </row>
    <row r="613" spans="1:9" x14ac:dyDescent="0.3">
      <c r="A613">
        <v>616</v>
      </c>
      <c r="B613" s="36" t="s">
        <v>4162</v>
      </c>
      <c r="C613" s="36" t="s">
        <v>4154</v>
      </c>
      <c r="D613" s="36" t="s">
        <v>2999</v>
      </c>
      <c r="E613" s="36" t="s">
        <v>4151</v>
      </c>
      <c r="F613" s="37" t="s">
        <v>4148</v>
      </c>
      <c r="G613" s="36" t="s">
        <v>4149</v>
      </c>
      <c r="H613" s="36" t="s">
        <v>4156</v>
      </c>
      <c r="I613" s="36" t="s">
        <v>824</v>
      </c>
    </row>
    <row r="614" spans="1:9" x14ac:dyDescent="0.3">
      <c r="A614">
        <v>617</v>
      </c>
      <c r="B614" s="36" t="s">
        <v>4162</v>
      </c>
      <c r="C614" s="36" t="s">
        <v>4154</v>
      </c>
      <c r="D614" s="36" t="s">
        <v>2999</v>
      </c>
      <c r="E614" s="36" t="s">
        <v>4151</v>
      </c>
      <c r="F614" s="37" t="s">
        <v>4148</v>
      </c>
      <c r="G614" s="36" t="s">
        <v>4149</v>
      </c>
      <c r="H614" s="36" t="s">
        <v>4156</v>
      </c>
      <c r="I614" s="36" t="s">
        <v>824</v>
      </c>
    </row>
    <row r="615" spans="1:9" x14ac:dyDescent="0.3">
      <c r="A615">
        <v>618</v>
      </c>
      <c r="B615" s="36" t="s">
        <v>4162</v>
      </c>
      <c r="C615" s="36" t="s">
        <v>4154</v>
      </c>
      <c r="D615" s="36" t="s">
        <v>2999</v>
      </c>
      <c r="E615" s="36" t="s">
        <v>4151</v>
      </c>
      <c r="F615" s="37" t="s">
        <v>4148</v>
      </c>
      <c r="G615" s="36" t="s">
        <v>4149</v>
      </c>
      <c r="H615" s="36" t="s">
        <v>4156</v>
      </c>
      <c r="I615" s="36" t="s">
        <v>824</v>
      </c>
    </row>
    <row r="616" spans="1:9" x14ac:dyDescent="0.3">
      <c r="A616">
        <v>619</v>
      </c>
      <c r="B616" s="36" t="s">
        <v>4162</v>
      </c>
      <c r="C616" s="36" t="s">
        <v>4154</v>
      </c>
      <c r="D616" s="36" t="s">
        <v>2999</v>
      </c>
      <c r="E616" s="36" t="s">
        <v>4151</v>
      </c>
      <c r="F616" s="37" t="s">
        <v>4155</v>
      </c>
      <c r="G616" s="36" t="s">
        <v>4149</v>
      </c>
      <c r="H616" s="36" t="s">
        <v>4156</v>
      </c>
      <c r="I616" s="36" t="s">
        <v>824</v>
      </c>
    </row>
    <row r="617" spans="1:9" x14ac:dyDescent="0.3">
      <c r="A617">
        <v>620</v>
      </c>
      <c r="B617" s="36" t="s">
        <v>4162</v>
      </c>
      <c r="C617" s="36" t="s">
        <v>4154</v>
      </c>
      <c r="D617" s="36" t="s">
        <v>2999</v>
      </c>
      <c r="E617" s="36" t="s">
        <v>4151</v>
      </c>
      <c r="F617" s="37" t="s">
        <v>4159</v>
      </c>
      <c r="G617" s="36" t="s">
        <v>4149</v>
      </c>
      <c r="H617" s="36" t="s">
        <v>4156</v>
      </c>
      <c r="I617" s="36" t="s">
        <v>824</v>
      </c>
    </row>
    <row r="618" spans="1:9" x14ac:dyDescent="0.3">
      <c r="A618">
        <v>621</v>
      </c>
      <c r="B618" s="36" t="s">
        <v>4162</v>
      </c>
      <c r="C618" s="36" t="s">
        <v>4154</v>
      </c>
      <c r="D618" s="36" t="s">
        <v>2999</v>
      </c>
      <c r="E618" s="36" t="s">
        <v>4151</v>
      </c>
      <c r="F618" s="37" t="s">
        <v>4155</v>
      </c>
      <c r="G618" s="36" t="s">
        <v>4149</v>
      </c>
      <c r="H618" s="36" t="s">
        <v>4156</v>
      </c>
      <c r="I618" s="36" t="s">
        <v>824</v>
      </c>
    </row>
    <row r="619" spans="1:9" x14ac:dyDescent="0.3">
      <c r="A619">
        <v>622</v>
      </c>
      <c r="B619" s="36" t="s">
        <v>4162</v>
      </c>
      <c r="C619" s="36" t="s">
        <v>4146</v>
      </c>
      <c r="D619" s="36" t="s">
        <v>2994</v>
      </c>
      <c r="E619" s="36" t="s">
        <v>4147</v>
      </c>
      <c r="F619" s="37" t="s">
        <v>4148</v>
      </c>
      <c r="G619" s="36" t="s">
        <v>4153</v>
      </c>
      <c r="H619" s="36" t="s">
        <v>4156</v>
      </c>
      <c r="I619" s="36" t="s">
        <v>824</v>
      </c>
    </row>
    <row r="620" spans="1:9" x14ac:dyDescent="0.3">
      <c r="A620">
        <v>623</v>
      </c>
      <c r="B620" s="36" t="s">
        <v>4162</v>
      </c>
      <c r="C620" s="36" t="s">
        <v>4154</v>
      </c>
      <c r="D620" s="36" t="s">
        <v>2996</v>
      </c>
      <c r="E620" s="36" t="s">
        <v>4151</v>
      </c>
      <c r="F620" s="37" t="s">
        <v>4152</v>
      </c>
      <c r="G620" s="36" t="s">
        <v>4153</v>
      </c>
      <c r="H620" s="36" t="s">
        <v>4156</v>
      </c>
      <c r="I620" s="36" t="s">
        <v>824</v>
      </c>
    </row>
    <row r="621" spans="1:9" x14ac:dyDescent="0.3">
      <c r="A621">
        <v>624</v>
      </c>
      <c r="B621" s="36" t="s">
        <v>4162</v>
      </c>
      <c r="C621" s="36" t="s">
        <v>4154</v>
      </c>
      <c r="D621" s="36" t="s">
        <v>2994</v>
      </c>
      <c r="E621" s="36" t="s">
        <v>4147</v>
      </c>
      <c r="F621" s="37" t="s">
        <v>4152</v>
      </c>
      <c r="G621" s="36" t="s">
        <v>4153</v>
      </c>
      <c r="H621" s="36" t="s">
        <v>4156</v>
      </c>
      <c r="I621" s="36" t="s">
        <v>824</v>
      </c>
    </row>
    <row r="622" spans="1:9" x14ac:dyDescent="0.3">
      <c r="A622">
        <v>625</v>
      </c>
      <c r="B622" s="36" t="s">
        <v>4162</v>
      </c>
      <c r="C622" s="36" t="s">
        <v>4154</v>
      </c>
      <c r="D622" s="36" t="s">
        <v>2994</v>
      </c>
      <c r="E622" s="36" t="s">
        <v>4147</v>
      </c>
      <c r="F622" s="37" t="s">
        <v>4152</v>
      </c>
      <c r="G622" s="36" t="s">
        <v>4153</v>
      </c>
      <c r="H622" s="36" t="s">
        <v>4156</v>
      </c>
      <c r="I622" s="36" t="s">
        <v>824</v>
      </c>
    </row>
    <row r="623" spans="1:9" x14ac:dyDescent="0.3">
      <c r="A623">
        <v>626</v>
      </c>
      <c r="B623" s="36" t="s">
        <v>4162</v>
      </c>
      <c r="C623" s="36" t="s">
        <v>4146</v>
      </c>
      <c r="D623" s="36" t="s">
        <v>2994</v>
      </c>
      <c r="E623" s="36" t="s">
        <v>4147</v>
      </c>
      <c r="F623" s="37" t="s">
        <v>4159</v>
      </c>
      <c r="G623" s="36" t="s">
        <v>4153</v>
      </c>
      <c r="H623" s="36" t="s">
        <v>4156</v>
      </c>
      <c r="I623" s="36" t="s">
        <v>824</v>
      </c>
    </row>
    <row r="624" spans="1:9" x14ac:dyDescent="0.3">
      <c r="A624">
        <v>627</v>
      </c>
      <c r="B624" s="36" t="s">
        <v>4162</v>
      </c>
      <c r="C624" s="36" t="s">
        <v>4154</v>
      </c>
      <c r="D624" s="36" t="s">
        <v>2994</v>
      </c>
      <c r="E624" s="36" t="s">
        <v>4147</v>
      </c>
      <c r="F624" s="37" t="s">
        <v>4155</v>
      </c>
      <c r="G624" s="36" t="s">
        <v>4153</v>
      </c>
      <c r="H624" s="36" t="s">
        <v>4156</v>
      </c>
      <c r="I624" s="36" t="s">
        <v>824</v>
      </c>
    </row>
    <row r="625" spans="1:9" x14ac:dyDescent="0.3">
      <c r="A625">
        <v>628</v>
      </c>
      <c r="B625" s="36" t="s">
        <v>4162</v>
      </c>
      <c r="C625" s="36" t="s">
        <v>4154</v>
      </c>
      <c r="D625" s="36" t="s">
        <v>2994</v>
      </c>
      <c r="E625" s="36" t="s">
        <v>4147</v>
      </c>
      <c r="F625" s="37" t="s">
        <v>4152</v>
      </c>
      <c r="G625" s="36" t="s">
        <v>4153</v>
      </c>
      <c r="H625" s="36" t="s">
        <v>4156</v>
      </c>
      <c r="I625" s="36" t="s">
        <v>824</v>
      </c>
    </row>
    <row r="626" spans="1:9" x14ac:dyDescent="0.3">
      <c r="A626">
        <v>629</v>
      </c>
      <c r="B626" s="36" t="s">
        <v>4162</v>
      </c>
      <c r="C626" s="36" t="s">
        <v>4154</v>
      </c>
      <c r="D626" s="36" t="s">
        <v>2994</v>
      </c>
      <c r="E626" s="36" t="s">
        <v>4147</v>
      </c>
      <c r="F626" s="37" t="s">
        <v>4152</v>
      </c>
      <c r="G626" s="36" t="s">
        <v>4153</v>
      </c>
      <c r="H626" s="36" t="s">
        <v>4156</v>
      </c>
      <c r="I626" s="36" t="s">
        <v>824</v>
      </c>
    </row>
    <row r="627" spans="1:9" x14ac:dyDescent="0.3">
      <c r="A627">
        <v>630</v>
      </c>
      <c r="B627" s="36" t="s">
        <v>4162</v>
      </c>
      <c r="C627" s="36" t="s">
        <v>4154</v>
      </c>
      <c r="D627" s="36" t="s">
        <v>2999</v>
      </c>
      <c r="E627" s="36" t="s">
        <v>4151</v>
      </c>
      <c r="F627" s="37" t="s">
        <v>4155</v>
      </c>
      <c r="G627" s="36" t="s">
        <v>4153</v>
      </c>
      <c r="H627" s="36" t="s">
        <v>4156</v>
      </c>
      <c r="I627" s="36" t="s">
        <v>824</v>
      </c>
    </row>
    <row r="628" spans="1:9" x14ac:dyDescent="0.3">
      <c r="A628">
        <v>631</v>
      </c>
      <c r="B628" s="36" t="s">
        <v>4162</v>
      </c>
      <c r="C628" s="36" t="s">
        <v>4146</v>
      </c>
      <c r="D628" s="36" t="s">
        <v>2999</v>
      </c>
      <c r="E628" s="36" t="s">
        <v>4151</v>
      </c>
      <c r="F628" s="37" t="s">
        <v>4148</v>
      </c>
      <c r="G628" s="36" t="s">
        <v>4149</v>
      </c>
      <c r="H628" s="36" t="s">
        <v>4156</v>
      </c>
      <c r="I628" s="36" t="s">
        <v>824</v>
      </c>
    </row>
    <row r="629" spans="1:9" x14ac:dyDescent="0.3">
      <c r="A629">
        <v>632</v>
      </c>
      <c r="B629" s="36" t="s">
        <v>4162</v>
      </c>
      <c r="C629" s="36" t="s">
        <v>4154</v>
      </c>
      <c r="D629" s="36" t="s">
        <v>2999</v>
      </c>
      <c r="E629" s="36" t="s">
        <v>4151</v>
      </c>
      <c r="F629" s="37" t="s">
        <v>4148</v>
      </c>
      <c r="G629" s="36" t="s">
        <v>4149</v>
      </c>
      <c r="H629" s="36" t="s">
        <v>4156</v>
      </c>
      <c r="I629" s="36" t="s">
        <v>824</v>
      </c>
    </row>
    <row r="630" spans="1:9" x14ac:dyDescent="0.3">
      <c r="A630">
        <v>633</v>
      </c>
      <c r="B630" s="36" t="s">
        <v>4162</v>
      </c>
      <c r="C630" s="36" t="s">
        <v>4154</v>
      </c>
      <c r="D630" s="36" t="s">
        <v>3001</v>
      </c>
      <c r="E630" s="36" t="s">
        <v>4147</v>
      </c>
      <c r="F630" s="37" t="s">
        <v>4155</v>
      </c>
      <c r="G630" s="36" t="s">
        <v>4153</v>
      </c>
      <c r="H630" s="36" t="s">
        <v>4156</v>
      </c>
      <c r="I630" s="36" t="s">
        <v>824</v>
      </c>
    </row>
    <row r="631" spans="1:9" x14ac:dyDescent="0.3">
      <c r="A631">
        <v>634</v>
      </c>
      <c r="B631" s="36" t="s">
        <v>4162</v>
      </c>
      <c r="C631" s="36" t="s">
        <v>4154</v>
      </c>
      <c r="D631" s="36" t="s">
        <v>2999</v>
      </c>
      <c r="E631" s="36" t="s">
        <v>4151</v>
      </c>
      <c r="F631" s="37" t="s">
        <v>4148</v>
      </c>
      <c r="G631" s="36" t="s">
        <v>4149</v>
      </c>
      <c r="H631" s="36" t="s">
        <v>4156</v>
      </c>
      <c r="I631" s="36" t="s">
        <v>824</v>
      </c>
    </row>
    <row r="632" spans="1:9" x14ac:dyDescent="0.3">
      <c r="A632">
        <v>635</v>
      </c>
      <c r="B632" s="36" t="s">
        <v>4162</v>
      </c>
      <c r="C632" s="36" t="s">
        <v>4154</v>
      </c>
      <c r="D632" s="36" t="s">
        <v>2999</v>
      </c>
      <c r="E632" s="36" t="s">
        <v>4151</v>
      </c>
      <c r="F632" s="37" t="s">
        <v>4148</v>
      </c>
      <c r="G632" s="36" t="s">
        <v>4149</v>
      </c>
      <c r="H632" s="36" t="s">
        <v>4156</v>
      </c>
      <c r="I632" s="36" t="s">
        <v>824</v>
      </c>
    </row>
    <row r="633" spans="1:9" x14ac:dyDescent="0.3">
      <c r="A633">
        <v>636</v>
      </c>
      <c r="B633" s="36" t="s">
        <v>4162</v>
      </c>
      <c r="C633" s="36" t="s">
        <v>4154</v>
      </c>
      <c r="D633" s="36" t="s">
        <v>2999</v>
      </c>
      <c r="E633" s="36" t="s">
        <v>4151</v>
      </c>
      <c r="F633" s="37" t="s">
        <v>4148</v>
      </c>
      <c r="G633" s="36" t="s">
        <v>4153</v>
      </c>
      <c r="H633" s="36" t="s">
        <v>4156</v>
      </c>
      <c r="I633" s="36" t="s">
        <v>824</v>
      </c>
    </row>
    <row r="634" spans="1:9" x14ac:dyDescent="0.3">
      <c r="A634">
        <v>637</v>
      </c>
      <c r="B634" s="36" t="s">
        <v>4162</v>
      </c>
      <c r="C634" s="36" t="s">
        <v>4154</v>
      </c>
      <c r="D634" s="36" t="s">
        <v>3001</v>
      </c>
      <c r="E634" s="36" t="s">
        <v>4147</v>
      </c>
      <c r="F634" s="37" t="s">
        <v>4159</v>
      </c>
      <c r="G634" s="36" t="s">
        <v>4153</v>
      </c>
      <c r="H634" s="36" t="s">
        <v>4156</v>
      </c>
      <c r="I634" s="36" t="s">
        <v>824</v>
      </c>
    </row>
    <row r="635" spans="1:9" x14ac:dyDescent="0.3">
      <c r="A635">
        <v>638</v>
      </c>
      <c r="B635" s="36" t="s">
        <v>4162</v>
      </c>
      <c r="C635" s="36" t="s">
        <v>4154</v>
      </c>
      <c r="D635" s="36" t="s">
        <v>2999</v>
      </c>
      <c r="E635" s="36" t="s">
        <v>4151</v>
      </c>
      <c r="F635" s="37" t="s">
        <v>4148</v>
      </c>
      <c r="G635" s="36" t="s">
        <v>4149</v>
      </c>
      <c r="H635" s="36" t="s">
        <v>4156</v>
      </c>
      <c r="I635" s="36" t="s">
        <v>824</v>
      </c>
    </row>
    <row r="636" spans="1:9" x14ac:dyDescent="0.3">
      <c r="A636">
        <v>639</v>
      </c>
      <c r="B636" s="36" t="s">
        <v>4162</v>
      </c>
      <c r="C636" s="36" t="s">
        <v>4154</v>
      </c>
      <c r="D636" s="36" t="s">
        <v>2999</v>
      </c>
      <c r="E636" s="36" t="s">
        <v>4151</v>
      </c>
      <c r="F636" s="37" t="s">
        <v>4155</v>
      </c>
      <c r="G636" s="36" t="s">
        <v>4149</v>
      </c>
      <c r="H636" s="36" t="s">
        <v>4156</v>
      </c>
      <c r="I636" s="36" t="s">
        <v>824</v>
      </c>
    </row>
    <row r="637" spans="1:9" x14ac:dyDescent="0.3">
      <c r="A637">
        <v>640</v>
      </c>
      <c r="B637" s="36" t="s">
        <v>4162</v>
      </c>
      <c r="C637" s="36" t="s">
        <v>4154</v>
      </c>
      <c r="D637" s="36" t="s">
        <v>2996</v>
      </c>
      <c r="E637" s="36" t="s">
        <v>4151</v>
      </c>
      <c r="F637" s="37" t="s">
        <v>4152</v>
      </c>
      <c r="G637" s="36" t="s">
        <v>4153</v>
      </c>
      <c r="H637" s="36" t="s">
        <v>4156</v>
      </c>
      <c r="I637" s="36" t="s">
        <v>824</v>
      </c>
    </row>
    <row r="638" spans="1:9" x14ac:dyDescent="0.3">
      <c r="A638">
        <v>641</v>
      </c>
      <c r="B638" s="36" t="s">
        <v>4162</v>
      </c>
      <c r="C638" s="36" t="s">
        <v>4154</v>
      </c>
      <c r="D638" s="36" t="s">
        <v>2996</v>
      </c>
      <c r="E638" s="36" t="s">
        <v>4151</v>
      </c>
      <c r="F638" s="37" t="s">
        <v>4152</v>
      </c>
      <c r="G638" s="36" t="s">
        <v>4153</v>
      </c>
      <c r="H638" s="36" t="s">
        <v>4156</v>
      </c>
      <c r="I638" s="36" t="s">
        <v>824</v>
      </c>
    </row>
    <row r="639" spans="1:9" x14ac:dyDescent="0.3">
      <c r="A639">
        <v>642</v>
      </c>
      <c r="B639" s="36" t="s">
        <v>4162</v>
      </c>
      <c r="C639" s="36" t="s">
        <v>4146</v>
      </c>
      <c r="D639" s="36" t="s">
        <v>2996</v>
      </c>
      <c r="E639" s="36" t="s">
        <v>4151</v>
      </c>
      <c r="F639" s="37" t="s">
        <v>4152</v>
      </c>
      <c r="G639" s="36" t="s">
        <v>4153</v>
      </c>
      <c r="H639" s="36" t="s">
        <v>4156</v>
      </c>
      <c r="I639" s="36" t="s">
        <v>824</v>
      </c>
    </row>
    <row r="640" spans="1:9" x14ac:dyDescent="0.3">
      <c r="A640">
        <v>643</v>
      </c>
      <c r="B640" s="36" t="s">
        <v>4162</v>
      </c>
      <c r="C640" s="36" t="s">
        <v>4154</v>
      </c>
      <c r="D640" s="36" t="s">
        <v>2996</v>
      </c>
      <c r="E640" s="36" t="s">
        <v>4151</v>
      </c>
      <c r="F640" s="37" t="s">
        <v>4152</v>
      </c>
      <c r="G640" s="36" t="s">
        <v>4153</v>
      </c>
      <c r="H640" s="36" t="s">
        <v>4156</v>
      </c>
      <c r="I640" s="36" t="s">
        <v>824</v>
      </c>
    </row>
    <row r="641" spans="1:9" x14ac:dyDescent="0.3">
      <c r="A641">
        <v>644</v>
      </c>
      <c r="B641" s="36" t="s">
        <v>4162</v>
      </c>
      <c r="C641" s="36" t="s">
        <v>4146</v>
      </c>
      <c r="D641" s="36" t="s">
        <v>2994</v>
      </c>
      <c r="E641" s="36" t="s">
        <v>4147</v>
      </c>
      <c r="F641" s="37" t="s">
        <v>4152</v>
      </c>
      <c r="G641" s="36" t="s">
        <v>4153</v>
      </c>
      <c r="H641" s="36" t="s">
        <v>4156</v>
      </c>
      <c r="I641" s="36" t="s">
        <v>824</v>
      </c>
    </row>
    <row r="642" spans="1:9" x14ac:dyDescent="0.3">
      <c r="A642">
        <v>645</v>
      </c>
      <c r="B642" s="36" t="s">
        <v>4162</v>
      </c>
      <c r="C642" s="36" t="s">
        <v>4154</v>
      </c>
      <c r="D642" s="36" t="s">
        <v>2999</v>
      </c>
      <c r="E642" s="36" t="s">
        <v>4151</v>
      </c>
      <c r="F642" s="37" t="s">
        <v>4155</v>
      </c>
      <c r="G642" s="36" t="s">
        <v>4153</v>
      </c>
      <c r="H642" s="36" t="s">
        <v>4156</v>
      </c>
      <c r="I642" s="36" t="s">
        <v>824</v>
      </c>
    </row>
    <row r="643" spans="1:9" x14ac:dyDescent="0.3">
      <c r="A643">
        <v>646</v>
      </c>
      <c r="B643" s="36" t="s">
        <v>4162</v>
      </c>
      <c r="C643" s="36" t="s">
        <v>4146</v>
      </c>
      <c r="D643" s="36" t="s">
        <v>2999</v>
      </c>
      <c r="E643" s="36" t="s">
        <v>4151</v>
      </c>
      <c r="F643" s="37" t="s">
        <v>4148</v>
      </c>
      <c r="G643" s="36" t="s">
        <v>4149</v>
      </c>
      <c r="H643" s="36" t="s">
        <v>4156</v>
      </c>
      <c r="I643" s="36" t="s">
        <v>824</v>
      </c>
    </row>
    <row r="644" spans="1:9" x14ac:dyDescent="0.3">
      <c r="A644">
        <v>647</v>
      </c>
      <c r="B644" s="36" t="s">
        <v>4162</v>
      </c>
      <c r="C644" s="36" t="s">
        <v>4146</v>
      </c>
      <c r="D644" s="36" t="s">
        <v>3001</v>
      </c>
      <c r="E644" s="36" t="s">
        <v>4147</v>
      </c>
      <c r="F644" s="37" t="s">
        <v>4155</v>
      </c>
      <c r="G644" s="36" t="s">
        <v>4153</v>
      </c>
      <c r="H644" s="36" t="s">
        <v>4156</v>
      </c>
      <c r="I644" s="36" t="s">
        <v>824</v>
      </c>
    </row>
    <row r="645" spans="1:9" x14ac:dyDescent="0.3">
      <c r="A645">
        <v>648</v>
      </c>
      <c r="B645" s="36" t="s">
        <v>4162</v>
      </c>
      <c r="C645" s="36" t="s">
        <v>4146</v>
      </c>
      <c r="D645" s="36" t="s">
        <v>3001</v>
      </c>
      <c r="E645" s="36" t="s">
        <v>4147</v>
      </c>
      <c r="F645" s="37" t="s">
        <v>4155</v>
      </c>
      <c r="G645" s="36" t="s">
        <v>4149</v>
      </c>
      <c r="H645" s="36" t="s">
        <v>4156</v>
      </c>
      <c r="I645" s="36" t="s">
        <v>4199</v>
      </c>
    </row>
    <row r="646" spans="1:9" x14ac:dyDescent="0.3">
      <c r="A646">
        <v>649</v>
      </c>
      <c r="B646" s="36" t="s">
        <v>4162</v>
      </c>
      <c r="C646" s="36" t="s">
        <v>4154</v>
      </c>
      <c r="D646" s="36" t="s">
        <v>2999</v>
      </c>
      <c r="E646" s="36" t="s">
        <v>4151</v>
      </c>
      <c r="F646" s="37" t="s">
        <v>4148</v>
      </c>
      <c r="G646" s="36" t="s">
        <v>4149</v>
      </c>
      <c r="H646" s="36" t="s">
        <v>4156</v>
      </c>
      <c r="I646" s="36" t="s">
        <v>4199</v>
      </c>
    </row>
    <row r="647" spans="1:9" x14ac:dyDescent="0.3">
      <c r="A647">
        <v>650</v>
      </c>
      <c r="B647" s="36" t="s">
        <v>4162</v>
      </c>
      <c r="C647" s="36" t="s">
        <v>4154</v>
      </c>
      <c r="D647" s="36" t="s">
        <v>2999</v>
      </c>
      <c r="E647" s="36" t="s">
        <v>4151</v>
      </c>
      <c r="F647" s="37" t="s">
        <v>4148</v>
      </c>
      <c r="G647" s="36" t="s">
        <v>4149</v>
      </c>
      <c r="H647" s="36" t="s">
        <v>4156</v>
      </c>
      <c r="I647" s="36" t="s">
        <v>824</v>
      </c>
    </row>
    <row r="648" spans="1:9" x14ac:dyDescent="0.3">
      <c r="A648">
        <v>651</v>
      </c>
      <c r="B648" s="36" t="s">
        <v>4162</v>
      </c>
      <c r="C648" s="36" t="s">
        <v>4154</v>
      </c>
      <c r="D648" s="36" t="s">
        <v>2994</v>
      </c>
      <c r="E648" s="36" t="s">
        <v>4147</v>
      </c>
      <c r="F648" s="37" t="s">
        <v>4159</v>
      </c>
      <c r="G648" s="36" t="s">
        <v>4149</v>
      </c>
      <c r="H648" s="36" t="s">
        <v>4156</v>
      </c>
      <c r="I648" s="36" t="s">
        <v>4199</v>
      </c>
    </row>
    <row r="649" spans="1:9" x14ac:dyDescent="0.3">
      <c r="A649">
        <v>652</v>
      </c>
      <c r="B649" s="36" t="s">
        <v>4162</v>
      </c>
      <c r="C649" s="36" t="s">
        <v>4154</v>
      </c>
      <c r="D649" s="36" t="s">
        <v>2999</v>
      </c>
      <c r="E649" s="36" t="s">
        <v>4151</v>
      </c>
      <c r="F649" s="37" t="s">
        <v>4148</v>
      </c>
      <c r="G649" s="36" t="s">
        <v>4149</v>
      </c>
      <c r="H649" s="36" t="s">
        <v>4156</v>
      </c>
      <c r="I649" s="36" t="s">
        <v>4199</v>
      </c>
    </row>
    <row r="650" spans="1:9" x14ac:dyDescent="0.3">
      <c r="A650">
        <v>653</v>
      </c>
      <c r="B650" s="36" t="s">
        <v>4162</v>
      </c>
      <c r="C650" s="36" t="s">
        <v>4154</v>
      </c>
      <c r="D650" s="36" t="s">
        <v>2999</v>
      </c>
      <c r="E650" s="36" t="s">
        <v>4151</v>
      </c>
      <c r="F650" s="37" t="s">
        <v>4148</v>
      </c>
      <c r="G650" s="36" t="s">
        <v>4149</v>
      </c>
      <c r="H650" s="36" t="s">
        <v>4156</v>
      </c>
      <c r="I650" s="36" t="s">
        <v>824</v>
      </c>
    </row>
    <row r="651" spans="1:9" x14ac:dyDescent="0.3">
      <c r="A651">
        <v>654</v>
      </c>
      <c r="B651" s="36" t="s">
        <v>4162</v>
      </c>
      <c r="C651" s="36" t="s">
        <v>4146</v>
      </c>
      <c r="D651" s="36" t="s">
        <v>2994</v>
      </c>
      <c r="E651" s="36" t="s">
        <v>4147</v>
      </c>
      <c r="F651" s="37" t="s">
        <v>4152</v>
      </c>
      <c r="G651" s="36" t="s">
        <v>4149</v>
      </c>
      <c r="H651" s="36" t="s">
        <v>4156</v>
      </c>
      <c r="I651" s="36" t="s">
        <v>4199</v>
      </c>
    </row>
    <row r="652" spans="1:9" x14ac:dyDescent="0.3">
      <c r="A652">
        <v>655</v>
      </c>
      <c r="B652" s="36" t="s">
        <v>4162</v>
      </c>
      <c r="C652" s="36" t="s">
        <v>4154</v>
      </c>
      <c r="D652" s="36" t="s">
        <v>2999</v>
      </c>
      <c r="E652" s="36" t="s">
        <v>4151</v>
      </c>
      <c r="F652" s="37" t="s">
        <v>4148</v>
      </c>
      <c r="G652" s="36" t="s">
        <v>4149</v>
      </c>
      <c r="H652" s="36" t="s">
        <v>4156</v>
      </c>
      <c r="I652" s="36" t="s">
        <v>4199</v>
      </c>
    </row>
    <row r="653" spans="1:9" x14ac:dyDescent="0.3">
      <c r="A653">
        <v>656</v>
      </c>
      <c r="B653" s="36" t="s">
        <v>4162</v>
      </c>
      <c r="C653" s="36" t="s">
        <v>4154</v>
      </c>
      <c r="D653" s="36" t="s">
        <v>2999</v>
      </c>
      <c r="E653" s="36" t="s">
        <v>4151</v>
      </c>
      <c r="F653" s="37" t="s">
        <v>4155</v>
      </c>
      <c r="G653" s="36" t="s">
        <v>4153</v>
      </c>
      <c r="H653" s="36" t="s">
        <v>4156</v>
      </c>
      <c r="I653" s="36" t="s">
        <v>824</v>
      </c>
    </row>
    <row r="654" spans="1:9" x14ac:dyDescent="0.3">
      <c r="A654">
        <v>657</v>
      </c>
      <c r="B654" s="36" t="s">
        <v>4162</v>
      </c>
      <c r="C654" s="36" t="s">
        <v>4146</v>
      </c>
      <c r="D654" s="36" t="s">
        <v>3001</v>
      </c>
      <c r="E654" s="36" t="s">
        <v>4147</v>
      </c>
      <c r="F654" s="37" t="s">
        <v>4155</v>
      </c>
      <c r="G654" s="36" t="s">
        <v>4153</v>
      </c>
      <c r="H654" s="36" t="s">
        <v>4156</v>
      </c>
      <c r="I654" s="36" t="s">
        <v>824</v>
      </c>
    </row>
    <row r="655" spans="1:9" x14ac:dyDescent="0.3">
      <c r="A655">
        <v>658</v>
      </c>
      <c r="B655" s="36" t="s">
        <v>4162</v>
      </c>
      <c r="C655" s="36" t="s">
        <v>4146</v>
      </c>
      <c r="D655" s="36" t="s">
        <v>2994</v>
      </c>
      <c r="E655" s="36" t="s">
        <v>4147</v>
      </c>
      <c r="F655" s="37" t="s">
        <v>4152</v>
      </c>
      <c r="G655" s="36" t="s">
        <v>4153</v>
      </c>
      <c r="H655" s="36" t="s">
        <v>4156</v>
      </c>
      <c r="I655" s="36" t="s">
        <v>4199</v>
      </c>
    </row>
    <row r="656" spans="1:9" x14ac:dyDescent="0.3">
      <c r="A656">
        <v>659</v>
      </c>
      <c r="B656" s="36" t="s">
        <v>4162</v>
      </c>
      <c r="C656" s="36" t="s">
        <v>4146</v>
      </c>
      <c r="D656" s="36" t="s">
        <v>2994</v>
      </c>
      <c r="E656" s="36" t="s">
        <v>4147</v>
      </c>
      <c r="F656" s="37" t="s">
        <v>4152</v>
      </c>
      <c r="G656" s="36" t="s">
        <v>4153</v>
      </c>
      <c r="H656" s="36" t="s">
        <v>4156</v>
      </c>
      <c r="I656" s="36" t="s">
        <v>4199</v>
      </c>
    </row>
    <row r="657" spans="1:9" x14ac:dyDescent="0.3">
      <c r="A657">
        <v>660</v>
      </c>
      <c r="B657" s="36" t="s">
        <v>4162</v>
      </c>
      <c r="C657" s="36" t="s">
        <v>4146</v>
      </c>
      <c r="D657" s="36" t="s">
        <v>2994</v>
      </c>
      <c r="E657" s="36" t="s">
        <v>4147</v>
      </c>
      <c r="F657" s="37" t="s">
        <v>4152</v>
      </c>
      <c r="G657" s="36" t="s">
        <v>4153</v>
      </c>
      <c r="H657" s="36" t="s">
        <v>4156</v>
      </c>
      <c r="I657" s="36" t="s">
        <v>4199</v>
      </c>
    </row>
    <row r="658" spans="1:9" x14ac:dyDescent="0.3">
      <c r="A658">
        <v>661</v>
      </c>
      <c r="B658" s="36" t="s">
        <v>4162</v>
      </c>
      <c r="C658" s="36" t="s">
        <v>4146</v>
      </c>
      <c r="D658" s="36" t="s">
        <v>3001</v>
      </c>
      <c r="E658" s="36" t="s">
        <v>4147</v>
      </c>
      <c r="F658" s="37" t="s">
        <v>4148</v>
      </c>
      <c r="G658" s="36" t="s">
        <v>4153</v>
      </c>
      <c r="H658" s="36" t="s">
        <v>4156</v>
      </c>
      <c r="I658" s="36" t="s">
        <v>4199</v>
      </c>
    </row>
    <row r="659" spans="1:9" x14ac:dyDescent="0.3">
      <c r="A659">
        <v>662</v>
      </c>
      <c r="B659" s="36" t="s">
        <v>4162</v>
      </c>
      <c r="C659" s="36" t="s">
        <v>4146</v>
      </c>
      <c r="D659" s="36" t="s">
        <v>2994</v>
      </c>
      <c r="E659" s="36" t="s">
        <v>4147</v>
      </c>
      <c r="F659" s="37" t="s">
        <v>4159</v>
      </c>
      <c r="G659" s="36" t="s">
        <v>4149</v>
      </c>
      <c r="H659" s="36" t="s">
        <v>4156</v>
      </c>
      <c r="I659" s="36" t="s">
        <v>824</v>
      </c>
    </row>
    <row r="660" spans="1:9" x14ac:dyDescent="0.3">
      <c r="A660">
        <v>663</v>
      </c>
      <c r="B660" s="36" t="s">
        <v>4162</v>
      </c>
      <c r="C660" s="36" t="s">
        <v>4154</v>
      </c>
      <c r="D660" s="36" t="s">
        <v>2999</v>
      </c>
      <c r="E660" s="36" t="s">
        <v>4151</v>
      </c>
      <c r="F660" s="37" t="s">
        <v>4155</v>
      </c>
      <c r="G660" s="36" t="s">
        <v>4149</v>
      </c>
      <c r="H660" s="36" t="s">
        <v>4156</v>
      </c>
      <c r="I660" s="36" t="s">
        <v>4199</v>
      </c>
    </row>
    <row r="661" spans="1:9" x14ac:dyDescent="0.3">
      <c r="A661">
        <v>664</v>
      </c>
      <c r="B661" s="36" t="s">
        <v>4162</v>
      </c>
      <c r="C661" s="36" t="s">
        <v>4154</v>
      </c>
      <c r="D661" s="36" t="s">
        <v>2999</v>
      </c>
      <c r="E661" s="36" t="s">
        <v>4151</v>
      </c>
      <c r="F661" s="37" t="s">
        <v>4148</v>
      </c>
      <c r="G661" s="36" t="s">
        <v>4149</v>
      </c>
      <c r="H661" s="36" t="s">
        <v>4156</v>
      </c>
      <c r="I661" s="36" t="s">
        <v>824</v>
      </c>
    </row>
    <row r="662" spans="1:9" x14ac:dyDescent="0.3">
      <c r="A662">
        <v>665</v>
      </c>
      <c r="B662" s="36" t="s">
        <v>4162</v>
      </c>
      <c r="C662" s="36" t="s">
        <v>4146</v>
      </c>
      <c r="D662" s="36" t="s">
        <v>2999</v>
      </c>
      <c r="E662" s="36" t="s">
        <v>4151</v>
      </c>
      <c r="F662" s="37" t="s">
        <v>4148</v>
      </c>
      <c r="G662" s="36" t="s">
        <v>4149</v>
      </c>
      <c r="H662" s="36" t="s">
        <v>4156</v>
      </c>
      <c r="I662" s="36" t="s">
        <v>4199</v>
      </c>
    </row>
    <row r="663" spans="1:9" x14ac:dyDescent="0.3">
      <c r="A663">
        <v>666</v>
      </c>
      <c r="B663" s="36" t="s">
        <v>4162</v>
      </c>
      <c r="C663" s="36" t="s">
        <v>4154</v>
      </c>
      <c r="D663" s="36" t="s">
        <v>2994</v>
      </c>
      <c r="E663" s="36" t="s">
        <v>4147</v>
      </c>
      <c r="F663" s="37" t="s">
        <v>4159</v>
      </c>
      <c r="G663" s="36" t="s">
        <v>4153</v>
      </c>
      <c r="H663" s="36" t="s">
        <v>4156</v>
      </c>
      <c r="I663" s="36" t="s">
        <v>4199</v>
      </c>
    </row>
    <row r="664" spans="1:9" x14ac:dyDescent="0.3">
      <c r="A664">
        <v>667</v>
      </c>
      <c r="B664" s="36" t="s">
        <v>4162</v>
      </c>
      <c r="C664" s="36" t="s">
        <v>4154</v>
      </c>
      <c r="D664" s="36" t="s">
        <v>3001</v>
      </c>
      <c r="E664" s="36" t="s">
        <v>4147</v>
      </c>
      <c r="F664" s="37" t="s">
        <v>4155</v>
      </c>
      <c r="G664" s="36" t="s">
        <v>4153</v>
      </c>
      <c r="H664" s="36" t="s">
        <v>4156</v>
      </c>
      <c r="I664" s="36" t="s">
        <v>4199</v>
      </c>
    </row>
    <row r="665" spans="1:9" x14ac:dyDescent="0.3">
      <c r="A665">
        <v>668</v>
      </c>
      <c r="B665" s="36" t="s">
        <v>4162</v>
      </c>
      <c r="C665" s="36" t="s">
        <v>4154</v>
      </c>
      <c r="D665" s="36" t="s">
        <v>2994</v>
      </c>
      <c r="E665" s="36" t="s">
        <v>4147</v>
      </c>
      <c r="F665" s="37" t="s">
        <v>4148</v>
      </c>
      <c r="G665" s="36" t="s">
        <v>4149</v>
      </c>
      <c r="H665" s="36" t="s">
        <v>4156</v>
      </c>
      <c r="I665" s="36" t="s">
        <v>4160</v>
      </c>
    </row>
    <row r="666" spans="1:9" x14ac:dyDescent="0.3">
      <c r="A666">
        <v>669</v>
      </c>
      <c r="B666" s="36" t="s">
        <v>4162</v>
      </c>
      <c r="C666" s="36" t="s">
        <v>4154</v>
      </c>
      <c r="D666" s="36" t="s">
        <v>2999</v>
      </c>
      <c r="E666" s="36" t="s">
        <v>4151</v>
      </c>
      <c r="F666" s="37" t="s">
        <v>4148</v>
      </c>
      <c r="G666" s="36" t="s">
        <v>4149</v>
      </c>
      <c r="H666" s="36" t="s">
        <v>4156</v>
      </c>
      <c r="I666" s="36" t="s">
        <v>824</v>
      </c>
    </row>
    <row r="667" spans="1:9" x14ac:dyDescent="0.3">
      <c r="A667">
        <v>670</v>
      </c>
      <c r="B667" s="36" t="s">
        <v>4162</v>
      </c>
      <c r="C667" s="36" t="s">
        <v>4154</v>
      </c>
      <c r="D667" s="36" t="s">
        <v>2999</v>
      </c>
      <c r="E667" s="36" t="s">
        <v>4151</v>
      </c>
      <c r="F667" s="37" t="s">
        <v>4148</v>
      </c>
      <c r="G667" s="36" t="s">
        <v>4149</v>
      </c>
      <c r="H667" s="36" t="s">
        <v>4156</v>
      </c>
      <c r="I667" s="36" t="s">
        <v>824</v>
      </c>
    </row>
    <row r="668" spans="1:9" x14ac:dyDescent="0.3">
      <c r="A668">
        <v>671</v>
      </c>
      <c r="B668" s="36" t="s">
        <v>4162</v>
      </c>
      <c r="C668" s="36" t="s">
        <v>4154</v>
      </c>
      <c r="D668" s="36" t="s">
        <v>2999</v>
      </c>
      <c r="E668" s="36" t="s">
        <v>4151</v>
      </c>
      <c r="F668" s="37" t="s">
        <v>4148</v>
      </c>
      <c r="G668" s="36" t="s">
        <v>4149</v>
      </c>
      <c r="H668" s="36" t="s">
        <v>4156</v>
      </c>
      <c r="I668" s="36" t="s">
        <v>824</v>
      </c>
    </row>
    <row r="669" spans="1:9" x14ac:dyDescent="0.3">
      <c r="A669">
        <v>672</v>
      </c>
      <c r="B669" s="36" t="s">
        <v>4162</v>
      </c>
      <c r="C669" s="36" t="s">
        <v>4154</v>
      </c>
      <c r="D669" s="36" t="s">
        <v>2999</v>
      </c>
      <c r="E669" s="36" t="s">
        <v>4151</v>
      </c>
      <c r="F669" s="37" t="s">
        <v>4148</v>
      </c>
      <c r="G669" s="36" t="s">
        <v>4149</v>
      </c>
      <c r="H669" s="36" t="s">
        <v>4156</v>
      </c>
      <c r="I669" s="36" t="s">
        <v>824</v>
      </c>
    </row>
    <row r="670" spans="1:9" x14ac:dyDescent="0.3">
      <c r="A670">
        <v>673</v>
      </c>
      <c r="B670" s="36" t="s">
        <v>4162</v>
      </c>
      <c r="C670" s="36" t="s">
        <v>4154</v>
      </c>
      <c r="D670" s="36" t="s">
        <v>2996</v>
      </c>
      <c r="E670" s="36" t="s">
        <v>4151</v>
      </c>
      <c r="F670" s="37" t="s">
        <v>4148</v>
      </c>
      <c r="G670" s="36" t="s">
        <v>4149</v>
      </c>
      <c r="H670" s="36" t="s">
        <v>4156</v>
      </c>
      <c r="I670" s="36" t="s">
        <v>4199</v>
      </c>
    </row>
    <row r="671" spans="1:9" x14ac:dyDescent="0.3">
      <c r="A671">
        <v>674</v>
      </c>
      <c r="B671" s="36" t="s">
        <v>4162</v>
      </c>
      <c r="C671" s="36" t="s">
        <v>4154</v>
      </c>
      <c r="D671" s="36" t="s">
        <v>2999</v>
      </c>
      <c r="E671" s="36" t="s">
        <v>4151</v>
      </c>
      <c r="F671" s="37" t="s">
        <v>4148</v>
      </c>
      <c r="G671" s="36" t="s">
        <v>4149</v>
      </c>
      <c r="H671" s="36" t="s">
        <v>4156</v>
      </c>
      <c r="I671" s="36" t="s">
        <v>4199</v>
      </c>
    </row>
    <row r="672" spans="1:9" x14ac:dyDescent="0.3">
      <c r="A672">
        <v>675</v>
      </c>
      <c r="B672" s="36" t="s">
        <v>4162</v>
      </c>
      <c r="C672" s="36" t="s">
        <v>4146</v>
      </c>
      <c r="D672" s="36" t="s">
        <v>2999</v>
      </c>
      <c r="E672" s="36" t="s">
        <v>4151</v>
      </c>
      <c r="F672" s="37" t="s">
        <v>4155</v>
      </c>
      <c r="G672" s="36" t="s">
        <v>4149</v>
      </c>
      <c r="H672" s="36" t="s">
        <v>4158</v>
      </c>
      <c r="I672" s="36" t="s">
        <v>824</v>
      </c>
    </row>
    <row r="673" spans="1:9" x14ac:dyDescent="0.3">
      <c r="A673">
        <v>676</v>
      </c>
      <c r="B673" s="36" t="s">
        <v>4162</v>
      </c>
      <c r="C673" s="36" t="s">
        <v>4154</v>
      </c>
      <c r="D673" s="36" t="s">
        <v>2999</v>
      </c>
      <c r="E673" s="36" t="s">
        <v>4151</v>
      </c>
      <c r="F673" s="37" t="s">
        <v>4148</v>
      </c>
      <c r="G673" s="36" t="s">
        <v>4149</v>
      </c>
      <c r="H673" s="36" t="s">
        <v>4156</v>
      </c>
      <c r="I673" s="36" t="s">
        <v>824</v>
      </c>
    </row>
    <row r="674" spans="1:9" x14ac:dyDescent="0.3">
      <c r="A674">
        <v>677</v>
      </c>
      <c r="B674" s="36" t="s">
        <v>4162</v>
      </c>
      <c r="C674" s="36" t="s">
        <v>4154</v>
      </c>
      <c r="D674" s="36" t="s">
        <v>2999</v>
      </c>
      <c r="E674" s="36" t="s">
        <v>4151</v>
      </c>
      <c r="F674" s="37" t="s">
        <v>4159</v>
      </c>
      <c r="G674" s="36" t="s">
        <v>4149</v>
      </c>
      <c r="H674" s="36" t="s">
        <v>4156</v>
      </c>
      <c r="I674" s="36" t="s">
        <v>824</v>
      </c>
    </row>
    <row r="675" spans="1:9" x14ac:dyDescent="0.3">
      <c r="A675">
        <v>678</v>
      </c>
      <c r="B675" s="36" t="s">
        <v>4162</v>
      </c>
      <c r="C675" s="36" t="s">
        <v>4154</v>
      </c>
      <c r="D675" s="36" t="s">
        <v>2999</v>
      </c>
      <c r="E675" s="36" t="s">
        <v>4151</v>
      </c>
      <c r="F675" s="37" t="s">
        <v>4148</v>
      </c>
      <c r="G675" s="36" t="s">
        <v>4149</v>
      </c>
      <c r="H675" s="36" t="s">
        <v>4156</v>
      </c>
      <c r="I675" s="36" t="s">
        <v>824</v>
      </c>
    </row>
    <row r="676" spans="1:9" x14ac:dyDescent="0.3">
      <c r="A676">
        <v>679</v>
      </c>
      <c r="B676" s="36" t="s">
        <v>4162</v>
      </c>
      <c r="C676" s="36" t="s">
        <v>4154</v>
      </c>
      <c r="D676" s="36" t="s">
        <v>2996</v>
      </c>
      <c r="E676" s="36" t="s">
        <v>4151</v>
      </c>
      <c r="F676" s="37" t="s">
        <v>4152</v>
      </c>
      <c r="G676" s="36" t="s">
        <v>4153</v>
      </c>
      <c r="H676" s="36" t="s">
        <v>4156</v>
      </c>
      <c r="I676" s="36" t="s">
        <v>4199</v>
      </c>
    </row>
    <row r="677" spans="1:9" x14ac:dyDescent="0.3">
      <c r="A677">
        <v>680</v>
      </c>
      <c r="B677" s="36" t="s">
        <v>4162</v>
      </c>
      <c r="C677" s="36" t="s">
        <v>4154</v>
      </c>
      <c r="D677" s="36" t="s">
        <v>2994</v>
      </c>
      <c r="E677" s="36" t="s">
        <v>4147</v>
      </c>
      <c r="F677" s="37" t="s">
        <v>4152</v>
      </c>
      <c r="G677" s="36" t="s">
        <v>4153</v>
      </c>
      <c r="H677" s="36" t="s">
        <v>4156</v>
      </c>
      <c r="I677" s="36" t="s">
        <v>4199</v>
      </c>
    </row>
    <row r="678" spans="1:9" x14ac:dyDescent="0.3">
      <c r="A678">
        <v>681</v>
      </c>
      <c r="B678" s="36" t="s">
        <v>4162</v>
      </c>
      <c r="C678" s="36" t="s">
        <v>4154</v>
      </c>
      <c r="D678" s="36" t="s">
        <v>2999</v>
      </c>
      <c r="E678" s="36" t="s">
        <v>4151</v>
      </c>
      <c r="F678" s="37" t="s">
        <v>4148</v>
      </c>
      <c r="G678" s="36" t="s">
        <v>4149</v>
      </c>
      <c r="H678" s="36" t="s">
        <v>4156</v>
      </c>
      <c r="I678" s="36" t="s">
        <v>4199</v>
      </c>
    </row>
    <row r="679" spans="1:9" x14ac:dyDescent="0.3">
      <c r="A679">
        <v>682</v>
      </c>
      <c r="B679" s="36" t="s">
        <v>4162</v>
      </c>
      <c r="C679" s="36" t="s">
        <v>4154</v>
      </c>
      <c r="D679" s="36" t="s">
        <v>3001</v>
      </c>
      <c r="E679" s="36" t="s">
        <v>4147</v>
      </c>
      <c r="F679" s="37" t="s">
        <v>4148</v>
      </c>
      <c r="G679" s="36" t="s">
        <v>4153</v>
      </c>
      <c r="H679" s="36" t="s">
        <v>4156</v>
      </c>
      <c r="I679" s="36" t="s">
        <v>4199</v>
      </c>
    </row>
    <row r="680" spans="1:9" x14ac:dyDescent="0.3">
      <c r="A680">
        <v>683</v>
      </c>
      <c r="B680" s="36" t="s">
        <v>4162</v>
      </c>
      <c r="C680" s="36" t="s">
        <v>4154</v>
      </c>
      <c r="D680" s="36" t="s">
        <v>2994</v>
      </c>
      <c r="E680" s="36" t="s">
        <v>4147</v>
      </c>
      <c r="F680" s="37" t="s">
        <v>4148</v>
      </c>
      <c r="G680" s="36" t="s">
        <v>4153</v>
      </c>
      <c r="H680" s="36" t="s">
        <v>4156</v>
      </c>
      <c r="I680" s="36" t="s">
        <v>4160</v>
      </c>
    </row>
    <row r="681" spans="1:9" x14ac:dyDescent="0.3">
      <c r="A681">
        <v>684</v>
      </c>
      <c r="B681" s="36" t="s">
        <v>4162</v>
      </c>
      <c r="C681" s="36" t="s">
        <v>4154</v>
      </c>
      <c r="D681" s="36" t="s">
        <v>2999</v>
      </c>
      <c r="E681" s="36" t="s">
        <v>4151</v>
      </c>
      <c r="F681" s="37" t="s">
        <v>4155</v>
      </c>
      <c r="G681" s="36" t="s">
        <v>4153</v>
      </c>
      <c r="H681" s="36" t="s">
        <v>4156</v>
      </c>
      <c r="I681" s="36" t="s">
        <v>4160</v>
      </c>
    </row>
    <row r="682" spans="1:9" x14ac:dyDescent="0.3">
      <c r="A682">
        <v>685</v>
      </c>
      <c r="B682" s="36" t="s">
        <v>4162</v>
      </c>
      <c r="C682" s="36" t="s">
        <v>4154</v>
      </c>
      <c r="D682" s="36" t="s">
        <v>3001</v>
      </c>
      <c r="E682" s="36" t="s">
        <v>4147</v>
      </c>
      <c r="F682" s="37" t="s">
        <v>4155</v>
      </c>
      <c r="G682" s="36" t="s">
        <v>4153</v>
      </c>
      <c r="H682" s="36" t="s">
        <v>4156</v>
      </c>
      <c r="I682" s="36" t="s">
        <v>4160</v>
      </c>
    </row>
    <row r="683" spans="1:9" x14ac:dyDescent="0.3">
      <c r="A683">
        <v>686</v>
      </c>
      <c r="B683" s="36" t="s">
        <v>4162</v>
      </c>
      <c r="C683" s="36" t="s">
        <v>4154</v>
      </c>
      <c r="D683" s="36" t="s">
        <v>2999</v>
      </c>
      <c r="E683" s="36" t="s">
        <v>4151</v>
      </c>
      <c r="F683" s="37" t="s">
        <v>4148</v>
      </c>
      <c r="G683" s="36" t="s">
        <v>4149</v>
      </c>
      <c r="H683" s="36" t="s">
        <v>4156</v>
      </c>
      <c r="I683" s="36" t="s">
        <v>824</v>
      </c>
    </row>
    <row r="684" spans="1:9" x14ac:dyDescent="0.3">
      <c r="A684">
        <v>687</v>
      </c>
      <c r="B684" s="36" t="s">
        <v>4162</v>
      </c>
      <c r="C684" s="36" t="s">
        <v>4146</v>
      </c>
      <c r="D684" s="36" t="s">
        <v>2994</v>
      </c>
      <c r="E684" s="36" t="s">
        <v>4147</v>
      </c>
      <c r="F684" s="37" t="s">
        <v>4148</v>
      </c>
      <c r="G684" s="36" t="s">
        <v>4149</v>
      </c>
      <c r="H684" s="36" t="s">
        <v>4156</v>
      </c>
      <c r="I684" s="36" t="s">
        <v>4160</v>
      </c>
    </row>
    <row r="685" spans="1:9" x14ac:dyDescent="0.3">
      <c r="A685">
        <v>688</v>
      </c>
      <c r="B685" s="36" t="s">
        <v>4162</v>
      </c>
      <c r="C685" s="36" t="s">
        <v>4154</v>
      </c>
      <c r="D685" s="36" t="s">
        <v>2994</v>
      </c>
      <c r="E685" s="36" t="s">
        <v>4147</v>
      </c>
      <c r="F685" s="37" t="s">
        <v>4148</v>
      </c>
      <c r="G685" s="36" t="s">
        <v>4149</v>
      </c>
      <c r="H685" s="36" t="s">
        <v>4156</v>
      </c>
      <c r="I685" s="36" t="s">
        <v>824</v>
      </c>
    </row>
    <row r="686" spans="1:9" x14ac:dyDescent="0.3">
      <c r="A686">
        <v>689</v>
      </c>
      <c r="B686" s="36" t="s">
        <v>4162</v>
      </c>
      <c r="C686" s="36" t="s">
        <v>4154</v>
      </c>
      <c r="D686" s="36" t="s">
        <v>2999</v>
      </c>
      <c r="E686" s="36" t="s">
        <v>4151</v>
      </c>
      <c r="F686" s="37" t="s">
        <v>4148</v>
      </c>
      <c r="G686" s="36" t="s">
        <v>4153</v>
      </c>
      <c r="H686" s="36" t="s">
        <v>4156</v>
      </c>
      <c r="I686" s="36" t="s">
        <v>824</v>
      </c>
    </row>
    <row r="687" spans="1:9" x14ac:dyDescent="0.3">
      <c r="A687">
        <v>690</v>
      </c>
      <c r="B687" s="36" t="s">
        <v>4162</v>
      </c>
      <c r="C687" s="36" t="s">
        <v>4154</v>
      </c>
      <c r="D687" s="36" t="s">
        <v>2999</v>
      </c>
      <c r="E687" s="36" t="s">
        <v>4151</v>
      </c>
      <c r="F687" s="37" t="s">
        <v>4148</v>
      </c>
      <c r="G687" s="36" t="s">
        <v>4153</v>
      </c>
      <c r="H687" s="36" t="s">
        <v>4156</v>
      </c>
      <c r="I687" s="36" t="s">
        <v>824</v>
      </c>
    </row>
    <row r="688" spans="1:9" x14ac:dyDescent="0.3">
      <c r="A688">
        <v>691</v>
      </c>
      <c r="B688" s="36" t="s">
        <v>4162</v>
      </c>
      <c r="C688" s="36" t="s">
        <v>4154</v>
      </c>
      <c r="D688" s="36" t="s">
        <v>2999</v>
      </c>
      <c r="E688" s="36" t="s">
        <v>4151</v>
      </c>
      <c r="F688" s="37" t="s">
        <v>4148</v>
      </c>
      <c r="G688" s="36" t="s">
        <v>4149</v>
      </c>
      <c r="H688" s="36" t="s">
        <v>4156</v>
      </c>
      <c r="I688" s="36" t="s">
        <v>824</v>
      </c>
    </row>
    <row r="689" spans="1:9" x14ac:dyDescent="0.3">
      <c r="A689">
        <v>692</v>
      </c>
      <c r="B689" s="36" t="s">
        <v>4162</v>
      </c>
      <c r="C689" s="36" t="s">
        <v>4154</v>
      </c>
      <c r="D689" s="36" t="s">
        <v>2999</v>
      </c>
      <c r="E689" s="36" t="s">
        <v>4151</v>
      </c>
      <c r="F689" s="37" t="s">
        <v>4155</v>
      </c>
      <c r="G689" s="36" t="s">
        <v>4149</v>
      </c>
      <c r="H689" s="36" t="s">
        <v>4156</v>
      </c>
      <c r="I689" s="36" t="s">
        <v>824</v>
      </c>
    </row>
    <row r="690" spans="1:9" x14ac:dyDescent="0.3">
      <c r="A690">
        <v>693</v>
      </c>
      <c r="B690" s="36" t="s">
        <v>4162</v>
      </c>
      <c r="C690" s="36" t="s">
        <v>4154</v>
      </c>
      <c r="D690" s="36" t="s">
        <v>2994</v>
      </c>
      <c r="E690" s="36" t="s">
        <v>4147</v>
      </c>
      <c r="F690" s="37" t="s">
        <v>4148</v>
      </c>
      <c r="G690" s="36" t="s">
        <v>4149</v>
      </c>
      <c r="H690" s="36" t="s">
        <v>4156</v>
      </c>
      <c r="I690" s="36" t="s">
        <v>4160</v>
      </c>
    </row>
    <row r="691" spans="1:9" x14ac:dyDescent="0.3">
      <c r="A691">
        <v>694</v>
      </c>
      <c r="B691" s="36" t="s">
        <v>4162</v>
      </c>
      <c r="C691" s="36" t="s">
        <v>4146</v>
      </c>
      <c r="D691" s="36" t="s">
        <v>2999</v>
      </c>
      <c r="E691" s="36" t="s">
        <v>4151</v>
      </c>
      <c r="F691" s="37" t="s">
        <v>4148</v>
      </c>
      <c r="G691" s="36" t="s">
        <v>4149</v>
      </c>
      <c r="H691" s="36" t="s">
        <v>4156</v>
      </c>
      <c r="I691" s="36" t="s">
        <v>4160</v>
      </c>
    </row>
    <row r="692" spans="1:9" x14ac:dyDescent="0.3">
      <c r="A692">
        <v>695</v>
      </c>
      <c r="B692" s="36" t="s">
        <v>4162</v>
      </c>
      <c r="C692" s="36" t="s">
        <v>4154</v>
      </c>
      <c r="D692" s="36" t="s">
        <v>2999</v>
      </c>
      <c r="E692" s="36" t="s">
        <v>4151</v>
      </c>
      <c r="F692" s="37" t="s">
        <v>4148</v>
      </c>
      <c r="G692" s="36" t="s">
        <v>4149</v>
      </c>
      <c r="H692" s="36" t="s">
        <v>4156</v>
      </c>
      <c r="I692" s="36" t="s">
        <v>4160</v>
      </c>
    </row>
    <row r="693" spans="1:9" x14ac:dyDescent="0.3">
      <c r="A693">
        <v>696</v>
      </c>
      <c r="B693" s="36" t="s">
        <v>4162</v>
      </c>
      <c r="C693" s="36" t="s">
        <v>4154</v>
      </c>
      <c r="D693" s="36" t="s">
        <v>2994</v>
      </c>
      <c r="E693" s="36" t="s">
        <v>4147</v>
      </c>
      <c r="F693" s="37" t="s">
        <v>4159</v>
      </c>
      <c r="G693" s="36" t="s">
        <v>4149</v>
      </c>
      <c r="H693" s="36" t="s">
        <v>4156</v>
      </c>
      <c r="I693" s="36" t="s">
        <v>4160</v>
      </c>
    </row>
    <row r="694" spans="1:9" x14ac:dyDescent="0.3">
      <c r="A694">
        <v>697</v>
      </c>
      <c r="B694" s="36" t="s">
        <v>4162</v>
      </c>
      <c r="C694" s="36" t="s">
        <v>4154</v>
      </c>
      <c r="D694" s="36" t="s">
        <v>2994</v>
      </c>
      <c r="E694" s="36" t="s">
        <v>4147</v>
      </c>
      <c r="F694" s="37" t="s">
        <v>4148</v>
      </c>
      <c r="G694" s="36" t="s">
        <v>4149</v>
      </c>
      <c r="H694" s="36" t="s">
        <v>4156</v>
      </c>
      <c r="I694" s="36" t="s">
        <v>824</v>
      </c>
    </row>
    <row r="695" spans="1:9" x14ac:dyDescent="0.3">
      <c r="A695">
        <v>698</v>
      </c>
      <c r="B695" s="36" t="s">
        <v>4162</v>
      </c>
      <c r="C695" s="36" t="s">
        <v>4154</v>
      </c>
      <c r="D695" s="36" t="s">
        <v>2994</v>
      </c>
      <c r="E695" s="36" t="s">
        <v>4147</v>
      </c>
      <c r="F695" s="37" t="s">
        <v>4148</v>
      </c>
      <c r="G695" s="36" t="s">
        <v>4149</v>
      </c>
      <c r="H695" s="36" t="s">
        <v>4156</v>
      </c>
      <c r="I695" s="36" t="s">
        <v>824</v>
      </c>
    </row>
    <row r="696" spans="1:9" x14ac:dyDescent="0.3">
      <c r="A696">
        <v>699</v>
      </c>
      <c r="B696" s="36" t="s">
        <v>4162</v>
      </c>
      <c r="C696" s="36" t="s">
        <v>4154</v>
      </c>
      <c r="D696" s="36" t="s">
        <v>2999</v>
      </c>
      <c r="E696" s="36" t="s">
        <v>4151</v>
      </c>
      <c r="F696" s="37" t="s">
        <v>4159</v>
      </c>
      <c r="G696" s="36" t="s">
        <v>4149</v>
      </c>
      <c r="H696" s="36" t="s">
        <v>4156</v>
      </c>
      <c r="I696" s="36" t="s">
        <v>824</v>
      </c>
    </row>
    <row r="697" spans="1:9" x14ac:dyDescent="0.3">
      <c r="A697">
        <v>700</v>
      </c>
      <c r="B697" s="36" t="s">
        <v>4162</v>
      </c>
      <c r="C697" s="36" t="s">
        <v>4154</v>
      </c>
      <c r="D697" s="36" t="s">
        <v>2999</v>
      </c>
      <c r="E697" s="36" t="s">
        <v>4151</v>
      </c>
      <c r="F697" s="37" t="s">
        <v>4155</v>
      </c>
      <c r="G697" s="36" t="s">
        <v>4149</v>
      </c>
      <c r="H697" s="36" t="s">
        <v>4156</v>
      </c>
      <c r="I697" s="36" t="s">
        <v>824</v>
      </c>
    </row>
    <row r="698" spans="1:9" x14ac:dyDescent="0.3">
      <c r="A698">
        <v>701</v>
      </c>
      <c r="B698" s="36" t="s">
        <v>4162</v>
      </c>
      <c r="C698" s="36" t="s">
        <v>4154</v>
      </c>
      <c r="D698" s="36" t="s">
        <v>2999</v>
      </c>
      <c r="E698" s="36" t="s">
        <v>4151</v>
      </c>
      <c r="F698" s="37" t="s">
        <v>4159</v>
      </c>
      <c r="G698" s="36" t="s">
        <v>4149</v>
      </c>
      <c r="H698" s="36" t="s">
        <v>4156</v>
      </c>
      <c r="I698" s="36" t="s">
        <v>824</v>
      </c>
    </row>
    <row r="699" spans="1:9" x14ac:dyDescent="0.3">
      <c r="A699">
        <v>702</v>
      </c>
      <c r="B699" s="36" t="s">
        <v>4162</v>
      </c>
      <c r="C699" s="36" t="s">
        <v>4154</v>
      </c>
      <c r="D699" s="36" t="s">
        <v>2999</v>
      </c>
      <c r="E699" s="36" t="s">
        <v>4151</v>
      </c>
      <c r="F699" s="37" t="s">
        <v>4159</v>
      </c>
      <c r="G699" s="36" t="s">
        <v>4149</v>
      </c>
      <c r="H699" s="36" t="s">
        <v>4156</v>
      </c>
      <c r="I699" s="36" t="s">
        <v>824</v>
      </c>
    </row>
    <row r="700" spans="1:9" x14ac:dyDescent="0.3">
      <c r="A700">
        <v>703</v>
      </c>
      <c r="B700" s="36" t="s">
        <v>4162</v>
      </c>
      <c r="C700" s="36" t="s">
        <v>4154</v>
      </c>
      <c r="D700" s="36" t="s">
        <v>2994</v>
      </c>
      <c r="E700" s="36" t="s">
        <v>4147</v>
      </c>
      <c r="F700" s="37" t="s">
        <v>4148</v>
      </c>
      <c r="G700" s="36" t="s">
        <v>4149</v>
      </c>
      <c r="H700" s="36" t="s">
        <v>4156</v>
      </c>
      <c r="I700" s="36" t="s">
        <v>4160</v>
      </c>
    </row>
    <row r="701" spans="1:9" x14ac:dyDescent="0.3">
      <c r="A701">
        <v>704</v>
      </c>
      <c r="B701" s="36" t="s">
        <v>4162</v>
      </c>
      <c r="C701" s="36" t="s">
        <v>4154</v>
      </c>
      <c r="D701" s="36" t="s">
        <v>2999</v>
      </c>
      <c r="E701" s="36" t="s">
        <v>4151</v>
      </c>
      <c r="F701" s="37" t="s">
        <v>4148</v>
      </c>
      <c r="G701" s="36" t="s">
        <v>4149</v>
      </c>
      <c r="H701" s="36" t="s">
        <v>4156</v>
      </c>
      <c r="I701" s="36" t="s">
        <v>4160</v>
      </c>
    </row>
    <row r="702" spans="1:9" x14ac:dyDescent="0.3">
      <c r="A702">
        <v>705</v>
      </c>
      <c r="B702" s="36" t="s">
        <v>4162</v>
      </c>
      <c r="C702" s="36" t="s">
        <v>4154</v>
      </c>
      <c r="D702" s="36" t="s">
        <v>2999</v>
      </c>
      <c r="E702" s="36" t="s">
        <v>4151</v>
      </c>
      <c r="F702" s="37" t="s">
        <v>4148</v>
      </c>
      <c r="G702" s="36" t="s">
        <v>4149</v>
      </c>
      <c r="H702" s="36" t="s">
        <v>4156</v>
      </c>
      <c r="I702" s="36" t="s">
        <v>824</v>
      </c>
    </row>
    <row r="703" spans="1:9" x14ac:dyDescent="0.3">
      <c r="A703">
        <v>706</v>
      </c>
      <c r="B703" s="36" t="s">
        <v>4162</v>
      </c>
      <c r="C703" s="36" t="s">
        <v>4154</v>
      </c>
      <c r="D703" s="36" t="s">
        <v>2999</v>
      </c>
      <c r="E703" s="36" t="s">
        <v>4151</v>
      </c>
      <c r="F703" s="37" t="s">
        <v>4148</v>
      </c>
      <c r="G703" s="36" t="s">
        <v>4153</v>
      </c>
      <c r="H703" s="36" t="s">
        <v>4156</v>
      </c>
      <c r="I703" s="36" t="s">
        <v>4199</v>
      </c>
    </row>
    <row r="704" spans="1:9" x14ac:dyDescent="0.3">
      <c r="A704">
        <v>707</v>
      </c>
      <c r="B704" s="36" t="s">
        <v>4162</v>
      </c>
      <c r="C704" s="36" t="s">
        <v>4154</v>
      </c>
      <c r="D704" s="36" t="s">
        <v>3001</v>
      </c>
      <c r="E704" s="36" t="s">
        <v>4147</v>
      </c>
      <c r="F704" s="37" t="s">
        <v>4148</v>
      </c>
      <c r="G704" s="36" t="s">
        <v>4153</v>
      </c>
      <c r="H704" s="36" t="s">
        <v>4156</v>
      </c>
      <c r="I704" s="36" t="s">
        <v>4199</v>
      </c>
    </row>
    <row r="705" spans="1:9" x14ac:dyDescent="0.3">
      <c r="A705">
        <v>708</v>
      </c>
      <c r="B705" s="36" t="s">
        <v>4162</v>
      </c>
      <c r="C705" s="36" t="s">
        <v>4154</v>
      </c>
      <c r="D705" s="36" t="s">
        <v>2999</v>
      </c>
      <c r="E705" s="36" t="s">
        <v>4151</v>
      </c>
      <c r="F705" s="37" t="s">
        <v>4148</v>
      </c>
      <c r="G705" s="36" t="s">
        <v>4149</v>
      </c>
      <c r="H705" s="36" t="s">
        <v>4156</v>
      </c>
      <c r="I705" s="36" t="s">
        <v>824</v>
      </c>
    </row>
    <row r="706" spans="1:9" x14ac:dyDescent="0.3">
      <c r="A706">
        <v>709</v>
      </c>
      <c r="B706" s="36" t="s">
        <v>4162</v>
      </c>
      <c r="C706" s="36" t="s">
        <v>4154</v>
      </c>
      <c r="D706" s="36" t="s">
        <v>2999</v>
      </c>
      <c r="E706" s="36" t="s">
        <v>4151</v>
      </c>
      <c r="F706" s="37" t="s">
        <v>4148</v>
      </c>
      <c r="G706" s="36" t="s">
        <v>4149</v>
      </c>
      <c r="H706" s="36" t="s">
        <v>4156</v>
      </c>
      <c r="I706" s="36" t="s">
        <v>824</v>
      </c>
    </row>
    <row r="707" spans="1:9" x14ac:dyDescent="0.3">
      <c r="A707">
        <v>710</v>
      </c>
      <c r="B707" s="36" t="s">
        <v>4162</v>
      </c>
      <c r="C707" s="36" t="s">
        <v>4146</v>
      </c>
      <c r="D707" s="36" t="s">
        <v>2994</v>
      </c>
      <c r="E707" s="36" t="s">
        <v>4147</v>
      </c>
      <c r="F707" s="37" t="s">
        <v>4159</v>
      </c>
      <c r="G707" s="36" t="s">
        <v>4149</v>
      </c>
      <c r="H707" s="36" t="s">
        <v>4156</v>
      </c>
      <c r="I707" s="36" t="s">
        <v>4160</v>
      </c>
    </row>
    <row r="708" spans="1:9" x14ac:dyDescent="0.3">
      <c r="A708">
        <v>711</v>
      </c>
      <c r="B708" s="36" t="s">
        <v>4162</v>
      </c>
      <c r="C708" s="36" t="s">
        <v>4154</v>
      </c>
      <c r="D708" s="36" t="s">
        <v>2994</v>
      </c>
      <c r="E708" s="36" t="s">
        <v>4147</v>
      </c>
      <c r="F708" s="37" t="s">
        <v>4155</v>
      </c>
      <c r="G708" s="36" t="s">
        <v>4149</v>
      </c>
      <c r="H708" s="36" t="s">
        <v>4156</v>
      </c>
      <c r="I708" s="36" t="s">
        <v>4160</v>
      </c>
    </row>
    <row r="709" spans="1:9" x14ac:dyDescent="0.3">
      <c r="A709">
        <v>712</v>
      </c>
      <c r="B709" s="36" t="s">
        <v>4162</v>
      </c>
      <c r="C709" s="36" t="s">
        <v>4154</v>
      </c>
      <c r="D709" s="36" t="s">
        <v>2999</v>
      </c>
      <c r="E709" s="36" t="s">
        <v>4151</v>
      </c>
      <c r="F709" s="37" t="s">
        <v>4148</v>
      </c>
      <c r="G709" s="36" t="s">
        <v>4149</v>
      </c>
      <c r="H709" s="36" t="s">
        <v>4156</v>
      </c>
      <c r="I709" s="36" t="s">
        <v>824</v>
      </c>
    </row>
    <row r="710" spans="1:9" x14ac:dyDescent="0.3">
      <c r="A710">
        <v>713</v>
      </c>
      <c r="B710" s="36" t="s">
        <v>4162</v>
      </c>
      <c r="C710" s="36" t="s">
        <v>4154</v>
      </c>
      <c r="D710" s="36" t="s">
        <v>2999</v>
      </c>
      <c r="E710" s="36" t="s">
        <v>4151</v>
      </c>
      <c r="F710" s="37" t="s">
        <v>4148</v>
      </c>
      <c r="G710" s="36" t="s">
        <v>4149</v>
      </c>
      <c r="H710" s="36" t="s">
        <v>4156</v>
      </c>
      <c r="I710" s="36" t="s">
        <v>824</v>
      </c>
    </row>
    <row r="711" spans="1:9" x14ac:dyDescent="0.3">
      <c r="A711">
        <v>714</v>
      </c>
      <c r="B711" s="36" t="s">
        <v>4162</v>
      </c>
      <c r="C711" s="36" t="s">
        <v>4154</v>
      </c>
      <c r="D711" s="36" t="s">
        <v>2999</v>
      </c>
      <c r="E711" s="36" t="s">
        <v>4151</v>
      </c>
      <c r="F711" s="37" t="s">
        <v>4148</v>
      </c>
      <c r="G711" s="36" t="s">
        <v>4149</v>
      </c>
      <c r="H711" s="36" t="s">
        <v>4156</v>
      </c>
      <c r="I711" s="36" t="s">
        <v>4160</v>
      </c>
    </row>
    <row r="712" spans="1:9" x14ac:dyDescent="0.3">
      <c r="A712">
        <v>715</v>
      </c>
      <c r="B712" s="36" t="s">
        <v>4162</v>
      </c>
      <c r="C712" s="36" t="s">
        <v>4146</v>
      </c>
      <c r="D712" s="36" t="s">
        <v>2999</v>
      </c>
      <c r="E712" s="36" t="s">
        <v>4151</v>
      </c>
      <c r="F712" s="37" t="s">
        <v>4155</v>
      </c>
      <c r="G712" s="36" t="s">
        <v>4149</v>
      </c>
      <c r="H712" s="36" t="s">
        <v>4158</v>
      </c>
      <c r="I712" s="36" t="s">
        <v>824</v>
      </c>
    </row>
    <row r="713" spans="1:9" x14ac:dyDescent="0.3">
      <c r="A713">
        <v>716</v>
      </c>
      <c r="B713" s="36" t="s">
        <v>4162</v>
      </c>
      <c r="C713" s="36" t="s">
        <v>4154</v>
      </c>
      <c r="D713" s="36" t="s">
        <v>2999</v>
      </c>
      <c r="E713" s="36" t="s">
        <v>4151</v>
      </c>
      <c r="F713" s="37" t="s">
        <v>4148</v>
      </c>
      <c r="G713" s="36" t="s">
        <v>4149</v>
      </c>
      <c r="H713" s="36" t="s">
        <v>4156</v>
      </c>
      <c r="I713" s="36" t="s">
        <v>824</v>
      </c>
    </row>
    <row r="714" spans="1:9" x14ac:dyDescent="0.3">
      <c r="A714">
        <v>717</v>
      </c>
      <c r="B714" s="36" t="s">
        <v>4162</v>
      </c>
      <c r="C714" s="36" t="s">
        <v>4154</v>
      </c>
      <c r="D714" s="36" t="s">
        <v>2999</v>
      </c>
      <c r="E714" s="36" t="s">
        <v>4151</v>
      </c>
      <c r="F714" s="37" t="s">
        <v>4148</v>
      </c>
      <c r="G714" s="36" t="s">
        <v>4153</v>
      </c>
      <c r="H714" s="36" t="s">
        <v>4156</v>
      </c>
      <c r="I714" s="36" t="s">
        <v>4199</v>
      </c>
    </row>
    <row r="715" spans="1:9" x14ac:dyDescent="0.3">
      <c r="A715">
        <v>718</v>
      </c>
      <c r="B715" s="36" t="s">
        <v>4162</v>
      </c>
      <c r="C715" s="36" t="s">
        <v>4154</v>
      </c>
      <c r="D715" s="36" t="s">
        <v>2999</v>
      </c>
      <c r="E715" s="36" t="s">
        <v>4151</v>
      </c>
      <c r="F715" s="37" t="s">
        <v>4159</v>
      </c>
      <c r="G715" s="36" t="s">
        <v>4153</v>
      </c>
      <c r="H715" s="36" t="s">
        <v>4156</v>
      </c>
      <c r="I715" s="36" t="s">
        <v>4199</v>
      </c>
    </row>
    <row r="716" spans="1:9" x14ac:dyDescent="0.3">
      <c r="A716">
        <v>719</v>
      </c>
      <c r="B716" s="36" t="s">
        <v>4162</v>
      </c>
      <c r="C716" s="36" t="s">
        <v>4154</v>
      </c>
      <c r="D716" s="36" t="s">
        <v>2999</v>
      </c>
      <c r="E716" s="36" t="s">
        <v>4151</v>
      </c>
      <c r="F716" s="37" t="s">
        <v>4148</v>
      </c>
      <c r="G716" s="36" t="s">
        <v>4149</v>
      </c>
      <c r="H716" s="36" t="s">
        <v>4156</v>
      </c>
      <c r="I716" s="36" t="s">
        <v>824</v>
      </c>
    </row>
    <row r="717" spans="1:9" x14ac:dyDescent="0.3">
      <c r="A717">
        <v>720</v>
      </c>
      <c r="B717" s="36" t="s">
        <v>4162</v>
      </c>
      <c r="C717" s="36" t="s">
        <v>4146</v>
      </c>
      <c r="D717" s="36" t="s">
        <v>2999</v>
      </c>
      <c r="E717" s="36" t="s">
        <v>4151</v>
      </c>
      <c r="F717" s="37" t="s">
        <v>4159</v>
      </c>
      <c r="G717" s="36" t="s">
        <v>4149</v>
      </c>
      <c r="H717" s="36" t="s">
        <v>4156</v>
      </c>
      <c r="I717" s="36" t="s">
        <v>824</v>
      </c>
    </row>
    <row r="718" spans="1:9" x14ac:dyDescent="0.3">
      <c r="A718">
        <v>721</v>
      </c>
      <c r="B718" s="36" t="s">
        <v>4162</v>
      </c>
      <c r="C718" s="36" t="s">
        <v>4154</v>
      </c>
      <c r="D718" s="36" t="s">
        <v>2999</v>
      </c>
      <c r="E718" s="36" t="s">
        <v>4151</v>
      </c>
      <c r="F718" s="37" t="s">
        <v>4148</v>
      </c>
      <c r="G718" s="36" t="s">
        <v>4149</v>
      </c>
      <c r="H718" s="36" t="s">
        <v>4156</v>
      </c>
      <c r="I718" s="36" t="s">
        <v>4160</v>
      </c>
    </row>
    <row r="719" spans="1:9" x14ac:dyDescent="0.3">
      <c r="A719">
        <v>722</v>
      </c>
      <c r="B719" s="36" t="s">
        <v>4162</v>
      </c>
      <c r="C719" s="36" t="s">
        <v>4154</v>
      </c>
      <c r="D719" s="36" t="s">
        <v>2999</v>
      </c>
      <c r="E719" s="36" t="s">
        <v>4151</v>
      </c>
      <c r="F719" s="37" t="s">
        <v>4155</v>
      </c>
      <c r="G719" s="36" t="s">
        <v>4149</v>
      </c>
      <c r="H719" s="36" t="s">
        <v>4156</v>
      </c>
      <c r="I719" s="36" t="s">
        <v>824</v>
      </c>
    </row>
    <row r="720" spans="1:9" x14ac:dyDescent="0.3">
      <c r="A720">
        <v>723</v>
      </c>
      <c r="B720" s="36" t="s">
        <v>4162</v>
      </c>
      <c r="C720" s="36" t="s">
        <v>4154</v>
      </c>
      <c r="D720" s="36" t="s">
        <v>2999</v>
      </c>
      <c r="E720" s="36" t="s">
        <v>4151</v>
      </c>
      <c r="F720" s="37" t="s">
        <v>4148</v>
      </c>
      <c r="G720" s="36" t="s">
        <v>4149</v>
      </c>
      <c r="H720" s="36" t="s">
        <v>4156</v>
      </c>
      <c r="I720" s="36" t="s">
        <v>824</v>
      </c>
    </row>
    <row r="721" spans="1:9" x14ac:dyDescent="0.3">
      <c r="A721">
        <v>724</v>
      </c>
      <c r="B721" s="36" t="s">
        <v>4162</v>
      </c>
      <c r="C721" s="36" t="s">
        <v>4154</v>
      </c>
      <c r="D721" s="36" t="s">
        <v>2999</v>
      </c>
      <c r="E721" s="36" t="s">
        <v>4151</v>
      </c>
      <c r="F721" s="37" t="s">
        <v>4155</v>
      </c>
      <c r="G721" s="36" t="s">
        <v>4149</v>
      </c>
      <c r="H721" s="36" t="s">
        <v>4156</v>
      </c>
      <c r="I721" s="36" t="s">
        <v>4160</v>
      </c>
    </row>
    <row r="722" spans="1:9" x14ac:dyDescent="0.3">
      <c r="A722">
        <v>725</v>
      </c>
      <c r="B722" s="36" t="s">
        <v>4162</v>
      </c>
      <c r="C722" s="36" t="s">
        <v>4154</v>
      </c>
      <c r="D722" s="36" t="s">
        <v>2999</v>
      </c>
      <c r="E722" s="36" t="s">
        <v>4151</v>
      </c>
      <c r="F722" s="37" t="s">
        <v>4155</v>
      </c>
      <c r="G722" s="36" t="s">
        <v>4149</v>
      </c>
      <c r="H722" s="36" t="s">
        <v>4156</v>
      </c>
      <c r="I722" s="36" t="s">
        <v>4160</v>
      </c>
    </row>
    <row r="723" spans="1:9" x14ac:dyDescent="0.3">
      <c r="A723">
        <v>726</v>
      </c>
      <c r="B723" s="36" t="s">
        <v>4162</v>
      </c>
      <c r="C723" s="36" t="s">
        <v>4146</v>
      </c>
      <c r="D723" s="36" t="s">
        <v>2994</v>
      </c>
      <c r="E723" s="36" t="s">
        <v>4147</v>
      </c>
      <c r="F723" s="37" t="s">
        <v>4148</v>
      </c>
      <c r="G723" s="36" t="s">
        <v>4149</v>
      </c>
      <c r="H723" s="36" t="s">
        <v>4156</v>
      </c>
      <c r="I723" s="36" t="s">
        <v>4160</v>
      </c>
    </row>
    <row r="724" spans="1:9" x14ac:dyDescent="0.3">
      <c r="A724">
        <v>727</v>
      </c>
      <c r="B724" s="36" t="s">
        <v>4162</v>
      </c>
      <c r="C724" s="36" t="s">
        <v>4154</v>
      </c>
      <c r="D724" s="36" t="s">
        <v>2994</v>
      </c>
      <c r="E724" s="36" t="s">
        <v>4147</v>
      </c>
      <c r="F724" s="37" t="s">
        <v>4148</v>
      </c>
      <c r="G724" s="36" t="s">
        <v>4149</v>
      </c>
      <c r="H724" s="36" t="s">
        <v>4156</v>
      </c>
      <c r="I724" s="36" t="s">
        <v>4160</v>
      </c>
    </row>
    <row r="725" spans="1:9" x14ac:dyDescent="0.3">
      <c r="A725">
        <v>728</v>
      </c>
      <c r="B725" s="36" t="s">
        <v>4162</v>
      </c>
      <c r="C725" s="36" t="s">
        <v>4154</v>
      </c>
      <c r="D725" s="36" t="s">
        <v>2999</v>
      </c>
      <c r="E725" s="36" t="s">
        <v>4151</v>
      </c>
      <c r="F725" s="37" t="s">
        <v>4157</v>
      </c>
      <c r="G725" s="36" t="s">
        <v>4149</v>
      </c>
      <c r="H725" s="36" t="s">
        <v>4156</v>
      </c>
      <c r="I725" s="36" t="s">
        <v>4160</v>
      </c>
    </row>
    <row r="726" spans="1:9" x14ac:dyDescent="0.3">
      <c r="A726">
        <v>729</v>
      </c>
      <c r="B726" s="36" t="s">
        <v>4162</v>
      </c>
      <c r="C726" s="36" t="s">
        <v>4154</v>
      </c>
      <c r="D726" s="36" t="s">
        <v>2999</v>
      </c>
      <c r="E726" s="36" t="s">
        <v>4151</v>
      </c>
      <c r="F726" s="37" t="s">
        <v>4155</v>
      </c>
      <c r="G726" s="36" t="s">
        <v>4149</v>
      </c>
      <c r="H726" s="36" t="s">
        <v>4156</v>
      </c>
      <c r="I726" s="36" t="s">
        <v>824</v>
      </c>
    </row>
    <row r="727" spans="1:9" x14ac:dyDescent="0.3">
      <c r="A727">
        <v>730</v>
      </c>
      <c r="B727" s="36" t="s">
        <v>4162</v>
      </c>
      <c r="C727" s="36" t="s">
        <v>4154</v>
      </c>
      <c r="D727" s="36" t="s">
        <v>2999</v>
      </c>
      <c r="E727" s="36" t="s">
        <v>4151</v>
      </c>
      <c r="F727" s="37" t="s">
        <v>4155</v>
      </c>
      <c r="G727" s="36" t="s">
        <v>4149</v>
      </c>
      <c r="H727" s="36" t="s">
        <v>4156</v>
      </c>
      <c r="I727" s="36" t="s">
        <v>824</v>
      </c>
    </row>
    <row r="728" spans="1:9" x14ac:dyDescent="0.3">
      <c r="A728">
        <v>731</v>
      </c>
      <c r="B728" s="36" t="s">
        <v>4162</v>
      </c>
      <c r="C728" s="36" t="s">
        <v>4154</v>
      </c>
      <c r="D728" s="36" t="s">
        <v>2999</v>
      </c>
      <c r="E728" s="36" t="s">
        <v>4151</v>
      </c>
      <c r="F728" s="37" t="s">
        <v>4148</v>
      </c>
      <c r="G728" s="36" t="s">
        <v>4149</v>
      </c>
      <c r="H728" s="36" t="s">
        <v>4156</v>
      </c>
      <c r="I728" s="36" t="s">
        <v>824</v>
      </c>
    </row>
    <row r="729" spans="1:9" x14ac:dyDescent="0.3">
      <c r="A729">
        <v>732</v>
      </c>
      <c r="B729" s="36" t="s">
        <v>4162</v>
      </c>
      <c r="C729" s="36" t="s">
        <v>4154</v>
      </c>
      <c r="D729" s="36" t="s">
        <v>2999</v>
      </c>
      <c r="E729" s="36" t="s">
        <v>4151</v>
      </c>
      <c r="F729" s="37" t="s">
        <v>4148</v>
      </c>
      <c r="G729" s="36" t="s">
        <v>4149</v>
      </c>
      <c r="H729" s="36" t="s">
        <v>4156</v>
      </c>
      <c r="I729" s="36" t="s">
        <v>824</v>
      </c>
    </row>
    <row r="730" spans="1:9" x14ac:dyDescent="0.3">
      <c r="A730">
        <v>733</v>
      </c>
      <c r="B730" s="36" t="s">
        <v>4162</v>
      </c>
      <c r="C730" s="36" t="s">
        <v>4154</v>
      </c>
      <c r="D730" s="36" t="s">
        <v>2999</v>
      </c>
      <c r="E730" s="36" t="s">
        <v>4151</v>
      </c>
      <c r="F730" s="37" t="s">
        <v>4148</v>
      </c>
      <c r="G730" s="36" t="s">
        <v>4149</v>
      </c>
      <c r="H730" s="36" t="s">
        <v>4156</v>
      </c>
      <c r="I730" s="36" t="s">
        <v>824</v>
      </c>
    </row>
    <row r="731" spans="1:9" x14ac:dyDescent="0.3">
      <c r="A731">
        <v>734</v>
      </c>
      <c r="B731" s="36" t="s">
        <v>4162</v>
      </c>
      <c r="C731" s="36" t="s">
        <v>4146</v>
      </c>
      <c r="D731" s="36" t="s">
        <v>2996</v>
      </c>
      <c r="E731" s="36" t="s">
        <v>4151</v>
      </c>
      <c r="F731" s="37" t="s">
        <v>4152</v>
      </c>
      <c r="G731" s="36" t="s">
        <v>4153</v>
      </c>
      <c r="H731" s="36" t="s">
        <v>4156</v>
      </c>
      <c r="I731" s="36" t="s">
        <v>824</v>
      </c>
    </row>
    <row r="732" spans="1:9" x14ac:dyDescent="0.3">
      <c r="A732">
        <v>735</v>
      </c>
      <c r="B732" s="36" t="s">
        <v>4162</v>
      </c>
      <c r="C732" s="36" t="s">
        <v>4146</v>
      </c>
      <c r="D732" s="36" t="s">
        <v>2996</v>
      </c>
      <c r="E732" s="36" t="s">
        <v>4151</v>
      </c>
      <c r="F732" s="37" t="s">
        <v>4152</v>
      </c>
      <c r="G732" s="36" t="s">
        <v>4153</v>
      </c>
      <c r="H732" s="36" t="s">
        <v>4156</v>
      </c>
      <c r="I732" s="36" t="s">
        <v>824</v>
      </c>
    </row>
    <row r="733" spans="1:9" x14ac:dyDescent="0.3">
      <c r="A733">
        <v>736</v>
      </c>
      <c r="B733" s="36" t="s">
        <v>4162</v>
      </c>
      <c r="C733" s="36" t="s">
        <v>4146</v>
      </c>
      <c r="D733" s="36" t="s">
        <v>3001</v>
      </c>
      <c r="E733" s="36" t="s">
        <v>4147</v>
      </c>
      <c r="F733" s="37" t="s">
        <v>4155</v>
      </c>
      <c r="G733" s="36" t="s">
        <v>4153</v>
      </c>
      <c r="H733" s="36" t="s">
        <v>4156</v>
      </c>
      <c r="I733" s="36" t="s">
        <v>824</v>
      </c>
    </row>
    <row r="734" spans="1:9" x14ac:dyDescent="0.3">
      <c r="A734">
        <v>737</v>
      </c>
      <c r="B734" s="36" t="s">
        <v>4162</v>
      </c>
      <c r="C734" s="36" t="s">
        <v>4154</v>
      </c>
      <c r="D734" s="36" t="s">
        <v>2999</v>
      </c>
      <c r="E734" s="36" t="s">
        <v>4151</v>
      </c>
      <c r="F734" s="37" t="s">
        <v>4157</v>
      </c>
      <c r="G734" s="36" t="s">
        <v>4149</v>
      </c>
      <c r="H734" s="36" t="s">
        <v>4156</v>
      </c>
      <c r="I734" s="36" t="s">
        <v>824</v>
      </c>
    </row>
    <row r="735" spans="1:9" x14ac:dyDescent="0.3">
      <c r="A735">
        <v>738</v>
      </c>
      <c r="B735" s="36" t="s">
        <v>4162</v>
      </c>
      <c r="C735" s="36" t="s">
        <v>4154</v>
      </c>
      <c r="D735" s="36" t="s">
        <v>2999</v>
      </c>
      <c r="E735" s="36" t="s">
        <v>4151</v>
      </c>
      <c r="F735" s="37" t="s">
        <v>4148</v>
      </c>
      <c r="G735" s="36" t="s">
        <v>4149</v>
      </c>
      <c r="H735" s="36" t="s">
        <v>4156</v>
      </c>
      <c r="I735" s="36" t="s">
        <v>824</v>
      </c>
    </row>
    <row r="736" spans="1:9" x14ac:dyDescent="0.3">
      <c r="A736">
        <v>739</v>
      </c>
      <c r="B736" s="36" t="s">
        <v>4162</v>
      </c>
      <c r="C736" s="36" t="s">
        <v>4146</v>
      </c>
      <c r="D736" s="36" t="s">
        <v>2994</v>
      </c>
      <c r="E736" s="36" t="s">
        <v>4147</v>
      </c>
      <c r="F736" s="37" t="s">
        <v>4159</v>
      </c>
      <c r="G736" s="36" t="s">
        <v>4153</v>
      </c>
      <c r="H736" s="36" t="s">
        <v>4156</v>
      </c>
      <c r="I736" s="36" t="s">
        <v>824</v>
      </c>
    </row>
    <row r="737" spans="1:9" x14ac:dyDescent="0.3">
      <c r="A737">
        <v>740</v>
      </c>
      <c r="B737" s="36" t="s">
        <v>4162</v>
      </c>
      <c r="C737" s="36" t="s">
        <v>4154</v>
      </c>
      <c r="D737" s="36" t="s">
        <v>2999</v>
      </c>
      <c r="E737" s="36" t="s">
        <v>4151</v>
      </c>
      <c r="F737" s="37" t="s">
        <v>4155</v>
      </c>
      <c r="G737" s="36" t="s">
        <v>4153</v>
      </c>
      <c r="H737" s="36" t="s">
        <v>4156</v>
      </c>
      <c r="I737" s="36" t="s">
        <v>824</v>
      </c>
    </row>
    <row r="738" spans="1:9" x14ac:dyDescent="0.3">
      <c r="A738">
        <v>741</v>
      </c>
      <c r="B738" s="36" t="s">
        <v>4162</v>
      </c>
      <c r="C738" s="36" t="s">
        <v>4154</v>
      </c>
      <c r="D738" s="36" t="s">
        <v>2999</v>
      </c>
      <c r="E738" s="36" t="s">
        <v>4151</v>
      </c>
      <c r="F738" s="37" t="s">
        <v>4159</v>
      </c>
      <c r="G738" s="36" t="s">
        <v>4149</v>
      </c>
      <c r="H738" s="36" t="s">
        <v>4156</v>
      </c>
      <c r="I738" s="36" t="s">
        <v>824</v>
      </c>
    </row>
    <row r="739" spans="1:9" x14ac:dyDescent="0.3">
      <c r="A739">
        <v>742</v>
      </c>
      <c r="B739" s="36" t="s">
        <v>4162</v>
      </c>
      <c r="C739" s="36" t="s">
        <v>4154</v>
      </c>
      <c r="D739" s="36" t="s">
        <v>2999</v>
      </c>
      <c r="E739" s="36" t="s">
        <v>4151</v>
      </c>
      <c r="F739" s="37" t="s">
        <v>4148</v>
      </c>
      <c r="G739" s="36" t="s">
        <v>4149</v>
      </c>
      <c r="H739" s="36" t="s">
        <v>4156</v>
      </c>
      <c r="I739" s="36" t="s">
        <v>4199</v>
      </c>
    </row>
    <row r="740" spans="1:9" x14ac:dyDescent="0.3">
      <c r="A740">
        <v>743</v>
      </c>
      <c r="B740" s="36" t="s">
        <v>4162</v>
      </c>
      <c r="C740" s="36" t="s">
        <v>4146</v>
      </c>
      <c r="D740" s="36" t="s">
        <v>2999</v>
      </c>
      <c r="E740" s="36" t="s">
        <v>4151</v>
      </c>
      <c r="F740" s="37" t="s">
        <v>4155</v>
      </c>
      <c r="G740" s="36" t="s">
        <v>4149</v>
      </c>
      <c r="H740" s="36" t="s">
        <v>4156</v>
      </c>
      <c r="I740" s="36" t="s">
        <v>824</v>
      </c>
    </row>
    <row r="741" spans="1:9" x14ac:dyDescent="0.3">
      <c r="A741">
        <v>744</v>
      </c>
      <c r="B741" s="36" t="s">
        <v>4162</v>
      </c>
      <c r="C741" s="36" t="s">
        <v>4154</v>
      </c>
      <c r="D741" s="36" t="s">
        <v>2994</v>
      </c>
      <c r="E741" s="36" t="s">
        <v>4147</v>
      </c>
      <c r="F741" s="37" t="s">
        <v>4148</v>
      </c>
      <c r="G741" s="36" t="s">
        <v>4149</v>
      </c>
      <c r="H741" s="36" t="s">
        <v>4156</v>
      </c>
      <c r="I741" s="36" t="s">
        <v>824</v>
      </c>
    </row>
    <row r="742" spans="1:9" x14ac:dyDescent="0.3">
      <c r="A742">
        <v>745</v>
      </c>
      <c r="B742" s="36" t="s">
        <v>4162</v>
      </c>
      <c r="C742" s="36" t="s">
        <v>4154</v>
      </c>
      <c r="D742" s="36" t="s">
        <v>2999</v>
      </c>
      <c r="E742" s="36" t="s">
        <v>4151</v>
      </c>
      <c r="F742" s="37" t="s">
        <v>4148</v>
      </c>
      <c r="G742" s="36" t="s">
        <v>4149</v>
      </c>
      <c r="H742" s="36" t="s">
        <v>4156</v>
      </c>
      <c r="I742" s="36" t="s">
        <v>824</v>
      </c>
    </row>
    <row r="743" spans="1:9" x14ac:dyDescent="0.3">
      <c r="A743">
        <v>746</v>
      </c>
      <c r="B743" s="36" t="s">
        <v>4162</v>
      </c>
      <c r="C743" s="36" t="s">
        <v>4146</v>
      </c>
      <c r="D743" s="36" t="s">
        <v>2994</v>
      </c>
      <c r="E743" s="36" t="s">
        <v>4147</v>
      </c>
      <c r="F743" s="37" t="s">
        <v>4148</v>
      </c>
      <c r="G743" s="36" t="s">
        <v>4149</v>
      </c>
      <c r="H743" s="36" t="s">
        <v>4156</v>
      </c>
      <c r="I743" s="36" t="s">
        <v>4160</v>
      </c>
    </row>
    <row r="744" spans="1:9" x14ac:dyDescent="0.3">
      <c r="A744">
        <v>747</v>
      </c>
      <c r="B744" s="36" t="s">
        <v>4162</v>
      </c>
      <c r="C744" s="36" t="s">
        <v>4146</v>
      </c>
      <c r="D744" s="36" t="s">
        <v>2999</v>
      </c>
      <c r="E744" s="36" t="s">
        <v>4151</v>
      </c>
      <c r="F744" s="37" t="s">
        <v>4148</v>
      </c>
      <c r="G744" s="36" t="s">
        <v>4149</v>
      </c>
      <c r="H744" s="36" t="s">
        <v>4156</v>
      </c>
      <c r="I744" s="36" t="s">
        <v>4160</v>
      </c>
    </row>
    <row r="745" spans="1:9" x14ac:dyDescent="0.3">
      <c r="A745">
        <v>748</v>
      </c>
      <c r="B745" s="36" t="s">
        <v>4162</v>
      </c>
      <c r="C745" s="36" t="s">
        <v>4154</v>
      </c>
      <c r="D745" s="36" t="s">
        <v>2996</v>
      </c>
      <c r="E745" s="36" t="s">
        <v>4151</v>
      </c>
      <c r="F745" s="37" t="s">
        <v>4152</v>
      </c>
      <c r="G745" s="36" t="s">
        <v>4153</v>
      </c>
      <c r="H745" s="36" t="s">
        <v>4156</v>
      </c>
      <c r="I745" s="36" t="s">
        <v>824</v>
      </c>
    </row>
    <row r="746" spans="1:9" x14ac:dyDescent="0.3">
      <c r="A746">
        <v>749</v>
      </c>
      <c r="B746" s="36" t="s">
        <v>4162</v>
      </c>
      <c r="C746" s="36" t="s">
        <v>4154</v>
      </c>
      <c r="D746" s="36" t="s">
        <v>2999</v>
      </c>
      <c r="E746" s="36" t="s">
        <v>4151</v>
      </c>
      <c r="F746" s="37" t="s">
        <v>4155</v>
      </c>
      <c r="G746" s="36" t="s">
        <v>4153</v>
      </c>
      <c r="H746" s="36" t="s">
        <v>4156</v>
      </c>
      <c r="I746" s="36" t="s">
        <v>824</v>
      </c>
    </row>
    <row r="747" spans="1:9" x14ac:dyDescent="0.3">
      <c r="A747">
        <v>750</v>
      </c>
      <c r="B747" s="36" t="s">
        <v>4162</v>
      </c>
      <c r="C747" s="36" t="s">
        <v>4154</v>
      </c>
      <c r="D747" s="36" t="s">
        <v>3001</v>
      </c>
      <c r="E747" s="36" t="s">
        <v>4147</v>
      </c>
      <c r="F747" s="37" t="s">
        <v>4148</v>
      </c>
      <c r="G747" s="36" t="s">
        <v>4153</v>
      </c>
      <c r="H747" s="36" t="s">
        <v>4156</v>
      </c>
      <c r="I747" s="36" t="s">
        <v>824</v>
      </c>
    </row>
    <row r="748" spans="1:9" x14ac:dyDescent="0.3">
      <c r="A748">
        <v>751</v>
      </c>
      <c r="B748" s="36" t="s">
        <v>4162</v>
      </c>
      <c r="C748" s="36" t="s">
        <v>4154</v>
      </c>
      <c r="D748" s="36" t="s">
        <v>2999</v>
      </c>
      <c r="E748" s="36" t="s">
        <v>4151</v>
      </c>
      <c r="F748" s="37" t="s">
        <v>4148</v>
      </c>
      <c r="G748" s="36" t="s">
        <v>4149</v>
      </c>
      <c r="H748" s="36" t="s">
        <v>4156</v>
      </c>
      <c r="I748" s="36" t="s">
        <v>824</v>
      </c>
    </row>
    <row r="749" spans="1:9" x14ac:dyDescent="0.3">
      <c r="A749">
        <v>752</v>
      </c>
      <c r="B749" s="36" t="s">
        <v>4162</v>
      </c>
      <c r="C749" s="36" t="s">
        <v>4154</v>
      </c>
      <c r="D749" s="36" t="s">
        <v>2999</v>
      </c>
      <c r="E749" s="36" t="s">
        <v>4151</v>
      </c>
      <c r="F749" s="37" t="s">
        <v>4148</v>
      </c>
      <c r="G749" s="36" t="s">
        <v>4149</v>
      </c>
      <c r="H749" s="36" t="s">
        <v>4156</v>
      </c>
      <c r="I749" s="36" t="s">
        <v>824</v>
      </c>
    </row>
    <row r="750" spans="1:9" x14ac:dyDescent="0.3">
      <c r="A750">
        <v>753</v>
      </c>
      <c r="B750" s="36" t="s">
        <v>4162</v>
      </c>
      <c r="C750" s="36" t="s">
        <v>4154</v>
      </c>
      <c r="D750" s="36" t="s">
        <v>2999</v>
      </c>
      <c r="E750" s="36" t="s">
        <v>4151</v>
      </c>
      <c r="F750" s="37" t="s">
        <v>4148</v>
      </c>
      <c r="G750" s="36" t="s">
        <v>4153</v>
      </c>
      <c r="H750" s="36" t="s">
        <v>4156</v>
      </c>
      <c r="I750" s="36" t="s">
        <v>824</v>
      </c>
    </row>
    <row r="751" spans="1:9" x14ac:dyDescent="0.3">
      <c r="A751">
        <v>754</v>
      </c>
      <c r="B751" s="36" t="s">
        <v>4162</v>
      </c>
      <c r="C751" s="36" t="s">
        <v>4154</v>
      </c>
      <c r="D751" s="36" t="s">
        <v>2999</v>
      </c>
      <c r="E751" s="36" t="s">
        <v>4151</v>
      </c>
      <c r="F751" s="37" t="s">
        <v>4148</v>
      </c>
      <c r="G751" s="36" t="s">
        <v>4149</v>
      </c>
      <c r="H751" s="36" t="s">
        <v>4156</v>
      </c>
      <c r="I751" s="36" t="s">
        <v>824</v>
      </c>
    </row>
    <row r="752" spans="1:9" x14ac:dyDescent="0.3">
      <c r="A752">
        <v>755</v>
      </c>
      <c r="B752" s="36" t="s">
        <v>4162</v>
      </c>
      <c r="C752" s="36" t="s">
        <v>4154</v>
      </c>
      <c r="D752" s="36" t="s">
        <v>2999</v>
      </c>
      <c r="E752" s="36" t="s">
        <v>4151</v>
      </c>
      <c r="F752" s="37" t="s">
        <v>4148</v>
      </c>
      <c r="G752" s="36" t="s">
        <v>4153</v>
      </c>
      <c r="H752" s="36" t="s">
        <v>4156</v>
      </c>
      <c r="I752" s="36" t="s">
        <v>824</v>
      </c>
    </row>
    <row r="753" spans="1:9" x14ac:dyDescent="0.3">
      <c r="A753">
        <v>756</v>
      </c>
      <c r="B753" s="36" t="s">
        <v>4162</v>
      </c>
      <c r="C753" s="36" t="s">
        <v>4154</v>
      </c>
      <c r="D753" s="36" t="s">
        <v>2999</v>
      </c>
      <c r="E753" s="36" t="s">
        <v>4151</v>
      </c>
      <c r="F753" s="37" t="s">
        <v>4159</v>
      </c>
      <c r="G753" s="36" t="s">
        <v>4153</v>
      </c>
      <c r="H753" s="36" t="s">
        <v>4156</v>
      </c>
      <c r="I753" s="36" t="s">
        <v>824</v>
      </c>
    </row>
    <row r="754" spans="1:9" x14ac:dyDescent="0.3">
      <c r="A754">
        <v>757</v>
      </c>
      <c r="B754" s="36" t="s">
        <v>4162</v>
      </c>
      <c r="C754" s="36" t="s">
        <v>4154</v>
      </c>
      <c r="D754" s="36" t="s">
        <v>2999</v>
      </c>
      <c r="E754" s="36" t="s">
        <v>4151</v>
      </c>
      <c r="F754" s="37" t="s">
        <v>4148</v>
      </c>
      <c r="G754" s="36" t="s">
        <v>4153</v>
      </c>
      <c r="H754" s="36" t="s">
        <v>4156</v>
      </c>
      <c r="I754" s="36" t="s">
        <v>824</v>
      </c>
    </row>
    <row r="755" spans="1:9" x14ac:dyDescent="0.3">
      <c r="A755">
        <v>758</v>
      </c>
      <c r="B755" s="36" t="s">
        <v>4162</v>
      </c>
      <c r="C755" s="36" t="s">
        <v>4146</v>
      </c>
      <c r="D755" s="36" t="s">
        <v>3001</v>
      </c>
      <c r="E755" s="36" t="s">
        <v>4147</v>
      </c>
      <c r="F755" s="37" t="s">
        <v>4148</v>
      </c>
      <c r="G755" s="36" t="s">
        <v>4153</v>
      </c>
      <c r="H755" s="36" t="s">
        <v>4156</v>
      </c>
      <c r="I755" s="36" t="s">
        <v>824</v>
      </c>
    </row>
    <row r="756" spans="1:9" x14ac:dyDescent="0.3">
      <c r="A756">
        <v>759</v>
      </c>
      <c r="B756" s="36" t="s">
        <v>4162</v>
      </c>
      <c r="C756" s="36" t="s">
        <v>4146</v>
      </c>
      <c r="D756" s="36" t="s">
        <v>2999</v>
      </c>
      <c r="E756" s="36" t="s">
        <v>4151</v>
      </c>
      <c r="F756" s="37" t="s">
        <v>4155</v>
      </c>
      <c r="G756" s="36" t="s">
        <v>4153</v>
      </c>
      <c r="H756" s="36" t="s">
        <v>4156</v>
      </c>
      <c r="I756" s="36" t="s">
        <v>824</v>
      </c>
    </row>
    <row r="757" spans="1:9" x14ac:dyDescent="0.3">
      <c r="A757">
        <v>760</v>
      </c>
      <c r="B757" s="36" t="s">
        <v>4162</v>
      </c>
      <c r="C757" s="36" t="s">
        <v>4146</v>
      </c>
      <c r="D757" s="36" t="s">
        <v>3001</v>
      </c>
      <c r="E757" s="36" t="s">
        <v>4147</v>
      </c>
      <c r="F757" s="37" t="s">
        <v>4155</v>
      </c>
      <c r="G757" s="36" t="s">
        <v>4153</v>
      </c>
      <c r="H757" s="36" t="s">
        <v>4156</v>
      </c>
      <c r="I757" s="36" t="s">
        <v>824</v>
      </c>
    </row>
    <row r="758" spans="1:9" x14ac:dyDescent="0.3">
      <c r="A758">
        <v>761</v>
      </c>
      <c r="B758" s="36" t="s">
        <v>4162</v>
      </c>
      <c r="C758" s="36" t="s">
        <v>4146</v>
      </c>
      <c r="D758" s="36" t="s">
        <v>2999</v>
      </c>
      <c r="E758" s="36" t="s">
        <v>4151</v>
      </c>
      <c r="F758" s="37" t="s">
        <v>4148</v>
      </c>
      <c r="G758" s="36" t="s">
        <v>4149</v>
      </c>
      <c r="H758" s="36" t="s">
        <v>4156</v>
      </c>
      <c r="I758" s="36" t="s">
        <v>824</v>
      </c>
    </row>
    <row r="759" spans="1:9" x14ac:dyDescent="0.3">
      <c r="A759">
        <v>762</v>
      </c>
      <c r="B759" s="36" t="s">
        <v>4162</v>
      </c>
      <c r="C759" s="36" t="s">
        <v>4154</v>
      </c>
      <c r="D759" s="36" t="s">
        <v>2999</v>
      </c>
      <c r="E759" s="36" t="s">
        <v>4151</v>
      </c>
      <c r="F759" s="37" t="s">
        <v>4159</v>
      </c>
      <c r="G759" s="36" t="s">
        <v>4149</v>
      </c>
      <c r="H759" s="36" t="s">
        <v>4156</v>
      </c>
      <c r="I759" s="36" t="s">
        <v>824</v>
      </c>
    </row>
    <row r="760" spans="1:9" x14ac:dyDescent="0.3">
      <c r="A760">
        <v>763</v>
      </c>
      <c r="B760" s="36" t="s">
        <v>4162</v>
      </c>
      <c r="C760" s="36" t="s">
        <v>4146</v>
      </c>
      <c r="D760" s="36" t="s">
        <v>2996</v>
      </c>
      <c r="E760" s="36" t="s">
        <v>4151</v>
      </c>
      <c r="F760" s="37" t="s">
        <v>4152</v>
      </c>
      <c r="G760" s="36" t="s">
        <v>4153</v>
      </c>
      <c r="H760" s="36" t="s">
        <v>4156</v>
      </c>
      <c r="I760" s="36" t="s">
        <v>824</v>
      </c>
    </row>
    <row r="761" spans="1:9" x14ac:dyDescent="0.3">
      <c r="A761">
        <v>764</v>
      </c>
      <c r="B761" s="36" t="s">
        <v>4162</v>
      </c>
      <c r="C761" s="36" t="s">
        <v>4146</v>
      </c>
      <c r="D761" s="36" t="s">
        <v>2994</v>
      </c>
      <c r="E761" s="36" t="s">
        <v>4147</v>
      </c>
      <c r="F761" s="37" t="s">
        <v>4152</v>
      </c>
      <c r="G761" s="36" t="s">
        <v>4153</v>
      </c>
      <c r="H761" s="36" t="s">
        <v>4156</v>
      </c>
      <c r="I761" s="36" t="s">
        <v>824</v>
      </c>
    </row>
    <row r="762" spans="1:9" x14ac:dyDescent="0.3">
      <c r="A762">
        <v>765</v>
      </c>
      <c r="B762" s="36" t="s">
        <v>4162</v>
      </c>
      <c r="C762" s="36" t="s">
        <v>4154</v>
      </c>
      <c r="D762" s="36" t="s">
        <v>2999</v>
      </c>
      <c r="E762" s="36" t="s">
        <v>4151</v>
      </c>
      <c r="F762" s="37" t="s">
        <v>4148</v>
      </c>
      <c r="G762" s="36" t="s">
        <v>4153</v>
      </c>
      <c r="H762" s="36" t="s">
        <v>4156</v>
      </c>
      <c r="I762" s="36" t="s">
        <v>824</v>
      </c>
    </row>
    <row r="763" spans="1:9" x14ac:dyDescent="0.3">
      <c r="A763">
        <v>766</v>
      </c>
      <c r="B763" s="36" t="s">
        <v>4162</v>
      </c>
      <c r="C763" s="36" t="s">
        <v>4146</v>
      </c>
      <c r="D763" s="36" t="s">
        <v>3001</v>
      </c>
      <c r="E763" s="36" t="s">
        <v>4147</v>
      </c>
      <c r="F763" s="37" t="s">
        <v>4155</v>
      </c>
      <c r="G763" s="36" t="s">
        <v>4153</v>
      </c>
      <c r="H763" s="36" t="s">
        <v>4156</v>
      </c>
      <c r="I763" s="36" t="s">
        <v>824</v>
      </c>
    </row>
    <row r="764" spans="1:9" x14ac:dyDescent="0.3">
      <c r="A764">
        <v>767</v>
      </c>
      <c r="B764" s="36" t="s">
        <v>4162</v>
      </c>
      <c r="C764" s="36" t="s">
        <v>4154</v>
      </c>
      <c r="D764" s="36" t="s">
        <v>2999</v>
      </c>
      <c r="E764" s="36" t="s">
        <v>4151</v>
      </c>
      <c r="F764" s="37" t="s">
        <v>4148</v>
      </c>
      <c r="G764" s="36" t="s">
        <v>4149</v>
      </c>
      <c r="H764" s="36" t="s">
        <v>4156</v>
      </c>
      <c r="I764" s="36" t="s">
        <v>824</v>
      </c>
    </row>
    <row r="765" spans="1:9" x14ac:dyDescent="0.3">
      <c r="A765">
        <v>768</v>
      </c>
      <c r="B765" s="36" t="s">
        <v>4162</v>
      </c>
      <c r="C765" s="36" t="s">
        <v>4154</v>
      </c>
      <c r="D765" s="36" t="s">
        <v>2999</v>
      </c>
      <c r="E765" s="36" t="s">
        <v>4151</v>
      </c>
      <c r="F765" s="37" t="s">
        <v>4148</v>
      </c>
      <c r="G765" s="36" t="s">
        <v>4149</v>
      </c>
      <c r="H765" s="36" t="s">
        <v>4156</v>
      </c>
      <c r="I765" s="36" t="s">
        <v>824</v>
      </c>
    </row>
    <row r="766" spans="1:9" x14ac:dyDescent="0.3">
      <c r="A766">
        <v>769</v>
      </c>
      <c r="B766" s="36" t="s">
        <v>4162</v>
      </c>
      <c r="C766" s="36" t="s">
        <v>4154</v>
      </c>
      <c r="D766" s="36" t="s">
        <v>2999</v>
      </c>
      <c r="E766" s="36" t="s">
        <v>4151</v>
      </c>
      <c r="F766" s="37" t="s">
        <v>4148</v>
      </c>
      <c r="G766" s="36" t="s">
        <v>4149</v>
      </c>
      <c r="H766" s="36" t="s">
        <v>4156</v>
      </c>
      <c r="I766" s="36" t="s">
        <v>824</v>
      </c>
    </row>
    <row r="767" spans="1:9" x14ac:dyDescent="0.3">
      <c r="A767">
        <v>770</v>
      </c>
      <c r="B767" s="36" t="s">
        <v>4162</v>
      </c>
      <c r="C767" s="36" t="s">
        <v>4154</v>
      </c>
      <c r="D767" s="36" t="s">
        <v>2999</v>
      </c>
      <c r="E767" s="36" t="s">
        <v>4151</v>
      </c>
      <c r="F767" s="37" t="s">
        <v>4148</v>
      </c>
      <c r="G767" s="36" t="s">
        <v>4149</v>
      </c>
      <c r="H767" s="36" t="s">
        <v>4156</v>
      </c>
      <c r="I767" s="36" t="s">
        <v>824</v>
      </c>
    </row>
    <row r="768" spans="1:9" x14ac:dyDescent="0.3">
      <c r="A768">
        <v>771</v>
      </c>
      <c r="B768" s="36" t="s">
        <v>4162</v>
      </c>
      <c r="C768" s="36" t="s">
        <v>4154</v>
      </c>
      <c r="D768" s="36" t="s">
        <v>2999</v>
      </c>
      <c r="E768" s="36" t="s">
        <v>4151</v>
      </c>
      <c r="F768" s="37" t="s">
        <v>4155</v>
      </c>
      <c r="G768" s="36" t="s">
        <v>4149</v>
      </c>
      <c r="H768" s="36" t="s">
        <v>4156</v>
      </c>
      <c r="I768" s="36" t="s">
        <v>824</v>
      </c>
    </row>
    <row r="769" spans="1:9" x14ac:dyDescent="0.3">
      <c r="A769">
        <v>772</v>
      </c>
      <c r="B769" s="36" t="s">
        <v>4162</v>
      </c>
      <c r="C769" s="36" t="s">
        <v>4146</v>
      </c>
      <c r="D769" s="36" t="s">
        <v>2994</v>
      </c>
      <c r="E769" s="36" t="s">
        <v>4147</v>
      </c>
      <c r="F769" s="37" t="s">
        <v>4148</v>
      </c>
      <c r="G769" s="36" t="s">
        <v>4149</v>
      </c>
      <c r="H769" s="36" t="s">
        <v>4156</v>
      </c>
      <c r="I769" s="36" t="s">
        <v>4160</v>
      </c>
    </row>
    <row r="770" spans="1:9" x14ac:dyDescent="0.3">
      <c r="A770">
        <v>773</v>
      </c>
      <c r="B770" s="36" t="s">
        <v>4162</v>
      </c>
      <c r="C770" s="36" t="s">
        <v>4154</v>
      </c>
      <c r="D770" s="36" t="s">
        <v>2999</v>
      </c>
      <c r="E770" s="36" t="s">
        <v>4151</v>
      </c>
      <c r="F770" s="37" t="s">
        <v>4159</v>
      </c>
      <c r="G770" s="36" t="s">
        <v>4149</v>
      </c>
      <c r="H770" s="36" t="s">
        <v>4156</v>
      </c>
      <c r="I770" s="36" t="s">
        <v>824</v>
      </c>
    </row>
    <row r="771" spans="1:9" x14ac:dyDescent="0.3">
      <c r="A771">
        <v>774</v>
      </c>
      <c r="B771" s="36" t="s">
        <v>4162</v>
      </c>
      <c r="C771" s="36" t="s">
        <v>4154</v>
      </c>
      <c r="D771" s="36" t="s">
        <v>2999</v>
      </c>
      <c r="E771" s="36" t="s">
        <v>4151</v>
      </c>
      <c r="F771" s="37" t="s">
        <v>4155</v>
      </c>
      <c r="G771" s="36" t="s">
        <v>4149</v>
      </c>
      <c r="H771" s="36" t="s">
        <v>4156</v>
      </c>
      <c r="I771" s="36" t="s">
        <v>824</v>
      </c>
    </row>
    <row r="772" spans="1:9" x14ac:dyDescent="0.3">
      <c r="A772">
        <v>775</v>
      </c>
      <c r="B772" s="36" t="s">
        <v>4162</v>
      </c>
      <c r="C772" s="36" t="s">
        <v>4154</v>
      </c>
      <c r="D772" s="36" t="s">
        <v>2999</v>
      </c>
      <c r="E772" s="36" t="s">
        <v>4151</v>
      </c>
      <c r="F772" s="37" t="s">
        <v>4155</v>
      </c>
      <c r="G772" s="36" t="s">
        <v>4149</v>
      </c>
      <c r="H772" s="36" t="s">
        <v>4156</v>
      </c>
      <c r="I772" s="36" t="s">
        <v>824</v>
      </c>
    </row>
    <row r="773" spans="1:9" x14ac:dyDescent="0.3">
      <c r="A773">
        <v>776</v>
      </c>
      <c r="B773" s="36" t="s">
        <v>4162</v>
      </c>
      <c r="C773" s="36" t="s">
        <v>4154</v>
      </c>
      <c r="D773" s="36" t="s">
        <v>2999</v>
      </c>
      <c r="E773" s="36" t="s">
        <v>4151</v>
      </c>
      <c r="F773" s="37" t="s">
        <v>4148</v>
      </c>
      <c r="G773" s="36" t="s">
        <v>4149</v>
      </c>
      <c r="H773" s="36" t="s">
        <v>4156</v>
      </c>
      <c r="I773" s="36" t="s">
        <v>4199</v>
      </c>
    </row>
    <row r="774" spans="1:9" x14ac:dyDescent="0.3">
      <c r="A774">
        <v>777</v>
      </c>
      <c r="B774" s="36" t="s">
        <v>4162</v>
      </c>
      <c r="C774" s="36" t="s">
        <v>4154</v>
      </c>
      <c r="D774" s="36" t="s">
        <v>2999</v>
      </c>
      <c r="E774" s="36" t="s">
        <v>4151</v>
      </c>
      <c r="F774" s="37" t="s">
        <v>4155</v>
      </c>
      <c r="G774" s="36" t="s">
        <v>4149</v>
      </c>
      <c r="H774" s="36" t="s">
        <v>4156</v>
      </c>
      <c r="I774" s="36" t="s">
        <v>4160</v>
      </c>
    </row>
    <row r="775" spans="1:9" x14ac:dyDescent="0.3">
      <c r="A775">
        <v>778</v>
      </c>
      <c r="B775" s="36" t="s">
        <v>4162</v>
      </c>
      <c r="C775" s="36" t="s">
        <v>4146</v>
      </c>
      <c r="D775" s="36" t="s">
        <v>2999</v>
      </c>
      <c r="E775" s="36" t="s">
        <v>4151</v>
      </c>
      <c r="F775" s="37" t="s">
        <v>4148</v>
      </c>
      <c r="G775" s="36" t="s">
        <v>4149</v>
      </c>
      <c r="H775" s="36" t="s">
        <v>4156</v>
      </c>
      <c r="I775" s="36" t="s">
        <v>824</v>
      </c>
    </row>
    <row r="776" spans="1:9" x14ac:dyDescent="0.3">
      <c r="A776">
        <v>779</v>
      </c>
      <c r="B776" s="36" t="s">
        <v>4162</v>
      </c>
      <c r="C776" s="36" t="s">
        <v>4146</v>
      </c>
      <c r="D776" s="36" t="s">
        <v>2994</v>
      </c>
      <c r="E776" s="36" t="s">
        <v>4147</v>
      </c>
      <c r="F776" s="37" t="s">
        <v>4148</v>
      </c>
      <c r="G776" s="36" t="s">
        <v>4149</v>
      </c>
      <c r="H776" s="36" t="s">
        <v>4156</v>
      </c>
      <c r="I776" s="36" t="s">
        <v>824</v>
      </c>
    </row>
    <row r="777" spans="1:9" x14ac:dyDescent="0.3">
      <c r="A777">
        <v>780</v>
      </c>
      <c r="B777" s="36" t="s">
        <v>4162</v>
      </c>
      <c r="C777" s="36" t="s">
        <v>4154</v>
      </c>
      <c r="D777" s="36" t="s">
        <v>2994</v>
      </c>
      <c r="E777" s="36" t="s">
        <v>4147</v>
      </c>
      <c r="F777" s="37" t="s">
        <v>4148</v>
      </c>
      <c r="G777" s="36" t="s">
        <v>4149</v>
      </c>
      <c r="H777" s="36" t="s">
        <v>4156</v>
      </c>
      <c r="I777" s="36" t="s">
        <v>4160</v>
      </c>
    </row>
    <row r="778" spans="1:9" x14ac:dyDescent="0.3">
      <c r="A778">
        <v>781</v>
      </c>
      <c r="B778" s="36" t="s">
        <v>4162</v>
      </c>
      <c r="C778" s="36" t="s">
        <v>4146</v>
      </c>
      <c r="D778" s="36" t="s">
        <v>2994</v>
      </c>
      <c r="E778" s="36" t="s">
        <v>4147</v>
      </c>
      <c r="F778" s="37" t="s">
        <v>4148</v>
      </c>
      <c r="G778" s="36" t="s">
        <v>4149</v>
      </c>
      <c r="H778" s="36" t="s">
        <v>4156</v>
      </c>
      <c r="I778" s="36" t="s">
        <v>824</v>
      </c>
    </row>
    <row r="779" spans="1:9" x14ac:dyDescent="0.3">
      <c r="A779">
        <v>782</v>
      </c>
      <c r="B779" s="36" t="s">
        <v>4162</v>
      </c>
      <c r="C779" s="36" t="s">
        <v>4154</v>
      </c>
      <c r="D779" s="36" t="s">
        <v>2999</v>
      </c>
      <c r="E779" s="36" t="s">
        <v>4151</v>
      </c>
      <c r="F779" s="37" t="s">
        <v>4155</v>
      </c>
      <c r="G779" s="36" t="s">
        <v>4149</v>
      </c>
      <c r="H779" s="36" t="s">
        <v>4156</v>
      </c>
      <c r="I779" s="36" t="s">
        <v>4199</v>
      </c>
    </row>
    <row r="780" spans="1:9" x14ac:dyDescent="0.3">
      <c r="A780">
        <v>783</v>
      </c>
      <c r="B780" s="36" t="s">
        <v>4162</v>
      </c>
      <c r="C780" s="36" t="s">
        <v>4154</v>
      </c>
      <c r="D780" s="36" t="s">
        <v>2999</v>
      </c>
      <c r="E780" s="36" t="s">
        <v>4151</v>
      </c>
      <c r="F780" s="37" t="s">
        <v>4157</v>
      </c>
      <c r="G780" s="36" t="s">
        <v>4149</v>
      </c>
      <c r="H780" s="36" t="s">
        <v>4156</v>
      </c>
      <c r="I780" s="36" t="s">
        <v>4160</v>
      </c>
    </row>
    <row r="781" spans="1:9" x14ac:dyDescent="0.3">
      <c r="A781">
        <v>784</v>
      </c>
      <c r="B781" s="36" t="s">
        <v>4162</v>
      </c>
      <c r="C781" s="36" t="s">
        <v>4146</v>
      </c>
      <c r="D781" s="36" t="s">
        <v>2999</v>
      </c>
      <c r="E781" s="36" t="s">
        <v>4151</v>
      </c>
      <c r="F781" s="37" t="s">
        <v>4148</v>
      </c>
      <c r="G781" s="36" t="s">
        <v>4149</v>
      </c>
      <c r="H781" s="36" t="s">
        <v>4156</v>
      </c>
      <c r="I781" s="36" t="s">
        <v>824</v>
      </c>
    </row>
    <row r="782" spans="1:9" x14ac:dyDescent="0.3">
      <c r="A782">
        <v>785</v>
      </c>
      <c r="B782" s="36" t="s">
        <v>4162</v>
      </c>
      <c r="C782" s="36" t="s">
        <v>4154</v>
      </c>
      <c r="D782" s="36" t="s">
        <v>2999</v>
      </c>
      <c r="E782" s="36" t="s">
        <v>4151</v>
      </c>
      <c r="F782" s="37" t="s">
        <v>4148</v>
      </c>
      <c r="G782" s="36" t="s">
        <v>4153</v>
      </c>
      <c r="H782" s="36" t="s">
        <v>4156</v>
      </c>
      <c r="I782" s="36" t="s">
        <v>824</v>
      </c>
    </row>
    <row r="783" spans="1:9" x14ac:dyDescent="0.3">
      <c r="A783">
        <v>786</v>
      </c>
      <c r="B783" s="36" t="s">
        <v>4162</v>
      </c>
      <c r="C783" s="36" t="s">
        <v>4146</v>
      </c>
      <c r="D783" s="36" t="s">
        <v>3001</v>
      </c>
      <c r="E783" s="36" t="s">
        <v>4147</v>
      </c>
      <c r="F783" s="37" t="s">
        <v>4148</v>
      </c>
      <c r="G783" s="36" t="s">
        <v>4153</v>
      </c>
      <c r="H783" s="36" t="s">
        <v>4156</v>
      </c>
      <c r="I783" s="36" t="s">
        <v>824</v>
      </c>
    </row>
    <row r="784" spans="1:9" x14ac:dyDescent="0.3">
      <c r="A784">
        <v>787</v>
      </c>
      <c r="B784" s="36" t="s">
        <v>4162</v>
      </c>
      <c r="C784" s="36" t="s">
        <v>4154</v>
      </c>
      <c r="D784" s="36" t="s">
        <v>2999</v>
      </c>
      <c r="E784" s="36" t="s">
        <v>4151</v>
      </c>
      <c r="F784" s="37" t="s">
        <v>4159</v>
      </c>
      <c r="G784" s="36" t="s">
        <v>4149</v>
      </c>
      <c r="H784" s="36" t="s">
        <v>4156</v>
      </c>
      <c r="I784" s="36" t="s">
        <v>824</v>
      </c>
    </row>
    <row r="785" spans="1:9" x14ac:dyDescent="0.3">
      <c r="A785">
        <v>788</v>
      </c>
      <c r="B785" s="36" t="s">
        <v>4162</v>
      </c>
      <c r="C785" s="36" t="s">
        <v>4154</v>
      </c>
      <c r="D785" s="36" t="s">
        <v>2999</v>
      </c>
      <c r="E785" s="36" t="s">
        <v>4151</v>
      </c>
      <c r="F785" s="37" t="s">
        <v>4159</v>
      </c>
      <c r="G785" s="36" t="s">
        <v>4149</v>
      </c>
      <c r="H785" s="36" t="s">
        <v>4156</v>
      </c>
      <c r="I785" s="36" t="s">
        <v>824</v>
      </c>
    </row>
    <row r="786" spans="1:9" x14ac:dyDescent="0.3">
      <c r="A786">
        <v>789</v>
      </c>
      <c r="B786" s="36" t="s">
        <v>4162</v>
      </c>
      <c r="C786" s="36" t="s">
        <v>4154</v>
      </c>
      <c r="D786" s="36" t="s">
        <v>2999</v>
      </c>
      <c r="E786" s="36" t="s">
        <v>4151</v>
      </c>
      <c r="F786" s="37" t="s">
        <v>4155</v>
      </c>
      <c r="G786" s="36" t="s">
        <v>4149</v>
      </c>
      <c r="H786" s="36" t="s">
        <v>4156</v>
      </c>
      <c r="I786" s="36" t="s">
        <v>824</v>
      </c>
    </row>
    <row r="787" spans="1:9" x14ac:dyDescent="0.3">
      <c r="A787">
        <v>790</v>
      </c>
      <c r="B787" s="36" t="s">
        <v>4162</v>
      </c>
      <c r="C787" s="36" t="s">
        <v>4154</v>
      </c>
      <c r="D787" s="36" t="s">
        <v>2999</v>
      </c>
      <c r="E787" s="36" t="s">
        <v>4151</v>
      </c>
      <c r="F787" s="37" t="s">
        <v>4148</v>
      </c>
      <c r="G787" s="36" t="s">
        <v>4149</v>
      </c>
      <c r="H787" s="36" t="s">
        <v>4156</v>
      </c>
      <c r="I787" s="36" t="s">
        <v>4199</v>
      </c>
    </row>
    <row r="788" spans="1:9" x14ac:dyDescent="0.3">
      <c r="A788">
        <v>791</v>
      </c>
      <c r="B788" s="36" t="s">
        <v>4162</v>
      </c>
      <c r="C788" s="36" t="s">
        <v>4154</v>
      </c>
      <c r="D788" s="36" t="s">
        <v>2999</v>
      </c>
      <c r="E788" s="36" t="s">
        <v>4151</v>
      </c>
      <c r="F788" s="37" t="s">
        <v>4155</v>
      </c>
      <c r="G788" s="36" t="s">
        <v>4153</v>
      </c>
      <c r="H788" s="36" t="s">
        <v>4156</v>
      </c>
      <c r="I788" s="36" t="s">
        <v>4199</v>
      </c>
    </row>
    <row r="789" spans="1:9" x14ac:dyDescent="0.3">
      <c r="A789">
        <v>792</v>
      </c>
      <c r="B789" s="36" t="s">
        <v>4162</v>
      </c>
      <c r="C789" s="36" t="s">
        <v>4154</v>
      </c>
      <c r="D789" s="36" t="s">
        <v>2999</v>
      </c>
      <c r="E789" s="36" t="s">
        <v>4151</v>
      </c>
      <c r="F789" s="37" t="s">
        <v>4159</v>
      </c>
      <c r="G789" s="36" t="s">
        <v>4153</v>
      </c>
      <c r="H789" s="36" t="s">
        <v>4156</v>
      </c>
      <c r="I789" s="36" t="s">
        <v>4199</v>
      </c>
    </row>
    <row r="790" spans="1:9" x14ac:dyDescent="0.3">
      <c r="A790">
        <v>793</v>
      </c>
      <c r="B790" s="36" t="s">
        <v>4162</v>
      </c>
      <c r="C790" s="36" t="s">
        <v>4154</v>
      </c>
      <c r="D790" s="36" t="s">
        <v>2999</v>
      </c>
      <c r="E790" s="36" t="s">
        <v>4151</v>
      </c>
      <c r="F790" s="37" t="s">
        <v>4159</v>
      </c>
      <c r="G790" s="36" t="s">
        <v>4153</v>
      </c>
      <c r="H790" s="36" t="s">
        <v>4156</v>
      </c>
      <c r="I790" s="36" t="s">
        <v>4199</v>
      </c>
    </row>
    <row r="791" spans="1:9" x14ac:dyDescent="0.3">
      <c r="A791">
        <v>794</v>
      </c>
      <c r="B791" s="36" t="s">
        <v>4162</v>
      </c>
      <c r="C791" s="36" t="s">
        <v>4154</v>
      </c>
      <c r="D791" s="36" t="s">
        <v>2999</v>
      </c>
      <c r="E791" s="36" t="s">
        <v>4151</v>
      </c>
      <c r="F791" s="37" t="s">
        <v>4155</v>
      </c>
      <c r="G791" s="36" t="s">
        <v>4149</v>
      </c>
      <c r="H791" s="36" t="s">
        <v>4156</v>
      </c>
      <c r="I791" s="36" t="s">
        <v>824</v>
      </c>
    </row>
    <row r="792" spans="1:9" x14ac:dyDescent="0.3">
      <c r="A792">
        <v>795</v>
      </c>
      <c r="B792" s="36" t="s">
        <v>4162</v>
      </c>
      <c r="C792" s="36" t="s">
        <v>4146</v>
      </c>
      <c r="D792" s="36" t="s">
        <v>2994</v>
      </c>
      <c r="E792" s="36" t="s">
        <v>4147</v>
      </c>
      <c r="F792" s="37" t="s">
        <v>4152</v>
      </c>
      <c r="G792" s="36" t="s">
        <v>4149</v>
      </c>
      <c r="H792" s="36" t="s">
        <v>4156</v>
      </c>
      <c r="I792" s="36" t="s">
        <v>824</v>
      </c>
    </row>
    <row r="793" spans="1:9" x14ac:dyDescent="0.3">
      <c r="A793">
        <v>796</v>
      </c>
      <c r="B793" s="36" t="s">
        <v>4162</v>
      </c>
      <c r="C793" s="36" t="s">
        <v>4154</v>
      </c>
      <c r="D793" s="36" t="s">
        <v>2999</v>
      </c>
      <c r="E793" s="36" t="s">
        <v>4151</v>
      </c>
      <c r="F793" s="37" t="s">
        <v>4148</v>
      </c>
      <c r="G793" s="36" t="s">
        <v>4149</v>
      </c>
      <c r="H793" s="36" t="s">
        <v>4156</v>
      </c>
      <c r="I793" s="36" t="s">
        <v>4199</v>
      </c>
    </row>
    <row r="794" spans="1:9" x14ac:dyDescent="0.3">
      <c r="A794">
        <v>797</v>
      </c>
      <c r="B794" s="36" t="s">
        <v>4162</v>
      </c>
      <c r="C794" s="36" t="s">
        <v>4154</v>
      </c>
      <c r="D794" s="36" t="s">
        <v>2999</v>
      </c>
      <c r="E794" s="36" t="s">
        <v>4151</v>
      </c>
      <c r="F794" s="37" t="s">
        <v>4155</v>
      </c>
      <c r="G794" s="36" t="s">
        <v>4149</v>
      </c>
      <c r="H794" s="36" t="s">
        <v>4156</v>
      </c>
      <c r="I794" s="36" t="s">
        <v>824</v>
      </c>
    </row>
    <row r="795" spans="1:9" x14ac:dyDescent="0.3">
      <c r="A795">
        <v>798</v>
      </c>
      <c r="B795" s="36" t="s">
        <v>4162</v>
      </c>
      <c r="C795" s="36" t="s">
        <v>4154</v>
      </c>
      <c r="D795" s="36" t="s">
        <v>2999</v>
      </c>
      <c r="E795" s="36" t="s">
        <v>4151</v>
      </c>
      <c r="F795" s="37" t="s">
        <v>4155</v>
      </c>
      <c r="G795" s="36" t="s">
        <v>4149</v>
      </c>
      <c r="H795" s="36" t="s">
        <v>4156</v>
      </c>
      <c r="I795" s="36" t="s">
        <v>4160</v>
      </c>
    </row>
    <row r="796" spans="1:9" x14ac:dyDescent="0.3">
      <c r="A796">
        <v>799</v>
      </c>
      <c r="B796" s="36" t="s">
        <v>4162</v>
      </c>
      <c r="C796" s="36" t="s">
        <v>4146</v>
      </c>
      <c r="D796" s="36" t="s">
        <v>2999</v>
      </c>
      <c r="E796" s="36" t="s">
        <v>4151</v>
      </c>
      <c r="F796" s="37" t="s">
        <v>4148</v>
      </c>
      <c r="G796" s="36" t="s">
        <v>4149</v>
      </c>
      <c r="H796" s="36" t="s">
        <v>4156</v>
      </c>
      <c r="I796" s="36" t="s">
        <v>824</v>
      </c>
    </row>
    <row r="797" spans="1:9" x14ac:dyDescent="0.3">
      <c r="A797">
        <v>800</v>
      </c>
      <c r="B797" s="36" t="s">
        <v>4162</v>
      </c>
      <c r="C797" s="36" t="s">
        <v>4154</v>
      </c>
      <c r="D797" s="36" t="s">
        <v>2999</v>
      </c>
      <c r="E797" s="36" t="s">
        <v>4151</v>
      </c>
      <c r="F797" s="37" t="s">
        <v>4159</v>
      </c>
      <c r="G797" s="36" t="s">
        <v>4149</v>
      </c>
      <c r="H797" s="36" t="s">
        <v>4156</v>
      </c>
      <c r="I797" s="36" t="s">
        <v>824</v>
      </c>
    </row>
    <row r="798" spans="1:9" x14ac:dyDescent="0.3">
      <c r="A798">
        <v>801</v>
      </c>
      <c r="B798" s="36" t="s">
        <v>4162</v>
      </c>
      <c r="C798" s="36" t="s">
        <v>4154</v>
      </c>
      <c r="D798" s="36" t="s">
        <v>2994</v>
      </c>
      <c r="E798" s="36" t="s">
        <v>4147</v>
      </c>
      <c r="F798" s="37" t="s">
        <v>4148</v>
      </c>
      <c r="G798" s="36" t="s">
        <v>4149</v>
      </c>
      <c r="H798" s="36" t="s">
        <v>4156</v>
      </c>
      <c r="I798" s="36" t="s">
        <v>4160</v>
      </c>
    </row>
    <row r="799" spans="1:9" x14ac:dyDescent="0.3">
      <c r="A799">
        <v>802</v>
      </c>
      <c r="B799" s="36" t="s">
        <v>4162</v>
      </c>
      <c r="C799" s="36" t="s">
        <v>4154</v>
      </c>
      <c r="D799" s="36" t="s">
        <v>2999</v>
      </c>
      <c r="E799" s="36" t="s">
        <v>4151</v>
      </c>
      <c r="F799" s="37" t="s">
        <v>4148</v>
      </c>
      <c r="G799" s="36" t="s">
        <v>4149</v>
      </c>
      <c r="H799" s="36" t="s">
        <v>4156</v>
      </c>
      <c r="I799" s="36" t="s">
        <v>4160</v>
      </c>
    </row>
    <row r="800" spans="1:9" x14ac:dyDescent="0.3">
      <c r="A800">
        <v>803</v>
      </c>
      <c r="B800" s="36" t="s">
        <v>4162</v>
      </c>
      <c r="C800" s="36" t="s">
        <v>4154</v>
      </c>
      <c r="D800" s="36" t="s">
        <v>2999</v>
      </c>
      <c r="E800" s="36" t="s">
        <v>4151</v>
      </c>
      <c r="F800" s="37" t="s">
        <v>4148</v>
      </c>
      <c r="G800" s="36" t="s">
        <v>4149</v>
      </c>
      <c r="H800" s="36" t="s">
        <v>4156</v>
      </c>
      <c r="I800" s="36" t="s">
        <v>4160</v>
      </c>
    </row>
    <row r="801" spans="1:9" x14ac:dyDescent="0.3">
      <c r="A801">
        <v>804</v>
      </c>
      <c r="B801" s="36" t="s">
        <v>4162</v>
      </c>
      <c r="C801" s="36" t="s">
        <v>4154</v>
      </c>
      <c r="D801" s="36" t="s">
        <v>2999</v>
      </c>
      <c r="E801" s="36" t="s">
        <v>4151</v>
      </c>
      <c r="F801" s="37" t="s">
        <v>4148</v>
      </c>
      <c r="G801" s="36" t="s">
        <v>4149</v>
      </c>
      <c r="H801" s="36" t="s">
        <v>4156</v>
      </c>
      <c r="I801" s="36" t="s">
        <v>4160</v>
      </c>
    </row>
    <row r="802" spans="1:9" x14ac:dyDescent="0.3">
      <c r="A802">
        <v>805</v>
      </c>
      <c r="B802" s="36" t="s">
        <v>4162</v>
      </c>
      <c r="C802" s="36" t="s">
        <v>4154</v>
      </c>
      <c r="D802" s="36" t="s">
        <v>2999</v>
      </c>
      <c r="E802" s="36" t="s">
        <v>4151</v>
      </c>
      <c r="F802" s="37" t="s">
        <v>4148</v>
      </c>
      <c r="G802" s="36" t="s">
        <v>4149</v>
      </c>
      <c r="H802" s="36" t="s">
        <v>4156</v>
      </c>
      <c r="I802" s="36" t="s">
        <v>4160</v>
      </c>
    </row>
    <row r="803" spans="1:9" x14ac:dyDescent="0.3">
      <c r="A803">
        <v>806</v>
      </c>
      <c r="B803" s="36" t="s">
        <v>4162</v>
      </c>
      <c r="C803" s="36" t="s">
        <v>4146</v>
      </c>
      <c r="D803" s="36" t="s">
        <v>2999</v>
      </c>
      <c r="E803" s="36" t="s">
        <v>4151</v>
      </c>
      <c r="F803" s="37" t="s">
        <v>4148</v>
      </c>
      <c r="G803" s="36" t="s">
        <v>4149</v>
      </c>
      <c r="H803" s="36" t="s">
        <v>4158</v>
      </c>
      <c r="I803" s="36" t="s">
        <v>824</v>
      </c>
    </row>
    <row r="804" spans="1:9" x14ac:dyDescent="0.3">
      <c r="A804">
        <v>807</v>
      </c>
      <c r="B804" s="36" t="s">
        <v>4162</v>
      </c>
      <c r="C804" s="36" t="s">
        <v>4154</v>
      </c>
      <c r="D804" s="36" t="s">
        <v>2994</v>
      </c>
      <c r="E804" s="36" t="s">
        <v>4147</v>
      </c>
      <c r="F804" s="37" t="s">
        <v>4148</v>
      </c>
      <c r="G804" s="36" t="s">
        <v>4153</v>
      </c>
      <c r="H804" s="36" t="s">
        <v>4156</v>
      </c>
      <c r="I804" s="36" t="s">
        <v>824</v>
      </c>
    </row>
    <row r="805" spans="1:9" x14ac:dyDescent="0.3">
      <c r="A805">
        <v>808</v>
      </c>
      <c r="B805" s="36" t="s">
        <v>4162</v>
      </c>
      <c r="C805" s="36" t="s">
        <v>4154</v>
      </c>
      <c r="D805" s="36" t="s">
        <v>2994</v>
      </c>
      <c r="E805" s="36" t="s">
        <v>4147</v>
      </c>
      <c r="F805" s="37" t="s">
        <v>4152</v>
      </c>
      <c r="G805" s="36" t="s">
        <v>4153</v>
      </c>
      <c r="H805" s="36" t="s">
        <v>4156</v>
      </c>
      <c r="I805" s="36" t="s">
        <v>824</v>
      </c>
    </row>
    <row r="806" spans="1:9" x14ac:dyDescent="0.3">
      <c r="A806">
        <v>809</v>
      </c>
      <c r="B806" s="36" t="s">
        <v>4162</v>
      </c>
      <c r="C806" s="36" t="s">
        <v>4154</v>
      </c>
      <c r="D806" s="36" t="s">
        <v>2999</v>
      </c>
      <c r="E806" s="36" t="s">
        <v>4151</v>
      </c>
      <c r="F806" s="37" t="s">
        <v>4148</v>
      </c>
      <c r="G806" s="36" t="s">
        <v>4149</v>
      </c>
      <c r="H806" s="36" t="s">
        <v>4156</v>
      </c>
      <c r="I806" s="36" t="s">
        <v>824</v>
      </c>
    </row>
    <row r="807" spans="1:9" x14ac:dyDescent="0.3">
      <c r="A807">
        <v>810</v>
      </c>
      <c r="B807" s="36" t="s">
        <v>4162</v>
      </c>
      <c r="C807" s="36" t="s">
        <v>4154</v>
      </c>
      <c r="D807" s="36" t="s">
        <v>2999</v>
      </c>
      <c r="E807" s="36" t="s">
        <v>4151</v>
      </c>
      <c r="F807" s="37" t="s">
        <v>4159</v>
      </c>
      <c r="G807" s="36" t="s">
        <v>4153</v>
      </c>
      <c r="H807" s="36" t="s">
        <v>4156</v>
      </c>
      <c r="I807" s="36" t="s">
        <v>824</v>
      </c>
    </row>
    <row r="808" spans="1:9" x14ac:dyDescent="0.3">
      <c r="A808">
        <v>811</v>
      </c>
      <c r="B808" s="36" t="s">
        <v>4162</v>
      </c>
      <c r="C808" s="36" t="s">
        <v>4154</v>
      </c>
      <c r="D808" s="36" t="s">
        <v>2999</v>
      </c>
      <c r="E808" s="36" t="s">
        <v>4151</v>
      </c>
      <c r="F808" s="37" t="s">
        <v>4159</v>
      </c>
      <c r="G808" s="36" t="s">
        <v>4153</v>
      </c>
      <c r="H808" s="36" t="s">
        <v>4156</v>
      </c>
      <c r="I808" s="36" t="s">
        <v>824</v>
      </c>
    </row>
    <row r="809" spans="1:9" x14ac:dyDescent="0.3">
      <c r="A809">
        <v>812</v>
      </c>
      <c r="B809" s="36" t="s">
        <v>4162</v>
      </c>
      <c r="C809" s="36" t="s">
        <v>4154</v>
      </c>
      <c r="D809" s="36" t="s">
        <v>3001</v>
      </c>
      <c r="E809" s="36" t="s">
        <v>4147</v>
      </c>
      <c r="F809" s="37" t="s">
        <v>4155</v>
      </c>
      <c r="G809" s="36" t="s">
        <v>4153</v>
      </c>
      <c r="H809" s="36" t="s">
        <v>4156</v>
      </c>
      <c r="I809" s="36" t="s">
        <v>824</v>
      </c>
    </row>
    <row r="810" spans="1:9" x14ac:dyDescent="0.3">
      <c r="A810">
        <v>813</v>
      </c>
      <c r="B810" s="36" t="s">
        <v>4162</v>
      </c>
      <c r="C810" s="36" t="s">
        <v>4154</v>
      </c>
      <c r="D810" s="36" t="s">
        <v>2999</v>
      </c>
      <c r="E810" s="36" t="s">
        <v>4151</v>
      </c>
      <c r="F810" s="37" t="s">
        <v>4148</v>
      </c>
      <c r="G810" s="36" t="s">
        <v>4149</v>
      </c>
      <c r="H810" s="36" t="s">
        <v>4156</v>
      </c>
      <c r="I810" s="36" t="s">
        <v>4160</v>
      </c>
    </row>
    <row r="811" spans="1:9" x14ac:dyDescent="0.3">
      <c r="A811">
        <v>814</v>
      </c>
      <c r="B811" s="36" t="s">
        <v>4162</v>
      </c>
      <c r="C811" s="36" t="s">
        <v>4154</v>
      </c>
      <c r="D811" s="36" t="s">
        <v>2999</v>
      </c>
      <c r="E811" s="36" t="s">
        <v>4151</v>
      </c>
      <c r="F811" s="37" t="s">
        <v>4148</v>
      </c>
      <c r="G811" s="36" t="s">
        <v>4149</v>
      </c>
      <c r="H811" s="36" t="s">
        <v>4156</v>
      </c>
      <c r="I811" s="36" t="s">
        <v>824</v>
      </c>
    </row>
    <row r="812" spans="1:9" x14ac:dyDescent="0.3">
      <c r="A812">
        <v>815</v>
      </c>
      <c r="B812" s="36" t="s">
        <v>4162</v>
      </c>
      <c r="C812" s="36" t="s">
        <v>4154</v>
      </c>
      <c r="D812" s="36" t="s">
        <v>2999</v>
      </c>
      <c r="E812" s="36" t="s">
        <v>4151</v>
      </c>
      <c r="F812" s="37" t="s">
        <v>4148</v>
      </c>
      <c r="G812" s="36" t="s">
        <v>4149</v>
      </c>
      <c r="H812" s="36" t="s">
        <v>4156</v>
      </c>
      <c r="I812" s="36" t="s">
        <v>4160</v>
      </c>
    </row>
    <row r="813" spans="1:9" x14ac:dyDescent="0.3">
      <c r="A813">
        <v>816</v>
      </c>
      <c r="B813" s="36" t="s">
        <v>4162</v>
      </c>
      <c r="C813" s="36" t="s">
        <v>4154</v>
      </c>
      <c r="D813" s="36" t="s">
        <v>2999</v>
      </c>
      <c r="E813" s="36" t="s">
        <v>4151</v>
      </c>
      <c r="F813" s="37" t="s">
        <v>4148</v>
      </c>
      <c r="G813" s="36" t="s">
        <v>4149</v>
      </c>
      <c r="H813" s="36" t="s">
        <v>4156</v>
      </c>
      <c r="I813" s="36" t="s">
        <v>824</v>
      </c>
    </row>
    <row r="814" spans="1:9" x14ac:dyDescent="0.3">
      <c r="A814">
        <v>817</v>
      </c>
      <c r="B814" s="36" t="s">
        <v>4162</v>
      </c>
      <c r="C814" s="36" t="s">
        <v>4154</v>
      </c>
      <c r="D814" s="36" t="s">
        <v>2999</v>
      </c>
      <c r="E814" s="36" t="s">
        <v>4151</v>
      </c>
      <c r="F814" s="37" t="s">
        <v>4148</v>
      </c>
      <c r="G814" s="36" t="s">
        <v>4149</v>
      </c>
      <c r="H814" s="36" t="s">
        <v>4156</v>
      </c>
      <c r="I814" s="36" t="s">
        <v>4199</v>
      </c>
    </row>
    <row r="815" spans="1:9" x14ac:dyDescent="0.3">
      <c r="A815">
        <v>818</v>
      </c>
      <c r="B815" s="36" t="s">
        <v>4162</v>
      </c>
      <c r="C815" s="36" t="s">
        <v>4154</v>
      </c>
      <c r="D815" s="36" t="s">
        <v>2999</v>
      </c>
      <c r="E815" s="36" t="s">
        <v>4151</v>
      </c>
      <c r="F815" s="37" t="s">
        <v>4148</v>
      </c>
      <c r="G815" s="36" t="s">
        <v>4149</v>
      </c>
      <c r="H815" s="36" t="s">
        <v>4156</v>
      </c>
      <c r="I815" s="36" t="s">
        <v>824</v>
      </c>
    </row>
    <row r="816" spans="1:9" x14ac:dyDescent="0.3">
      <c r="A816">
        <v>819</v>
      </c>
      <c r="B816" s="36" t="s">
        <v>4162</v>
      </c>
      <c r="C816" s="36" t="s">
        <v>4146</v>
      </c>
      <c r="D816" s="36" t="s">
        <v>2994</v>
      </c>
      <c r="E816" s="36" t="s">
        <v>4147</v>
      </c>
      <c r="F816" s="37" t="s">
        <v>4159</v>
      </c>
      <c r="G816" s="36" t="s">
        <v>4149</v>
      </c>
      <c r="H816" s="36" t="s">
        <v>4156</v>
      </c>
      <c r="I816" s="36" t="s">
        <v>4160</v>
      </c>
    </row>
    <row r="817" spans="1:9" x14ac:dyDescent="0.3">
      <c r="A817">
        <v>820</v>
      </c>
      <c r="B817" s="36" t="s">
        <v>4162</v>
      </c>
      <c r="C817" s="36" t="s">
        <v>4146</v>
      </c>
      <c r="D817" s="36" t="s">
        <v>2994</v>
      </c>
      <c r="E817" s="36" t="s">
        <v>4147</v>
      </c>
      <c r="F817" s="37" t="s">
        <v>4148</v>
      </c>
      <c r="G817" s="36" t="s">
        <v>4149</v>
      </c>
      <c r="H817" s="36" t="s">
        <v>4156</v>
      </c>
      <c r="I817" s="36" t="s">
        <v>4160</v>
      </c>
    </row>
    <row r="818" spans="1:9" x14ac:dyDescent="0.3">
      <c r="A818">
        <v>821</v>
      </c>
      <c r="B818" s="36" t="s">
        <v>4162</v>
      </c>
      <c r="C818" s="36" t="s">
        <v>4146</v>
      </c>
      <c r="D818" s="36" t="s">
        <v>2996</v>
      </c>
      <c r="E818" s="36" t="s">
        <v>4151</v>
      </c>
      <c r="F818" s="37" t="s">
        <v>4152</v>
      </c>
      <c r="G818" s="36" t="s">
        <v>4153</v>
      </c>
      <c r="H818" s="36" t="s">
        <v>4156</v>
      </c>
      <c r="I818" s="36" t="s">
        <v>824</v>
      </c>
    </row>
    <row r="819" spans="1:9" x14ac:dyDescent="0.3">
      <c r="A819">
        <v>822</v>
      </c>
      <c r="B819" s="36" t="s">
        <v>4162</v>
      </c>
      <c r="C819" s="36" t="s">
        <v>4154</v>
      </c>
      <c r="D819" s="36" t="s">
        <v>2999</v>
      </c>
      <c r="E819" s="36" t="s">
        <v>4151</v>
      </c>
      <c r="F819" s="37" t="s">
        <v>4155</v>
      </c>
      <c r="G819" s="36" t="s">
        <v>4153</v>
      </c>
      <c r="H819" s="36" t="s">
        <v>4156</v>
      </c>
      <c r="I819" s="36" t="s">
        <v>824</v>
      </c>
    </row>
    <row r="820" spans="1:9" x14ac:dyDescent="0.3">
      <c r="A820">
        <v>823</v>
      </c>
      <c r="B820" s="36" t="s">
        <v>4162</v>
      </c>
      <c r="C820" s="36" t="s">
        <v>4154</v>
      </c>
      <c r="D820" s="36" t="s">
        <v>2999</v>
      </c>
      <c r="E820" s="36" t="s">
        <v>4151</v>
      </c>
      <c r="F820" s="37" t="s">
        <v>4155</v>
      </c>
      <c r="G820" s="36" t="s">
        <v>4149</v>
      </c>
      <c r="H820" s="36" t="s">
        <v>4156</v>
      </c>
      <c r="I820" s="36" t="s">
        <v>824</v>
      </c>
    </row>
    <row r="821" spans="1:9" x14ac:dyDescent="0.3">
      <c r="A821">
        <v>824</v>
      </c>
      <c r="B821" s="36" t="s">
        <v>4162</v>
      </c>
      <c r="C821" s="36" t="s">
        <v>4146</v>
      </c>
      <c r="D821" s="36" t="s">
        <v>3001</v>
      </c>
      <c r="E821" s="36" t="s">
        <v>4147</v>
      </c>
      <c r="F821" s="37" t="s">
        <v>4155</v>
      </c>
      <c r="G821" s="36" t="s">
        <v>4153</v>
      </c>
      <c r="H821" s="36" t="s">
        <v>4156</v>
      </c>
      <c r="I821" s="36" t="s">
        <v>824</v>
      </c>
    </row>
    <row r="822" spans="1:9" x14ac:dyDescent="0.3">
      <c r="A822">
        <v>825</v>
      </c>
      <c r="B822" s="36" t="s">
        <v>4162</v>
      </c>
      <c r="C822" s="36" t="s">
        <v>4154</v>
      </c>
      <c r="D822" s="36" t="s">
        <v>2999</v>
      </c>
      <c r="E822" s="36" t="s">
        <v>4151</v>
      </c>
      <c r="F822" s="37" t="s">
        <v>4155</v>
      </c>
      <c r="G822" s="36" t="s">
        <v>4149</v>
      </c>
      <c r="H822" s="36" t="s">
        <v>4156</v>
      </c>
      <c r="I822" s="36" t="s">
        <v>824</v>
      </c>
    </row>
    <row r="823" spans="1:9" x14ac:dyDescent="0.3">
      <c r="A823">
        <v>826</v>
      </c>
      <c r="B823" s="36" t="s">
        <v>4162</v>
      </c>
      <c r="C823" s="36" t="s">
        <v>4154</v>
      </c>
      <c r="D823" s="36" t="s">
        <v>2996</v>
      </c>
      <c r="E823" s="36" t="s">
        <v>4151</v>
      </c>
      <c r="F823" s="37" t="s">
        <v>4152</v>
      </c>
      <c r="G823" s="36" t="s">
        <v>4153</v>
      </c>
      <c r="H823" s="36" t="s">
        <v>4156</v>
      </c>
      <c r="I823" s="36" t="s">
        <v>824</v>
      </c>
    </row>
    <row r="824" spans="1:9" x14ac:dyDescent="0.3">
      <c r="A824">
        <v>827</v>
      </c>
      <c r="B824" s="36" t="s">
        <v>4162</v>
      </c>
      <c r="C824" s="36" t="s">
        <v>4154</v>
      </c>
      <c r="D824" s="36" t="s">
        <v>2996</v>
      </c>
      <c r="E824" s="36" t="s">
        <v>4151</v>
      </c>
      <c r="F824" s="37" t="s">
        <v>4152</v>
      </c>
      <c r="G824" s="36" t="s">
        <v>4153</v>
      </c>
      <c r="H824" s="36" t="s">
        <v>4156</v>
      </c>
      <c r="I824" s="36" t="s">
        <v>824</v>
      </c>
    </row>
    <row r="825" spans="1:9" x14ac:dyDescent="0.3">
      <c r="A825">
        <v>828</v>
      </c>
      <c r="B825" s="36" t="s">
        <v>4162</v>
      </c>
      <c r="C825" s="36" t="s">
        <v>4154</v>
      </c>
      <c r="D825" s="36" t="s">
        <v>2996</v>
      </c>
      <c r="E825" s="36" t="s">
        <v>4151</v>
      </c>
      <c r="F825" s="37" t="s">
        <v>4152</v>
      </c>
      <c r="G825" s="36" t="s">
        <v>4153</v>
      </c>
      <c r="H825" s="36" t="s">
        <v>4156</v>
      </c>
      <c r="I825" s="36" t="s">
        <v>824</v>
      </c>
    </row>
    <row r="826" spans="1:9" x14ac:dyDescent="0.3">
      <c r="A826">
        <v>829</v>
      </c>
      <c r="B826" s="36" t="s">
        <v>4162</v>
      </c>
      <c r="C826" s="36" t="s">
        <v>4154</v>
      </c>
      <c r="D826" s="36" t="s">
        <v>2994</v>
      </c>
      <c r="E826" s="36" t="s">
        <v>4147</v>
      </c>
      <c r="F826" s="37" t="s">
        <v>4152</v>
      </c>
      <c r="G826" s="36" t="s">
        <v>4153</v>
      </c>
      <c r="H826" s="36" t="s">
        <v>4156</v>
      </c>
      <c r="I826" s="36" t="s">
        <v>824</v>
      </c>
    </row>
    <row r="827" spans="1:9" x14ac:dyDescent="0.3">
      <c r="A827">
        <v>830</v>
      </c>
      <c r="B827" s="36" t="s">
        <v>4162</v>
      </c>
      <c r="C827" s="36" t="s">
        <v>4154</v>
      </c>
      <c r="D827" s="36" t="s">
        <v>2994</v>
      </c>
      <c r="E827" s="36" t="s">
        <v>4147</v>
      </c>
      <c r="F827" s="37" t="s">
        <v>4159</v>
      </c>
      <c r="G827" s="36" t="s">
        <v>4153</v>
      </c>
      <c r="H827" s="36" t="s">
        <v>4156</v>
      </c>
      <c r="I827" s="36" t="s">
        <v>824</v>
      </c>
    </row>
    <row r="828" spans="1:9" x14ac:dyDescent="0.3">
      <c r="A828">
        <v>831</v>
      </c>
      <c r="B828" s="36" t="s">
        <v>4162</v>
      </c>
      <c r="C828" s="36" t="s">
        <v>4154</v>
      </c>
      <c r="D828" s="36" t="s">
        <v>2999</v>
      </c>
      <c r="E828" s="36" t="s">
        <v>4151</v>
      </c>
      <c r="F828" s="37" t="s">
        <v>4159</v>
      </c>
      <c r="G828" s="36" t="s">
        <v>4153</v>
      </c>
      <c r="H828" s="36" t="s">
        <v>4156</v>
      </c>
      <c r="I828" s="36" t="s">
        <v>824</v>
      </c>
    </row>
    <row r="829" spans="1:9" x14ac:dyDescent="0.3">
      <c r="A829">
        <v>832</v>
      </c>
      <c r="B829" s="36" t="s">
        <v>4162</v>
      </c>
      <c r="C829" s="36" t="s">
        <v>4154</v>
      </c>
      <c r="D829" s="36" t="s">
        <v>2999</v>
      </c>
      <c r="E829" s="36" t="s">
        <v>4151</v>
      </c>
      <c r="F829" s="37" t="s">
        <v>4155</v>
      </c>
      <c r="G829" s="36" t="s">
        <v>4153</v>
      </c>
      <c r="H829" s="36" t="s">
        <v>4156</v>
      </c>
      <c r="I829" s="36" t="s">
        <v>824</v>
      </c>
    </row>
    <row r="830" spans="1:9" x14ac:dyDescent="0.3">
      <c r="A830">
        <v>833</v>
      </c>
      <c r="B830" s="36" t="s">
        <v>4162</v>
      </c>
      <c r="C830" s="36" t="s">
        <v>4154</v>
      </c>
      <c r="D830" s="36" t="s">
        <v>3001</v>
      </c>
      <c r="E830" s="36" t="s">
        <v>4147</v>
      </c>
      <c r="F830" s="37" t="s">
        <v>4155</v>
      </c>
      <c r="G830" s="36" t="s">
        <v>4153</v>
      </c>
      <c r="H830" s="36" t="s">
        <v>4156</v>
      </c>
      <c r="I830" s="36" t="s">
        <v>824</v>
      </c>
    </row>
    <row r="831" spans="1:9" x14ac:dyDescent="0.3">
      <c r="A831">
        <v>834</v>
      </c>
      <c r="B831" s="36" t="s">
        <v>4162</v>
      </c>
      <c r="C831" s="36" t="s">
        <v>4154</v>
      </c>
      <c r="D831" s="36" t="s">
        <v>2999</v>
      </c>
      <c r="E831" s="36" t="s">
        <v>4151</v>
      </c>
      <c r="F831" s="37" t="s">
        <v>4157</v>
      </c>
      <c r="G831" s="36" t="s">
        <v>4149</v>
      </c>
      <c r="H831" s="36" t="s">
        <v>4156</v>
      </c>
      <c r="I831" s="36" t="s">
        <v>824</v>
      </c>
    </row>
    <row r="832" spans="1:9" x14ac:dyDescent="0.3">
      <c r="A832">
        <v>835</v>
      </c>
      <c r="B832" s="36" t="s">
        <v>4162</v>
      </c>
      <c r="C832" s="36" t="s">
        <v>4154</v>
      </c>
      <c r="D832" s="36" t="s">
        <v>2999</v>
      </c>
      <c r="E832" s="36" t="s">
        <v>4151</v>
      </c>
      <c r="F832" s="37" t="s">
        <v>4155</v>
      </c>
      <c r="G832" s="36" t="s">
        <v>4149</v>
      </c>
      <c r="H832" s="36" t="s">
        <v>4156</v>
      </c>
      <c r="I832" s="36" t="s">
        <v>824</v>
      </c>
    </row>
    <row r="833" spans="1:9" x14ac:dyDescent="0.3">
      <c r="A833">
        <v>836</v>
      </c>
      <c r="B833" s="36" t="s">
        <v>4162</v>
      </c>
      <c r="C833" s="36" t="s">
        <v>4154</v>
      </c>
      <c r="D833" s="36" t="s">
        <v>2999</v>
      </c>
      <c r="E833" s="36" t="s">
        <v>4151</v>
      </c>
      <c r="F833" s="37" t="s">
        <v>4148</v>
      </c>
      <c r="G833" s="36" t="s">
        <v>4149</v>
      </c>
      <c r="H833" s="36" t="s">
        <v>4156</v>
      </c>
      <c r="I833" s="36" t="s">
        <v>824</v>
      </c>
    </row>
    <row r="834" spans="1:9" x14ac:dyDescent="0.3">
      <c r="A834">
        <v>837</v>
      </c>
      <c r="B834" s="36" t="s">
        <v>4162</v>
      </c>
      <c r="C834" s="36" t="s">
        <v>4154</v>
      </c>
      <c r="D834" s="36" t="s">
        <v>2999</v>
      </c>
      <c r="E834" s="36" t="s">
        <v>4151</v>
      </c>
      <c r="F834" s="37" t="s">
        <v>4148</v>
      </c>
      <c r="G834" s="36" t="s">
        <v>4149</v>
      </c>
      <c r="H834" s="36" t="s">
        <v>4156</v>
      </c>
      <c r="I834" s="36" t="s">
        <v>824</v>
      </c>
    </row>
    <row r="835" spans="1:9" x14ac:dyDescent="0.3">
      <c r="A835">
        <v>838</v>
      </c>
      <c r="B835" s="36" t="s">
        <v>4162</v>
      </c>
      <c r="C835" s="36" t="s">
        <v>4154</v>
      </c>
      <c r="D835" s="36" t="s">
        <v>2999</v>
      </c>
      <c r="E835" s="36" t="s">
        <v>4151</v>
      </c>
      <c r="F835" s="37" t="s">
        <v>4155</v>
      </c>
      <c r="G835" s="36" t="s">
        <v>4153</v>
      </c>
      <c r="H835" s="36" t="s">
        <v>4156</v>
      </c>
      <c r="I835" s="36" t="s">
        <v>824</v>
      </c>
    </row>
    <row r="836" spans="1:9" x14ac:dyDescent="0.3">
      <c r="A836">
        <v>839</v>
      </c>
      <c r="B836" s="36" t="s">
        <v>4162</v>
      </c>
      <c r="C836" s="36" t="s">
        <v>4154</v>
      </c>
      <c r="D836" s="36" t="s">
        <v>2999</v>
      </c>
      <c r="E836" s="36" t="s">
        <v>4151</v>
      </c>
      <c r="F836" s="37" t="s">
        <v>4148</v>
      </c>
      <c r="G836" s="36" t="s">
        <v>4153</v>
      </c>
      <c r="H836" s="36" t="s">
        <v>4156</v>
      </c>
      <c r="I836" s="36" t="s">
        <v>824</v>
      </c>
    </row>
    <row r="837" spans="1:9" x14ac:dyDescent="0.3">
      <c r="A837">
        <v>840</v>
      </c>
      <c r="B837" s="36" t="s">
        <v>4162</v>
      </c>
      <c r="C837" s="36" t="s">
        <v>4154</v>
      </c>
      <c r="D837" s="36" t="s">
        <v>2999</v>
      </c>
      <c r="E837" s="36" t="s">
        <v>4151</v>
      </c>
      <c r="F837" s="37" t="s">
        <v>4148</v>
      </c>
      <c r="G837" s="36" t="s">
        <v>4149</v>
      </c>
      <c r="H837" s="36" t="s">
        <v>4156</v>
      </c>
      <c r="I837" s="36" t="s">
        <v>824</v>
      </c>
    </row>
    <row r="838" spans="1:9" x14ac:dyDescent="0.3">
      <c r="A838">
        <v>841</v>
      </c>
      <c r="B838" s="36" t="s">
        <v>4162</v>
      </c>
      <c r="C838" s="36" t="s">
        <v>4154</v>
      </c>
      <c r="D838" s="36" t="s">
        <v>2994</v>
      </c>
      <c r="E838" s="36" t="s">
        <v>4147</v>
      </c>
      <c r="F838" s="37" t="s">
        <v>4148</v>
      </c>
      <c r="G838" s="36" t="s">
        <v>4149</v>
      </c>
      <c r="H838" s="36" t="s">
        <v>4156</v>
      </c>
      <c r="I838" s="36" t="s">
        <v>824</v>
      </c>
    </row>
    <row r="839" spans="1:9" x14ac:dyDescent="0.3">
      <c r="A839">
        <v>842</v>
      </c>
      <c r="B839" s="36" t="s">
        <v>4162</v>
      </c>
      <c r="C839" s="36" t="s">
        <v>4154</v>
      </c>
      <c r="D839" s="36" t="s">
        <v>2994</v>
      </c>
      <c r="E839" s="36" t="s">
        <v>4147</v>
      </c>
      <c r="F839" s="37" t="s">
        <v>4159</v>
      </c>
      <c r="G839" s="36" t="s">
        <v>4149</v>
      </c>
      <c r="H839" s="36" t="s">
        <v>4156</v>
      </c>
      <c r="I839" s="36" t="s">
        <v>4160</v>
      </c>
    </row>
    <row r="840" spans="1:9" x14ac:dyDescent="0.3">
      <c r="A840">
        <v>843</v>
      </c>
      <c r="B840" s="36" t="s">
        <v>4162</v>
      </c>
      <c r="C840" s="36" t="s">
        <v>4154</v>
      </c>
      <c r="D840" s="36" t="s">
        <v>2999</v>
      </c>
      <c r="E840" s="36" t="s">
        <v>4151</v>
      </c>
      <c r="F840" s="37" t="s">
        <v>4148</v>
      </c>
      <c r="G840" s="36" t="s">
        <v>4153</v>
      </c>
      <c r="H840" s="36" t="s">
        <v>4156</v>
      </c>
      <c r="I840" s="36" t="s">
        <v>824</v>
      </c>
    </row>
    <row r="841" spans="1:9" x14ac:dyDescent="0.3">
      <c r="A841">
        <v>844</v>
      </c>
      <c r="B841" s="36" t="s">
        <v>4162</v>
      </c>
      <c r="C841" s="36" t="s">
        <v>4154</v>
      </c>
      <c r="D841" s="36" t="s">
        <v>2999</v>
      </c>
      <c r="E841" s="36" t="s">
        <v>4151</v>
      </c>
      <c r="F841" s="37" t="s">
        <v>4148</v>
      </c>
      <c r="G841" s="36" t="s">
        <v>4153</v>
      </c>
      <c r="H841" s="36" t="s">
        <v>4156</v>
      </c>
      <c r="I841" s="36" t="s">
        <v>824</v>
      </c>
    </row>
    <row r="842" spans="1:9" x14ac:dyDescent="0.3">
      <c r="A842">
        <v>845</v>
      </c>
      <c r="B842" s="36" t="s">
        <v>4162</v>
      </c>
      <c r="C842" s="36" t="s">
        <v>4154</v>
      </c>
      <c r="D842" s="36" t="s">
        <v>2999</v>
      </c>
      <c r="E842" s="36" t="s">
        <v>4151</v>
      </c>
      <c r="F842" s="37" t="s">
        <v>4148</v>
      </c>
      <c r="G842" s="36" t="s">
        <v>4153</v>
      </c>
      <c r="H842" s="36" t="s">
        <v>4156</v>
      </c>
      <c r="I842" s="36" t="s">
        <v>824</v>
      </c>
    </row>
    <row r="843" spans="1:9" x14ac:dyDescent="0.3">
      <c r="A843">
        <v>846</v>
      </c>
      <c r="B843" s="36" t="s">
        <v>4162</v>
      </c>
      <c r="C843" s="36" t="s">
        <v>4146</v>
      </c>
      <c r="D843" s="36" t="s">
        <v>3001</v>
      </c>
      <c r="E843" s="36" t="s">
        <v>4147</v>
      </c>
      <c r="F843" s="37" t="s">
        <v>4148</v>
      </c>
      <c r="G843" s="36" t="s">
        <v>4153</v>
      </c>
      <c r="H843" s="36" t="s">
        <v>4156</v>
      </c>
      <c r="I843" s="36" t="s">
        <v>824</v>
      </c>
    </row>
    <row r="844" spans="1:9" x14ac:dyDescent="0.3">
      <c r="A844">
        <v>847</v>
      </c>
      <c r="B844" s="36" t="s">
        <v>4162</v>
      </c>
      <c r="C844" s="36" t="s">
        <v>4154</v>
      </c>
      <c r="D844" s="36" t="s">
        <v>2999</v>
      </c>
      <c r="E844" s="36" t="s">
        <v>4151</v>
      </c>
      <c r="F844" s="37" t="s">
        <v>4148</v>
      </c>
      <c r="G844" s="36" t="s">
        <v>4149</v>
      </c>
      <c r="H844" s="36" t="s">
        <v>4156</v>
      </c>
      <c r="I844" s="36" t="s">
        <v>824</v>
      </c>
    </row>
    <row r="845" spans="1:9" x14ac:dyDescent="0.3">
      <c r="A845">
        <v>848</v>
      </c>
      <c r="B845" s="36" t="s">
        <v>4162</v>
      </c>
      <c r="C845" s="36" t="s">
        <v>4154</v>
      </c>
      <c r="D845" s="36" t="s">
        <v>2999</v>
      </c>
      <c r="E845" s="36" t="s">
        <v>4151</v>
      </c>
      <c r="F845" s="37" t="s">
        <v>4148</v>
      </c>
      <c r="G845" s="36" t="s">
        <v>4149</v>
      </c>
      <c r="H845" s="36" t="s">
        <v>4156</v>
      </c>
      <c r="I845" s="36" t="s">
        <v>4199</v>
      </c>
    </row>
    <row r="846" spans="1:9" x14ac:dyDescent="0.3">
      <c r="A846">
        <v>849</v>
      </c>
      <c r="B846" s="36" t="s">
        <v>4162</v>
      </c>
      <c r="C846" s="36" t="s">
        <v>4154</v>
      </c>
      <c r="D846" s="36" t="s">
        <v>2999</v>
      </c>
      <c r="E846" s="36" t="s">
        <v>4151</v>
      </c>
      <c r="F846" s="37" t="s">
        <v>4155</v>
      </c>
      <c r="G846" s="36" t="s">
        <v>4153</v>
      </c>
      <c r="H846" s="36" t="s">
        <v>4156</v>
      </c>
      <c r="I846" s="36" t="s">
        <v>824</v>
      </c>
    </row>
    <row r="847" spans="1:9" x14ac:dyDescent="0.3">
      <c r="A847">
        <v>850</v>
      </c>
      <c r="B847" s="36" t="s">
        <v>4162</v>
      </c>
      <c r="C847" s="36" t="s">
        <v>4154</v>
      </c>
      <c r="D847" s="36" t="s">
        <v>2999</v>
      </c>
      <c r="E847" s="36" t="s">
        <v>4151</v>
      </c>
      <c r="F847" s="37" t="s">
        <v>4148</v>
      </c>
      <c r="G847" s="36" t="s">
        <v>4153</v>
      </c>
      <c r="H847" s="36" t="s">
        <v>4156</v>
      </c>
      <c r="I847" s="36" t="s">
        <v>824</v>
      </c>
    </row>
    <row r="848" spans="1:9" x14ac:dyDescent="0.3">
      <c r="A848">
        <v>851</v>
      </c>
      <c r="B848" s="36" t="s">
        <v>4162</v>
      </c>
      <c r="C848" s="36" t="s">
        <v>4154</v>
      </c>
      <c r="D848" s="36" t="s">
        <v>2999</v>
      </c>
      <c r="E848" s="36" t="s">
        <v>4151</v>
      </c>
      <c r="F848" s="37" t="s">
        <v>4148</v>
      </c>
      <c r="G848" s="36" t="s">
        <v>4149</v>
      </c>
      <c r="H848" s="36" t="s">
        <v>4156</v>
      </c>
      <c r="I848" s="36" t="s">
        <v>824</v>
      </c>
    </row>
    <row r="849" spans="1:9" x14ac:dyDescent="0.3">
      <c r="A849">
        <v>852</v>
      </c>
      <c r="B849" s="36" t="s">
        <v>4162</v>
      </c>
      <c r="C849" s="36" t="s">
        <v>4146</v>
      </c>
      <c r="D849" s="36" t="s">
        <v>3001</v>
      </c>
      <c r="E849" s="36" t="s">
        <v>4147</v>
      </c>
      <c r="F849" s="37" t="s">
        <v>4155</v>
      </c>
      <c r="G849" s="36" t="s">
        <v>4153</v>
      </c>
      <c r="H849" s="36" t="s">
        <v>4156</v>
      </c>
      <c r="I849" s="36" t="s">
        <v>824</v>
      </c>
    </row>
    <row r="850" spans="1:9" x14ac:dyDescent="0.3">
      <c r="A850">
        <v>853</v>
      </c>
      <c r="B850" s="36" t="s">
        <v>4162</v>
      </c>
      <c r="C850" s="36" t="s">
        <v>4154</v>
      </c>
      <c r="D850" s="36" t="s">
        <v>2994</v>
      </c>
      <c r="E850" s="36" t="s">
        <v>4147</v>
      </c>
      <c r="F850" s="37" t="s">
        <v>4148</v>
      </c>
      <c r="G850" s="36" t="s">
        <v>4149</v>
      </c>
      <c r="H850" s="36" t="s">
        <v>4156</v>
      </c>
      <c r="I850" s="36" t="s">
        <v>824</v>
      </c>
    </row>
    <row r="851" spans="1:9" x14ac:dyDescent="0.3">
      <c r="A851">
        <v>854</v>
      </c>
      <c r="B851" s="36" t="s">
        <v>4162</v>
      </c>
      <c r="C851" s="36" t="s">
        <v>4154</v>
      </c>
      <c r="D851" s="36" t="s">
        <v>2999</v>
      </c>
      <c r="E851" s="36" t="s">
        <v>4151</v>
      </c>
      <c r="F851" s="37" t="s">
        <v>4148</v>
      </c>
      <c r="G851" s="36" t="s">
        <v>4149</v>
      </c>
      <c r="H851" s="36" t="s">
        <v>4156</v>
      </c>
      <c r="I851" s="36" t="s">
        <v>824</v>
      </c>
    </row>
    <row r="852" spans="1:9" x14ac:dyDescent="0.3">
      <c r="A852">
        <v>855</v>
      </c>
      <c r="B852" s="36" t="s">
        <v>4162</v>
      </c>
      <c r="C852" s="36" t="s">
        <v>4154</v>
      </c>
      <c r="D852" s="36" t="s">
        <v>2999</v>
      </c>
      <c r="E852" s="36" t="s">
        <v>4151</v>
      </c>
      <c r="F852" s="37" t="s">
        <v>4148</v>
      </c>
      <c r="G852" s="36" t="s">
        <v>4149</v>
      </c>
      <c r="H852" s="36" t="s">
        <v>4156</v>
      </c>
      <c r="I852" s="36" t="s">
        <v>4160</v>
      </c>
    </row>
    <row r="853" spans="1:9" x14ac:dyDescent="0.3">
      <c r="A853">
        <v>856</v>
      </c>
      <c r="B853" s="36" t="s">
        <v>4162</v>
      </c>
      <c r="C853" s="36" t="s">
        <v>4154</v>
      </c>
      <c r="D853" s="36" t="s">
        <v>2999</v>
      </c>
      <c r="E853" s="36" t="s">
        <v>4151</v>
      </c>
      <c r="F853" s="37" t="s">
        <v>4152</v>
      </c>
      <c r="G853" s="36" t="s">
        <v>4149</v>
      </c>
      <c r="H853" s="36" t="s">
        <v>4156</v>
      </c>
      <c r="I853" s="36" t="s">
        <v>4199</v>
      </c>
    </row>
    <row r="854" spans="1:9" x14ac:dyDescent="0.3">
      <c r="A854">
        <v>857</v>
      </c>
      <c r="B854" s="36" t="s">
        <v>4162</v>
      </c>
      <c r="C854" s="36" t="s">
        <v>4146</v>
      </c>
      <c r="D854" s="36" t="s">
        <v>2994</v>
      </c>
      <c r="E854" s="36" t="s">
        <v>4147</v>
      </c>
      <c r="F854" s="37" t="s">
        <v>4148</v>
      </c>
      <c r="G854" s="36" t="s">
        <v>4149</v>
      </c>
      <c r="H854" s="36" t="s">
        <v>4156</v>
      </c>
      <c r="I854" s="36" t="s">
        <v>4160</v>
      </c>
    </row>
    <row r="855" spans="1:9" x14ac:dyDescent="0.3">
      <c r="A855">
        <v>858</v>
      </c>
      <c r="B855" s="36" t="s">
        <v>4162</v>
      </c>
      <c r="C855" s="36" t="s">
        <v>4146</v>
      </c>
      <c r="D855" s="36" t="s">
        <v>2999</v>
      </c>
      <c r="E855" s="36" t="s">
        <v>4151</v>
      </c>
      <c r="F855" s="37" t="s">
        <v>4148</v>
      </c>
      <c r="G855" s="36" t="s">
        <v>4149</v>
      </c>
      <c r="H855" s="36" t="s">
        <v>4156</v>
      </c>
      <c r="I855" s="36" t="s">
        <v>824</v>
      </c>
    </row>
    <row r="856" spans="1:9" x14ac:dyDescent="0.3">
      <c r="A856">
        <v>859</v>
      </c>
      <c r="B856" s="36" t="s">
        <v>4162</v>
      </c>
      <c r="C856" s="36" t="s">
        <v>4146</v>
      </c>
      <c r="D856" s="36" t="s">
        <v>2999</v>
      </c>
      <c r="E856" s="36" t="s">
        <v>4151</v>
      </c>
      <c r="F856" s="37" t="s">
        <v>4148</v>
      </c>
      <c r="G856" s="36" t="s">
        <v>4149</v>
      </c>
      <c r="H856" s="36" t="s">
        <v>4158</v>
      </c>
      <c r="I856" s="36" t="s">
        <v>824</v>
      </c>
    </row>
    <row r="857" spans="1:9" x14ac:dyDescent="0.3">
      <c r="A857">
        <v>860</v>
      </c>
      <c r="B857" s="36" t="s">
        <v>4162</v>
      </c>
      <c r="C857" s="36" t="s">
        <v>4154</v>
      </c>
      <c r="D857" s="36" t="s">
        <v>2994</v>
      </c>
      <c r="E857" s="36" t="s">
        <v>4147</v>
      </c>
      <c r="F857" s="37" t="s">
        <v>4159</v>
      </c>
      <c r="G857" s="36" t="s">
        <v>4149</v>
      </c>
      <c r="H857" s="36" t="s">
        <v>4156</v>
      </c>
      <c r="I857" s="36" t="s">
        <v>4160</v>
      </c>
    </row>
    <row r="858" spans="1:9" x14ac:dyDescent="0.3">
      <c r="A858">
        <v>861</v>
      </c>
      <c r="B858" s="36" t="s">
        <v>4162</v>
      </c>
      <c r="C858" s="36" t="s">
        <v>4146</v>
      </c>
      <c r="D858" s="36" t="s">
        <v>2994</v>
      </c>
      <c r="E858" s="36" t="s">
        <v>4147</v>
      </c>
      <c r="F858" s="37" t="s">
        <v>4148</v>
      </c>
      <c r="G858" s="36" t="s">
        <v>4149</v>
      </c>
      <c r="H858" s="36" t="s">
        <v>4156</v>
      </c>
      <c r="I858" s="36" t="s">
        <v>824</v>
      </c>
    </row>
    <row r="859" spans="1:9" x14ac:dyDescent="0.3">
      <c r="A859">
        <v>862</v>
      </c>
      <c r="B859" s="36" t="s">
        <v>4162</v>
      </c>
      <c r="C859" s="36" t="s">
        <v>4154</v>
      </c>
      <c r="D859" s="36" t="s">
        <v>2994</v>
      </c>
      <c r="E859" s="36" t="s">
        <v>4147</v>
      </c>
      <c r="F859" s="37" t="s">
        <v>4148</v>
      </c>
      <c r="G859" s="36" t="s">
        <v>4149</v>
      </c>
      <c r="H859" s="36" t="s">
        <v>4156</v>
      </c>
      <c r="I859" s="36" t="s">
        <v>824</v>
      </c>
    </row>
    <row r="860" spans="1:9" x14ac:dyDescent="0.3">
      <c r="A860">
        <v>863</v>
      </c>
      <c r="B860" s="36" t="s">
        <v>4162</v>
      </c>
      <c r="C860" s="36" t="s">
        <v>4146</v>
      </c>
      <c r="D860" s="36" t="s">
        <v>2994</v>
      </c>
      <c r="E860" s="36" t="s">
        <v>4147</v>
      </c>
      <c r="F860" s="37" t="s">
        <v>4148</v>
      </c>
      <c r="G860" s="36" t="s">
        <v>4149</v>
      </c>
      <c r="H860" s="36" t="s">
        <v>4156</v>
      </c>
      <c r="I860" s="36" t="s">
        <v>824</v>
      </c>
    </row>
    <row r="861" spans="1:9" x14ac:dyDescent="0.3">
      <c r="A861">
        <v>864</v>
      </c>
      <c r="B861" s="36" t="s">
        <v>4162</v>
      </c>
      <c r="C861" s="36" t="s">
        <v>4154</v>
      </c>
      <c r="D861" s="36" t="s">
        <v>2999</v>
      </c>
      <c r="E861" s="36" t="s">
        <v>4151</v>
      </c>
      <c r="F861" s="37" t="s">
        <v>4148</v>
      </c>
      <c r="G861" s="36" t="s">
        <v>4149</v>
      </c>
      <c r="H861" s="36" t="s">
        <v>4156</v>
      </c>
      <c r="I861" s="36" t="s">
        <v>824</v>
      </c>
    </row>
    <row r="862" spans="1:9" x14ac:dyDescent="0.3">
      <c r="A862">
        <v>865</v>
      </c>
      <c r="B862" s="36" t="s">
        <v>4162</v>
      </c>
      <c r="C862" s="36" t="s">
        <v>4154</v>
      </c>
      <c r="D862" s="36" t="s">
        <v>2994</v>
      </c>
      <c r="E862" s="36" t="s">
        <v>4147</v>
      </c>
      <c r="F862" s="37" t="s">
        <v>4148</v>
      </c>
      <c r="G862" s="36" t="s">
        <v>4149</v>
      </c>
      <c r="H862" s="36" t="s">
        <v>4156</v>
      </c>
      <c r="I862" s="36" t="s">
        <v>824</v>
      </c>
    </row>
    <row r="863" spans="1:9" x14ac:dyDescent="0.3">
      <c r="A863">
        <v>866</v>
      </c>
      <c r="B863" s="36" t="s">
        <v>4162</v>
      </c>
      <c r="C863" s="36" t="s">
        <v>4154</v>
      </c>
      <c r="D863" s="36" t="s">
        <v>2994</v>
      </c>
      <c r="E863" s="36" t="s">
        <v>4147</v>
      </c>
      <c r="F863" s="37" t="s">
        <v>4148</v>
      </c>
      <c r="G863" s="36" t="s">
        <v>4149</v>
      </c>
      <c r="H863" s="36" t="s">
        <v>4156</v>
      </c>
      <c r="I863" s="36" t="s">
        <v>4160</v>
      </c>
    </row>
    <row r="864" spans="1:9" x14ac:dyDescent="0.3">
      <c r="A864">
        <v>867</v>
      </c>
      <c r="B864" s="36" t="s">
        <v>4162</v>
      </c>
      <c r="C864" s="36" t="s">
        <v>4146</v>
      </c>
      <c r="D864" s="36" t="s">
        <v>2994</v>
      </c>
      <c r="E864" s="36" t="s">
        <v>4147</v>
      </c>
      <c r="F864" s="37" t="s">
        <v>4152</v>
      </c>
      <c r="G864" s="36" t="s">
        <v>4153</v>
      </c>
      <c r="H864" s="36" t="s">
        <v>4156</v>
      </c>
      <c r="I864" s="36" t="s">
        <v>824</v>
      </c>
    </row>
    <row r="865" spans="1:9" x14ac:dyDescent="0.3">
      <c r="A865">
        <v>868</v>
      </c>
      <c r="B865" s="36" t="s">
        <v>4162</v>
      </c>
      <c r="C865" s="36" t="s">
        <v>4146</v>
      </c>
      <c r="D865" s="36" t="s">
        <v>3001</v>
      </c>
      <c r="E865" s="36" t="s">
        <v>4147</v>
      </c>
      <c r="F865" s="37" t="s">
        <v>4148</v>
      </c>
      <c r="G865" s="36" t="s">
        <v>4153</v>
      </c>
      <c r="H865" s="36" t="s">
        <v>4156</v>
      </c>
      <c r="I865" s="36" t="s">
        <v>824</v>
      </c>
    </row>
    <row r="866" spans="1:9" x14ac:dyDescent="0.3">
      <c r="A866">
        <v>869</v>
      </c>
      <c r="B866" s="36" t="s">
        <v>4162</v>
      </c>
      <c r="C866" s="36" t="s">
        <v>4154</v>
      </c>
      <c r="D866" s="36" t="s">
        <v>2999</v>
      </c>
      <c r="E866" s="36" t="s">
        <v>4151</v>
      </c>
      <c r="F866" s="37" t="s">
        <v>4155</v>
      </c>
      <c r="G866" s="36" t="s">
        <v>4149</v>
      </c>
      <c r="H866" s="36" t="s">
        <v>4156</v>
      </c>
      <c r="I866" s="36" t="s">
        <v>824</v>
      </c>
    </row>
    <row r="867" spans="1:9" x14ac:dyDescent="0.3">
      <c r="A867">
        <v>870</v>
      </c>
      <c r="B867" s="36" t="s">
        <v>4162</v>
      </c>
      <c r="C867" s="36" t="s">
        <v>4154</v>
      </c>
      <c r="D867" s="36" t="s">
        <v>2999</v>
      </c>
      <c r="E867" s="36" t="s">
        <v>4151</v>
      </c>
      <c r="F867" s="37" t="s">
        <v>4148</v>
      </c>
      <c r="G867" s="36" t="s">
        <v>4149</v>
      </c>
      <c r="H867" s="36" t="s">
        <v>4156</v>
      </c>
      <c r="I867" s="36" t="s">
        <v>824</v>
      </c>
    </row>
    <row r="868" spans="1:9" x14ac:dyDescent="0.3">
      <c r="A868">
        <v>871</v>
      </c>
      <c r="B868" s="36" t="s">
        <v>4162</v>
      </c>
      <c r="C868" s="36" t="s">
        <v>4146</v>
      </c>
      <c r="D868" s="36" t="s">
        <v>2994</v>
      </c>
      <c r="E868" s="36" t="s">
        <v>4147</v>
      </c>
      <c r="F868" s="37" t="s">
        <v>4148</v>
      </c>
      <c r="G868" s="36" t="s">
        <v>4149</v>
      </c>
      <c r="H868" s="36" t="s">
        <v>4156</v>
      </c>
      <c r="I868" s="36" t="s">
        <v>824</v>
      </c>
    </row>
    <row r="869" spans="1:9" x14ac:dyDescent="0.3">
      <c r="A869">
        <v>872</v>
      </c>
      <c r="B869" s="36" t="s">
        <v>4162</v>
      </c>
      <c r="C869" s="36" t="s">
        <v>4154</v>
      </c>
      <c r="D869" s="36" t="s">
        <v>2999</v>
      </c>
      <c r="E869" s="36" t="s">
        <v>4151</v>
      </c>
      <c r="F869" s="37" t="s">
        <v>4148</v>
      </c>
      <c r="G869" s="36" t="s">
        <v>4149</v>
      </c>
      <c r="H869" s="36" t="s">
        <v>4156</v>
      </c>
      <c r="I869" s="36" t="s">
        <v>4160</v>
      </c>
    </row>
    <row r="870" spans="1:9" x14ac:dyDescent="0.3">
      <c r="A870">
        <v>873</v>
      </c>
      <c r="B870" s="36" t="s">
        <v>4162</v>
      </c>
      <c r="C870" s="36" t="s">
        <v>4146</v>
      </c>
      <c r="D870" s="36" t="s">
        <v>2994</v>
      </c>
      <c r="E870" s="36" t="s">
        <v>4147</v>
      </c>
      <c r="F870" s="37" t="s">
        <v>4148</v>
      </c>
      <c r="G870" s="36" t="s">
        <v>4149</v>
      </c>
      <c r="H870" s="36" t="s">
        <v>4156</v>
      </c>
      <c r="I870" s="36" t="s">
        <v>824</v>
      </c>
    </row>
    <row r="871" spans="1:9" x14ac:dyDescent="0.3">
      <c r="A871">
        <v>874</v>
      </c>
      <c r="B871" s="36" t="s">
        <v>4162</v>
      </c>
      <c r="C871" s="36" t="s">
        <v>4154</v>
      </c>
      <c r="D871" s="36" t="s">
        <v>2999</v>
      </c>
      <c r="E871" s="36" t="s">
        <v>4151</v>
      </c>
      <c r="F871" s="37" t="s">
        <v>4155</v>
      </c>
      <c r="G871" s="36" t="s">
        <v>4149</v>
      </c>
      <c r="H871" s="36" t="s">
        <v>4156</v>
      </c>
      <c r="I871" s="36" t="s">
        <v>824</v>
      </c>
    </row>
    <row r="872" spans="1:9" x14ac:dyDescent="0.3">
      <c r="A872">
        <v>875</v>
      </c>
      <c r="B872" s="36" t="s">
        <v>4162</v>
      </c>
      <c r="C872" s="36" t="s">
        <v>4146</v>
      </c>
      <c r="D872" s="36" t="s">
        <v>2999</v>
      </c>
      <c r="E872" s="36" t="s">
        <v>4151</v>
      </c>
      <c r="F872" s="37" t="s">
        <v>4148</v>
      </c>
      <c r="G872" s="36" t="s">
        <v>4149</v>
      </c>
      <c r="H872" s="36" t="s">
        <v>4156</v>
      </c>
      <c r="I872" s="36" t="s">
        <v>824</v>
      </c>
    </row>
    <row r="873" spans="1:9" x14ac:dyDescent="0.3">
      <c r="A873">
        <v>876</v>
      </c>
      <c r="B873" s="36" t="s">
        <v>4162</v>
      </c>
      <c r="C873" s="36" t="s">
        <v>4154</v>
      </c>
      <c r="D873" s="36" t="s">
        <v>2999</v>
      </c>
      <c r="E873" s="36" t="s">
        <v>4151</v>
      </c>
      <c r="F873" s="37" t="s">
        <v>4148</v>
      </c>
      <c r="G873" s="36" t="s">
        <v>4149</v>
      </c>
      <c r="H873" s="36" t="s">
        <v>4156</v>
      </c>
      <c r="I873" s="36" t="s">
        <v>4199</v>
      </c>
    </row>
    <row r="874" spans="1:9" x14ac:dyDescent="0.3">
      <c r="A874">
        <v>877</v>
      </c>
      <c r="B874" s="36" t="s">
        <v>4162</v>
      </c>
      <c r="C874" s="36" t="s">
        <v>4154</v>
      </c>
      <c r="D874" s="36" t="s">
        <v>2999</v>
      </c>
      <c r="E874" s="36" t="s">
        <v>4151</v>
      </c>
      <c r="F874" s="37" t="s">
        <v>4148</v>
      </c>
      <c r="G874" s="36" t="s">
        <v>4149</v>
      </c>
      <c r="H874" s="36" t="s">
        <v>4156</v>
      </c>
      <c r="I874" s="36" t="s">
        <v>824</v>
      </c>
    </row>
    <row r="875" spans="1:9" x14ac:dyDescent="0.3">
      <c r="A875">
        <v>878</v>
      </c>
      <c r="B875" s="36" t="s">
        <v>4162</v>
      </c>
      <c r="C875" s="36" t="s">
        <v>4154</v>
      </c>
      <c r="D875" s="36" t="s">
        <v>2994</v>
      </c>
      <c r="E875" s="36" t="s">
        <v>4147</v>
      </c>
      <c r="F875" s="37" t="s">
        <v>4148</v>
      </c>
      <c r="G875" s="36" t="s">
        <v>4153</v>
      </c>
      <c r="H875" s="36" t="s">
        <v>4156</v>
      </c>
      <c r="I875" s="36" t="s">
        <v>824</v>
      </c>
    </row>
    <row r="876" spans="1:9" x14ac:dyDescent="0.3">
      <c r="A876">
        <v>879</v>
      </c>
      <c r="B876" s="36" t="s">
        <v>4162</v>
      </c>
      <c r="C876" s="36" t="s">
        <v>4154</v>
      </c>
      <c r="D876" s="36" t="s">
        <v>2994</v>
      </c>
      <c r="E876" s="36" t="s">
        <v>4147</v>
      </c>
      <c r="F876" s="37" t="s">
        <v>4148</v>
      </c>
      <c r="G876" s="36" t="s">
        <v>4153</v>
      </c>
      <c r="H876" s="36" t="s">
        <v>4156</v>
      </c>
      <c r="I876" s="36" t="s">
        <v>824</v>
      </c>
    </row>
    <row r="877" spans="1:9" x14ac:dyDescent="0.3">
      <c r="A877">
        <v>880</v>
      </c>
      <c r="B877" s="36" t="s">
        <v>4162</v>
      </c>
      <c r="C877" s="36" t="s">
        <v>4154</v>
      </c>
      <c r="D877" s="36" t="s">
        <v>2999</v>
      </c>
      <c r="E877" s="36" t="s">
        <v>4151</v>
      </c>
      <c r="F877" s="37" t="s">
        <v>4148</v>
      </c>
      <c r="G877" s="36" t="s">
        <v>4149</v>
      </c>
      <c r="H877" s="36" t="s">
        <v>4156</v>
      </c>
      <c r="I877" s="36" t="s">
        <v>824</v>
      </c>
    </row>
    <row r="878" spans="1:9" x14ac:dyDescent="0.3">
      <c r="A878">
        <v>881</v>
      </c>
      <c r="B878" s="36" t="s">
        <v>4162</v>
      </c>
      <c r="C878" s="36" t="s">
        <v>4146</v>
      </c>
      <c r="D878" s="36" t="s">
        <v>2999</v>
      </c>
      <c r="E878" s="36" t="s">
        <v>4151</v>
      </c>
      <c r="F878" s="37" t="s">
        <v>4148</v>
      </c>
      <c r="G878" s="36" t="s">
        <v>4149</v>
      </c>
      <c r="H878" s="36" t="s">
        <v>4156</v>
      </c>
      <c r="I878" s="36" t="s">
        <v>4199</v>
      </c>
    </row>
    <row r="879" spans="1:9" x14ac:dyDescent="0.3">
      <c r="A879">
        <v>882</v>
      </c>
      <c r="B879" s="36" t="s">
        <v>4162</v>
      </c>
      <c r="C879" s="36" t="s">
        <v>4146</v>
      </c>
      <c r="D879" s="36" t="s">
        <v>2999</v>
      </c>
      <c r="E879" s="36" t="s">
        <v>4151</v>
      </c>
      <c r="F879" s="37" t="s">
        <v>4148</v>
      </c>
      <c r="G879" s="36" t="s">
        <v>4149</v>
      </c>
      <c r="H879" s="36" t="s">
        <v>4156</v>
      </c>
      <c r="I879" s="36" t="s">
        <v>824</v>
      </c>
    </row>
    <row r="880" spans="1:9" x14ac:dyDescent="0.3">
      <c r="A880">
        <v>883</v>
      </c>
      <c r="B880" s="36" t="s">
        <v>4162</v>
      </c>
      <c r="C880" s="36" t="s">
        <v>4154</v>
      </c>
      <c r="D880" s="36" t="s">
        <v>2999</v>
      </c>
      <c r="E880" s="36" t="s">
        <v>4151</v>
      </c>
      <c r="F880" s="37" t="s">
        <v>4148</v>
      </c>
      <c r="G880" s="36" t="s">
        <v>4149</v>
      </c>
      <c r="H880" s="36" t="s">
        <v>4156</v>
      </c>
      <c r="I880" s="36" t="s">
        <v>824</v>
      </c>
    </row>
    <row r="881" spans="1:9" x14ac:dyDescent="0.3">
      <c r="A881">
        <v>884</v>
      </c>
      <c r="B881" s="36" t="s">
        <v>4162</v>
      </c>
      <c r="C881" s="36" t="s">
        <v>4154</v>
      </c>
      <c r="D881" s="36" t="s">
        <v>2999</v>
      </c>
      <c r="E881" s="36" t="s">
        <v>4151</v>
      </c>
      <c r="F881" s="37" t="s">
        <v>4148</v>
      </c>
      <c r="G881" s="36" t="s">
        <v>4149</v>
      </c>
      <c r="H881" s="36" t="s">
        <v>4156</v>
      </c>
      <c r="I881" s="36" t="s">
        <v>824</v>
      </c>
    </row>
    <row r="882" spans="1:9" x14ac:dyDescent="0.3">
      <c r="A882">
        <v>885</v>
      </c>
      <c r="B882" s="36" t="s">
        <v>4162</v>
      </c>
      <c r="C882" s="36" t="s">
        <v>4154</v>
      </c>
      <c r="D882" s="36" t="s">
        <v>2999</v>
      </c>
      <c r="E882" s="36" t="s">
        <v>4151</v>
      </c>
      <c r="F882" s="37" t="s">
        <v>4155</v>
      </c>
      <c r="G882" s="36" t="s">
        <v>4149</v>
      </c>
      <c r="H882" s="36" t="s">
        <v>4156</v>
      </c>
      <c r="I882" s="36" t="s">
        <v>824</v>
      </c>
    </row>
    <row r="883" spans="1:9" x14ac:dyDescent="0.3">
      <c r="A883">
        <v>886</v>
      </c>
      <c r="B883" s="36" t="s">
        <v>4162</v>
      </c>
      <c r="C883" s="36" t="s">
        <v>4154</v>
      </c>
      <c r="D883" s="36" t="s">
        <v>2999</v>
      </c>
      <c r="E883" s="36" t="s">
        <v>4151</v>
      </c>
      <c r="F883" s="37" t="s">
        <v>4159</v>
      </c>
      <c r="G883" s="36" t="s">
        <v>4153</v>
      </c>
      <c r="H883" s="36" t="s">
        <v>4156</v>
      </c>
      <c r="I883" s="36" t="s">
        <v>824</v>
      </c>
    </row>
    <row r="884" spans="1:9" x14ac:dyDescent="0.3">
      <c r="A884">
        <v>887</v>
      </c>
      <c r="B884" s="36" t="s">
        <v>4162</v>
      </c>
      <c r="C884" s="36" t="s">
        <v>4146</v>
      </c>
      <c r="D884" s="36" t="s">
        <v>2994</v>
      </c>
      <c r="E884" s="36" t="s">
        <v>4147</v>
      </c>
      <c r="F884" s="37" t="s">
        <v>4148</v>
      </c>
      <c r="G884" s="36" t="s">
        <v>4149</v>
      </c>
      <c r="H884" s="36" t="s">
        <v>4156</v>
      </c>
      <c r="I884" s="36" t="s">
        <v>4160</v>
      </c>
    </row>
    <row r="885" spans="1:9" x14ac:dyDescent="0.3">
      <c r="A885">
        <v>888</v>
      </c>
      <c r="B885" s="36" t="s">
        <v>4162</v>
      </c>
      <c r="C885" s="36" t="s">
        <v>4146</v>
      </c>
      <c r="D885" s="36" t="s">
        <v>2999</v>
      </c>
      <c r="E885" s="36" t="s">
        <v>4151</v>
      </c>
      <c r="F885" s="37" t="s">
        <v>4148</v>
      </c>
      <c r="G885" s="36" t="s">
        <v>4149</v>
      </c>
      <c r="H885" s="36" t="s">
        <v>4156</v>
      </c>
      <c r="I885" s="36" t="s">
        <v>824</v>
      </c>
    </row>
    <row r="886" spans="1:9" x14ac:dyDescent="0.3">
      <c r="A886">
        <v>889</v>
      </c>
      <c r="B886" s="36" t="s">
        <v>4162</v>
      </c>
      <c r="C886" s="36" t="s">
        <v>4154</v>
      </c>
      <c r="D886" s="36" t="s">
        <v>2999</v>
      </c>
      <c r="E886" s="36" t="s">
        <v>4151</v>
      </c>
      <c r="F886" s="37" t="s">
        <v>4155</v>
      </c>
      <c r="G886" s="36" t="s">
        <v>4149</v>
      </c>
      <c r="H886" s="36" t="s">
        <v>4156</v>
      </c>
      <c r="I886" s="36" t="s">
        <v>824</v>
      </c>
    </row>
    <row r="887" spans="1:9" x14ac:dyDescent="0.3">
      <c r="A887">
        <v>890</v>
      </c>
      <c r="B887" s="36" t="s">
        <v>4162</v>
      </c>
      <c r="C887" s="36" t="s">
        <v>4146</v>
      </c>
      <c r="D887" s="36" t="s">
        <v>2999</v>
      </c>
      <c r="E887" s="36" t="s">
        <v>4151</v>
      </c>
      <c r="F887" s="37" t="s">
        <v>4148</v>
      </c>
      <c r="G887" s="36" t="s">
        <v>4149</v>
      </c>
      <c r="H887" s="36" t="s">
        <v>4156</v>
      </c>
      <c r="I887" s="36" t="s">
        <v>824</v>
      </c>
    </row>
    <row r="888" spans="1:9" x14ac:dyDescent="0.3">
      <c r="A888">
        <v>891</v>
      </c>
      <c r="B888" s="36" t="s">
        <v>4162</v>
      </c>
      <c r="C888" s="36" t="s">
        <v>4154</v>
      </c>
      <c r="D888" s="36" t="s">
        <v>2999</v>
      </c>
      <c r="E888" s="36" t="s">
        <v>4151</v>
      </c>
      <c r="F888" s="37" t="s">
        <v>4148</v>
      </c>
      <c r="G888" s="36" t="s">
        <v>4149</v>
      </c>
      <c r="H888" s="36" t="s">
        <v>4156</v>
      </c>
      <c r="I888" s="36" t="s">
        <v>824</v>
      </c>
    </row>
    <row r="889" spans="1:9" x14ac:dyDescent="0.3">
      <c r="A889">
        <v>892</v>
      </c>
      <c r="B889" s="36" t="s">
        <v>4162</v>
      </c>
      <c r="C889" s="36" t="s">
        <v>4154</v>
      </c>
      <c r="D889" s="36" t="s">
        <v>2999</v>
      </c>
      <c r="E889" s="36" t="s">
        <v>4151</v>
      </c>
      <c r="F889" s="37" t="s">
        <v>4155</v>
      </c>
      <c r="G889" s="36" t="s">
        <v>4149</v>
      </c>
      <c r="H889" s="36" t="s">
        <v>4156</v>
      </c>
      <c r="I889" s="36" t="s">
        <v>824</v>
      </c>
    </row>
    <row r="890" spans="1:9" x14ac:dyDescent="0.3">
      <c r="A890">
        <v>893</v>
      </c>
      <c r="B890" s="36" t="s">
        <v>4162</v>
      </c>
      <c r="C890" s="36" t="s">
        <v>4154</v>
      </c>
      <c r="D890" s="36" t="s">
        <v>2999</v>
      </c>
      <c r="E890" s="36" t="s">
        <v>4151</v>
      </c>
      <c r="F890" s="37" t="s">
        <v>4155</v>
      </c>
      <c r="G890" s="36" t="s">
        <v>4149</v>
      </c>
      <c r="H890" s="36" t="s">
        <v>4156</v>
      </c>
      <c r="I890" s="36" t="s">
        <v>824</v>
      </c>
    </row>
    <row r="891" spans="1:9" x14ac:dyDescent="0.3">
      <c r="A891">
        <v>894</v>
      </c>
      <c r="B891" s="36" t="s">
        <v>4162</v>
      </c>
      <c r="C891" s="36" t="s">
        <v>4154</v>
      </c>
      <c r="D891" s="36" t="s">
        <v>2999</v>
      </c>
      <c r="E891" s="36" t="s">
        <v>4151</v>
      </c>
      <c r="F891" s="37" t="s">
        <v>4148</v>
      </c>
      <c r="G891" s="36" t="s">
        <v>4149</v>
      </c>
      <c r="H891" s="36" t="s">
        <v>4156</v>
      </c>
      <c r="I891" s="36" t="s">
        <v>824</v>
      </c>
    </row>
    <row r="892" spans="1:9" x14ac:dyDescent="0.3">
      <c r="A892">
        <v>895</v>
      </c>
      <c r="B892" s="36" t="s">
        <v>4162</v>
      </c>
      <c r="C892" s="36" t="s">
        <v>4146</v>
      </c>
      <c r="D892" s="36" t="s">
        <v>2996</v>
      </c>
      <c r="E892" s="36" t="s">
        <v>4151</v>
      </c>
      <c r="F892" s="37" t="s">
        <v>4152</v>
      </c>
      <c r="G892" s="36" t="s">
        <v>4153</v>
      </c>
      <c r="H892" s="36" t="s">
        <v>4156</v>
      </c>
      <c r="I892" s="36" t="s">
        <v>824</v>
      </c>
    </row>
    <row r="893" spans="1:9" x14ac:dyDescent="0.3">
      <c r="A893">
        <v>896</v>
      </c>
      <c r="B893" s="36" t="s">
        <v>4162</v>
      </c>
      <c r="C893" s="36" t="s">
        <v>4146</v>
      </c>
      <c r="D893" s="36" t="s">
        <v>2994</v>
      </c>
      <c r="E893" s="36" t="s">
        <v>4147</v>
      </c>
      <c r="F893" s="37" t="s">
        <v>4152</v>
      </c>
      <c r="G893" s="36" t="s">
        <v>4153</v>
      </c>
      <c r="H893" s="36" t="s">
        <v>4156</v>
      </c>
      <c r="I893" s="36" t="s">
        <v>824</v>
      </c>
    </row>
    <row r="894" spans="1:9" x14ac:dyDescent="0.3">
      <c r="A894">
        <v>897</v>
      </c>
      <c r="B894" s="36" t="s">
        <v>4162</v>
      </c>
      <c r="C894" s="36" t="s">
        <v>4154</v>
      </c>
      <c r="D894" s="36" t="s">
        <v>2999</v>
      </c>
      <c r="E894" s="36" t="s">
        <v>4151</v>
      </c>
      <c r="F894" s="37" t="s">
        <v>4155</v>
      </c>
      <c r="G894" s="36" t="s">
        <v>4149</v>
      </c>
      <c r="H894" s="36" t="s">
        <v>4156</v>
      </c>
      <c r="I894" s="36" t="s">
        <v>824</v>
      </c>
    </row>
    <row r="895" spans="1:9" x14ac:dyDescent="0.3">
      <c r="A895">
        <v>898</v>
      </c>
      <c r="B895" s="36" t="s">
        <v>4162</v>
      </c>
      <c r="C895" s="36" t="s">
        <v>4154</v>
      </c>
      <c r="D895" s="36" t="s">
        <v>2999</v>
      </c>
      <c r="E895" s="36" t="s">
        <v>4151</v>
      </c>
      <c r="F895" s="37" t="s">
        <v>4155</v>
      </c>
      <c r="G895" s="36" t="s">
        <v>4149</v>
      </c>
      <c r="H895" s="36" t="s">
        <v>4156</v>
      </c>
      <c r="I895" s="36" t="s">
        <v>824</v>
      </c>
    </row>
    <row r="896" spans="1:9" x14ac:dyDescent="0.3">
      <c r="A896">
        <v>899</v>
      </c>
      <c r="B896" s="36" t="s">
        <v>4162</v>
      </c>
      <c r="C896" s="36" t="s">
        <v>4154</v>
      </c>
      <c r="D896" s="36" t="s">
        <v>2999</v>
      </c>
      <c r="E896" s="36" t="s">
        <v>4151</v>
      </c>
      <c r="F896" s="37" t="s">
        <v>4148</v>
      </c>
      <c r="G896" s="36" t="s">
        <v>4149</v>
      </c>
      <c r="H896" s="36" t="s">
        <v>4156</v>
      </c>
      <c r="I896" s="36" t="s">
        <v>824</v>
      </c>
    </row>
    <row r="897" spans="1:9" x14ac:dyDescent="0.3">
      <c r="A897">
        <v>900</v>
      </c>
      <c r="B897" s="36" t="s">
        <v>4162</v>
      </c>
      <c r="C897" s="36" t="s">
        <v>4146</v>
      </c>
      <c r="D897" s="36" t="s">
        <v>3001</v>
      </c>
      <c r="E897" s="36" t="s">
        <v>4147</v>
      </c>
      <c r="F897" s="37" t="s">
        <v>4148</v>
      </c>
      <c r="G897" s="36" t="s">
        <v>4153</v>
      </c>
      <c r="H897" s="36" t="s">
        <v>4156</v>
      </c>
      <c r="I897" s="36" t="s">
        <v>824</v>
      </c>
    </row>
    <row r="898" spans="1:9" x14ac:dyDescent="0.3">
      <c r="A898">
        <v>901</v>
      </c>
      <c r="B898" s="36" t="s">
        <v>4162</v>
      </c>
      <c r="C898" s="36" t="s">
        <v>4154</v>
      </c>
      <c r="D898" s="36" t="s">
        <v>2996</v>
      </c>
      <c r="E898" s="36" t="s">
        <v>4151</v>
      </c>
      <c r="F898" s="37" t="s">
        <v>4148</v>
      </c>
      <c r="G898" s="36" t="s">
        <v>4153</v>
      </c>
      <c r="H898" s="36" t="s">
        <v>4156</v>
      </c>
      <c r="I898" s="36" t="s">
        <v>824</v>
      </c>
    </row>
    <row r="899" spans="1:9" x14ac:dyDescent="0.3">
      <c r="A899">
        <v>902</v>
      </c>
      <c r="B899" s="36" t="s">
        <v>4162</v>
      </c>
      <c r="C899" s="36" t="s">
        <v>4154</v>
      </c>
      <c r="D899" s="36" t="s">
        <v>2994</v>
      </c>
      <c r="E899" s="36" t="s">
        <v>4147</v>
      </c>
      <c r="F899" s="37" t="s">
        <v>4148</v>
      </c>
      <c r="G899" s="36" t="s">
        <v>4153</v>
      </c>
      <c r="H899" s="36" t="s">
        <v>4156</v>
      </c>
      <c r="I899" s="36" t="s">
        <v>824</v>
      </c>
    </row>
    <row r="900" spans="1:9" x14ac:dyDescent="0.3">
      <c r="A900">
        <v>903</v>
      </c>
      <c r="B900" s="36" t="s">
        <v>4162</v>
      </c>
      <c r="C900" s="36" t="s">
        <v>4154</v>
      </c>
      <c r="D900" s="36" t="s">
        <v>2999</v>
      </c>
      <c r="E900" s="36" t="s">
        <v>4151</v>
      </c>
      <c r="F900" s="37" t="s">
        <v>4148</v>
      </c>
      <c r="G900" s="36" t="s">
        <v>4153</v>
      </c>
      <c r="H900" s="36" t="s">
        <v>4156</v>
      </c>
      <c r="I900" s="36" t="s">
        <v>824</v>
      </c>
    </row>
    <row r="901" spans="1:9" x14ac:dyDescent="0.3">
      <c r="A901">
        <v>904</v>
      </c>
      <c r="B901" s="36" t="s">
        <v>4162</v>
      </c>
      <c r="C901" s="36" t="s">
        <v>4154</v>
      </c>
      <c r="D901" s="36" t="s">
        <v>3001</v>
      </c>
      <c r="E901" s="36" t="s">
        <v>4147</v>
      </c>
      <c r="F901" s="37" t="s">
        <v>4148</v>
      </c>
      <c r="G901" s="36" t="s">
        <v>4153</v>
      </c>
      <c r="H901" s="36" t="s">
        <v>4156</v>
      </c>
      <c r="I901" s="36" t="s">
        <v>824</v>
      </c>
    </row>
    <row r="902" spans="1:9" x14ac:dyDescent="0.3">
      <c r="A902">
        <v>905</v>
      </c>
      <c r="B902" s="36" t="s">
        <v>4162</v>
      </c>
      <c r="C902" s="36" t="s">
        <v>4154</v>
      </c>
      <c r="D902" s="36" t="s">
        <v>2999</v>
      </c>
      <c r="E902" s="36" t="s">
        <v>4151</v>
      </c>
      <c r="F902" s="37" t="s">
        <v>4148</v>
      </c>
      <c r="G902" s="36" t="s">
        <v>4149</v>
      </c>
      <c r="H902" s="36" t="s">
        <v>4156</v>
      </c>
      <c r="I902" s="36" t="s">
        <v>824</v>
      </c>
    </row>
    <row r="903" spans="1:9" x14ac:dyDescent="0.3">
      <c r="A903">
        <v>906</v>
      </c>
      <c r="B903" s="36" t="s">
        <v>4162</v>
      </c>
      <c r="C903" s="36" t="s">
        <v>4146</v>
      </c>
      <c r="D903" s="36" t="s">
        <v>2999</v>
      </c>
      <c r="E903" s="36" t="s">
        <v>4151</v>
      </c>
      <c r="F903" s="37" t="s">
        <v>4155</v>
      </c>
      <c r="G903" s="36" t="s">
        <v>4149</v>
      </c>
      <c r="H903" s="36" t="s">
        <v>4156</v>
      </c>
      <c r="I903" s="36" t="s">
        <v>824</v>
      </c>
    </row>
    <row r="904" spans="1:9" x14ac:dyDescent="0.3">
      <c r="A904">
        <v>907</v>
      </c>
      <c r="B904" s="36" t="s">
        <v>4162</v>
      </c>
      <c r="C904" s="36" t="s">
        <v>4154</v>
      </c>
      <c r="D904" s="36" t="s">
        <v>2999</v>
      </c>
      <c r="E904" s="36" t="s">
        <v>4151</v>
      </c>
      <c r="F904" s="37" t="s">
        <v>4148</v>
      </c>
      <c r="G904" s="36" t="s">
        <v>4149</v>
      </c>
      <c r="H904" s="36" t="s">
        <v>4156</v>
      </c>
      <c r="I904" s="36" t="s">
        <v>824</v>
      </c>
    </row>
    <row r="905" spans="1:9" x14ac:dyDescent="0.3">
      <c r="A905">
        <v>908</v>
      </c>
      <c r="B905" s="36" t="s">
        <v>4162</v>
      </c>
      <c r="C905" s="36" t="s">
        <v>4154</v>
      </c>
      <c r="D905" s="36" t="s">
        <v>2994</v>
      </c>
      <c r="E905" s="36" t="s">
        <v>4147</v>
      </c>
      <c r="F905" s="37" t="s">
        <v>4148</v>
      </c>
      <c r="G905" s="36" t="s">
        <v>4153</v>
      </c>
      <c r="H905" s="36" t="s">
        <v>4156</v>
      </c>
      <c r="I905" s="36" t="s">
        <v>824</v>
      </c>
    </row>
    <row r="906" spans="1:9" x14ac:dyDescent="0.3">
      <c r="A906">
        <v>909</v>
      </c>
      <c r="B906" s="36" t="s">
        <v>4162</v>
      </c>
      <c r="C906" s="36" t="s">
        <v>4154</v>
      </c>
      <c r="D906" s="36" t="s">
        <v>2994</v>
      </c>
      <c r="E906" s="36" t="s">
        <v>4147</v>
      </c>
      <c r="F906" s="37" t="s">
        <v>4148</v>
      </c>
      <c r="G906" s="36" t="s">
        <v>4153</v>
      </c>
      <c r="H906" s="36" t="s">
        <v>4156</v>
      </c>
      <c r="I906" s="36" t="s">
        <v>824</v>
      </c>
    </row>
    <row r="907" spans="1:9" x14ac:dyDescent="0.3">
      <c r="A907">
        <v>910</v>
      </c>
      <c r="B907" s="36" t="s">
        <v>4162</v>
      </c>
      <c r="C907" s="36" t="s">
        <v>4146</v>
      </c>
      <c r="D907" s="36" t="s">
        <v>2999</v>
      </c>
      <c r="E907" s="36" t="s">
        <v>4151</v>
      </c>
      <c r="F907" s="37" t="s">
        <v>4155</v>
      </c>
      <c r="G907" s="36" t="s">
        <v>4149</v>
      </c>
      <c r="H907" s="36" t="s">
        <v>4156</v>
      </c>
      <c r="I907" s="36" t="s">
        <v>824</v>
      </c>
    </row>
    <row r="908" spans="1:9" x14ac:dyDescent="0.3">
      <c r="A908">
        <v>911</v>
      </c>
      <c r="B908" s="36" t="s">
        <v>4162</v>
      </c>
      <c r="C908" s="36" t="s">
        <v>4154</v>
      </c>
      <c r="D908" s="36" t="s">
        <v>2999</v>
      </c>
      <c r="E908" s="36" t="s">
        <v>4151</v>
      </c>
      <c r="F908" s="37" t="s">
        <v>4159</v>
      </c>
      <c r="G908" s="36" t="s">
        <v>4149</v>
      </c>
      <c r="H908" s="36" t="s">
        <v>4156</v>
      </c>
      <c r="I908" s="36" t="s">
        <v>824</v>
      </c>
    </row>
    <row r="909" spans="1:9" x14ac:dyDescent="0.3">
      <c r="A909">
        <v>912</v>
      </c>
      <c r="B909" s="36" t="s">
        <v>4162</v>
      </c>
      <c r="C909" s="36" t="s">
        <v>4154</v>
      </c>
      <c r="D909" s="36" t="s">
        <v>2999</v>
      </c>
      <c r="E909" s="36" t="s">
        <v>4151</v>
      </c>
      <c r="F909" s="37" t="s">
        <v>4148</v>
      </c>
      <c r="G909" s="36" t="s">
        <v>4149</v>
      </c>
      <c r="H909" s="36" t="s">
        <v>4156</v>
      </c>
      <c r="I909" s="36" t="s">
        <v>824</v>
      </c>
    </row>
    <row r="910" spans="1:9" x14ac:dyDescent="0.3">
      <c r="A910">
        <v>913</v>
      </c>
      <c r="B910" s="36" t="s">
        <v>4162</v>
      </c>
      <c r="C910" s="36" t="s">
        <v>4154</v>
      </c>
      <c r="D910" s="36" t="s">
        <v>2999</v>
      </c>
      <c r="E910" s="36" t="s">
        <v>4151</v>
      </c>
      <c r="F910" s="37" t="s">
        <v>4148</v>
      </c>
      <c r="G910" s="36" t="s">
        <v>4149</v>
      </c>
      <c r="H910" s="36" t="s">
        <v>4156</v>
      </c>
      <c r="I910" s="36" t="s">
        <v>824</v>
      </c>
    </row>
    <row r="911" spans="1:9" x14ac:dyDescent="0.3">
      <c r="A911">
        <v>914</v>
      </c>
      <c r="B911" s="36" t="s">
        <v>4162</v>
      </c>
      <c r="C911" s="36" t="s">
        <v>4146</v>
      </c>
      <c r="D911" s="36" t="s">
        <v>2999</v>
      </c>
      <c r="E911" s="36" t="s">
        <v>4151</v>
      </c>
      <c r="F911" s="37" t="s">
        <v>4148</v>
      </c>
      <c r="G911" s="36" t="s">
        <v>4149</v>
      </c>
      <c r="H911" s="36" t="s">
        <v>4156</v>
      </c>
      <c r="I911" s="36" t="s">
        <v>824</v>
      </c>
    </row>
    <row r="912" spans="1:9" x14ac:dyDescent="0.3">
      <c r="A912">
        <v>915</v>
      </c>
      <c r="B912" s="36" t="s">
        <v>4162</v>
      </c>
      <c r="C912" s="36" t="s">
        <v>4154</v>
      </c>
      <c r="D912" s="36" t="s">
        <v>2999</v>
      </c>
      <c r="E912" s="36" t="s">
        <v>4151</v>
      </c>
      <c r="F912" s="37" t="s">
        <v>4155</v>
      </c>
      <c r="G912" s="36" t="s">
        <v>4149</v>
      </c>
      <c r="H912" s="36" t="s">
        <v>4156</v>
      </c>
      <c r="I912" s="36" t="s">
        <v>824</v>
      </c>
    </row>
    <row r="913" spans="1:9" x14ac:dyDescent="0.3">
      <c r="A913">
        <v>916</v>
      </c>
      <c r="B913" s="36" t="s">
        <v>4162</v>
      </c>
      <c r="C913" s="36" t="s">
        <v>4154</v>
      </c>
      <c r="D913" s="36" t="s">
        <v>2999</v>
      </c>
      <c r="E913" s="36" t="s">
        <v>4151</v>
      </c>
      <c r="F913" s="37" t="s">
        <v>4148</v>
      </c>
      <c r="G913" s="36" t="s">
        <v>4149</v>
      </c>
      <c r="H913" s="36" t="s">
        <v>4156</v>
      </c>
      <c r="I913" s="36" t="s">
        <v>824</v>
      </c>
    </row>
    <row r="914" spans="1:9" x14ac:dyDescent="0.3">
      <c r="A914">
        <v>917</v>
      </c>
      <c r="B914" s="36" t="s">
        <v>4162</v>
      </c>
      <c r="C914" s="36" t="s">
        <v>4146</v>
      </c>
      <c r="D914" s="36" t="s">
        <v>2994</v>
      </c>
      <c r="E914" s="36" t="s">
        <v>4147</v>
      </c>
      <c r="F914" s="37" t="s">
        <v>4152</v>
      </c>
      <c r="G914" s="36" t="s">
        <v>4153</v>
      </c>
      <c r="H914" s="36" t="s">
        <v>4156</v>
      </c>
      <c r="I914" s="36" t="s">
        <v>4199</v>
      </c>
    </row>
    <row r="915" spans="1:9" x14ac:dyDescent="0.3">
      <c r="A915">
        <v>918</v>
      </c>
      <c r="B915" s="36" t="s">
        <v>4162</v>
      </c>
      <c r="C915" s="36" t="s">
        <v>4146</v>
      </c>
      <c r="D915" s="36" t="s">
        <v>2999</v>
      </c>
      <c r="E915" s="36" t="s">
        <v>4151</v>
      </c>
      <c r="F915" s="37" t="s">
        <v>4155</v>
      </c>
      <c r="G915" s="36" t="s">
        <v>4153</v>
      </c>
      <c r="H915" s="36" t="s">
        <v>4156</v>
      </c>
      <c r="I915" s="36" t="s">
        <v>4199</v>
      </c>
    </row>
    <row r="916" spans="1:9" x14ac:dyDescent="0.3">
      <c r="A916">
        <v>919</v>
      </c>
      <c r="B916" s="36" t="s">
        <v>4162</v>
      </c>
      <c r="C916" s="36" t="s">
        <v>4154</v>
      </c>
      <c r="D916" s="36" t="s">
        <v>2999</v>
      </c>
      <c r="E916" s="36" t="s">
        <v>4151</v>
      </c>
      <c r="F916" s="37" t="s">
        <v>4148</v>
      </c>
      <c r="G916" s="36" t="s">
        <v>4149</v>
      </c>
      <c r="H916" s="36" t="s">
        <v>4156</v>
      </c>
      <c r="I916" s="36" t="s">
        <v>4199</v>
      </c>
    </row>
    <row r="917" spans="1:9" x14ac:dyDescent="0.3">
      <c r="A917">
        <v>920</v>
      </c>
      <c r="B917" s="36" t="s">
        <v>4162</v>
      </c>
      <c r="C917" s="36" t="s">
        <v>4154</v>
      </c>
      <c r="D917" s="36" t="s">
        <v>2999</v>
      </c>
      <c r="E917" s="36" t="s">
        <v>4151</v>
      </c>
      <c r="F917" s="37" t="s">
        <v>4148</v>
      </c>
      <c r="G917" s="36" t="s">
        <v>4149</v>
      </c>
      <c r="H917" s="36" t="s">
        <v>4156</v>
      </c>
      <c r="I917" s="36" t="s">
        <v>4199</v>
      </c>
    </row>
    <row r="918" spans="1:9" x14ac:dyDescent="0.3">
      <c r="A918">
        <v>921</v>
      </c>
      <c r="B918" s="36" t="s">
        <v>4162</v>
      </c>
      <c r="C918" s="36" t="s">
        <v>4154</v>
      </c>
      <c r="D918" s="36" t="s">
        <v>2999</v>
      </c>
      <c r="E918" s="36" t="s">
        <v>4151</v>
      </c>
      <c r="F918" s="37" t="s">
        <v>4148</v>
      </c>
      <c r="G918" s="36" t="s">
        <v>4149</v>
      </c>
      <c r="H918" s="36" t="s">
        <v>4156</v>
      </c>
      <c r="I918" s="36" t="s">
        <v>4160</v>
      </c>
    </row>
    <row r="919" spans="1:9" x14ac:dyDescent="0.3">
      <c r="A919">
        <v>922</v>
      </c>
      <c r="B919" s="36" t="s">
        <v>4162</v>
      </c>
      <c r="C919" s="36" t="s">
        <v>4154</v>
      </c>
      <c r="D919" s="36" t="s">
        <v>2999</v>
      </c>
      <c r="E919" s="36" t="s">
        <v>4151</v>
      </c>
      <c r="F919" s="37" t="s">
        <v>4148</v>
      </c>
      <c r="G919" s="36" t="s">
        <v>4149</v>
      </c>
      <c r="H919" s="36" t="s">
        <v>4156</v>
      </c>
      <c r="I919" s="36" t="s">
        <v>824</v>
      </c>
    </row>
    <row r="920" spans="1:9" x14ac:dyDescent="0.3">
      <c r="A920">
        <v>923</v>
      </c>
      <c r="B920" s="36" t="s">
        <v>4162</v>
      </c>
      <c r="C920" s="36" t="s">
        <v>4146</v>
      </c>
      <c r="D920" s="36" t="s">
        <v>2994</v>
      </c>
      <c r="E920" s="36" t="s">
        <v>4147</v>
      </c>
      <c r="F920" s="37" t="s">
        <v>4148</v>
      </c>
      <c r="G920" s="36" t="s">
        <v>4149</v>
      </c>
      <c r="H920" s="36" t="s">
        <v>4156</v>
      </c>
      <c r="I920" s="36" t="s">
        <v>4160</v>
      </c>
    </row>
    <row r="921" spans="1:9" x14ac:dyDescent="0.3">
      <c r="A921">
        <v>924</v>
      </c>
      <c r="B921" s="36" t="s">
        <v>4162</v>
      </c>
      <c r="C921" s="36" t="s">
        <v>4146</v>
      </c>
      <c r="D921" s="36" t="s">
        <v>2994</v>
      </c>
      <c r="E921" s="36" t="s">
        <v>4147</v>
      </c>
      <c r="F921" s="37" t="s">
        <v>4148</v>
      </c>
      <c r="G921" s="36" t="s">
        <v>4149</v>
      </c>
      <c r="H921" s="36" t="s">
        <v>4156</v>
      </c>
      <c r="I921" s="36" t="s">
        <v>4160</v>
      </c>
    </row>
    <row r="922" spans="1:9" x14ac:dyDescent="0.3">
      <c r="A922">
        <v>925</v>
      </c>
      <c r="B922" s="36" t="s">
        <v>4162</v>
      </c>
      <c r="C922" s="36" t="s">
        <v>4154</v>
      </c>
      <c r="D922" s="36" t="s">
        <v>2999</v>
      </c>
      <c r="E922" s="36" t="s">
        <v>4151</v>
      </c>
      <c r="F922" s="37" t="s">
        <v>4155</v>
      </c>
      <c r="G922" s="36" t="s">
        <v>4149</v>
      </c>
      <c r="H922" s="36" t="s">
        <v>4156</v>
      </c>
      <c r="I922" s="36" t="s">
        <v>4160</v>
      </c>
    </row>
    <row r="923" spans="1:9" x14ac:dyDescent="0.3">
      <c r="A923">
        <v>926</v>
      </c>
      <c r="B923" s="36" t="s">
        <v>4162</v>
      </c>
      <c r="C923" s="36" t="s">
        <v>4154</v>
      </c>
      <c r="D923" s="36" t="s">
        <v>2999</v>
      </c>
      <c r="E923" s="36" t="s">
        <v>4151</v>
      </c>
      <c r="F923" s="37" t="s">
        <v>4155</v>
      </c>
      <c r="G923" s="36" t="s">
        <v>4149</v>
      </c>
      <c r="H923" s="36" t="s">
        <v>4156</v>
      </c>
      <c r="I923" s="36" t="s">
        <v>824</v>
      </c>
    </row>
    <row r="924" spans="1:9" x14ac:dyDescent="0.3">
      <c r="A924">
        <v>927</v>
      </c>
      <c r="B924" s="36" t="s">
        <v>4162</v>
      </c>
      <c r="C924" s="36" t="s">
        <v>4146</v>
      </c>
      <c r="D924" s="36" t="s">
        <v>2999</v>
      </c>
      <c r="E924" s="36" t="s">
        <v>4151</v>
      </c>
      <c r="F924" s="37" t="s">
        <v>4148</v>
      </c>
      <c r="G924" s="36" t="s">
        <v>4149</v>
      </c>
      <c r="H924" s="36" t="s">
        <v>4156</v>
      </c>
      <c r="I924" s="36" t="s">
        <v>4160</v>
      </c>
    </row>
    <row r="925" spans="1:9" x14ac:dyDescent="0.3">
      <c r="A925">
        <v>928</v>
      </c>
      <c r="B925" s="36" t="s">
        <v>4162</v>
      </c>
      <c r="C925" s="36" t="s">
        <v>4154</v>
      </c>
      <c r="D925" s="36" t="s">
        <v>2999</v>
      </c>
      <c r="E925" s="36" t="s">
        <v>4151</v>
      </c>
      <c r="F925" s="37" t="s">
        <v>4148</v>
      </c>
      <c r="G925" s="36" t="s">
        <v>4153</v>
      </c>
      <c r="H925" s="36" t="s">
        <v>4156</v>
      </c>
      <c r="I925" s="36" t="s">
        <v>4199</v>
      </c>
    </row>
    <row r="926" spans="1:9" x14ac:dyDescent="0.3">
      <c r="A926">
        <v>929</v>
      </c>
      <c r="B926" s="36" t="s">
        <v>4162</v>
      </c>
      <c r="C926" s="36" t="s">
        <v>4154</v>
      </c>
      <c r="D926" s="36" t="s">
        <v>3001</v>
      </c>
      <c r="E926" s="36" t="s">
        <v>4147</v>
      </c>
      <c r="F926" s="37" t="s">
        <v>4148</v>
      </c>
      <c r="G926" s="36" t="s">
        <v>4153</v>
      </c>
      <c r="H926" s="36" t="s">
        <v>4156</v>
      </c>
      <c r="I926" s="36" t="s">
        <v>4199</v>
      </c>
    </row>
    <row r="927" spans="1:9" x14ac:dyDescent="0.3">
      <c r="A927">
        <v>930</v>
      </c>
      <c r="B927" s="36" t="s">
        <v>4162</v>
      </c>
      <c r="C927" s="36" t="s">
        <v>4154</v>
      </c>
      <c r="D927" s="36" t="s">
        <v>2999</v>
      </c>
      <c r="E927" s="36" t="s">
        <v>4151</v>
      </c>
      <c r="F927" s="37" t="s">
        <v>4148</v>
      </c>
      <c r="G927" s="36" t="s">
        <v>4153</v>
      </c>
      <c r="H927" s="36" t="s">
        <v>4156</v>
      </c>
      <c r="I927" s="36" t="s">
        <v>4160</v>
      </c>
    </row>
    <row r="928" spans="1:9" x14ac:dyDescent="0.3">
      <c r="A928">
        <v>931</v>
      </c>
      <c r="B928" s="36" t="s">
        <v>4162</v>
      </c>
      <c r="C928" s="36" t="s">
        <v>4154</v>
      </c>
      <c r="D928" s="36" t="s">
        <v>2999</v>
      </c>
      <c r="E928" s="36" t="s">
        <v>4151</v>
      </c>
      <c r="F928" s="37" t="s">
        <v>4148</v>
      </c>
      <c r="G928" s="36" t="s">
        <v>4153</v>
      </c>
      <c r="H928" s="36" t="s">
        <v>4156</v>
      </c>
      <c r="I928" s="36" t="s">
        <v>4160</v>
      </c>
    </row>
    <row r="929" spans="1:9" x14ac:dyDescent="0.3">
      <c r="A929">
        <v>932</v>
      </c>
      <c r="B929" s="36" t="s">
        <v>4162</v>
      </c>
      <c r="C929" s="36" t="s">
        <v>4154</v>
      </c>
      <c r="D929" s="36" t="s">
        <v>2999</v>
      </c>
      <c r="E929" s="36" t="s">
        <v>4151</v>
      </c>
      <c r="F929" s="37" t="s">
        <v>4148</v>
      </c>
      <c r="G929" s="36" t="s">
        <v>4149</v>
      </c>
      <c r="H929" s="36" t="s">
        <v>4156</v>
      </c>
      <c r="I929" s="36" t="s">
        <v>4160</v>
      </c>
    </row>
    <row r="930" spans="1:9" x14ac:dyDescent="0.3">
      <c r="A930">
        <v>933</v>
      </c>
      <c r="B930" s="36" t="s">
        <v>4162</v>
      </c>
      <c r="C930" s="36" t="s">
        <v>4154</v>
      </c>
      <c r="D930" s="36" t="s">
        <v>2994</v>
      </c>
      <c r="E930" s="36" t="s">
        <v>4147</v>
      </c>
      <c r="F930" s="37" t="s">
        <v>4148</v>
      </c>
      <c r="G930" s="36" t="s">
        <v>4153</v>
      </c>
      <c r="H930" s="36" t="s">
        <v>4156</v>
      </c>
      <c r="I930" s="36" t="s">
        <v>824</v>
      </c>
    </row>
    <row r="931" spans="1:9" x14ac:dyDescent="0.3">
      <c r="A931">
        <v>934</v>
      </c>
      <c r="B931" s="36" t="s">
        <v>4162</v>
      </c>
      <c r="C931" s="36" t="s">
        <v>4154</v>
      </c>
      <c r="D931" s="36" t="s">
        <v>2999</v>
      </c>
      <c r="E931" s="36" t="s">
        <v>4151</v>
      </c>
      <c r="F931" s="37" t="s">
        <v>4148</v>
      </c>
      <c r="G931" s="36" t="s">
        <v>4153</v>
      </c>
      <c r="H931" s="36" t="s">
        <v>4156</v>
      </c>
      <c r="I931" s="36" t="s">
        <v>824</v>
      </c>
    </row>
    <row r="932" spans="1:9" x14ac:dyDescent="0.3">
      <c r="A932">
        <v>935</v>
      </c>
      <c r="B932" s="36" t="s">
        <v>4162</v>
      </c>
      <c r="C932" s="36" t="s">
        <v>4146</v>
      </c>
      <c r="D932" s="36" t="s">
        <v>2994</v>
      </c>
      <c r="E932" s="36" t="s">
        <v>4147</v>
      </c>
      <c r="F932" s="37" t="s">
        <v>4152</v>
      </c>
      <c r="G932" s="36" t="s">
        <v>4153</v>
      </c>
      <c r="H932" s="36" t="s">
        <v>4156</v>
      </c>
      <c r="I932" s="36" t="s">
        <v>824</v>
      </c>
    </row>
    <row r="933" spans="1:9" x14ac:dyDescent="0.3">
      <c r="A933">
        <v>936</v>
      </c>
      <c r="B933" s="36" t="s">
        <v>4162</v>
      </c>
      <c r="C933" s="36" t="s">
        <v>4146</v>
      </c>
      <c r="D933" s="36" t="s">
        <v>2999</v>
      </c>
      <c r="E933" s="36" t="s">
        <v>4151</v>
      </c>
      <c r="F933" s="37" t="s">
        <v>4148</v>
      </c>
      <c r="G933" s="36" t="s">
        <v>4153</v>
      </c>
      <c r="H933" s="36" t="s">
        <v>4156</v>
      </c>
      <c r="I933" s="36" t="s">
        <v>824</v>
      </c>
    </row>
    <row r="934" spans="1:9" x14ac:dyDescent="0.3">
      <c r="A934">
        <v>937</v>
      </c>
      <c r="B934" s="36" t="s">
        <v>4162</v>
      </c>
      <c r="C934" s="36" t="s">
        <v>4146</v>
      </c>
      <c r="D934" s="36" t="s">
        <v>3001</v>
      </c>
      <c r="E934" s="36" t="s">
        <v>4147</v>
      </c>
      <c r="F934" s="37" t="s">
        <v>4148</v>
      </c>
      <c r="G934" s="36" t="s">
        <v>4153</v>
      </c>
      <c r="H934" s="36" t="s">
        <v>4156</v>
      </c>
      <c r="I934" s="36" t="s">
        <v>824</v>
      </c>
    </row>
    <row r="935" spans="1:9" x14ac:dyDescent="0.3">
      <c r="A935">
        <v>938</v>
      </c>
      <c r="B935" s="36" t="s">
        <v>4162</v>
      </c>
      <c r="C935" s="36" t="s">
        <v>4154</v>
      </c>
      <c r="D935" s="36" t="s">
        <v>2994</v>
      </c>
      <c r="E935" s="36" t="s">
        <v>4147</v>
      </c>
      <c r="F935" s="37" t="s">
        <v>4152</v>
      </c>
      <c r="G935" s="36" t="s">
        <v>4153</v>
      </c>
      <c r="H935" s="36" t="s">
        <v>4156</v>
      </c>
      <c r="I935" s="36" t="s">
        <v>824</v>
      </c>
    </row>
    <row r="936" spans="1:9" x14ac:dyDescent="0.3">
      <c r="A936">
        <v>939</v>
      </c>
      <c r="B936" s="36" t="s">
        <v>4162</v>
      </c>
      <c r="C936" s="36" t="s">
        <v>4154</v>
      </c>
      <c r="D936" s="36" t="s">
        <v>2999</v>
      </c>
      <c r="E936" s="36" t="s">
        <v>4151</v>
      </c>
      <c r="F936" s="37" t="s">
        <v>4159</v>
      </c>
      <c r="G936" s="36" t="s">
        <v>4153</v>
      </c>
      <c r="H936" s="36" t="s">
        <v>4156</v>
      </c>
      <c r="I936" s="36" t="s">
        <v>824</v>
      </c>
    </row>
    <row r="937" spans="1:9" x14ac:dyDescent="0.3">
      <c r="A937">
        <v>940</v>
      </c>
      <c r="B937" s="36" t="s">
        <v>4162</v>
      </c>
      <c r="C937" s="36" t="s">
        <v>4154</v>
      </c>
      <c r="D937" s="36" t="s">
        <v>3001</v>
      </c>
      <c r="E937" s="36" t="s">
        <v>4147</v>
      </c>
      <c r="F937" s="37" t="s">
        <v>4155</v>
      </c>
      <c r="G937" s="36" t="s">
        <v>4153</v>
      </c>
      <c r="H937" s="36" t="s">
        <v>4156</v>
      </c>
      <c r="I937" s="36" t="s">
        <v>824</v>
      </c>
    </row>
    <row r="938" spans="1:9" x14ac:dyDescent="0.3">
      <c r="A938">
        <v>941</v>
      </c>
      <c r="B938" s="36" t="s">
        <v>4162</v>
      </c>
      <c r="C938" s="36" t="s">
        <v>4154</v>
      </c>
      <c r="D938" s="36" t="s">
        <v>2999</v>
      </c>
      <c r="E938" s="36" t="s">
        <v>4151</v>
      </c>
      <c r="F938" s="37" t="s">
        <v>4148</v>
      </c>
      <c r="G938" s="36" t="s">
        <v>4149</v>
      </c>
      <c r="H938" s="36" t="s">
        <v>4156</v>
      </c>
      <c r="I938" s="36" t="s">
        <v>4199</v>
      </c>
    </row>
    <row r="939" spans="1:9" x14ac:dyDescent="0.3">
      <c r="A939">
        <v>942</v>
      </c>
      <c r="B939" s="36" t="s">
        <v>4162</v>
      </c>
      <c r="C939" s="36" t="s">
        <v>4146</v>
      </c>
      <c r="D939" s="36" t="s">
        <v>2999</v>
      </c>
      <c r="E939" s="36" t="s">
        <v>4151</v>
      </c>
      <c r="F939" s="37" t="s">
        <v>4148</v>
      </c>
      <c r="G939" s="36" t="s">
        <v>4149</v>
      </c>
      <c r="H939" s="36" t="s">
        <v>4156</v>
      </c>
      <c r="I939" s="36" t="s">
        <v>4199</v>
      </c>
    </row>
    <row r="940" spans="1:9" x14ac:dyDescent="0.3">
      <c r="A940">
        <v>943</v>
      </c>
      <c r="B940" s="36" t="s">
        <v>4162</v>
      </c>
      <c r="C940" s="36" t="s">
        <v>4154</v>
      </c>
      <c r="D940" s="36" t="s">
        <v>2999</v>
      </c>
      <c r="E940" s="36" t="s">
        <v>4151</v>
      </c>
      <c r="F940" s="37" t="s">
        <v>4148</v>
      </c>
      <c r="G940" s="36" t="s">
        <v>4149</v>
      </c>
      <c r="H940" s="36" t="s">
        <v>4156</v>
      </c>
      <c r="I940" s="36" t="s">
        <v>4199</v>
      </c>
    </row>
    <row r="941" spans="1:9" x14ac:dyDescent="0.3">
      <c r="A941">
        <v>944</v>
      </c>
      <c r="B941" s="36" t="s">
        <v>4162</v>
      </c>
      <c r="C941" s="36" t="s">
        <v>4154</v>
      </c>
      <c r="D941" s="36" t="s">
        <v>2994</v>
      </c>
      <c r="E941" s="36" t="s">
        <v>4147</v>
      </c>
      <c r="F941" s="37" t="s">
        <v>4155</v>
      </c>
      <c r="G941" s="36" t="s">
        <v>4149</v>
      </c>
      <c r="H941" s="36" t="s">
        <v>4156</v>
      </c>
      <c r="I941" s="36" t="s">
        <v>824</v>
      </c>
    </row>
    <row r="942" spans="1:9" x14ac:dyDescent="0.3">
      <c r="A942">
        <v>945</v>
      </c>
      <c r="B942" s="36" t="s">
        <v>4162</v>
      </c>
      <c r="C942" s="36" t="s">
        <v>4154</v>
      </c>
      <c r="D942" s="36" t="s">
        <v>2999</v>
      </c>
      <c r="E942" s="36" t="s">
        <v>4151</v>
      </c>
      <c r="F942" s="37" t="s">
        <v>4148</v>
      </c>
      <c r="G942" s="36" t="s">
        <v>4149</v>
      </c>
      <c r="H942" s="36" t="s">
        <v>4156</v>
      </c>
      <c r="I942" s="36" t="s">
        <v>824</v>
      </c>
    </row>
    <row r="943" spans="1:9" x14ac:dyDescent="0.3">
      <c r="A943">
        <v>946</v>
      </c>
      <c r="B943" s="36" t="s">
        <v>4162</v>
      </c>
      <c r="C943" s="36" t="s">
        <v>4146</v>
      </c>
      <c r="D943" s="36" t="s">
        <v>2999</v>
      </c>
      <c r="E943" s="36" t="s">
        <v>4151</v>
      </c>
      <c r="F943" s="37" t="s">
        <v>4148</v>
      </c>
      <c r="G943" s="36" t="s">
        <v>4149</v>
      </c>
      <c r="H943" s="36" t="s">
        <v>4158</v>
      </c>
      <c r="I943" s="36" t="s">
        <v>824</v>
      </c>
    </row>
    <row r="944" spans="1:9" x14ac:dyDescent="0.3">
      <c r="A944">
        <v>947</v>
      </c>
      <c r="B944" s="36" t="s">
        <v>4162</v>
      </c>
      <c r="C944" s="36" t="s">
        <v>4154</v>
      </c>
      <c r="D944" s="36" t="s">
        <v>2999</v>
      </c>
      <c r="E944" s="36" t="s">
        <v>4151</v>
      </c>
      <c r="F944" s="37" t="s">
        <v>4148</v>
      </c>
      <c r="G944" s="36" t="s">
        <v>4149</v>
      </c>
      <c r="H944" s="36" t="s">
        <v>4158</v>
      </c>
      <c r="I944" s="36" t="s">
        <v>824</v>
      </c>
    </row>
    <row r="945" spans="1:9" x14ac:dyDescent="0.3">
      <c r="A945">
        <v>948</v>
      </c>
      <c r="B945" s="36" t="s">
        <v>4162</v>
      </c>
      <c r="C945" s="36" t="s">
        <v>4146</v>
      </c>
      <c r="D945" s="36" t="s">
        <v>2994</v>
      </c>
      <c r="E945" s="36" t="s">
        <v>4147</v>
      </c>
      <c r="F945" s="37" t="s">
        <v>4148</v>
      </c>
      <c r="G945" s="36" t="s">
        <v>4149</v>
      </c>
      <c r="H945" s="36" t="s">
        <v>4156</v>
      </c>
      <c r="I945" s="36" t="s">
        <v>824</v>
      </c>
    </row>
    <row r="946" spans="1:9" x14ac:dyDescent="0.3">
      <c r="A946">
        <v>949</v>
      </c>
      <c r="B946" s="36" t="s">
        <v>4162</v>
      </c>
      <c r="C946" s="36" t="s">
        <v>4154</v>
      </c>
      <c r="D946" s="36" t="s">
        <v>2999</v>
      </c>
      <c r="E946" s="36" t="s">
        <v>4151</v>
      </c>
      <c r="F946" s="37" t="s">
        <v>4148</v>
      </c>
      <c r="G946" s="36" t="s">
        <v>4149</v>
      </c>
      <c r="H946" s="36" t="s">
        <v>4156</v>
      </c>
      <c r="I946" s="36" t="s">
        <v>4160</v>
      </c>
    </row>
    <row r="947" spans="1:9" x14ac:dyDescent="0.3">
      <c r="A947">
        <v>950</v>
      </c>
      <c r="B947" s="36" t="s">
        <v>4162</v>
      </c>
      <c r="C947" s="36" t="s">
        <v>4146</v>
      </c>
      <c r="D947" s="36" t="s">
        <v>2999</v>
      </c>
      <c r="E947" s="36" t="s">
        <v>4151</v>
      </c>
      <c r="F947" s="37" t="s">
        <v>4148</v>
      </c>
      <c r="G947" s="36" t="s">
        <v>4149</v>
      </c>
      <c r="H947" s="36" t="s">
        <v>4158</v>
      </c>
      <c r="I947" s="36" t="s">
        <v>824</v>
      </c>
    </row>
    <row r="948" spans="1:9" x14ac:dyDescent="0.3">
      <c r="A948">
        <v>951</v>
      </c>
      <c r="B948" s="36" t="s">
        <v>4162</v>
      </c>
      <c r="C948" s="36" t="s">
        <v>4154</v>
      </c>
      <c r="D948" s="36" t="s">
        <v>2999</v>
      </c>
      <c r="E948" s="36" t="s">
        <v>4151</v>
      </c>
      <c r="F948" s="37" t="s">
        <v>4148</v>
      </c>
      <c r="G948" s="36" t="s">
        <v>4149</v>
      </c>
      <c r="H948" s="36" t="s">
        <v>4156</v>
      </c>
      <c r="I948" s="36" t="s">
        <v>824</v>
      </c>
    </row>
    <row r="949" spans="1:9" x14ac:dyDescent="0.3">
      <c r="A949">
        <v>952</v>
      </c>
      <c r="B949" s="36" t="s">
        <v>4162</v>
      </c>
      <c r="C949" s="36" t="s">
        <v>4154</v>
      </c>
      <c r="D949" s="36" t="s">
        <v>2999</v>
      </c>
      <c r="E949" s="36" t="s">
        <v>4151</v>
      </c>
      <c r="F949" s="37" t="s">
        <v>4148</v>
      </c>
      <c r="G949" s="36" t="s">
        <v>4149</v>
      </c>
      <c r="H949" s="36" t="s">
        <v>4156</v>
      </c>
      <c r="I949" s="36" t="s">
        <v>824</v>
      </c>
    </row>
    <row r="950" spans="1:9" x14ac:dyDescent="0.3">
      <c r="A950">
        <v>953</v>
      </c>
      <c r="B950" s="36" t="s">
        <v>4162</v>
      </c>
      <c r="C950" s="36" t="s">
        <v>4154</v>
      </c>
      <c r="D950" s="36" t="s">
        <v>2999</v>
      </c>
      <c r="E950" s="36" t="s">
        <v>4151</v>
      </c>
      <c r="F950" s="37" t="s">
        <v>4148</v>
      </c>
      <c r="G950" s="36" t="s">
        <v>4149</v>
      </c>
      <c r="H950" s="36" t="s">
        <v>4156</v>
      </c>
      <c r="I950" s="36" t="s">
        <v>824</v>
      </c>
    </row>
    <row r="951" spans="1:9" x14ac:dyDescent="0.3">
      <c r="A951">
        <v>954</v>
      </c>
      <c r="B951" s="36" t="s">
        <v>4162</v>
      </c>
      <c r="C951" s="36" t="s">
        <v>4146</v>
      </c>
      <c r="D951" s="36" t="s">
        <v>2999</v>
      </c>
      <c r="E951" s="36" t="s">
        <v>4151</v>
      </c>
      <c r="F951" s="37" t="s">
        <v>4148</v>
      </c>
      <c r="G951" s="36" t="s">
        <v>4149</v>
      </c>
      <c r="H951" s="36" t="s">
        <v>4156</v>
      </c>
      <c r="I951" s="36" t="s">
        <v>4199</v>
      </c>
    </row>
    <row r="952" spans="1:9" x14ac:dyDescent="0.3">
      <c r="A952">
        <v>955</v>
      </c>
      <c r="B952" s="36" t="s">
        <v>4162</v>
      </c>
      <c r="C952" s="36" t="s">
        <v>4154</v>
      </c>
      <c r="D952" s="36" t="s">
        <v>2996</v>
      </c>
      <c r="E952" s="36" t="s">
        <v>4151</v>
      </c>
      <c r="F952" s="37" t="s">
        <v>4148</v>
      </c>
      <c r="G952" s="36" t="s">
        <v>4153</v>
      </c>
      <c r="H952" s="36" t="s">
        <v>4156</v>
      </c>
      <c r="I952" s="36" t="s">
        <v>824</v>
      </c>
    </row>
    <row r="953" spans="1:9" x14ac:dyDescent="0.3">
      <c r="A953">
        <v>956</v>
      </c>
      <c r="B953" s="36" t="s">
        <v>4162</v>
      </c>
      <c r="C953" s="36" t="s">
        <v>4154</v>
      </c>
      <c r="D953" s="36" t="s">
        <v>2994</v>
      </c>
      <c r="E953" s="36" t="s">
        <v>4147</v>
      </c>
      <c r="F953" s="37" t="s">
        <v>4148</v>
      </c>
      <c r="G953" s="36" t="s">
        <v>4153</v>
      </c>
      <c r="H953" s="36" t="s">
        <v>4156</v>
      </c>
      <c r="I953" s="36" t="s">
        <v>824</v>
      </c>
    </row>
    <row r="954" spans="1:9" x14ac:dyDescent="0.3">
      <c r="A954">
        <v>957</v>
      </c>
      <c r="B954" s="36" t="s">
        <v>4162</v>
      </c>
      <c r="C954" s="36" t="s">
        <v>4154</v>
      </c>
      <c r="D954" s="36" t="s">
        <v>2994</v>
      </c>
      <c r="E954" s="36" t="s">
        <v>4147</v>
      </c>
      <c r="F954" s="37" t="s">
        <v>4148</v>
      </c>
      <c r="G954" s="36" t="s">
        <v>4153</v>
      </c>
      <c r="H954" s="36" t="s">
        <v>4156</v>
      </c>
      <c r="I954" s="36" t="s">
        <v>824</v>
      </c>
    </row>
    <row r="955" spans="1:9" x14ac:dyDescent="0.3">
      <c r="A955">
        <v>958</v>
      </c>
      <c r="B955" s="36" t="s">
        <v>4162</v>
      </c>
      <c r="C955" s="36" t="s">
        <v>4154</v>
      </c>
      <c r="D955" s="36" t="s">
        <v>2994</v>
      </c>
      <c r="E955" s="36" t="s">
        <v>4147</v>
      </c>
      <c r="F955" s="37" t="s">
        <v>4148</v>
      </c>
      <c r="G955" s="36" t="s">
        <v>4153</v>
      </c>
      <c r="H955" s="36" t="s">
        <v>4156</v>
      </c>
      <c r="I955" s="36" t="s">
        <v>824</v>
      </c>
    </row>
    <row r="956" spans="1:9" x14ac:dyDescent="0.3">
      <c r="A956">
        <v>959</v>
      </c>
      <c r="B956" s="36" t="s">
        <v>4162</v>
      </c>
      <c r="C956" s="36" t="s">
        <v>4154</v>
      </c>
      <c r="D956" s="36" t="s">
        <v>3001</v>
      </c>
      <c r="E956" s="36" t="s">
        <v>4147</v>
      </c>
      <c r="F956" s="37" t="s">
        <v>4148</v>
      </c>
      <c r="G956" s="36" t="s">
        <v>4153</v>
      </c>
      <c r="H956" s="36" t="s">
        <v>4156</v>
      </c>
      <c r="I956" s="36" t="s">
        <v>824</v>
      </c>
    </row>
    <row r="957" spans="1:9" x14ac:dyDescent="0.3">
      <c r="A957">
        <v>960</v>
      </c>
      <c r="B957" s="36" t="s">
        <v>4162</v>
      </c>
      <c r="C957" s="36" t="s">
        <v>4154</v>
      </c>
      <c r="D957" s="36" t="s">
        <v>2999</v>
      </c>
      <c r="E957" s="36" t="s">
        <v>4151</v>
      </c>
      <c r="F957" s="37" t="s">
        <v>4155</v>
      </c>
      <c r="G957" s="36" t="s">
        <v>4149</v>
      </c>
      <c r="H957" s="36" t="s">
        <v>4156</v>
      </c>
      <c r="I957" s="36" t="s">
        <v>824</v>
      </c>
    </row>
    <row r="958" spans="1:9" x14ac:dyDescent="0.3">
      <c r="A958">
        <v>961</v>
      </c>
      <c r="B958" s="36" t="s">
        <v>4162</v>
      </c>
      <c r="C958" s="36" t="s">
        <v>4154</v>
      </c>
      <c r="D958" s="36" t="s">
        <v>2999</v>
      </c>
      <c r="E958" s="36" t="s">
        <v>4151</v>
      </c>
      <c r="F958" s="37" t="s">
        <v>4155</v>
      </c>
      <c r="G958" s="36" t="s">
        <v>4149</v>
      </c>
      <c r="H958" s="36" t="s">
        <v>4156</v>
      </c>
      <c r="I958" s="36" t="s">
        <v>4199</v>
      </c>
    </row>
    <row r="959" spans="1:9" x14ac:dyDescent="0.3">
      <c r="A959">
        <v>962</v>
      </c>
      <c r="B959" s="36" t="s">
        <v>4162</v>
      </c>
      <c r="C959" s="36" t="s">
        <v>4154</v>
      </c>
      <c r="D959" s="36" t="s">
        <v>2994</v>
      </c>
      <c r="E959" s="36" t="s">
        <v>4147</v>
      </c>
      <c r="F959" s="37" t="s">
        <v>4148</v>
      </c>
      <c r="G959" s="36" t="s">
        <v>4153</v>
      </c>
      <c r="H959" s="36" t="s">
        <v>4156</v>
      </c>
      <c r="I959" s="36" t="s">
        <v>4160</v>
      </c>
    </row>
    <row r="960" spans="1:9" x14ac:dyDescent="0.3">
      <c r="A960">
        <v>963</v>
      </c>
      <c r="B960" s="36" t="s">
        <v>4162</v>
      </c>
      <c r="C960" s="36" t="s">
        <v>4154</v>
      </c>
      <c r="D960" s="36" t="s">
        <v>2999</v>
      </c>
      <c r="E960" s="36" t="s">
        <v>4151</v>
      </c>
      <c r="F960" s="37" t="s">
        <v>4148</v>
      </c>
      <c r="G960" s="36" t="s">
        <v>4153</v>
      </c>
      <c r="H960" s="36" t="s">
        <v>4156</v>
      </c>
      <c r="I960" s="36" t="s">
        <v>4160</v>
      </c>
    </row>
    <row r="961" spans="1:9" x14ac:dyDescent="0.3">
      <c r="A961">
        <v>964</v>
      </c>
      <c r="B961" s="36" t="s">
        <v>4162</v>
      </c>
      <c r="C961" s="36" t="s">
        <v>4154</v>
      </c>
      <c r="D961" s="36" t="s">
        <v>2999</v>
      </c>
      <c r="E961" s="36" t="s">
        <v>4151</v>
      </c>
      <c r="F961" s="37" t="s">
        <v>4155</v>
      </c>
      <c r="G961" s="36" t="s">
        <v>4149</v>
      </c>
      <c r="H961" s="36" t="s">
        <v>4156</v>
      </c>
      <c r="I961" s="36" t="s">
        <v>824</v>
      </c>
    </row>
    <row r="962" spans="1:9" x14ac:dyDescent="0.3">
      <c r="A962">
        <v>965</v>
      </c>
      <c r="B962" s="36" t="s">
        <v>4162</v>
      </c>
      <c r="C962" s="36" t="s">
        <v>4154</v>
      </c>
      <c r="D962" s="36" t="s">
        <v>2999</v>
      </c>
      <c r="E962" s="36" t="s">
        <v>4151</v>
      </c>
      <c r="F962" s="37" t="s">
        <v>4155</v>
      </c>
      <c r="G962" s="36" t="s">
        <v>4149</v>
      </c>
      <c r="H962" s="36" t="s">
        <v>4156</v>
      </c>
      <c r="I962" s="36" t="s">
        <v>824</v>
      </c>
    </row>
    <row r="963" spans="1:9" x14ac:dyDescent="0.3">
      <c r="A963">
        <v>966</v>
      </c>
      <c r="B963" s="36" t="s">
        <v>4162</v>
      </c>
      <c r="C963" s="36" t="s">
        <v>4154</v>
      </c>
      <c r="D963" s="36" t="s">
        <v>2999</v>
      </c>
      <c r="E963" s="36" t="s">
        <v>4151</v>
      </c>
      <c r="F963" s="37" t="s">
        <v>4148</v>
      </c>
      <c r="G963" s="36" t="s">
        <v>4149</v>
      </c>
      <c r="H963" s="36" t="s">
        <v>4156</v>
      </c>
      <c r="I963" s="36" t="s">
        <v>824</v>
      </c>
    </row>
    <row r="964" spans="1:9" x14ac:dyDescent="0.3">
      <c r="A964">
        <v>967</v>
      </c>
      <c r="B964" s="36" t="s">
        <v>4162</v>
      </c>
      <c r="C964" s="36" t="s">
        <v>4154</v>
      </c>
      <c r="D964" s="36" t="s">
        <v>2994</v>
      </c>
      <c r="E964" s="36" t="s">
        <v>4147</v>
      </c>
      <c r="F964" s="37" t="s">
        <v>4148</v>
      </c>
      <c r="G964" s="36" t="s">
        <v>4149</v>
      </c>
      <c r="H964" s="36" t="s">
        <v>4156</v>
      </c>
      <c r="I964" s="36" t="s">
        <v>824</v>
      </c>
    </row>
    <row r="965" spans="1:9" x14ac:dyDescent="0.3">
      <c r="A965">
        <v>968</v>
      </c>
      <c r="B965" s="36" t="s">
        <v>4162</v>
      </c>
      <c r="C965" s="36" t="s">
        <v>4154</v>
      </c>
      <c r="D965" s="36" t="s">
        <v>2994</v>
      </c>
      <c r="E965" s="36" t="s">
        <v>4147</v>
      </c>
      <c r="F965" s="37" t="s">
        <v>4155</v>
      </c>
      <c r="G965" s="36" t="s">
        <v>4149</v>
      </c>
      <c r="H965" s="36" t="s">
        <v>4156</v>
      </c>
      <c r="I965" s="36" t="s">
        <v>824</v>
      </c>
    </row>
    <row r="966" spans="1:9" x14ac:dyDescent="0.3">
      <c r="A966">
        <v>969</v>
      </c>
      <c r="B966" s="36" t="s">
        <v>4162</v>
      </c>
      <c r="C966" s="36" t="s">
        <v>4154</v>
      </c>
      <c r="D966" s="36" t="s">
        <v>2999</v>
      </c>
      <c r="E966" s="36" t="s">
        <v>4151</v>
      </c>
      <c r="F966" s="37" t="s">
        <v>4155</v>
      </c>
      <c r="G966" s="36" t="s">
        <v>4153</v>
      </c>
      <c r="H966" s="36" t="s">
        <v>4156</v>
      </c>
      <c r="I966" s="36" t="s">
        <v>824</v>
      </c>
    </row>
    <row r="967" spans="1:9" x14ac:dyDescent="0.3">
      <c r="A967">
        <v>970</v>
      </c>
      <c r="B967" s="36" t="s">
        <v>4162</v>
      </c>
      <c r="C967" s="36" t="s">
        <v>4154</v>
      </c>
      <c r="D967" s="36" t="s">
        <v>3001</v>
      </c>
      <c r="E967" s="36" t="s">
        <v>4147</v>
      </c>
      <c r="F967" s="37" t="s">
        <v>4148</v>
      </c>
      <c r="G967" s="36" t="s">
        <v>4153</v>
      </c>
      <c r="H967" s="36" t="s">
        <v>4156</v>
      </c>
      <c r="I967" s="36" t="s">
        <v>824</v>
      </c>
    </row>
    <row r="968" spans="1:9" x14ac:dyDescent="0.3">
      <c r="A968">
        <v>971</v>
      </c>
      <c r="B968" s="36" t="s">
        <v>4162</v>
      </c>
      <c r="C968" s="36" t="s">
        <v>4146</v>
      </c>
      <c r="D968" s="36" t="s">
        <v>2999</v>
      </c>
      <c r="E968" s="36" t="s">
        <v>4151</v>
      </c>
      <c r="F968" s="37" t="s">
        <v>4148</v>
      </c>
      <c r="G968" s="36" t="s">
        <v>4153</v>
      </c>
      <c r="H968" s="36" t="s">
        <v>4156</v>
      </c>
      <c r="I968" s="36" t="s">
        <v>824</v>
      </c>
    </row>
    <row r="969" spans="1:9" x14ac:dyDescent="0.3">
      <c r="A969">
        <v>972</v>
      </c>
      <c r="B969" s="36" t="s">
        <v>4162</v>
      </c>
      <c r="C969" s="36" t="s">
        <v>4154</v>
      </c>
      <c r="D969" s="36" t="s">
        <v>2999</v>
      </c>
      <c r="E969" s="36" t="s">
        <v>4151</v>
      </c>
      <c r="F969" s="37" t="s">
        <v>4148</v>
      </c>
      <c r="G969" s="36" t="s">
        <v>4149</v>
      </c>
      <c r="H969" s="36" t="s">
        <v>4156</v>
      </c>
      <c r="I969" s="36" t="s">
        <v>4160</v>
      </c>
    </row>
    <row r="970" spans="1:9" x14ac:dyDescent="0.3">
      <c r="A970">
        <v>973</v>
      </c>
      <c r="B970" s="36" t="s">
        <v>4162</v>
      </c>
      <c r="C970" s="36" t="s">
        <v>4154</v>
      </c>
      <c r="D970" s="36" t="s">
        <v>2999</v>
      </c>
      <c r="E970" s="36" t="s">
        <v>4151</v>
      </c>
      <c r="F970" s="37" t="s">
        <v>4148</v>
      </c>
      <c r="G970" s="36" t="s">
        <v>4149</v>
      </c>
      <c r="H970" s="36" t="s">
        <v>4158</v>
      </c>
      <c r="I970" s="36" t="s">
        <v>824</v>
      </c>
    </row>
    <row r="971" spans="1:9" x14ac:dyDescent="0.3">
      <c r="A971">
        <v>974</v>
      </c>
      <c r="B971" s="36" t="s">
        <v>4162</v>
      </c>
      <c r="C971" s="36" t="s">
        <v>4154</v>
      </c>
      <c r="D971" s="36" t="s">
        <v>2999</v>
      </c>
      <c r="E971" s="36" t="s">
        <v>4151</v>
      </c>
      <c r="F971" s="37" t="s">
        <v>4148</v>
      </c>
      <c r="G971" s="36" t="s">
        <v>4149</v>
      </c>
      <c r="H971" s="36" t="s">
        <v>4156</v>
      </c>
      <c r="I971" s="36" t="s">
        <v>824</v>
      </c>
    </row>
    <row r="972" spans="1:9" x14ac:dyDescent="0.3">
      <c r="A972">
        <v>975</v>
      </c>
      <c r="B972" s="36" t="s">
        <v>4162</v>
      </c>
      <c r="C972" s="36" t="s">
        <v>4154</v>
      </c>
      <c r="D972" s="36" t="s">
        <v>2999</v>
      </c>
      <c r="E972" s="36" t="s">
        <v>4151</v>
      </c>
      <c r="F972" s="37" t="s">
        <v>4148</v>
      </c>
      <c r="G972" s="36" t="s">
        <v>4153</v>
      </c>
      <c r="H972" s="36" t="s">
        <v>4156</v>
      </c>
      <c r="I972" s="36" t="s">
        <v>824</v>
      </c>
    </row>
    <row r="973" spans="1:9" x14ac:dyDescent="0.3">
      <c r="A973">
        <v>976</v>
      </c>
      <c r="B973" s="36" t="s">
        <v>4162</v>
      </c>
      <c r="C973" s="36" t="s">
        <v>4154</v>
      </c>
      <c r="D973" s="36" t="s">
        <v>3001</v>
      </c>
      <c r="E973" s="36" t="s">
        <v>4147</v>
      </c>
      <c r="F973" s="37" t="s">
        <v>4148</v>
      </c>
      <c r="G973" s="36" t="s">
        <v>4153</v>
      </c>
      <c r="H973" s="36" t="s">
        <v>4156</v>
      </c>
      <c r="I973" s="36" t="s">
        <v>824</v>
      </c>
    </row>
    <row r="974" spans="1:9" x14ac:dyDescent="0.3">
      <c r="A974">
        <v>977</v>
      </c>
      <c r="B974" s="36" t="s">
        <v>4162</v>
      </c>
      <c r="C974" s="36" t="s">
        <v>4154</v>
      </c>
      <c r="D974" s="36" t="s">
        <v>2999</v>
      </c>
      <c r="E974" s="36" t="s">
        <v>4151</v>
      </c>
      <c r="F974" s="37" t="s">
        <v>4148</v>
      </c>
      <c r="G974" s="36" t="s">
        <v>4149</v>
      </c>
      <c r="H974" s="36" t="s">
        <v>4156</v>
      </c>
      <c r="I974" s="36" t="s">
        <v>824</v>
      </c>
    </row>
    <row r="975" spans="1:9" x14ac:dyDescent="0.3">
      <c r="A975">
        <v>978</v>
      </c>
      <c r="B975" s="36" t="s">
        <v>4162</v>
      </c>
      <c r="C975" s="36" t="s">
        <v>4154</v>
      </c>
      <c r="D975" s="36" t="s">
        <v>2999</v>
      </c>
      <c r="E975" s="36" t="s">
        <v>4151</v>
      </c>
      <c r="F975" s="37" t="s">
        <v>4148</v>
      </c>
      <c r="G975" s="36" t="s">
        <v>4149</v>
      </c>
      <c r="H975" s="36" t="s">
        <v>4156</v>
      </c>
      <c r="I975" s="36" t="s">
        <v>824</v>
      </c>
    </row>
    <row r="976" spans="1:9" x14ac:dyDescent="0.3">
      <c r="A976">
        <v>979</v>
      </c>
      <c r="B976" s="36" t="s">
        <v>4162</v>
      </c>
      <c r="C976" s="36" t="s">
        <v>4146</v>
      </c>
      <c r="D976" s="36" t="s">
        <v>2999</v>
      </c>
      <c r="E976" s="36" t="s">
        <v>4151</v>
      </c>
      <c r="F976" s="37" t="s">
        <v>4148</v>
      </c>
      <c r="G976" s="36" t="s">
        <v>4149</v>
      </c>
      <c r="H976" s="36" t="s">
        <v>4156</v>
      </c>
      <c r="I976" s="36" t="s">
        <v>824</v>
      </c>
    </row>
    <row r="977" spans="1:9" x14ac:dyDescent="0.3">
      <c r="A977">
        <v>980</v>
      </c>
      <c r="B977" s="36" t="s">
        <v>4162</v>
      </c>
      <c r="C977" s="36" t="s">
        <v>4154</v>
      </c>
      <c r="D977" s="36" t="s">
        <v>2999</v>
      </c>
      <c r="E977" s="36" t="s">
        <v>4151</v>
      </c>
      <c r="F977" s="37" t="s">
        <v>4157</v>
      </c>
      <c r="G977" s="36" t="s">
        <v>4149</v>
      </c>
      <c r="H977" s="36" t="s">
        <v>4156</v>
      </c>
      <c r="I977" s="36" t="s">
        <v>824</v>
      </c>
    </row>
    <row r="978" spans="1:9" x14ac:dyDescent="0.3">
      <c r="A978">
        <v>981</v>
      </c>
      <c r="B978" s="36" t="s">
        <v>4162</v>
      </c>
      <c r="C978" s="36" t="s">
        <v>4146</v>
      </c>
      <c r="D978" s="36" t="s">
        <v>2994</v>
      </c>
      <c r="E978" s="36" t="s">
        <v>4147</v>
      </c>
      <c r="F978" s="37" t="s">
        <v>4148</v>
      </c>
      <c r="G978" s="36" t="s">
        <v>4149</v>
      </c>
      <c r="H978" s="36" t="s">
        <v>4156</v>
      </c>
      <c r="I978" s="36" t="s">
        <v>824</v>
      </c>
    </row>
    <row r="979" spans="1:9" x14ac:dyDescent="0.3">
      <c r="A979">
        <v>982</v>
      </c>
      <c r="B979" s="36" t="s">
        <v>4162</v>
      </c>
      <c r="C979" s="36" t="s">
        <v>4146</v>
      </c>
      <c r="D979" s="36" t="s">
        <v>2999</v>
      </c>
      <c r="E979" s="36" t="s">
        <v>4151</v>
      </c>
      <c r="F979" s="37" t="s">
        <v>4155</v>
      </c>
      <c r="G979" s="36" t="s">
        <v>4149</v>
      </c>
      <c r="H979" s="36" t="s">
        <v>4156</v>
      </c>
      <c r="I979" s="36" t="s">
        <v>824</v>
      </c>
    </row>
    <row r="980" spans="1:9" x14ac:dyDescent="0.3">
      <c r="A980">
        <v>983</v>
      </c>
      <c r="B980" s="36" t="s">
        <v>4162</v>
      </c>
      <c r="C980" s="36" t="s">
        <v>4154</v>
      </c>
      <c r="D980" s="36" t="s">
        <v>2999</v>
      </c>
      <c r="E980" s="36" t="s">
        <v>4151</v>
      </c>
      <c r="F980" s="37" t="s">
        <v>4148</v>
      </c>
      <c r="G980" s="36" t="s">
        <v>4149</v>
      </c>
      <c r="H980" s="36" t="s">
        <v>4156</v>
      </c>
      <c r="I980" s="36" t="s">
        <v>824</v>
      </c>
    </row>
    <row r="981" spans="1:9" x14ac:dyDescent="0.3">
      <c r="A981">
        <v>984</v>
      </c>
      <c r="B981" s="36" t="s">
        <v>4162</v>
      </c>
      <c r="C981" s="36" t="s">
        <v>4154</v>
      </c>
      <c r="D981" s="36" t="s">
        <v>2999</v>
      </c>
      <c r="E981" s="36" t="s">
        <v>4151</v>
      </c>
      <c r="F981" s="37" t="s">
        <v>4148</v>
      </c>
      <c r="G981" s="36" t="s">
        <v>4149</v>
      </c>
      <c r="H981" s="36" t="s">
        <v>4156</v>
      </c>
      <c r="I981" s="36" t="s">
        <v>824</v>
      </c>
    </row>
    <row r="982" spans="1:9" x14ac:dyDescent="0.3">
      <c r="A982">
        <v>985</v>
      </c>
      <c r="B982" s="36" t="s">
        <v>4162</v>
      </c>
      <c r="C982" s="36" t="s">
        <v>4146</v>
      </c>
      <c r="D982" s="36" t="s">
        <v>2994</v>
      </c>
      <c r="E982" s="36" t="s">
        <v>4147</v>
      </c>
      <c r="F982" s="37" t="s">
        <v>4148</v>
      </c>
      <c r="G982" s="36" t="s">
        <v>4149</v>
      </c>
      <c r="H982" s="36" t="s">
        <v>4156</v>
      </c>
      <c r="I982" s="36" t="s">
        <v>4160</v>
      </c>
    </row>
    <row r="983" spans="1:9" x14ac:dyDescent="0.3">
      <c r="A983">
        <v>986</v>
      </c>
      <c r="B983" s="36" t="s">
        <v>4162</v>
      </c>
      <c r="C983" s="36" t="s">
        <v>4146</v>
      </c>
      <c r="D983" s="36" t="s">
        <v>2999</v>
      </c>
      <c r="E983" s="36" t="s">
        <v>4151</v>
      </c>
      <c r="F983" s="37" t="s">
        <v>4148</v>
      </c>
      <c r="G983" s="36" t="s">
        <v>4149</v>
      </c>
      <c r="H983" s="36" t="s">
        <v>4156</v>
      </c>
      <c r="I983" s="36" t="s">
        <v>824</v>
      </c>
    </row>
    <row r="984" spans="1:9" x14ac:dyDescent="0.3">
      <c r="A984">
        <v>987</v>
      </c>
      <c r="B984" s="36" t="s">
        <v>4162</v>
      </c>
      <c r="C984" s="36" t="s">
        <v>4154</v>
      </c>
      <c r="D984" s="36" t="s">
        <v>2999</v>
      </c>
      <c r="E984" s="36" t="s">
        <v>4151</v>
      </c>
      <c r="F984" s="37" t="s">
        <v>4148</v>
      </c>
      <c r="G984" s="36" t="s">
        <v>4149</v>
      </c>
      <c r="H984" s="36" t="s">
        <v>4156</v>
      </c>
      <c r="I984" s="36" t="s">
        <v>824</v>
      </c>
    </row>
    <row r="985" spans="1:9" x14ac:dyDescent="0.3">
      <c r="A985">
        <v>988</v>
      </c>
      <c r="B985" s="36" t="s">
        <v>4162</v>
      </c>
      <c r="C985" s="36" t="s">
        <v>4154</v>
      </c>
      <c r="D985" s="36" t="s">
        <v>2994</v>
      </c>
      <c r="E985" s="36" t="s">
        <v>4147</v>
      </c>
      <c r="F985" s="37" t="s">
        <v>4148</v>
      </c>
      <c r="G985" s="36" t="s">
        <v>4149</v>
      </c>
      <c r="H985" s="36" t="s">
        <v>4156</v>
      </c>
      <c r="I985" s="36" t="s">
        <v>4160</v>
      </c>
    </row>
    <row r="986" spans="1:9" x14ac:dyDescent="0.3">
      <c r="A986">
        <v>989</v>
      </c>
      <c r="B986" s="36" t="s">
        <v>4162</v>
      </c>
      <c r="C986" s="36" t="s">
        <v>4154</v>
      </c>
      <c r="D986" s="36" t="s">
        <v>2999</v>
      </c>
      <c r="E986" s="36" t="s">
        <v>4151</v>
      </c>
      <c r="F986" s="37" t="s">
        <v>4148</v>
      </c>
      <c r="G986" s="36" t="s">
        <v>4149</v>
      </c>
      <c r="H986" s="36" t="s">
        <v>4156</v>
      </c>
      <c r="I986" s="36" t="s">
        <v>4160</v>
      </c>
    </row>
    <row r="987" spans="1:9" x14ac:dyDescent="0.3">
      <c r="A987">
        <v>990</v>
      </c>
      <c r="B987" s="36" t="s">
        <v>4162</v>
      </c>
      <c r="C987" s="36" t="s">
        <v>4154</v>
      </c>
      <c r="D987" s="36" t="s">
        <v>2999</v>
      </c>
      <c r="E987" s="36" t="s">
        <v>4151</v>
      </c>
      <c r="F987" s="37" t="s">
        <v>4148</v>
      </c>
      <c r="G987" s="36" t="s">
        <v>4149</v>
      </c>
      <c r="H987" s="36" t="s">
        <v>4156</v>
      </c>
      <c r="I987" s="36" t="s">
        <v>824</v>
      </c>
    </row>
    <row r="988" spans="1:9" x14ac:dyDescent="0.3">
      <c r="A988">
        <v>991</v>
      </c>
      <c r="B988" s="36" t="s">
        <v>4162</v>
      </c>
      <c r="C988" s="36" t="s">
        <v>4154</v>
      </c>
      <c r="D988" s="36" t="s">
        <v>2999</v>
      </c>
      <c r="E988" s="36" t="s">
        <v>4151</v>
      </c>
      <c r="F988" s="37" t="s">
        <v>4148</v>
      </c>
      <c r="G988" s="36" t="s">
        <v>4149</v>
      </c>
      <c r="H988" s="36" t="s">
        <v>4156</v>
      </c>
      <c r="I988" s="36" t="s">
        <v>824</v>
      </c>
    </row>
    <row r="989" spans="1:9" x14ac:dyDescent="0.3">
      <c r="A989">
        <v>992</v>
      </c>
      <c r="B989" s="36" t="s">
        <v>4162</v>
      </c>
      <c r="C989" s="36" t="s">
        <v>4146</v>
      </c>
      <c r="D989" s="36" t="s">
        <v>2999</v>
      </c>
      <c r="E989" s="36" t="s">
        <v>4151</v>
      </c>
      <c r="F989" s="37" t="s">
        <v>4148</v>
      </c>
      <c r="G989" s="36" t="s">
        <v>4149</v>
      </c>
      <c r="H989" s="36" t="s">
        <v>4156</v>
      </c>
      <c r="I989" s="36" t="s">
        <v>4199</v>
      </c>
    </row>
    <row r="990" spans="1:9" x14ac:dyDescent="0.3">
      <c r="A990">
        <v>993</v>
      </c>
      <c r="B990" s="36" t="s">
        <v>4162</v>
      </c>
      <c r="C990" s="36" t="s">
        <v>4154</v>
      </c>
      <c r="D990" s="36" t="s">
        <v>2994</v>
      </c>
      <c r="E990" s="36" t="s">
        <v>4147</v>
      </c>
      <c r="F990" s="37" t="s">
        <v>4155</v>
      </c>
      <c r="G990" s="36" t="s">
        <v>4149</v>
      </c>
      <c r="H990" s="36" t="s">
        <v>4156</v>
      </c>
      <c r="I990" s="36" t="s">
        <v>4160</v>
      </c>
    </row>
    <row r="991" spans="1:9" x14ac:dyDescent="0.3">
      <c r="A991">
        <v>994</v>
      </c>
      <c r="B991" s="36" t="s">
        <v>4162</v>
      </c>
      <c r="C991" s="36" t="s">
        <v>4146</v>
      </c>
      <c r="D991" s="36" t="s">
        <v>2994</v>
      </c>
      <c r="E991" s="36" t="s">
        <v>4147</v>
      </c>
      <c r="F991" s="37" t="s">
        <v>4148</v>
      </c>
      <c r="G991" s="36" t="s">
        <v>4149</v>
      </c>
      <c r="H991" s="36" t="s">
        <v>4156</v>
      </c>
      <c r="I991" s="36" t="s">
        <v>4160</v>
      </c>
    </row>
    <row r="992" spans="1:9" x14ac:dyDescent="0.3">
      <c r="A992">
        <v>995</v>
      </c>
      <c r="B992" s="36" t="s">
        <v>4162</v>
      </c>
      <c r="C992" s="36" t="s">
        <v>4154</v>
      </c>
      <c r="D992" s="36" t="s">
        <v>2999</v>
      </c>
      <c r="E992" s="36" t="s">
        <v>4151</v>
      </c>
      <c r="F992" s="37" t="s">
        <v>4148</v>
      </c>
      <c r="G992" s="36" t="s">
        <v>4149</v>
      </c>
      <c r="H992" s="36" t="s">
        <v>4156</v>
      </c>
      <c r="I992" s="36" t="s">
        <v>4199</v>
      </c>
    </row>
    <row r="993" spans="1:9" x14ac:dyDescent="0.3">
      <c r="A993">
        <v>996</v>
      </c>
      <c r="B993" s="36" t="s">
        <v>4162</v>
      </c>
      <c r="C993" s="36" t="s">
        <v>4154</v>
      </c>
      <c r="D993" s="36" t="s">
        <v>2999</v>
      </c>
      <c r="E993" s="36" t="s">
        <v>4151</v>
      </c>
      <c r="F993" s="37" t="s">
        <v>4155</v>
      </c>
      <c r="G993" s="36" t="s">
        <v>4149</v>
      </c>
      <c r="H993" s="36" t="s">
        <v>4156</v>
      </c>
      <c r="I993" s="36" t="s">
        <v>4199</v>
      </c>
    </row>
    <row r="994" spans="1:9" x14ac:dyDescent="0.3">
      <c r="A994">
        <v>997</v>
      </c>
      <c r="B994" s="36" t="s">
        <v>4162</v>
      </c>
      <c r="C994" s="36" t="s">
        <v>4154</v>
      </c>
      <c r="D994" s="36" t="s">
        <v>2999</v>
      </c>
      <c r="E994" s="36" t="s">
        <v>4151</v>
      </c>
      <c r="F994" s="37" t="s">
        <v>4155</v>
      </c>
      <c r="G994" s="36" t="s">
        <v>4149</v>
      </c>
      <c r="H994" s="36" t="s">
        <v>4156</v>
      </c>
      <c r="I994" s="36" t="s">
        <v>824</v>
      </c>
    </row>
    <row r="995" spans="1:9" x14ac:dyDescent="0.3">
      <c r="A995">
        <v>998</v>
      </c>
      <c r="B995" s="36" t="s">
        <v>4162</v>
      </c>
      <c r="C995" s="36" t="s">
        <v>4146</v>
      </c>
      <c r="D995" s="36" t="s">
        <v>3001</v>
      </c>
      <c r="E995" s="36" t="s">
        <v>4147</v>
      </c>
      <c r="F995" s="37" t="s">
        <v>4148</v>
      </c>
      <c r="G995" s="36" t="s">
        <v>4149</v>
      </c>
      <c r="H995" s="36" t="s">
        <v>4156</v>
      </c>
      <c r="I995" s="36" t="s">
        <v>4199</v>
      </c>
    </row>
    <row r="996" spans="1:9" x14ac:dyDescent="0.3">
      <c r="A996">
        <v>999</v>
      </c>
      <c r="B996" s="36" t="s">
        <v>4162</v>
      </c>
      <c r="C996" s="36" t="s">
        <v>4154</v>
      </c>
      <c r="D996" s="36" t="s">
        <v>2999</v>
      </c>
      <c r="E996" s="36" t="s">
        <v>4151</v>
      </c>
      <c r="F996" s="37" t="s">
        <v>4148</v>
      </c>
      <c r="G996" s="36" t="s">
        <v>4149</v>
      </c>
      <c r="H996" s="36" t="s">
        <v>4156</v>
      </c>
      <c r="I996" s="36" t="s">
        <v>4199</v>
      </c>
    </row>
    <row r="997" spans="1:9" x14ac:dyDescent="0.3">
      <c r="A997">
        <v>1000</v>
      </c>
      <c r="B997" s="36" t="s">
        <v>4162</v>
      </c>
      <c r="C997" s="36" t="s">
        <v>4146</v>
      </c>
      <c r="D997" s="36" t="s">
        <v>2994</v>
      </c>
      <c r="E997" s="36" t="s">
        <v>4147</v>
      </c>
      <c r="F997" s="37" t="s">
        <v>4148</v>
      </c>
      <c r="G997" s="36" t="s">
        <v>4149</v>
      </c>
      <c r="H997" s="36" t="s">
        <v>4156</v>
      </c>
      <c r="I997" s="36" t="s">
        <v>4160</v>
      </c>
    </row>
    <row r="998" spans="1:9" x14ac:dyDescent="0.3">
      <c r="A998">
        <v>1001</v>
      </c>
      <c r="B998" s="36" t="s">
        <v>4162</v>
      </c>
      <c r="C998" s="36" t="s">
        <v>4146</v>
      </c>
      <c r="D998" s="36" t="s">
        <v>2999</v>
      </c>
      <c r="E998" s="36" t="s">
        <v>4151</v>
      </c>
      <c r="F998" s="37" t="s">
        <v>4148</v>
      </c>
      <c r="G998" s="36" t="s">
        <v>4149</v>
      </c>
      <c r="H998" s="36" t="s">
        <v>4156</v>
      </c>
      <c r="I998" s="36" t="s">
        <v>4160</v>
      </c>
    </row>
    <row r="999" spans="1:9" x14ac:dyDescent="0.3">
      <c r="A999">
        <v>1002</v>
      </c>
      <c r="B999" s="36" t="s">
        <v>4162</v>
      </c>
      <c r="C999" s="36" t="s">
        <v>4146</v>
      </c>
      <c r="D999" s="36" t="s">
        <v>2994</v>
      </c>
      <c r="E999" s="36" t="s">
        <v>4147</v>
      </c>
      <c r="F999" s="37" t="s">
        <v>4148</v>
      </c>
      <c r="G999" s="36" t="s">
        <v>4153</v>
      </c>
      <c r="H999" s="36" t="s">
        <v>4156</v>
      </c>
      <c r="I999" s="36" t="s">
        <v>4160</v>
      </c>
    </row>
    <row r="1000" spans="1:9" x14ac:dyDescent="0.3">
      <c r="A1000">
        <v>1003</v>
      </c>
      <c r="B1000" s="36" t="s">
        <v>4162</v>
      </c>
      <c r="C1000" s="36" t="s">
        <v>4146</v>
      </c>
      <c r="D1000" s="36" t="s">
        <v>2994</v>
      </c>
      <c r="E1000" s="36" t="s">
        <v>4147</v>
      </c>
      <c r="F1000" s="37" t="s">
        <v>4148</v>
      </c>
      <c r="G1000" s="36" t="s">
        <v>4153</v>
      </c>
      <c r="H1000" s="36" t="s">
        <v>4156</v>
      </c>
      <c r="I1000" s="36" t="s">
        <v>4160</v>
      </c>
    </row>
    <row r="1001" spans="1:9" x14ac:dyDescent="0.3">
      <c r="A1001">
        <v>1004</v>
      </c>
      <c r="B1001" s="36" t="s">
        <v>4162</v>
      </c>
      <c r="C1001" s="36" t="s">
        <v>4146</v>
      </c>
      <c r="D1001" s="36" t="s">
        <v>2999</v>
      </c>
      <c r="E1001" s="36" t="s">
        <v>4151</v>
      </c>
      <c r="F1001" s="37" t="s">
        <v>4148</v>
      </c>
      <c r="G1001" s="36" t="s">
        <v>4153</v>
      </c>
      <c r="H1001" s="36" t="s">
        <v>4156</v>
      </c>
      <c r="I1001" s="36" t="s">
        <v>4160</v>
      </c>
    </row>
    <row r="1002" spans="1:9" x14ac:dyDescent="0.3">
      <c r="A1002">
        <v>1005</v>
      </c>
      <c r="B1002" s="36" t="s">
        <v>4162</v>
      </c>
      <c r="C1002" s="36" t="s">
        <v>4146</v>
      </c>
      <c r="D1002" s="36" t="s">
        <v>2994</v>
      </c>
      <c r="E1002" s="36" t="s">
        <v>4147</v>
      </c>
      <c r="F1002" s="37" t="s">
        <v>4148</v>
      </c>
      <c r="G1002" s="36" t="s">
        <v>4149</v>
      </c>
      <c r="H1002" s="36" t="s">
        <v>4156</v>
      </c>
      <c r="I1002" s="36" t="s">
        <v>4160</v>
      </c>
    </row>
    <row r="1003" spans="1:9" x14ac:dyDescent="0.3">
      <c r="A1003">
        <v>1006</v>
      </c>
      <c r="B1003" s="36" t="s">
        <v>4162</v>
      </c>
      <c r="C1003" s="36" t="s">
        <v>4154</v>
      </c>
      <c r="D1003" s="36" t="s">
        <v>2999</v>
      </c>
      <c r="E1003" s="36" t="s">
        <v>4151</v>
      </c>
      <c r="F1003" s="37" t="s">
        <v>4148</v>
      </c>
      <c r="G1003" s="36" t="s">
        <v>4149</v>
      </c>
      <c r="H1003" s="36" t="s">
        <v>4156</v>
      </c>
      <c r="I1003" s="36" t="s">
        <v>4160</v>
      </c>
    </row>
    <row r="1004" spans="1:9" x14ac:dyDescent="0.3">
      <c r="A1004">
        <v>1007</v>
      </c>
      <c r="B1004" s="36" t="s">
        <v>4162</v>
      </c>
      <c r="C1004" s="36" t="s">
        <v>4146</v>
      </c>
      <c r="D1004" s="36" t="s">
        <v>2994</v>
      </c>
      <c r="E1004" s="36" t="s">
        <v>4147</v>
      </c>
      <c r="F1004" s="37" t="s">
        <v>4148</v>
      </c>
      <c r="G1004" s="36" t="s">
        <v>4149</v>
      </c>
      <c r="H1004" s="36" t="s">
        <v>4156</v>
      </c>
      <c r="I1004" s="36" t="s">
        <v>4160</v>
      </c>
    </row>
    <row r="1005" spans="1:9" x14ac:dyDescent="0.3">
      <c r="A1005">
        <v>1008</v>
      </c>
      <c r="B1005" s="36" t="s">
        <v>4162</v>
      </c>
      <c r="C1005" s="36" t="s">
        <v>4146</v>
      </c>
      <c r="D1005" s="36" t="s">
        <v>2994</v>
      </c>
      <c r="E1005" s="36" t="s">
        <v>4147</v>
      </c>
      <c r="F1005" s="37" t="s">
        <v>4159</v>
      </c>
      <c r="G1005" s="36" t="s">
        <v>4149</v>
      </c>
      <c r="H1005" s="36" t="s">
        <v>4156</v>
      </c>
      <c r="I1005" s="36" t="s">
        <v>4160</v>
      </c>
    </row>
    <row r="1006" spans="1:9" x14ac:dyDescent="0.3">
      <c r="A1006">
        <v>1009</v>
      </c>
      <c r="B1006" s="36" t="s">
        <v>4162</v>
      </c>
      <c r="C1006" s="36" t="s">
        <v>4154</v>
      </c>
      <c r="D1006" s="36" t="s">
        <v>2994</v>
      </c>
      <c r="E1006" s="36" t="s">
        <v>4147</v>
      </c>
      <c r="F1006" s="37" t="s">
        <v>4155</v>
      </c>
      <c r="G1006" s="36" t="s">
        <v>4149</v>
      </c>
      <c r="H1006" s="36" t="s">
        <v>4156</v>
      </c>
      <c r="I1006" s="36" t="s">
        <v>4160</v>
      </c>
    </row>
    <row r="1007" spans="1:9" x14ac:dyDescent="0.3">
      <c r="A1007">
        <v>1010</v>
      </c>
      <c r="B1007" s="36" t="s">
        <v>4162</v>
      </c>
      <c r="C1007" s="36" t="s">
        <v>4154</v>
      </c>
      <c r="D1007" s="36" t="s">
        <v>2999</v>
      </c>
      <c r="E1007" s="36" t="s">
        <v>4151</v>
      </c>
      <c r="F1007" s="37" t="s">
        <v>4148</v>
      </c>
      <c r="G1007" s="36" t="s">
        <v>4149</v>
      </c>
      <c r="H1007" s="36" t="s">
        <v>4156</v>
      </c>
      <c r="I1007" s="36" t="s">
        <v>4160</v>
      </c>
    </row>
    <row r="1008" spans="1:9" x14ac:dyDescent="0.3">
      <c r="A1008">
        <v>1011</v>
      </c>
      <c r="B1008" s="36" t="s">
        <v>4162</v>
      </c>
      <c r="C1008" s="36" t="s">
        <v>4154</v>
      </c>
      <c r="D1008" s="36" t="s">
        <v>2999</v>
      </c>
      <c r="E1008" s="36" t="s">
        <v>4151</v>
      </c>
      <c r="F1008" s="37" t="s">
        <v>4148</v>
      </c>
      <c r="G1008" s="36" t="s">
        <v>4153</v>
      </c>
      <c r="H1008" s="36" t="s">
        <v>4156</v>
      </c>
      <c r="I1008" s="36" t="s">
        <v>824</v>
      </c>
    </row>
    <row r="1009" spans="1:9" x14ac:dyDescent="0.3">
      <c r="A1009">
        <v>1012</v>
      </c>
      <c r="B1009" s="36" t="s">
        <v>4162</v>
      </c>
      <c r="C1009" s="36" t="s">
        <v>4154</v>
      </c>
      <c r="D1009" s="36" t="s">
        <v>3001</v>
      </c>
      <c r="E1009" s="36" t="s">
        <v>4147</v>
      </c>
      <c r="F1009" s="37" t="s">
        <v>4148</v>
      </c>
      <c r="G1009" s="36" t="s">
        <v>4153</v>
      </c>
      <c r="H1009" s="36" t="s">
        <v>4156</v>
      </c>
      <c r="I1009" s="36" t="s">
        <v>824</v>
      </c>
    </row>
    <row r="1010" spans="1:9" x14ac:dyDescent="0.3">
      <c r="A1010">
        <v>1013</v>
      </c>
      <c r="B1010" s="36" t="s">
        <v>4162</v>
      </c>
      <c r="C1010" s="36" t="s">
        <v>4154</v>
      </c>
      <c r="D1010" s="36" t="s">
        <v>2994</v>
      </c>
      <c r="E1010" s="36" t="s">
        <v>4147</v>
      </c>
      <c r="F1010" s="37" t="s">
        <v>4148</v>
      </c>
      <c r="G1010" s="36" t="s">
        <v>4149</v>
      </c>
      <c r="H1010" s="36" t="s">
        <v>4156</v>
      </c>
      <c r="I1010" s="36" t="s">
        <v>4160</v>
      </c>
    </row>
    <row r="1011" spans="1:9" x14ac:dyDescent="0.3">
      <c r="A1011">
        <v>1014</v>
      </c>
      <c r="B1011" s="36" t="s">
        <v>4162</v>
      </c>
      <c r="C1011" s="36" t="s">
        <v>4154</v>
      </c>
      <c r="D1011" s="36" t="s">
        <v>2994</v>
      </c>
      <c r="E1011" s="36" t="s">
        <v>4147</v>
      </c>
      <c r="F1011" s="37" t="s">
        <v>4148</v>
      </c>
      <c r="G1011" s="36" t="s">
        <v>4149</v>
      </c>
      <c r="H1011" s="36" t="s">
        <v>4156</v>
      </c>
      <c r="I1011" s="36" t="s">
        <v>824</v>
      </c>
    </row>
    <row r="1012" spans="1:9" x14ac:dyDescent="0.3">
      <c r="A1012">
        <v>1015</v>
      </c>
      <c r="B1012" s="36" t="s">
        <v>4162</v>
      </c>
      <c r="C1012" s="36" t="s">
        <v>4154</v>
      </c>
      <c r="D1012" s="36" t="s">
        <v>3001</v>
      </c>
      <c r="E1012" s="36" t="s">
        <v>4147</v>
      </c>
      <c r="F1012" s="37" t="s">
        <v>4148</v>
      </c>
      <c r="G1012" s="36" t="s">
        <v>4149</v>
      </c>
      <c r="H1012" s="36" t="s">
        <v>4156</v>
      </c>
      <c r="I1012" s="36" t="s">
        <v>824</v>
      </c>
    </row>
    <row r="1013" spans="1:9" x14ac:dyDescent="0.3">
      <c r="A1013">
        <v>1016</v>
      </c>
      <c r="B1013" s="36" t="s">
        <v>4162</v>
      </c>
      <c r="C1013" s="36" t="s">
        <v>4154</v>
      </c>
      <c r="D1013" s="36" t="s">
        <v>2999</v>
      </c>
      <c r="E1013" s="36" t="s">
        <v>4151</v>
      </c>
      <c r="F1013" s="37" t="s">
        <v>4157</v>
      </c>
      <c r="G1013" s="36" t="s">
        <v>4149</v>
      </c>
      <c r="H1013" s="36" t="s">
        <v>4156</v>
      </c>
      <c r="I1013" s="36" t="s">
        <v>824</v>
      </c>
    </row>
    <row r="1014" spans="1:9" x14ac:dyDescent="0.3">
      <c r="A1014">
        <v>1017</v>
      </c>
      <c r="B1014" s="36" t="s">
        <v>4162</v>
      </c>
      <c r="C1014" s="36" t="s">
        <v>4154</v>
      </c>
      <c r="D1014" s="36" t="s">
        <v>2999</v>
      </c>
      <c r="E1014" s="36" t="s">
        <v>4151</v>
      </c>
      <c r="F1014" s="37" t="s">
        <v>4148</v>
      </c>
      <c r="G1014" s="36" t="s">
        <v>4149</v>
      </c>
      <c r="H1014" s="36" t="s">
        <v>4156</v>
      </c>
      <c r="I1014" s="36" t="s">
        <v>4160</v>
      </c>
    </row>
    <row r="1015" spans="1:9" x14ac:dyDescent="0.3">
      <c r="A1015">
        <v>1018</v>
      </c>
      <c r="B1015" s="36" t="s">
        <v>4162</v>
      </c>
      <c r="C1015" s="36" t="s">
        <v>4146</v>
      </c>
      <c r="D1015" s="36" t="s">
        <v>2999</v>
      </c>
      <c r="E1015" s="36" t="s">
        <v>4151</v>
      </c>
      <c r="F1015" s="37" t="s">
        <v>4148</v>
      </c>
      <c r="G1015" s="36" t="s">
        <v>4149</v>
      </c>
      <c r="H1015" s="36" t="s">
        <v>4156</v>
      </c>
      <c r="I1015" s="36" t="s">
        <v>824</v>
      </c>
    </row>
    <row r="1016" spans="1:9" x14ac:dyDescent="0.3">
      <c r="A1016">
        <v>1019</v>
      </c>
      <c r="B1016" s="36" t="s">
        <v>4162</v>
      </c>
      <c r="C1016" s="36" t="s">
        <v>4154</v>
      </c>
      <c r="D1016" s="36" t="s">
        <v>2999</v>
      </c>
      <c r="E1016" s="36" t="s">
        <v>4151</v>
      </c>
      <c r="F1016" s="37" t="s">
        <v>4148</v>
      </c>
      <c r="G1016" s="36" t="s">
        <v>4149</v>
      </c>
      <c r="H1016" s="36" t="s">
        <v>4156</v>
      </c>
      <c r="I1016" s="36" t="s">
        <v>824</v>
      </c>
    </row>
    <row r="1017" spans="1:9" x14ac:dyDescent="0.3">
      <c r="A1017">
        <v>1020</v>
      </c>
      <c r="B1017" s="36" t="s">
        <v>4162</v>
      </c>
      <c r="C1017" s="36" t="s">
        <v>4154</v>
      </c>
      <c r="D1017" s="36" t="s">
        <v>2999</v>
      </c>
      <c r="E1017" s="36" t="s">
        <v>4151</v>
      </c>
      <c r="F1017" s="37" t="s">
        <v>4148</v>
      </c>
      <c r="G1017" s="36" t="s">
        <v>4149</v>
      </c>
      <c r="H1017" s="36" t="s">
        <v>4156</v>
      </c>
      <c r="I1017" s="36" t="s">
        <v>824</v>
      </c>
    </row>
    <row r="1018" spans="1:9" x14ac:dyDescent="0.3">
      <c r="A1018">
        <v>1021</v>
      </c>
      <c r="B1018" s="36" t="s">
        <v>4162</v>
      </c>
      <c r="C1018" s="36" t="s">
        <v>4154</v>
      </c>
      <c r="D1018" s="36" t="s">
        <v>2999</v>
      </c>
      <c r="E1018" s="36" t="s">
        <v>4151</v>
      </c>
      <c r="F1018" s="37" t="s">
        <v>4148</v>
      </c>
      <c r="G1018" s="36" t="s">
        <v>4149</v>
      </c>
      <c r="H1018" s="36" t="s">
        <v>4156</v>
      </c>
      <c r="I1018" s="36" t="s">
        <v>824</v>
      </c>
    </row>
    <row r="1019" spans="1:9" x14ac:dyDescent="0.3">
      <c r="A1019">
        <v>1022</v>
      </c>
      <c r="B1019" s="36" t="s">
        <v>4162</v>
      </c>
      <c r="C1019" s="36" t="s">
        <v>4154</v>
      </c>
      <c r="D1019" s="36" t="s">
        <v>2999</v>
      </c>
      <c r="E1019" s="36" t="s">
        <v>4151</v>
      </c>
      <c r="F1019" s="37" t="s">
        <v>4148</v>
      </c>
      <c r="G1019" s="36" t="s">
        <v>4149</v>
      </c>
      <c r="H1019" s="36" t="s">
        <v>4156</v>
      </c>
      <c r="I1019" s="36" t="s">
        <v>824</v>
      </c>
    </row>
    <row r="1020" spans="1:9" x14ac:dyDescent="0.3">
      <c r="A1020">
        <v>1023</v>
      </c>
      <c r="B1020" s="36" t="s">
        <v>4162</v>
      </c>
      <c r="C1020" s="36" t="s">
        <v>4154</v>
      </c>
      <c r="D1020" s="36" t="s">
        <v>2999</v>
      </c>
      <c r="E1020" s="36" t="s">
        <v>4151</v>
      </c>
      <c r="F1020" s="37" t="s">
        <v>4148</v>
      </c>
      <c r="G1020" s="36" t="s">
        <v>4149</v>
      </c>
      <c r="H1020" s="36" t="s">
        <v>4156</v>
      </c>
      <c r="I1020" s="36" t="s">
        <v>824</v>
      </c>
    </row>
    <row r="1021" spans="1:9" x14ac:dyDescent="0.3">
      <c r="A1021">
        <v>1024</v>
      </c>
      <c r="B1021" s="36" t="s">
        <v>4162</v>
      </c>
      <c r="C1021" s="36" t="s">
        <v>4146</v>
      </c>
      <c r="D1021" s="36" t="s">
        <v>2994</v>
      </c>
      <c r="E1021" s="36" t="s">
        <v>4147</v>
      </c>
      <c r="F1021" s="37" t="s">
        <v>4148</v>
      </c>
      <c r="G1021" s="36" t="s">
        <v>4149</v>
      </c>
      <c r="H1021" s="36" t="s">
        <v>4156</v>
      </c>
      <c r="I1021" s="36" t="s">
        <v>4160</v>
      </c>
    </row>
    <row r="1022" spans="1:9" x14ac:dyDescent="0.3">
      <c r="A1022">
        <v>1025</v>
      </c>
      <c r="B1022" s="36" t="s">
        <v>4162</v>
      </c>
      <c r="C1022" s="36" t="s">
        <v>4154</v>
      </c>
      <c r="D1022" s="36" t="s">
        <v>2999</v>
      </c>
      <c r="E1022" s="36" t="s">
        <v>4151</v>
      </c>
      <c r="F1022" s="37" t="s">
        <v>4148</v>
      </c>
      <c r="G1022" s="36" t="s">
        <v>4149</v>
      </c>
      <c r="H1022" s="36" t="s">
        <v>4156</v>
      </c>
      <c r="I1022" s="36" t="s">
        <v>824</v>
      </c>
    </row>
    <row r="1023" spans="1:9" x14ac:dyDescent="0.3">
      <c r="A1023">
        <v>1026</v>
      </c>
      <c r="B1023" s="36" t="s">
        <v>4162</v>
      </c>
      <c r="C1023" s="36" t="s">
        <v>4146</v>
      </c>
      <c r="D1023" s="36" t="s">
        <v>2996</v>
      </c>
      <c r="E1023" s="36" t="s">
        <v>4151</v>
      </c>
      <c r="F1023" s="37" t="s">
        <v>4152</v>
      </c>
      <c r="G1023" s="36" t="s">
        <v>4153</v>
      </c>
      <c r="H1023" s="36" t="s">
        <v>4156</v>
      </c>
      <c r="I1023" s="36" t="s">
        <v>824</v>
      </c>
    </row>
    <row r="1024" spans="1:9" x14ac:dyDescent="0.3">
      <c r="A1024">
        <v>1027</v>
      </c>
      <c r="B1024" s="36" t="s">
        <v>4162</v>
      </c>
      <c r="C1024" s="36" t="s">
        <v>4146</v>
      </c>
      <c r="D1024" s="36" t="s">
        <v>3001</v>
      </c>
      <c r="E1024" s="36" t="s">
        <v>4147</v>
      </c>
      <c r="F1024" s="37" t="s">
        <v>4148</v>
      </c>
      <c r="G1024" s="36" t="s">
        <v>4153</v>
      </c>
      <c r="H1024" s="36" t="s">
        <v>4156</v>
      </c>
      <c r="I1024" s="36" t="s">
        <v>824</v>
      </c>
    </row>
    <row r="1025" spans="1:9" x14ac:dyDescent="0.3">
      <c r="A1025">
        <v>1028</v>
      </c>
      <c r="B1025" s="36" t="s">
        <v>4162</v>
      </c>
      <c r="C1025" s="36" t="s">
        <v>4154</v>
      </c>
      <c r="D1025" s="36" t="s">
        <v>2999</v>
      </c>
      <c r="E1025" s="36" t="s">
        <v>4151</v>
      </c>
      <c r="F1025" s="37" t="s">
        <v>4148</v>
      </c>
      <c r="G1025" s="36" t="s">
        <v>4149</v>
      </c>
      <c r="H1025" s="36" t="s">
        <v>4156</v>
      </c>
      <c r="I1025" s="36" t="s">
        <v>824</v>
      </c>
    </row>
    <row r="1026" spans="1:9" x14ac:dyDescent="0.3">
      <c r="A1026">
        <v>1029</v>
      </c>
      <c r="B1026" s="36" t="s">
        <v>4162</v>
      </c>
      <c r="C1026" s="36" t="s">
        <v>4146</v>
      </c>
      <c r="D1026" s="36" t="s">
        <v>2994</v>
      </c>
      <c r="E1026" s="36" t="s">
        <v>4147</v>
      </c>
      <c r="F1026" s="37" t="s">
        <v>4148</v>
      </c>
      <c r="G1026" s="36" t="s">
        <v>4153</v>
      </c>
      <c r="H1026" s="36" t="s">
        <v>4156</v>
      </c>
      <c r="I1026" s="36" t="s">
        <v>4160</v>
      </c>
    </row>
    <row r="1027" spans="1:9" x14ac:dyDescent="0.3">
      <c r="A1027">
        <v>1030</v>
      </c>
      <c r="B1027" s="36" t="s">
        <v>4162</v>
      </c>
      <c r="C1027" s="36" t="s">
        <v>4154</v>
      </c>
      <c r="D1027" s="36" t="s">
        <v>2999</v>
      </c>
      <c r="E1027" s="36" t="s">
        <v>4151</v>
      </c>
      <c r="F1027" s="37" t="s">
        <v>4148</v>
      </c>
      <c r="G1027" s="36" t="s">
        <v>4153</v>
      </c>
      <c r="H1027" s="36" t="s">
        <v>4156</v>
      </c>
      <c r="I1027" s="36" t="s">
        <v>4160</v>
      </c>
    </row>
    <row r="1028" spans="1:9" x14ac:dyDescent="0.3">
      <c r="A1028">
        <v>1031</v>
      </c>
      <c r="B1028" s="36" t="s">
        <v>4162</v>
      </c>
      <c r="C1028" s="36" t="s">
        <v>4154</v>
      </c>
      <c r="D1028" s="36" t="s">
        <v>2999</v>
      </c>
      <c r="E1028" s="36" t="s">
        <v>4151</v>
      </c>
      <c r="F1028" s="37" t="s">
        <v>4148</v>
      </c>
      <c r="G1028" s="36" t="s">
        <v>4149</v>
      </c>
      <c r="H1028" s="36" t="s">
        <v>4156</v>
      </c>
      <c r="I1028" s="36" t="s">
        <v>4160</v>
      </c>
    </row>
    <row r="1029" spans="1:9" x14ac:dyDescent="0.3">
      <c r="A1029">
        <v>1032</v>
      </c>
      <c r="B1029" s="36" t="s">
        <v>4162</v>
      </c>
      <c r="C1029" s="36" t="s">
        <v>4154</v>
      </c>
      <c r="D1029" s="36" t="s">
        <v>2999</v>
      </c>
      <c r="E1029" s="36" t="s">
        <v>4151</v>
      </c>
      <c r="F1029" s="37" t="s">
        <v>4155</v>
      </c>
      <c r="G1029" s="36" t="s">
        <v>4149</v>
      </c>
      <c r="H1029" s="36" t="s">
        <v>4156</v>
      </c>
      <c r="I1029" s="36" t="s">
        <v>824</v>
      </c>
    </row>
    <row r="1030" spans="1:9" x14ac:dyDescent="0.3">
      <c r="A1030">
        <v>1033</v>
      </c>
      <c r="B1030" s="36" t="s">
        <v>4162</v>
      </c>
      <c r="C1030" s="36" t="s">
        <v>4154</v>
      </c>
      <c r="D1030" s="36" t="s">
        <v>2999</v>
      </c>
      <c r="E1030" s="36" t="s">
        <v>4151</v>
      </c>
      <c r="F1030" s="37" t="s">
        <v>4148</v>
      </c>
      <c r="G1030" s="36" t="s">
        <v>4149</v>
      </c>
      <c r="H1030" s="36" t="s">
        <v>4156</v>
      </c>
      <c r="I1030" s="36" t="s">
        <v>4160</v>
      </c>
    </row>
    <row r="1031" spans="1:9" x14ac:dyDescent="0.3">
      <c r="A1031">
        <v>1034</v>
      </c>
      <c r="B1031" s="36" t="s">
        <v>4162</v>
      </c>
      <c r="C1031" s="36" t="s">
        <v>4146</v>
      </c>
      <c r="D1031" s="36" t="s">
        <v>2999</v>
      </c>
      <c r="E1031" s="36" t="s">
        <v>4151</v>
      </c>
      <c r="F1031" s="37" t="s">
        <v>4148</v>
      </c>
      <c r="G1031" s="36" t="s">
        <v>4149</v>
      </c>
      <c r="H1031" s="36" t="s">
        <v>4156</v>
      </c>
      <c r="I1031" s="36" t="s">
        <v>824</v>
      </c>
    </row>
    <row r="1032" spans="1:9" x14ac:dyDescent="0.3">
      <c r="A1032">
        <v>1035</v>
      </c>
      <c r="B1032" s="36" t="s">
        <v>4162</v>
      </c>
      <c r="C1032" s="36" t="s">
        <v>4146</v>
      </c>
      <c r="D1032" s="36" t="s">
        <v>2996</v>
      </c>
      <c r="E1032" s="36" t="s">
        <v>4151</v>
      </c>
      <c r="F1032" s="37" t="s">
        <v>4148</v>
      </c>
      <c r="G1032" s="36" t="s">
        <v>4153</v>
      </c>
      <c r="H1032" s="36" t="s">
        <v>4156</v>
      </c>
      <c r="I1032" s="36" t="s">
        <v>4199</v>
      </c>
    </row>
    <row r="1033" spans="1:9" x14ac:dyDescent="0.3">
      <c r="A1033">
        <v>1036</v>
      </c>
      <c r="B1033" s="36" t="s">
        <v>4162</v>
      </c>
      <c r="C1033" s="36" t="s">
        <v>4146</v>
      </c>
      <c r="D1033" s="36" t="s">
        <v>2996</v>
      </c>
      <c r="E1033" s="36" t="s">
        <v>4151</v>
      </c>
      <c r="F1033" s="37" t="s">
        <v>4148</v>
      </c>
      <c r="G1033" s="36" t="s">
        <v>4153</v>
      </c>
      <c r="H1033" s="36" t="s">
        <v>4156</v>
      </c>
      <c r="I1033" s="36" t="s">
        <v>4199</v>
      </c>
    </row>
    <row r="1034" spans="1:9" x14ac:dyDescent="0.3">
      <c r="A1034">
        <v>1037</v>
      </c>
      <c r="B1034" s="36" t="s">
        <v>4162</v>
      </c>
      <c r="C1034" s="36" t="s">
        <v>4146</v>
      </c>
      <c r="D1034" s="36" t="s">
        <v>3001</v>
      </c>
      <c r="E1034" s="36" t="s">
        <v>4147</v>
      </c>
      <c r="F1034" s="37" t="s">
        <v>4148</v>
      </c>
      <c r="G1034" s="36" t="s">
        <v>4153</v>
      </c>
      <c r="H1034" s="36" t="s">
        <v>4156</v>
      </c>
      <c r="I1034" s="36" t="s">
        <v>4199</v>
      </c>
    </row>
    <row r="1035" spans="1:9" x14ac:dyDescent="0.3">
      <c r="A1035">
        <v>1038</v>
      </c>
      <c r="B1035" s="36" t="s">
        <v>4162</v>
      </c>
      <c r="C1035" s="36" t="s">
        <v>4146</v>
      </c>
      <c r="D1035" s="36" t="s">
        <v>3001</v>
      </c>
      <c r="E1035" s="36" t="s">
        <v>4147</v>
      </c>
      <c r="F1035" s="37" t="s">
        <v>4148</v>
      </c>
      <c r="G1035" s="36" t="s">
        <v>4149</v>
      </c>
      <c r="H1035" s="36" t="s">
        <v>4156</v>
      </c>
      <c r="I1035" s="36" t="s">
        <v>4199</v>
      </c>
    </row>
    <row r="1036" spans="1:9" x14ac:dyDescent="0.3">
      <c r="A1036">
        <v>1039</v>
      </c>
      <c r="B1036" s="36" t="s">
        <v>4162</v>
      </c>
      <c r="C1036" s="36" t="s">
        <v>4154</v>
      </c>
      <c r="D1036" s="36" t="s">
        <v>2999</v>
      </c>
      <c r="E1036" s="36" t="s">
        <v>4151</v>
      </c>
      <c r="F1036" s="37" t="s">
        <v>4148</v>
      </c>
      <c r="G1036" s="36" t="s">
        <v>4149</v>
      </c>
      <c r="H1036" s="36" t="s">
        <v>4156</v>
      </c>
      <c r="I1036" s="36" t="s">
        <v>824</v>
      </c>
    </row>
    <row r="1037" spans="1:9" x14ac:dyDescent="0.3">
      <c r="A1037">
        <v>1040</v>
      </c>
      <c r="B1037" s="36" t="s">
        <v>4162</v>
      </c>
      <c r="C1037" s="36" t="s">
        <v>4146</v>
      </c>
      <c r="D1037" s="36" t="s">
        <v>2994</v>
      </c>
      <c r="E1037" s="36" t="s">
        <v>4147</v>
      </c>
      <c r="F1037" s="37" t="s">
        <v>4148</v>
      </c>
      <c r="G1037" s="36" t="s">
        <v>4149</v>
      </c>
      <c r="H1037" s="36" t="s">
        <v>4156</v>
      </c>
      <c r="I1037" s="36" t="s">
        <v>4160</v>
      </c>
    </row>
    <row r="1038" spans="1:9" x14ac:dyDescent="0.3">
      <c r="A1038">
        <v>1041</v>
      </c>
      <c r="B1038" s="36" t="s">
        <v>4162</v>
      </c>
      <c r="C1038" s="36" t="s">
        <v>4146</v>
      </c>
      <c r="D1038" s="36" t="s">
        <v>2994</v>
      </c>
      <c r="E1038" s="36" t="s">
        <v>4147</v>
      </c>
      <c r="F1038" s="37" t="s">
        <v>4148</v>
      </c>
      <c r="G1038" s="36" t="s">
        <v>4149</v>
      </c>
      <c r="H1038" s="36" t="s">
        <v>4156</v>
      </c>
      <c r="I1038" s="36" t="s">
        <v>4160</v>
      </c>
    </row>
    <row r="1039" spans="1:9" x14ac:dyDescent="0.3">
      <c r="A1039">
        <v>1042</v>
      </c>
      <c r="B1039" s="36" t="s">
        <v>4162</v>
      </c>
      <c r="C1039" s="36" t="s">
        <v>4154</v>
      </c>
      <c r="D1039" s="36" t="s">
        <v>2999</v>
      </c>
      <c r="E1039" s="36" t="s">
        <v>4151</v>
      </c>
      <c r="F1039" s="37" t="s">
        <v>4148</v>
      </c>
      <c r="G1039" s="36" t="s">
        <v>4149</v>
      </c>
      <c r="H1039" s="36" t="s">
        <v>4156</v>
      </c>
      <c r="I1039" s="36" t="s">
        <v>824</v>
      </c>
    </row>
    <row r="1040" spans="1:9" x14ac:dyDescent="0.3">
      <c r="A1040">
        <v>1043</v>
      </c>
      <c r="B1040" s="36" t="s">
        <v>4162</v>
      </c>
      <c r="C1040" s="36" t="s">
        <v>4146</v>
      </c>
      <c r="D1040" s="36" t="s">
        <v>2994</v>
      </c>
      <c r="E1040" s="36" t="s">
        <v>4147</v>
      </c>
      <c r="F1040" s="37" t="s">
        <v>4148</v>
      </c>
      <c r="G1040" s="36" t="s">
        <v>4153</v>
      </c>
      <c r="H1040" s="36" t="s">
        <v>4156</v>
      </c>
      <c r="I1040" s="36" t="s">
        <v>4160</v>
      </c>
    </row>
    <row r="1041" spans="1:9" x14ac:dyDescent="0.3">
      <c r="A1041">
        <v>1044</v>
      </c>
      <c r="B1041" s="36" t="s">
        <v>4162</v>
      </c>
      <c r="C1041" s="36" t="s">
        <v>4146</v>
      </c>
      <c r="D1041" s="36" t="s">
        <v>2994</v>
      </c>
      <c r="E1041" s="36" t="s">
        <v>4147</v>
      </c>
      <c r="F1041" s="37" t="s">
        <v>4148</v>
      </c>
      <c r="G1041" s="36" t="s">
        <v>4153</v>
      </c>
      <c r="H1041" s="36" t="s">
        <v>4156</v>
      </c>
      <c r="I1041" s="36" t="s">
        <v>4160</v>
      </c>
    </row>
    <row r="1042" spans="1:9" x14ac:dyDescent="0.3">
      <c r="A1042">
        <v>1045</v>
      </c>
      <c r="B1042" s="36" t="s">
        <v>4162</v>
      </c>
      <c r="C1042" s="36" t="s">
        <v>4146</v>
      </c>
      <c r="D1042" s="36" t="s">
        <v>2994</v>
      </c>
      <c r="E1042" s="36" t="s">
        <v>4147</v>
      </c>
      <c r="F1042" s="37" t="s">
        <v>4148</v>
      </c>
      <c r="G1042" s="36" t="s">
        <v>4149</v>
      </c>
      <c r="H1042" s="36" t="s">
        <v>4156</v>
      </c>
      <c r="I1042" s="36" t="s">
        <v>4160</v>
      </c>
    </row>
    <row r="1043" spans="1:9" x14ac:dyDescent="0.3">
      <c r="A1043">
        <v>1046</v>
      </c>
      <c r="B1043" s="36" t="s">
        <v>4162</v>
      </c>
      <c r="C1043" s="36" t="s">
        <v>4154</v>
      </c>
      <c r="D1043" s="36" t="s">
        <v>2999</v>
      </c>
      <c r="E1043" s="36" t="s">
        <v>4151</v>
      </c>
      <c r="F1043" s="37" t="s">
        <v>4159</v>
      </c>
      <c r="G1043" s="36" t="s">
        <v>4149</v>
      </c>
      <c r="H1043" s="36" t="s">
        <v>4156</v>
      </c>
      <c r="I1043" s="36" t="s">
        <v>824</v>
      </c>
    </row>
    <row r="1044" spans="1:9" x14ac:dyDescent="0.3">
      <c r="A1044">
        <v>1047</v>
      </c>
      <c r="B1044" s="36" t="s">
        <v>4162</v>
      </c>
      <c r="C1044" s="36" t="s">
        <v>4154</v>
      </c>
      <c r="D1044" s="36" t="s">
        <v>2999</v>
      </c>
      <c r="E1044" s="36" t="s">
        <v>4151</v>
      </c>
      <c r="F1044" s="37" t="s">
        <v>4148</v>
      </c>
      <c r="G1044" s="36" t="s">
        <v>4149</v>
      </c>
      <c r="H1044" s="36" t="s">
        <v>4156</v>
      </c>
      <c r="I1044" s="36" t="s">
        <v>824</v>
      </c>
    </row>
    <row r="1045" spans="1:9" x14ac:dyDescent="0.3">
      <c r="A1045">
        <v>1048</v>
      </c>
      <c r="B1045" s="36" t="s">
        <v>4162</v>
      </c>
      <c r="C1045" s="36" t="s">
        <v>4146</v>
      </c>
      <c r="D1045" s="36" t="s">
        <v>2994</v>
      </c>
      <c r="E1045" s="36" t="s">
        <v>4147</v>
      </c>
      <c r="F1045" s="37" t="s">
        <v>4159</v>
      </c>
      <c r="G1045" s="36" t="s">
        <v>4149</v>
      </c>
      <c r="H1045" s="36" t="s">
        <v>4156</v>
      </c>
      <c r="I1045" s="36" t="s">
        <v>4199</v>
      </c>
    </row>
    <row r="1046" spans="1:9" x14ac:dyDescent="0.3">
      <c r="A1046">
        <v>1049</v>
      </c>
      <c r="B1046" s="36" t="s">
        <v>4162</v>
      </c>
      <c r="C1046" s="36" t="s">
        <v>4146</v>
      </c>
      <c r="D1046" s="36" t="s">
        <v>2994</v>
      </c>
      <c r="E1046" s="36" t="s">
        <v>4147</v>
      </c>
      <c r="F1046" s="37" t="s">
        <v>4152</v>
      </c>
      <c r="G1046" s="36" t="s">
        <v>4153</v>
      </c>
      <c r="H1046" s="36" t="s">
        <v>4156</v>
      </c>
      <c r="I1046" s="36" t="s">
        <v>4199</v>
      </c>
    </row>
    <row r="1047" spans="1:9" x14ac:dyDescent="0.3">
      <c r="A1047">
        <v>1050</v>
      </c>
      <c r="B1047" s="36" t="s">
        <v>4162</v>
      </c>
      <c r="C1047" s="36" t="s">
        <v>4146</v>
      </c>
      <c r="D1047" s="36" t="s">
        <v>2999</v>
      </c>
      <c r="E1047" s="36" t="s">
        <v>4151</v>
      </c>
      <c r="F1047" s="37" t="s">
        <v>4148</v>
      </c>
      <c r="G1047" s="36" t="s">
        <v>4153</v>
      </c>
      <c r="H1047" s="36" t="s">
        <v>4156</v>
      </c>
      <c r="I1047" s="36" t="s">
        <v>4199</v>
      </c>
    </row>
    <row r="1048" spans="1:9" x14ac:dyDescent="0.3">
      <c r="A1048">
        <v>1051</v>
      </c>
      <c r="B1048" s="36" t="s">
        <v>4162</v>
      </c>
      <c r="C1048" s="36" t="s">
        <v>4146</v>
      </c>
      <c r="D1048" s="36" t="s">
        <v>3001</v>
      </c>
      <c r="E1048" s="36" t="s">
        <v>4147</v>
      </c>
      <c r="F1048" s="37" t="s">
        <v>4148</v>
      </c>
      <c r="G1048" s="36" t="s">
        <v>4153</v>
      </c>
      <c r="H1048" s="36" t="s">
        <v>4156</v>
      </c>
      <c r="I1048" s="36" t="s">
        <v>4199</v>
      </c>
    </row>
    <row r="1049" spans="1:9" x14ac:dyDescent="0.3">
      <c r="A1049">
        <v>1052</v>
      </c>
      <c r="B1049" s="36" t="s">
        <v>4162</v>
      </c>
      <c r="C1049" s="36" t="s">
        <v>4154</v>
      </c>
      <c r="D1049" s="36" t="s">
        <v>2999</v>
      </c>
      <c r="E1049" s="36" t="s">
        <v>4151</v>
      </c>
      <c r="F1049" s="37" t="s">
        <v>4155</v>
      </c>
      <c r="G1049" s="36" t="s">
        <v>4149</v>
      </c>
      <c r="H1049" s="36" t="s">
        <v>4156</v>
      </c>
      <c r="I1049" s="36" t="s">
        <v>824</v>
      </c>
    </row>
    <row r="1050" spans="1:9" x14ac:dyDescent="0.3">
      <c r="A1050">
        <v>1053</v>
      </c>
      <c r="B1050" s="36" t="s">
        <v>4162</v>
      </c>
      <c r="C1050" s="36" t="s">
        <v>4154</v>
      </c>
      <c r="D1050" s="36" t="s">
        <v>2999</v>
      </c>
      <c r="E1050" s="36" t="s">
        <v>4151</v>
      </c>
      <c r="F1050" s="37" t="s">
        <v>4148</v>
      </c>
      <c r="G1050" s="36" t="s">
        <v>4149</v>
      </c>
      <c r="H1050" s="36" t="s">
        <v>4156</v>
      </c>
      <c r="I1050" s="36" t="s">
        <v>824</v>
      </c>
    </row>
    <row r="1051" spans="1:9" x14ac:dyDescent="0.3">
      <c r="A1051">
        <v>1054</v>
      </c>
      <c r="B1051" s="36" t="s">
        <v>4162</v>
      </c>
      <c r="C1051" s="36" t="s">
        <v>4154</v>
      </c>
      <c r="D1051" s="36" t="s">
        <v>2999</v>
      </c>
      <c r="E1051" s="36" t="s">
        <v>4151</v>
      </c>
      <c r="F1051" s="37" t="s">
        <v>4148</v>
      </c>
      <c r="G1051" s="36" t="s">
        <v>4149</v>
      </c>
      <c r="H1051" s="36" t="s">
        <v>4156</v>
      </c>
      <c r="I1051" s="36" t="s">
        <v>4199</v>
      </c>
    </row>
    <row r="1052" spans="1:9" x14ac:dyDescent="0.3">
      <c r="A1052">
        <v>1055</v>
      </c>
      <c r="B1052" s="36" t="s">
        <v>4162</v>
      </c>
      <c r="C1052" s="36" t="s">
        <v>4154</v>
      </c>
      <c r="D1052" s="36" t="s">
        <v>2994</v>
      </c>
      <c r="E1052" s="36" t="s">
        <v>4147</v>
      </c>
      <c r="F1052" s="37" t="s">
        <v>4148</v>
      </c>
      <c r="G1052" s="36" t="s">
        <v>4149</v>
      </c>
      <c r="H1052" s="36" t="s">
        <v>4156</v>
      </c>
      <c r="I1052" s="36" t="s">
        <v>4160</v>
      </c>
    </row>
    <row r="1053" spans="1:9" x14ac:dyDescent="0.3">
      <c r="A1053">
        <v>1056</v>
      </c>
      <c r="B1053" s="36" t="s">
        <v>4162</v>
      </c>
      <c r="C1053" s="36" t="s">
        <v>4154</v>
      </c>
      <c r="D1053" s="36" t="s">
        <v>2999</v>
      </c>
      <c r="E1053" s="36" t="s">
        <v>4151</v>
      </c>
      <c r="F1053" s="37" t="s">
        <v>4148</v>
      </c>
      <c r="G1053" s="36" t="s">
        <v>4149</v>
      </c>
      <c r="H1053" s="36" t="s">
        <v>4156</v>
      </c>
      <c r="I1053" s="36" t="s">
        <v>824</v>
      </c>
    </row>
    <row r="1054" spans="1:9" x14ac:dyDescent="0.3">
      <c r="A1054">
        <v>1057</v>
      </c>
      <c r="B1054" s="36" t="s">
        <v>4162</v>
      </c>
      <c r="C1054" s="36" t="s">
        <v>4146</v>
      </c>
      <c r="D1054" s="36" t="s">
        <v>2996</v>
      </c>
      <c r="E1054" s="36" t="s">
        <v>4151</v>
      </c>
      <c r="F1054" s="37" t="s">
        <v>4152</v>
      </c>
      <c r="G1054" s="36" t="s">
        <v>4153</v>
      </c>
      <c r="H1054" s="36" t="s">
        <v>4156</v>
      </c>
      <c r="I1054" s="36" t="s">
        <v>4199</v>
      </c>
    </row>
    <row r="1055" spans="1:9" x14ac:dyDescent="0.3">
      <c r="A1055">
        <v>1058</v>
      </c>
      <c r="B1055" s="36" t="s">
        <v>4162</v>
      </c>
      <c r="C1055" s="36" t="s">
        <v>4146</v>
      </c>
      <c r="D1055" s="36" t="s">
        <v>2994</v>
      </c>
      <c r="E1055" s="36" t="s">
        <v>4147</v>
      </c>
      <c r="F1055" s="37" t="s">
        <v>4159</v>
      </c>
      <c r="G1055" s="36" t="s">
        <v>4153</v>
      </c>
      <c r="H1055" s="36" t="s">
        <v>4156</v>
      </c>
      <c r="I1055" s="36" t="s">
        <v>4199</v>
      </c>
    </row>
    <row r="1056" spans="1:9" x14ac:dyDescent="0.3">
      <c r="A1056">
        <v>1059</v>
      </c>
      <c r="B1056" s="36" t="s">
        <v>4162</v>
      </c>
      <c r="C1056" s="36" t="s">
        <v>4154</v>
      </c>
      <c r="D1056" s="36" t="s">
        <v>2994</v>
      </c>
      <c r="E1056" s="36" t="s">
        <v>4147</v>
      </c>
      <c r="F1056" s="37" t="s">
        <v>4148</v>
      </c>
      <c r="G1056" s="36" t="s">
        <v>4149</v>
      </c>
      <c r="H1056" s="36" t="s">
        <v>4156</v>
      </c>
      <c r="I1056" s="36" t="s">
        <v>824</v>
      </c>
    </row>
    <row r="1057" spans="1:9" x14ac:dyDescent="0.3">
      <c r="A1057">
        <v>1060</v>
      </c>
      <c r="B1057" s="36" t="s">
        <v>4162</v>
      </c>
      <c r="C1057" s="36" t="s">
        <v>4154</v>
      </c>
      <c r="D1057" s="36" t="s">
        <v>2999</v>
      </c>
      <c r="E1057" s="36" t="s">
        <v>4151</v>
      </c>
      <c r="F1057" s="37" t="s">
        <v>4148</v>
      </c>
      <c r="G1057" s="36" t="s">
        <v>4149</v>
      </c>
      <c r="H1057" s="36" t="s">
        <v>4156</v>
      </c>
      <c r="I1057" s="36" t="s">
        <v>824</v>
      </c>
    </row>
    <row r="1058" spans="1:9" x14ac:dyDescent="0.3">
      <c r="A1058">
        <v>1061</v>
      </c>
      <c r="B1058" s="36" t="s">
        <v>4162</v>
      </c>
      <c r="C1058" s="36" t="s">
        <v>4146</v>
      </c>
      <c r="D1058" s="36" t="s">
        <v>2994</v>
      </c>
      <c r="E1058" s="36" t="s">
        <v>4147</v>
      </c>
      <c r="F1058" s="37" t="s">
        <v>4159</v>
      </c>
      <c r="G1058" s="36" t="s">
        <v>4149</v>
      </c>
      <c r="H1058" s="36" t="s">
        <v>4156</v>
      </c>
      <c r="I1058" s="36" t="s">
        <v>824</v>
      </c>
    </row>
    <row r="1059" spans="1:9" x14ac:dyDescent="0.3">
      <c r="A1059">
        <v>1062</v>
      </c>
      <c r="B1059" s="36" t="s">
        <v>4162</v>
      </c>
      <c r="C1059" s="36" t="s">
        <v>4146</v>
      </c>
      <c r="D1059" s="36" t="s">
        <v>2994</v>
      </c>
      <c r="E1059" s="36" t="s">
        <v>4147</v>
      </c>
      <c r="F1059" s="37" t="s">
        <v>4148</v>
      </c>
      <c r="G1059" s="36" t="s">
        <v>4149</v>
      </c>
      <c r="H1059" s="36" t="s">
        <v>4156</v>
      </c>
      <c r="I1059" s="36" t="s">
        <v>824</v>
      </c>
    </row>
    <row r="1060" spans="1:9" x14ac:dyDescent="0.3">
      <c r="A1060">
        <v>1063</v>
      </c>
      <c r="B1060" s="36" t="s">
        <v>4162</v>
      </c>
      <c r="C1060" s="36" t="s">
        <v>4154</v>
      </c>
      <c r="D1060" s="36" t="s">
        <v>2999</v>
      </c>
      <c r="E1060" s="36" t="s">
        <v>4151</v>
      </c>
      <c r="F1060" s="37" t="s">
        <v>4148</v>
      </c>
      <c r="G1060" s="36" t="s">
        <v>4149</v>
      </c>
      <c r="H1060" s="36" t="s">
        <v>4156</v>
      </c>
      <c r="I1060" s="36" t="s">
        <v>824</v>
      </c>
    </row>
    <row r="1061" spans="1:9" x14ac:dyDescent="0.3">
      <c r="A1061">
        <v>1064</v>
      </c>
      <c r="B1061" s="36" t="s">
        <v>4162</v>
      </c>
      <c r="C1061" s="36" t="s">
        <v>4154</v>
      </c>
      <c r="D1061" s="36" t="s">
        <v>2999</v>
      </c>
      <c r="E1061" s="36" t="s">
        <v>4151</v>
      </c>
      <c r="F1061" s="37" t="s">
        <v>4155</v>
      </c>
      <c r="G1061" s="36" t="s">
        <v>4149</v>
      </c>
      <c r="H1061" s="36" t="s">
        <v>4156</v>
      </c>
      <c r="I1061" s="36" t="s">
        <v>824</v>
      </c>
    </row>
    <row r="1062" spans="1:9" x14ac:dyDescent="0.3">
      <c r="A1062">
        <v>1065</v>
      </c>
      <c r="B1062" s="36" t="s">
        <v>4162</v>
      </c>
      <c r="C1062" s="36" t="s">
        <v>4146</v>
      </c>
      <c r="D1062" s="36" t="s">
        <v>2999</v>
      </c>
      <c r="E1062" s="36" t="s">
        <v>4151</v>
      </c>
      <c r="F1062" s="37" t="s">
        <v>4155</v>
      </c>
      <c r="G1062" s="36" t="s">
        <v>4149</v>
      </c>
      <c r="H1062" s="36" t="s">
        <v>4156</v>
      </c>
      <c r="I1062" s="36" t="s">
        <v>824</v>
      </c>
    </row>
    <row r="1063" spans="1:9" x14ac:dyDescent="0.3">
      <c r="A1063">
        <v>1066</v>
      </c>
      <c r="B1063" s="36" t="s">
        <v>4162</v>
      </c>
      <c r="C1063" s="36" t="s">
        <v>4154</v>
      </c>
      <c r="D1063" s="36" t="s">
        <v>2999</v>
      </c>
      <c r="E1063" s="36" t="s">
        <v>4151</v>
      </c>
      <c r="F1063" s="37" t="s">
        <v>4148</v>
      </c>
      <c r="G1063" s="36" t="s">
        <v>4149</v>
      </c>
      <c r="H1063" s="36" t="s">
        <v>4156</v>
      </c>
      <c r="I1063" s="36" t="s">
        <v>824</v>
      </c>
    </row>
    <row r="1064" spans="1:9" x14ac:dyDescent="0.3">
      <c r="A1064">
        <v>1067</v>
      </c>
      <c r="B1064" s="36" t="s">
        <v>4162</v>
      </c>
      <c r="C1064" s="36" t="s">
        <v>4154</v>
      </c>
      <c r="D1064" s="36" t="s">
        <v>2999</v>
      </c>
      <c r="E1064" s="36" t="s">
        <v>4151</v>
      </c>
      <c r="F1064" s="37" t="s">
        <v>4148</v>
      </c>
      <c r="G1064" s="36" t="s">
        <v>4149</v>
      </c>
      <c r="H1064" s="36" t="s">
        <v>4156</v>
      </c>
      <c r="I1064" s="36" t="s">
        <v>4199</v>
      </c>
    </row>
    <row r="1065" spans="1:9" x14ac:dyDescent="0.3">
      <c r="A1065">
        <v>1068</v>
      </c>
      <c r="B1065" s="36" t="s">
        <v>4162</v>
      </c>
      <c r="C1065" s="36" t="s">
        <v>4146</v>
      </c>
      <c r="D1065" s="36" t="s">
        <v>2994</v>
      </c>
      <c r="E1065" s="36" t="s">
        <v>4147</v>
      </c>
      <c r="F1065" s="37" t="s">
        <v>4148</v>
      </c>
      <c r="G1065" s="36" t="s">
        <v>4149</v>
      </c>
      <c r="H1065" s="36" t="s">
        <v>4156</v>
      </c>
      <c r="I1065" s="36" t="s">
        <v>824</v>
      </c>
    </row>
    <row r="1066" spans="1:9" x14ac:dyDescent="0.3">
      <c r="A1066">
        <v>1069</v>
      </c>
      <c r="B1066" s="36" t="s">
        <v>4162</v>
      </c>
      <c r="C1066" s="36" t="s">
        <v>4154</v>
      </c>
      <c r="D1066" s="36" t="s">
        <v>2999</v>
      </c>
      <c r="E1066" s="36" t="s">
        <v>4151</v>
      </c>
      <c r="F1066" s="37" t="s">
        <v>4157</v>
      </c>
      <c r="G1066" s="36" t="s">
        <v>4149</v>
      </c>
      <c r="H1066" s="36" t="s">
        <v>4156</v>
      </c>
      <c r="I1066" s="36" t="s">
        <v>824</v>
      </c>
    </row>
    <row r="1067" spans="1:9" x14ac:dyDescent="0.3">
      <c r="A1067">
        <v>1070</v>
      </c>
      <c r="B1067" s="36" t="s">
        <v>4162</v>
      </c>
      <c r="C1067" s="36" t="s">
        <v>4154</v>
      </c>
      <c r="D1067" s="36" t="s">
        <v>2999</v>
      </c>
      <c r="E1067" s="36" t="s">
        <v>4151</v>
      </c>
      <c r="F1067" s="37" t="s">
        <v>4148</v>
      </c>
      <c r="G1067" s="36" t="s">
        <v>4153</v>
      </c>
      <c r="H1067" s="36" t="s">
        <v>4156</v>
      </c>
      <c r="I1067" s="36" t="s">
        <v>4160</v>
      </c>
    </row>
    <row r="1068" spans="1:9" x14ac:dyDescent="0.3">
      <c r="A1068">
        <v>1071</v>
      </c>
      <c r="B1068" s="36" t="s">
        <v>4162</v>
      </c>
      <c r="C1068" s="36" t="s">
        <v>4154</v>
      </c>
      <c r="D1068" s="36" t="s">
        <v>2999</v>
      </c>
      <c r="E1068" s="36" t="s">
        <v>4151</v>
      </c>
      <c r="F1068" s="37" t="s">
        <v>4148</v>
      </c>
      <c r="G1068" s="36" t="s">
        <v>4149</v>
      </c>
      <c r="H1068" s="36" t="s">
        <v>4156</v>
      </c>
      <c r="I1068" s="36" t="s">
        <v>4160</v>
      </c>
    </row>
    <row r="1069" spans="1:9" x14ac:dyDescent="0.3">
      <c r="A1069">
        <v>1072</v>
      </c>
      <c r="B1069" s="36" t="s">
        <v>4162</v>
      </c>
      <c r="C1069" s="36" t="s">
        <v>4146</v>
      </c>
      <c r="D1069" s="36" t="s">
        <v>3001</v>
      </c>
      <c r="E1069" s="36" t="s">
        <v>4147</v>
      </c>
      <c r="F1069" s="37" t="s">
        <v>4148</v>
      </c>
      <c r="G1069" s="36" t="s">
        <v>4153</v>
      </c>
      <c r="H1069" s="36" t="s">
        <v>4156</v>
      </c>
      <c r="I1069" s="36" t="s">
        <v>4160</v>
      </c>
    </row>
    <row r="1070" spans="1:9" x14ac:dyDescent="0.3">
      <c r="A1070">
        <v>1073</v>
      </c>
      <c r="B1070" s="36" t="s">
        <v>4162</v>
      </c>
      <c r="C1070" s="36" t="s">
        <v>4154</v>
      </c>
      <c r="D1070" s="36" t="s">
        <v>2999</v>
      </c>
      <c r="E1070" s="36" t="s">
        <v>4151</v>
      </c>
      <c r="F1070" s="37" t="s">
        <v>4148</v>
      </c>
      <c r="G1070" s="36" t="s">
        <v>4149</v>
      </c>
      <c r="H1070" s="36" t="s">
        <v>4156</v>
      </c>
      <c r="I1070" s="36" t="s">
        <v>4160</v>
      </c>
    </row>
    <row r="1071" spans="1:9" x14ac:dyDescent="0.3">
      <c r="A1071">
        <v>1074</v>
      </c>
      <c r="B1071" s="36" t="s">
        <v>4162</v>
      </c>
      <c r="C1071" s="36" t="s">
        <v>4154</v>
      </c>
      <c r="D1071" s="36" t="s">
        <v>2999</v>
      </c>
      <c r="E1071" s="36" t="s">
        <v>4151</v>
      </c>
      <c r="F1071" s="37" t="s">
        <v>4148</v>
      </c>
      <c r="G1071" s="36" t="s">
        <v>4149</v>
      </c>
      <c r="H1071" s="36" t="s">
        <v>4156</v>
      </c>
      <c r="I1071" s="36" t="s">
        <v>4160</v>
      </c>
    </row>
    <row r="1072" spans="1:9" x14ac:dyDescent="0.3">
      <c r="A1072">
        <v>1075</v>
      </c>
      <c r="B1072" s="36" t="s">
        <v>4162</v>
      </c>
      <c r="C1072" s="36" t="s">
        <v>4154</v>
      </c>
      <c r="D1072" s="36" t="s">
        <v>2999</v>
      </c>
      <c r="E1072" s="36" t="s">
        <v>4151</v>
      </c>
      <c r="F1072" s="37" t="s">
        <v>4148</v>
      </c>
      <c r="G1072" s="36" t="s">
        <v>4149</v>
      </c>
      <c r="H1072" s="36" t="s">
        <v>4156</v>
      </c>
      <c r="I1072" s="36" t="s">
        <v>4160</v>
      </c>
    </row>
    <row r="1073" spans="1:9" x14ac:dyDescent="0.3">
      <c r="A1073">
        <v>1076</v>
      </c>
      <c r="B1073" s="36" t="s">
        <v>4162</v>
      </c>
      <c r="C1073" s="36" t="s">
        <v>4154</v>
      </c>
      <c r="D1073" s="36" t="s">
        <v>2999</v>
      </c>
      <c r="E1073" s="36" t="s">
        <v>4151</v>
      </c>
      <c r="F1073" s="37" t="s">
        <v>4148</v>
      </c>
      <c r="G1073" s="36" t="s">
        <v>4149</v>
      </c>
      <c r="H1073" s="36" t="s">
        <v>4156</v>
      </c>
      <c r="I1073" s="36" t="s">
        <v>824</v>
      </c>
    </row>
    <row r="1074" spans="1:9" x14ac:dyDescent="0.3">
      <c r="A1074">
        <v>1077</v>
      </c>
      <c r="B1074" s="36" t="s">
        <v>4162</v>
      </c>
      <c r="C1074" s="36" t="s">
        <v>4154</v>
      </c>
      <c r="D1074" s="36" t="s">
        <v>3520</v>
      </c>
      <c r="E1074" s="36" t="s">
        <v>4147</v>
      </c>
      <c r="F1074" s="37" t="s">
        <v>4148</v>
      </c>
      <c r="G1074" s="36" t="s">
        <v>4149</v>
      </c>
      <c r="H1074" s="36" t="s">
        <v>4156</v>
      </c>
      <c r="I1074" s="36" t="s">
        <v>4160</v>
      </c>
    </row>
    <row r="1075" spans="1:9" x14ac:dyDescent="0.3">
      <c r="A1075">
        <v>1078</v>
      </c>
      <c r="B1075" s="36" t="s">
        <v>4162</v>
      </c>
      <c r="C1075" s="36" t="s">
        <v>4146</v>
      </c>
      <c r="D1075" s="36" t="s">
        <v>2994</v>
      </c>
      <c r="E1075" s="36" t="s">
        <v>4147</v>
      </c>
      <c r="F1075" s="37" t="s">
        <v>4148</v>
      </c>
      <c r="G1075" s="36" t="s">
        <v>4149</v>
      </c>
      <c r="H1075" s="36" t="s">
        <v>4156</v>
      </c>
      <c r="I1075" s="36" t="s">
        <v>4160</v>
      </c>
    </row>
    <row r="1076" spans="1:9" x14ac:dyDescent="0.3">
      <c r="A1076">
        <v>1079</v>
      </c>
      <c r="B1076" s="36" t="s">
        <v>4162</v>
      </c>
      <c r="C1076" s="36" t="s">
        <v>4146</v>
      </c>
      <c r="D1076" s="36" t="s">
        <v>2994</v>
      </c>
      <c r="E1076" s="36" t="s">
        <v>4147</v>
      </c>
      <c r="F1076" s="37" t="s">
        <v>4148</v>
      </c>
      <c r="G1076" s="36" t="s">
        <v>4149</v>
      </c>
      <c r="H1076" s="36" t="s">
        <v>4156</v>
      </c>
      <c r="I1076" s="36" t="s">
        <v>4160</v>
      </c>
    </row>
    <row r="1077" spans="1:9" x14ac:dyDescent="0.3">
      <c r="A1077">
        <v>1080</v>
      </c>
      <c r="B1077" s="36" t="s">
        <v>4162</v>
      </c>
      <c r="C1077" s="36" t="s">
        <v>4146</v>
      </c>
      <c r="D1077" s="36" t="s">
        <v>2994</v>
      </c>
      <c r="E1077" s="36" t="s">
        <v>4147</v>
      </c>
      <c r="F1077" s="37" t="s">
        <v>4148</v>
      </c>
      <c r="G1077" s="36" t="s">
        <v>4149</v>
      </c>
      <c r="H1077" s="36" t="s">
        <v>4156</v>
      </c>
      <c r="I1077" s="36" t="s">
        <v>824</v>
      </c>
    </row>
    <row r="1078" spans="1:9" x14ac:dyDescent="0.3">
      <c r="A1078">
        <v>1081</v>
      </c>
      <c r="B1078" s="36" t="s">
        <v>4162</v>
      </c>
      <c r="C1078" s="36" t="s">
        <v>4146</v>
      </c>
      <c r="D1078" s="36" t="s">
        <v>2999</v>
      </c>
      <c r="E1078" s="36" t="s">
        <v>4151</v>
      </c>
      <c r="F1078" s="37" t="s">
        <v>4148</v>
      </c>
      <c r="G1078" s="36" t="s">
        <v>4149</v>
      </c>
      <c r="H1078" s="36" t="s">
        <v>4156</v>
      </c>
      <c r="I1078" s="36" t="s">
        <v>4160</v>
      </c>
    </row>
    <row r="1079" spans="1:9" x14ac:dyDescent="0.3">
      <c r="A1079">
        <v>1082</v>
      </c>
      <c r="B1079" s="36" t="s">
        <v>4162</v>
      </c>
      <c r="C1079" s="36" t="s">
        <v>4146</v>
      </c>
      <c r="D1079" s="36" t="s">
        <v>2994</v>
      </c>
      <c r="E1079" s="36" t="s">
        <v>4147</v>
      </c>
      <c r="F1079" s="37" t="s">
        <v>4148</v>
      </c>
      <c r="G1079" s="36" t="s">
        <v>4149</v>
      </c>
      <c r="H1079" s="36" t="s">
        <v>4156</v>
      </c>
      <c r="I1079" s="36" t="s">
        <v>4160</v>
      </c>
    </row>
    <row r="1080" spans="1:9" x14ac:dyDescent="0.3">
      <c r="A1080">
        <v>1083</v>
      </c>
      <c r="B1080" s="36" t="s">
        <v>4162</v>
      </c>
      <c r="C1080" s="36" t="s">
        <v>4146</v>
      </c>
      <c r="D1080" s="36" t="s">
        <v>2996</v>
      </c>
      <c r="E1080" s="36" t="s">
        <v>4151</v>
      </c>
      <c r="F1080" s="37" t="s">
        <v>4152</v>
      </c>
      <c r="G1080" s="36" t="s">
        <v>4153</v>
      </c>
      <c r="H1080" s="36" t="s">
        <v>4156</v>
      </c>
      <c r="I1080" s="36" t="s">
        <v>824</v>
      </c>
    </row>
    <row r="1081" spans="1:9" x14ac:dyDescent="0.3">
      <c r="A1081">
        <v>1084</v>
      </c>
      <c r="B1081" s="36" t="s">
        <v>4162</v>
      </c>
      <c r="C1081" s="36" t="s">
        <v>4154</v>
      </c>
      <c r="D1081" s="36" t="s">
        <v>2999</v>
      </c>
      <c r="E1081" s="36" t="s">
        <v>4151</v>
      </c>
      <c r="F1081" s="37" t="s">
        <v>4148</v>
      </c>
      <c r="G1081" s="36" t="s">
        <v>4149</v>
      </c>
      <c r="H1081" s="36" t="s">
        <v>4156</v>
      </c>
      <c r="I1081" s="36" t="s">
        <v>824</v>
      </c>
    </row>
    <row r="1082" spans="1:9" x14ac:dyDescent="0.3">
      <c r="A1082">
        <v>1085</v>
      </c>
      <c r="B1082" s="36" t="s">
        <v>4162</v>
      </c>
      <c r="C1082" s="36" t="s">
        <v>4154</v>
      </c>
      <c r="D1082" s="36" t="s">
        <v>2999</v>
      </c>
      <c r="E1082" s="36" t="s">
        <v>4151</v>
      </c>
      <c r="F1082" s="37" t="s">
        <v>4155</v>
      </c>
      <c r="G1082" s="36" t="s">
        <v>4153</v>
      </c>
      <c r="H1082" s="36" t="s">
        <v>4156</v>
      </c>
      <c r="I1082" s="36" t="s">
        <v>824</v>
      </c>
    </row>
    <row r="1083" spans="1:9" x14ac:dyDescent="0.3">
      <c r="A1083">
        <v>1086</v>
      </c>
      <c r="B1083" s="36" t="s">
        <v>4162</v>
      </c>
      <c r="C1083" s="36" t="s">
        <v>4154</v>
      </c>
      <c r="D1083" s="36" t="s">
        <v>2999</v>
      </c>
      <c r="E1083" s="36" t="s">
        <v>4151</v>
      </c>
      <c r="F1083" s="37" t="s">
        <v>4148</v>
      </c>
      <c r="G1083" s="36" t="s">
        <v>4149</v>
      </c>
      <c r="H1083" s="36" t="s">
        <v>4156</v>
      </c>
      <c r="I1083" s="36" t="s">
        <v>824</v>
      </c>
    </row>
    <row r="1084" spans="1:9" x14ac:dyDescent="0.3">
      <c r="A1084">
        <v>1087</v>
      </c>
      <c r="B1084" s="36" t="s">
        <v>4162</v>
      </c>
      <c r="C1084" s="36" t="s">
        <v>4154</v>
      </c>
      <c r="D1084" s="36" t="s">
        <v>2994</v>
      </c>
      <c r="E1084" s="36" t="s">
        <v>4147</v>
      </c>
      <c r="F1084" s="37" t="s">
        <v>4155</v>
      </c>
      <c r="G1084" s="36" t="s">
        <v>4149</v>
      </c>
      <c r="H1084" s="36" t="s">
        <v>4156</v>
      </c>
      <c r="I1084" s="36" t="s">
        <v>824</v>
      </c>
    </row>
    <row r="1085" spans="1:9" x14ac:dyDescent="0.3">
      <c r="A1085">
        <v>1088</v>
      </c>
      <c r="B1085" s="36" t="s">
        <v>4162</v>
      </c>
      <c r="C1085" s="36" t="s">
        <v>4154</v>
      </c>
      <c r="D1085" s="36" t="s">
        <v>2999</v>
      </c>
      <c r="E1085" s="36" t="s">
        <v>4151</v>
      </c>
      <c r="F1085" s="37" t="s">
        <v>4148</v>
      </c>
      <c r="G1085" s="36" t="s">
        <v>4149</v>
      </c>
      <c r="H1085" s="36" t="s">
        <v>4156</v>
      </c>
      <c r="I1085" s="36" t="s">
        <v>824</v>
      </c>
    </row>
    <row r="1086" spans="1:9" x14ac:dyDescent="0.3">
      <c r="A1086">
        <v>1089</v>
      </c>
      <c r="B1086" s="36" t="s">
        <v>4162</v>
      </c>
      <c r="C1086" s="36" t="s">
        <v>4146</v>
      </c>
      <c r="D1086" s="36" t="s">
        <v>2999</v>
      </c>
      <c r="E1086" s="36" t="s">
        <v>4151</v>
      </c>
      <c r="F1086" s="37" t="s">
        <v>4155</v>
      </c>
      <c r="G1086" s="36" t="s">
        <v>4149</v>
      </c>
      <c r="H1086" s="36" t="s">
        <v>4156</v>
      </c>
      <c r="I1086" s="36" t="s">
        <v>824</v>
      </c>
    </row>
    <row r="1087" spans="1:9" x14ac:dyDescent="0.3">
      <c r="A1087">
        <v>1090</v>
      </c>
      <c r="B1087" s="36" t="s">
        <v>4162</v>
      </c>
      <c r="C1087" s="36" t="s">
        <v>4154</v>
      </c>
      <c r="D1087" s="36" t="s">
        <v>2999</v>
      </c>
      <c r="E1087" s="36" t="s">
        <v>4151</v>
      </c>
      <c r="F1087" s="37" t="s">
        <v>4148</v>
      </c>
      <c r="G1087" s="36" t="s">
        <v>4149</v>
      </c>
      <c r="H1087" s="36" t="s">
        <v>4156</v>
      </c>
      <c r="I1087" s="36" t="s">
        <v>824</v>
      </c>
    </row>
    <row r="1088" spans="1:9" x14ac:dyDescent="0.3">
      <c r="A1088">
        <v>1091</v>
      </c>
      <c r="B1088" s="36" t="s">
        <v>4162</v>
      </c>
      <c r="C1088" s="36" t="s">
        <v>4154</v>
      </c>
      <c r="D1088" s="36" t="s">
        <v>2994</v>
      </c>
      <c r="E1088" s="36" t="s">
        <v>4147</v>
      </c>
      <c r="F1088" s="37" t="s">
        <v>4148</v>
      </c>
      <c r="G1088" s="36" t="s">
        <v>4149</v>
      </c>
      <c r="H1088" s="36" t="s">
        <v>4156</v>
      </c>
      <c r="I1088" s="36" t="s">
        <v>824</v>
      </c>
    </row>
    <row r="1089" spans="1:9" x14ac:dyDescent="0.3">
      <c r="A1089">
        <v>1092</v>
      </c>
      <c r="B1089" s="36" t="s">
        <v>4162</v>
      </c>
      <c r="C1089" s="36" t="s">
        <v>4154</v>
      </c>
      <c r="D1089" s="36" t="s">
        <v>2994</v>
      </c>
      <c r="E1089" s="36" t="s">
        <v>4147</v>
      </c>
      <c r="F1089" s="37" t="s">
        <v>4148</v>
      </c>
      <c r="G1089" s="36" t="s">
        <v>4149</v>
      </c>
      <c r="H1089" s="36" t="s">
        <v>4156</v>
      </c>
      <c r="I1089" s="36" t="s">
        <v>824</v>
      </c>
    </row>
    <row r="1090" spans="1:9" x14ac:dyDescent="0.3">
      <c r="A1090">
        <v>1093</v>
      </c>
      <c r="B1090" s="36" t="s">
        <v>4162</v>
      </c>
      <c r="C1090" s="36" t="s">
        <v>4154</v>
      </c>
      <c r="D1090" s="36" t="s">
        <v>2999</v>
      </c>
      <c r="E1090" s="36" t="s">
        <v>4151</v>
      </c>
      <c r="F1090" s="37" t="s">
        <v>4148</v>
      </c>
      <c r="G1090" s="36" t="s">
        <v>4149</v>
      </c>
      <c r="H1090" s="36" t="s">
        <v>4156</v>
      </c>
      <c r="I1090" s="36" t="s">
        <v>824</v>
      </c>
    </row>
    <row r="1091" spans="1:9" x14ac:dyDescent="0.3">
      <c r="A1091">
        <v>1094</v>
      </c>
      <c r="B1091" s="36" t="s">
        <v>4162</v>
      </c>
      <c r="C1091" s="36" t="s">
        <v>4154</v>
      </c>
      <c r="D1091" s="36" t="s">
        <v>2999</v>
      </c>
      <c r="E1091" s="36" t="s">
        <v>4151</v>
      </c>
      <c r="F1091" s="37" t="s">
        <v>4159</v>
      </c>
      <c r="G1091" s="36" t="s">
        <v>4149</v>
      </c>
      <c r="H1091" s="36" t="s">
        <v>4156</v>
      </c>
      <c r="I1091" s="36" t="s">
        <v>824</v>
      </c>
    </row>
    <row r="1092" spans="1:9" x14ac:dyDescent="0.3">
      <c r="A1092">
        <v>1095</v>
      </c>
      <c r="B1092" s="36" t="s">
        <v>4162</v>
      </c>
      <c r="C1092" s="36" t="s">
        <v>4146</v>
      </c>
      <c r="D1092" s="36" t="s">
        <v>3001</v>
      </c>
      <c r="E1092" s="36" t="s">
        <v>4147</v>
      </c>
      <c r="F1092" s="37" t="s">
        <v>4155</v>
      </c>
      <c r="G1092" s="36" t="s">
        <v>4149</v>
      </c>
      <c r="H1092" s="36" t="s">
        <v>4156</v>
      </c>
      <c r="I1092" s="36" t="s">
        <v>824</v>
      </c>
    </row>
    <row r="1093" spans="1:9" x14ac:dyDescent="0.3">
      <c r="A1093">
        <v>1096</v>
      </c>
      <c r="B1093" s="36" t="s">
        <v>4162</v>
      </c>
      <c r="C1093" s="36" t="s">
        <v>4154</v>
      </c>
      <c r="D1093" s="36" t="s">
        <v>2994</v>
      </c>
      <c r="E1093" s="36" t="s">
        <v>4147</v>
      </c>
      <c r="F1093" s="37" t="s">
        <v>4148</v>
      </c>
      <c r="G1093" s="36" t="s">
        <v>4149</v>
      </c>
      <c r="H1093" s="36" t="s">
        <v>4156</v>
      </c>
      <c r="I1093" s="36" t="s">
        <v>4160</v>
      </c>
    </row>
    <row r="1094" spans="1:9" x14ac:dyDescent="0.3">
      <c r="A1094">
        <v>1097</v>
      </c>
      <c r="B1094" s="36" t="s">
        <v>4162</v>
      </c>
      <c r="C1094" s="36" t="s">
        <v>4154</v>
      </c>
      <c r="D1094" s="36" t="s">
        <v>2996</v>
      </c>
      <c r="E1094" s="36" t="s">
        <v>4151</v>
      </c>
      <c r="F1094" s="37" t="s">
        <v>4152</v>
      </c>
      <c r="G1094" s="36" t="s">
        <v>4153</v>
      </c>
      <c r="H1094" s="36" t="s">
        <v>4156</v>
      </c>
      <c r="I1094" s="36" t="s">
        <v>824</v>
      </c>
    </row>
    <row r="1095" spans="1:9" x14ac:dyDescent="0.3">
      <c r="A1095">
        <v>1098</v>
      </c>
      <c r="B1095" s="36" t="s">
        <v>4162</v>
      </c>
      <c r="C1095" s="36" t="s">
        <v>4154</v>
      </c>
      <c r="D1095" s="36" t="s">
        <v>2996</v>
      </c>
      <c r="E1095" s="36" t="s">
        <v>4151</v>
      </c>
      <c r="F1095" s="37" t="s">
        <v>4152</v>
      </c>
      <c r="G1095" s="36" t="s">
        <v>4153</v>
      </c>
      <c r="H1095" s="36" t="s">
        <v>4156</v>
      </c>
      <c r="I1095" s="36" t="s">
        <v>824</v>
      </c>
    </row>
    <row r="1096" spans="1:9" x14ac:dyDescent="0.3">
      <c r="A1096">
        <v>1099</v>
      </c>
      <c r="B1096" s="36" t="s">
        <v>4162</v>
      </c>
      <c r="C1096" s="36" t="s">
        <v>4154</v>
      </c>
      <c r="D1096" s="36" t="s">
        <v>2994</v>
      </c>
      <c r="E1096" s="36" t="s">
        <v>4147</v>
      </c>
      <c r="F1096" s="37" t="s">
        <v>4152</v>
      </c>
      <c r="G1096" s="36" t="s">
        <v>4153</v>
      </c>
      <c r="H1096" s="36" t="s">
        <v>4156</v>
      </c>
      <c r="I1096" s="36" t="s">
        <v>824</v>
      </c>
    </row>
    <row r="1097" spans="1:9" x14ac:dyDescent="0.3">
      <c r="A1097">
        <v>1100</v>
      </c>
      <c r="B1097" s="36" t="s">
        <v>4162</v>
      </c>
      <c r="C1097" s="36" t="s">
        <v>4154</v>
      </c>
      <c r="D1097" s="36" t="s">
        <v>2994</v>
      </c>
      <c r="E1097" s="36" t="s">
        <v>4147</v>
      </c>
      <c r="F1097" s="37" t="s">
        <v>4152</v>
      </c>
      <c r="G1097" s="36" t="s">
        <v>4153</v>
      </c>
      <c r="H1097" s="36" t="s">
        <v>4156</v>
      </c>
      <c r="I1097" s="36" t="s">
        <v>824</v>
      </c>
    </row>
    <row r="1098" spans="1:9" x14ac:dyDescent="0.3">
      <c r="A1098">
        <v>1101</v>
      </c>
      <c r="B1098" s="36" t="s">
        <v>4162</v>
      </c>
      <c r="C1098" s="36" t="s">
        <v>4154</v>
      </c>
      <c r="D1098" s="36" t="s">
        <v>3001</v>
      </c>
      <c r="E1098" s="36" t="s">
        <v>4147</v>
      </c>
      <c r="F1098" s="37" t="s">
        <v>4148</v>
      </c>
      <c r="G1098" s="36" t="s">
        <v>4153</v>
      </c>
      <c r="H1098" s="36" t="s">
        <v>4156</v>
      </c>
      <c r="I1098" s="36" t="s">
        <v>824</v>
      </c>
    </row>
    <row r="1099" spans="1:9" x14ac:dyDescent="0.3">
      <c r="A1099">
        <v>1102</v>
      </c>
      <c r="B1099" s="36" t="s">
        <v>4162</v>
      </c>
      <c r="C1099" s="36" t="s">
        <v>4154</v>
      </c>
      <c r="D1099" s="36" t="s">
        <v>2996</v>
      </c>
      <c r="E1099" s="36" t="s">
        <v>4151</v>
      </c>
      <c r="F1099" s="37" t="s">
        <v>4152</v>
      </c>
      <c r="G1099" s="36" t="s">
        <v>4153</v>
      </c>
      <c r="H1099" s="36" t="s">
        <v>4156</v>
      </c>
      <c r="I1099" s="36" t="s">
        <v>824</v>
      </c>
    </row>
    <row r="1100" spans="1:9" x14ac:dyDescent="0.3">
      <c r="A1100">
        <v>1103</v>
      </c>
      <c r="B1100" s="36" t="s">
        <v>4162</v>
      </c>
      <c r="C1100" s="36" t="s">
        <v>4154</v>
      </c>
      <c r="D1100" s="36" t="s">
        <v>2996</v>
      </c>
      <c r="E1100" s="36" t="s">
        <v>4151</v>
      </c>
      <c r="F1100" s="37" t="s">
        <v>4152</v>
      </c>
      <c r="G1100" s="36" t="s">
        <v>4153</v>
      </c>
      <c r="H1100" s="36" t="s">
        <v>4156</v>
      </c>
      <c r="I1100" s="36" t="s">
        <v>824</v>
      </c>
    </row>
    <row r="1101" spans="1:9" x14ac:dyDescent="0.3">
      <c r="A1101">
        <v>1104</v>
      </c>
      <c r="B1101" s="36" t="s">
        <v>4162</v>
      </c>
      <c r="C1101" s="36" t="s">
        <v>4154</v>
      </c>
      <c r="D1101" s="36" t="s">
        <v>2996</v>
      </c>
      <c r="E1101" s="36" t="s">
        <v>4151</v>
      </c>
      <c r="F1101" s="37" t="s">
        <v>4152</v>
      </c>
      <c r="G1101" s="36" t="s">
        <v>4153</v>
      </c>
      <c r="H1101" s="36" t="s">
        <v>4156</v>
      </c>
      <c r="I1101" s="36" t="s">
        <v>824</v>
      </c>
    </row>
    <row r="1102" spans="1:9" x14ac:dyDescent="0.3">
      <c r="A1102">
        <v>1105</v>
      </c>
      <c r="B1102" s="36" t="s">
        <v>4162</v>
      </c>
      <c r="C1102" s="36" t="s">
        <v>4154</v>
      </c>
      <c r="D1102" s="36" t="s">
        <v>2999</v>
      </c>
      <c r="E1102" s="36" t="s">
        <v>4151</v>
      </c>
      <c r="F1102" s="37" t="s">
        <v>4159</v>
      </c>
      <c r="G1102" s="36" t="s">
        <v>4153</v>
      </c>
      <c r="H1102" s="36" t="s">
        <v>4156</v>
      </c>
      <c r="I1102" s="36" t="s">
        <v>824</v>
      </c>
    </row>
    <row r="1103" spans="1:9" x14ac:dyDescent="0.3">
      <c r="A1103">
        <v>1106</v>
      </c>
      <c r="B1103" s="36" t="s">
        <v>4162</v>
      </c>
      <c r="C1103" s="36" t="s">
        <v>4154</v>
      </c>
      <c r="D1103" s="36" t="s">
        <v>2999</v>
      </c>
      <c r="E1103" s="36" t="s">
        <v>4151</v>
      </c>
      <c r="F1103" s="37" t="s">
        <v>4159</v>
      </c>
      <c r="G1103" s="36" t="s">
        <v>4153</v>
      </c>
      <c r="H1103" s="36" t="s">
        <v>4156</v>
      </c>
      <c r="I1103" s="36" t="s">
        <v>824</v>
      </c>
    </row>
    <row r="1104" spans="1:9" x14ac:dyDescent="0.3">
      <c r="A1104">
        <v>1107</v>
      </c>
      <c r="B1104" s="36" t="s">
        <v>4162</v>
      </c>
      <c r="C1104" s="36" t="s">
        <v>4154</v>
      </c>
      <c r="D1104" s="36" t="s">
        <v>3001</v>
      </c>
      <c r="E1104" s="36" t="s">
        <v>4147</v>
      </c>
      <c r="F1104" s="37" t="s">
        <v>4155</v>
      </c>
      <c r="G1104" s="36" t="s">
        <v>4153</v>
      </c>
      <c r="H1104" s="36" t="s">
        <v>4156</v>
      </c>
      <c r="I1104" s="36" t="s">
        <v>824</v>
      </c>
    </row>
    <row r="1105" spans="1:9" x14ac:dyDescent="0.3">
      <c r="A1105">
        <v>1108</v>
      </c>
      <c r="B1105" s="36" t="s">
        <v>4162</v>
      </c>
      <c r="C1105" s="36" t="s">
        <v>4154</v>
      </c>
      <c r="D1105" s="36" t="s">
        <v>2999</v>
      </c>
      <c r="E1105" s="36" t="s">
        <v>4151</v>
      </c>
      <c r="F1105" s="37" t="s">
        <v>4148</v>
      </c>
      <c r="G1105" s="36" t="s">
        <v>4149</v>
      </c>
      <c r="H1105" s="36" t="s">
        <v>4156</v>
      </c>
      <c r="I1105" s="36" t="s">
        <v>824</v>
      </c>
    </row>
    <row r="1106" spans="1:9" x14ac:dyDescent="0.3">
      <c r="A1106">
        <v>1109</v>
      </c>
      <c r="B1106" s="36" t="s">
        <v>4162</v>
      </c>
      <c r="C1106" s="36" t="s">
        <v>4154</v>
      </c>
      <c r="D1106" s="36" t="s">
        <v>2999</v>
      </c>
      <c r="E1106" s="36" t="s">
        <v>4151</v>
      </c>
      <c r="F1106" s="37" t="s">
        <v>4148</v>
      </c>
      <c r="G1106" s="36" t="s">
        <v>4149</v>
      </c>
      <c r="H1106" s="36" t="s">
        <v>4156</v>
      </c>
      <c r="I1106" s="36" t="s">
        <v>824</v>
      </c>
    </row>
    <row r="1107" spans="1:9" x14ac:dyDescent="0.3">
      <c r="A1107">
        <v>1110</v>
      </c>
      <c r="B1107" s="36" t="s">
        <v>4162</v>
      </c>
      <c r="C1107" s="36" t="s">
        <v>4154</v>
      </c>
      <c r="D1107" s="36" t="s">
        <v>2999</v>
      </c>
      <c r="E1107" s="36" t="s">
        <v>4151</v>
      </c>
      <c r="F1107" s="37" t="s">
        <v>4148</v>
      </c>
      <c r="G1107" s="36" t="s">
        <v>4149</v>
      </c>
      <c r="H1107" s="36" t="s">
        <v>4156</v>
      </c>
      <c r="I1107" s="36" t="s">
        <v>4199</v>
      </c>
    </row>
    <row r="1108" spans="1:9" x14ac:dyDescent="0.3">
      <c r="A1108">
        <v>1111</v>
      </c>
      <c r="B1108" s="36" t="s">
        <v>4162</v>
      </c>
      <c r="C1108" s="36" t="s">
        <v>4154</v>
      </c>
      <c r="D1108" s="36" t="s">
        <v>2999</v>
      </c>
      <c r="E1108" s="36" t="s">
        <v>4151</v>
      </c>
      <c r="F1108" s="37" t="s">
        <v>4155</v>
      </c>
      <c r="G1108" s="36" t="s">
        <v>4149</v>
      </c>
      <c r="H1108" s="36" t="s">
        <v>4156</v>
      </c>
      <c r="I1108" s="36" t="s">
        <v>824</v>
      </c>
    </row>
    <row r="1109" spans="1:9" x14ac:dyDescent="0.3">
      <c r="A1109">
        <v>1112</v>
      </c>
      <c r="B1109" s="36" t="s">
        <v>4162</v>
      </c>
      <c r="C1109" s="36" t="s">
        <v>4154</v>
      </c>
      <c r="D1109" s="36" t="s">
        <v>2996</v>
      </c>
      <c r="E1109" s="36" t="s">
        <v>4151</v>
      </c>
      <c r="F1109" s="37" t="s">
        <v>4152</v>
      </c>
      <c r="G1109" s="36" t="s">
        <v>4153</v>
      </c>
      <c r="H1109" s="36" t="s">
        <v>4156</v>
      </c>
      <c r="I1109" s="36" t="s">
        <v>824</v>
      </c>
    </row>
    <row r="1110" spans="1:9" x14ac:dyDescent="0.3">
      <c r="A1110">
        <v>1113</v>
      </c>
      <c r="B1110" s="36" t="s">
        <v>4162</v>
      </c>
      <c r="C1110" s="36" t="s">
        <v>4154</v>
      </c>
      <c r="D1110" s="36" t="s">
        <v>2994</v>
      </c>
      <c r="E1110" s="36" t="s">
        <v>4147</v>
      </c>
      <c r="F1110" s="37" t="s">
        <v>4152</v>
      </c>
      <c r="G1110" s="36" t="s">
        <v>4153</v>
      </c>
      <c r="H1110" s="36" t="s">
        <v>4156</v>
      </c>
      <c r="I1110" s="36" t="s">
        <v>824</v>
      </c>
    </row>
    <row r="1111" spans="1:9" x14ac:dyDescent="0.3">
      <c r="A1111">
        <v>1114</v>
      </c>
      <c r="B1111" s="36" t="s">
        <v>4162</v>
      </c>
      <c r="C1111" s="36" t="s">
        <v>4154</v>
      </c>
      <c r="D1111" s="36" t="s">
        <v>3001</v>
      </c>
      <c r="E1111" s="36" t="s">
        <v>4147</v>
      </c>
      <c r="F1111" s="37" t="s">
        <v>4148</v>
      </c>
      <c r="G1111" s="36" t="s">
        <v>4153</v>
      </c>
      <c r="H1111" s="36" t="s">
        <v>4156</v>
      </c>
      <c r="I1111" s="36" t="s">
        <v>824</v>
      </c>
    </row>
    <row r="1112" spans="1:9" x14ac:dyDescent="0.3">
      <c r="A1112">
        <v>1115</v>
      </c>
      <c r="B1112" s="36" t="s">
        <v>4162</v>
      </c>
      <c r="C1112" s="36" t="s">
        <v>4154</v>
      </c>
      <c r="D1112" s="36" t="s">
        <v>2999</v>
      </c>
      <c r="E1112" s="36" t="s">
        <v>4151</v>
      </c>
      <c r="F1112" s="37" t="s">
        <v>4148</v>
      </c>
      <c r="G1112" s="36" t="s">
        <v>4149</v>
      </c>
      <c r="H1112" s="36" t="s">
        <v>4156</v>
      </c>
      <c r="I1112" s="36" t="s">
        <v>824</v>
      </c>
    </row>
    <row r="1113" spans="1:9" x14ac:dyDescent="0.3">
      <c r="A1113">
        <v>1116</v>
      </c>
      <c r="B1113" s="36" t="s">
        <v>4162</v>
      </c>
      <c r="C1113" s="36" t="s">
        <v>4154</v>
      </c>
      <c r="D1113" s="36" t="s">
        <v>2999</v>
      </c>
      <c r="E1113" s="36" t="s">
        <v>4151</v>
      </c>
      <c r="F1113" s="37" t="s">
        <v>4148</v>
      </c>
      <c r="G1113" s="36" t="s">
        <v>4149</v>
      </c>
      <c r="H1113" s="36" t="s">
        <v>4156</v>
      </c>
      <c r="I1113" s="36" t="s">
        <v>824</v>
      </c>
    </row>
    <row r="1114" spans="1:9" x14ac:dyDescent="0.3">
      <c r="A1114">
        <v>1117</v>
      </c>
      <c r="B1114" s="36" t="s">
        <v>4162</v>
      </c>
      <c r="C1114" s="36" t="s">
        <v>4154</v>
      </c>
      <c r="D1114" s="36" t="s">
        <v>2999</v>
      </c>
      <c r="E1114" s="36" t="s">
        <v>4151</v>
      </c>
      <c r="F1114" s="37" t="s">
        <v>4148</v>
      </c>
      <c r="G1114" s="36" t="s">
        <v>4149</v>
      </c>
      <c r="H1114" s="36" t="s">
        <v>4156</v>
      </c>
      <c r="I1114" s="36" t="s">
        <v>824</v>
      </c>
    </row>
    <row r="1115" spans="1:9" x14ac:dyDescent="0.3">
      <c r="A1115">
        <v>1118</v>
      </c>
      <c r="B1115" s="36" t="s">
        <v>4162</v>
      </c>
      <c r="C1115" s="36" t="s">
        <v>4154</v>
      </c>
      <c r="D1115" s="36" t="s">
        <v>2999</v>
      </c>
      <c r="E1115" s="36" t="s">
        <v>4151</v>
      </c>
      <c r="F1115" s="37" t="s">
        <v>4148</v>
      </c>
      <c r="G1115" s="36" t="s">
        <v>4149</v>
      </c>
      <c r="H1115" s="36" t="s">
        <v>4156</v>
      </c>
      <c r="I1115" s="36" t="s">
        <v>824</v>
      </c>
    </row>
    <row r="1116" spans="1:9" x14ac:dyDescent="0.3">
      <c r="A1116">
        <v>1119</v>
      </c>
      <c r="B1116" s="36" t="s">
        <v>4162</v>
      </c>
      <c r="C1116" s="36" t="s">
        <v>4154</v>
      </c>
      <c r="D1116" s="36" t="s">
        <v>2999</v>
      </c>
      <c r="E1116" s="36" t="s">
        <v>4151</v>
      </c>
      <c r="F1116" s="37" t="s">
        <v>4148</v>
      </c>
      <c r="G1116" s="36" t="s">
        <v>4149</v>
      </c>
      <c r="H1116" s="36" t="s">
        <v>4156</v>
      </c>
      <c r="I1116" s="36" t="s">
        <v>824</v>
      </c>
    </row>
    <row r="1117" spans="1:9" x14ac:dyDescent="0.3">
      <c r="A1117">
        <v>1120</v>
      </c>
      <c r="B1117" s="36" t="s">
        <v>4162</v>
      </c>
      <c r="C1117" s="36" t="s">
        <v>4154</v>
      </c>
      <c r="D1117" s="36" t="s">
        <v>2999</v>
      </c>
      <c r="E1117" s="36" t="s">
        <v>4151</v>
      </c>
      <c r="F1117" s="37" t="s">
        <v>4148</v>
      </c>
      <c r="G1117" s="36" t="s">
        <v>4149</v>
      </c>
      <c r="H1117" s="36" t="s">
        <v>4156</v>
      </c>
      <c r="I1117" s="36" t="s">
        <v>824</v>
      </c>
    </row>
    <row r="1118" spans="1:9" x14ac:dyDescent="0.3">
      <c r="A1118">
        <v>1121</v>
      </c>
      <c r="B1118" s="36" t="s">
        <v>4162</v>
      </c>
      <c r="C1118" s="36" t="s">
        <v>4146</v>
      </c>
      <c r="D1118" s="36" t="s">
        <v>2999</v>
      </c>
      <c r="E1118" s="36" t="s">
        <v>4151</v>
      </c>
      <c r="F1118" s="37" t="s">
        <v>4148</v>
      </c>
      <c r="G1118" s="36" t="s">
        <v>4153</v>
      </c>
      <c r="H1118" s="36" t="s">
        <v>4156</v>
      </c>
      <c r="I1118" s="36" t="s">
        <v>824</v>
      </c>
    </row>
    <row r="1119" spans="1:9" x14ac:dyDescent="0.3">
      <c r="A1119">
        <v>1122</v>
      </c>
      <c r="B1119" s="36" t="s">
        <v>4162</v>
      </c>
      <c r="C1119" s="36" t="s">
        <v>4146</v>
      </c>
      <c r="D1119" s="36" t="s">
        <v>2996</v>
      </c>
      <c r="E1119" s="36" t="s">
        <v>4151</v>
      </c>
      <c r="F1119" s="37" t="s">
        <v>4148</v>
      </c>
      <c r="G1119" s="36" t="s">
        <v>4153</v>
      </c>
      <c r="H1119" s="36" t="s">
        <v>4156</v>
      </c>
      <c r="I1119" s="36" t="s">
        <v>4199</v>
      </c>
    </row>
    <row r="1120" spans="1:9" x14ac:dyDescent="0.3">
      <c r="A1120">
        <v>1123</v>
      </c>
      <c r="B1120" s="36" t="s">
        <v>4162</v>
      </c>
      <c r="C1120" s="36" t="s">
        <v>4146</v>
      </c>
      <c r="D1120" s="36" t="s">
        <v>2994</v>
      </c>
      <c r="E1120" s="36" t="s">
        <v>4147</v>
      </c>
      <c r="F1120" s="37" t="s">
        <v>4148</v>
      </c>
      <c r="G1120" s="36" t="s">
        <v>4153</v>
      </c>
      <c r="H1120" s="36" t="s">
        <v>4156</v>
      </c>
      <c r="I1120" s="36" t="s">
        <v>4199</v>
      </c>
    </row>
    <row r="1121" spans="1:9" x14ac:dyDescent="0.3">
      <c r="A1121">
        <v>1124</v>
      </c>
      <c r="B1121" s="36" t="s">
        <v>4162</v>
      </c>
      <c r="C1121" s="36" t="s">
        <v>4146</v>
      </c>
      <c r="D1121" s="36" t="s">
        <v>3001</v>
      </c>
      <c r="E1121" s="36" t="s">
        <v>4147</v>
      </c>
      <c r="F1121" s="37" t="s">
        <v>4148</v>
      </c>
      <c r="G1121" s="36" t="s">
        <v>4153</v>
      </c>
      <c r="H1121" s="36" t="s">
        <v>4156</v>
      </c>
      <c r="I1121" s="36" t="s">
        <v>4199</v>
      </c>
    </row>
    <row r="1122" spans="1:9" x14ac:dyDescent="0.3">
      <c r="A1122">
        <v>1125</v>
      </c>
      <c r="B1122" s="36" t="s">
        <v>4162</v>
      </c>
      <c r="C1122" s="36" t="s">
        <v>4154</v>
      </c>
      <c r="D1122" s="36" t="s">
        <v>2994</v>
      </c>
      <c r="E1122" s="36" t="s">
        <v>4147</v>
      </c>
      <c r="F1122" s="37" t="s">
        <v>4148</v>
      </c>
      <c r="G1122" s="36" t="s">
        <v>4149</v>
      </c>
      <c r="H1122" s="36" t="s">
        <v>4156</v>
      </c>
      <c r="I1122" s="36" t="s">
        <v>4160</v>
      </c>
    </row>
    <row r="1123" spans="1:9" x14ac:dyDescent="0.3">
      <c r="A1123">
        <v>1126</v>
      </c>
      <c r="B1123" s="36" t="s">
        <v>4162</v>
      </c>
      <c r="C1123" s="36" t="s">
        <v>4154</v>
      </c>
      <c r="D1123" s="36" t="s">
        <v>2999</v>
      </c>
      <c r="E1123" s="36" t="s">
        <v>4151</v>
      </c>
      <c r="F1123" s="37" t="s">
        <v>4148</v>
      </c>
      <c r="G1123" s="36" t="s">
        <v>4149</v>
      </c>
      <c r="H1123" s="36" t="s">
        <v>4156</v>
      </c>
      <c r="I1123" s="36" t="s">
        <v>824</v>
      </c>
    </row>
    <row r="1124" spans="1:9" x14ac:dyDescent="0.3">
      <c r="A1124">
        <v>1127</v>
      </c>
      <c r="B1124" s="36" t="s">
        <v>4162</v>
      </c>
      <c r="C1124" s="36" t="s">
        <v>4154</v>
      </c>
      <c r="D1124" s="36" t="s">
        <v>2994</v>
      </c>
      <c r="E1124" s="36" t="s">
        <v>4147</v>
      </c>
      <c r="F1124" s="37" t="s">
        <v>4148</v>
      </c>
      <c r="G1124" s="36" t="s">
        <v>4149</v>
      </c>
      <c r="H1124" s="36" t="s">
        <v>4156</v>
      </c>
      <c r="I1124" s="36" t="s">
        <v>824</v>
      </c>
    </row>
    <row r="1125" spans="1:9" x14ac:dyDescent="0.3">
      <c r="A1125">
        <v>1128</v>
      </c>
      <c r="B1125" s="36" t="s">
        <v>4162</v>
      </c>
      <c r="C1125" s="36" t="s">
        <v>4154</v>
      </c>
      <c r="D1125" s="36" t="s">
        <v>2999</v>
      </c>
      <c r="E1125" s="36" t="s">
        <v>4151</v>
      </c>
      <c r="F1125" s="37" t="s">
        <v>4148</v>
      </c>
      <c r="G1125" s="36" t="s">
        <v>4149</v>
      </c>
      <c r="H1125" s="36" t="s">
        <v>4156</v>
      </c>
      <c r="I1125" s="36" t="s">
        <v>824</v>
      </c>
    </row>
    <row r="1126" spans="1:9" x14ac:dyDescent="0.3">
      <c r="A1126">
        <v>1129</v>
      </c>
      <c r="B1126" s="36" t="s">
        <v>4162</v>
      </c>
      <c r="C1126" s="36" t="s">
        <v>4154</v>
      </c>
      <c r="D1126" s="36" t="s">
        <v>2999</v>
      </c>
      <c r="E1126" s="36" t="s">
        <v>4151</v>
      </c>
      <c r="F1126" s="37" t="s">
        <v>4148</v>
      </c>
      <c r="G1126" s="36" t="s">
        <v>4149</v>
      </c>
      <c r="H1126" s="36" t="s">
        <v>4156</v>
      </c>
      <c r="I1126" s="36" t="s">
        <v>824</v>
      </c>
    </row>
    <row r="1127" spans="1:9" x14ac:dyDescent="0.3">
      <c r="A1127">
        <v>1130</v>
      </c>
      <c r="B1127" s="36" t="s">
        <v>4162</v>
      </c>
      <c r="C1127" s="36" t="s">
        <v>4154</v>
      </c>
      <c r="D1127" s="36" t="s">
        <v>2999</v>
      </c>
      <c r="E1127" s="36" t="s">
        <v>4151</v>
      </c>
      <c r="F1127" s="37" t="s">
        <v>4148</v>
      </c>
      <c r="G1127" s="36" t="s">
        <v>4153</v>
      </c>
      <c r="H1127" s="36" t="s">
        <v>4156</v>
      </c>
      <c r="I1127" s="36" t="s">
        <v>824</v>
      </c>
    </row>
    <row r="1128" spans="1:9" x14ac:dyDescent="0.3">
      <c r="A1128">
        <v>1131</v>
      </c>
      <c r="B1128" s="36" t="s">
        <v>4162</v>
      </c>
      <c r="C1128" s="36" t="s">
        <v>4154</v>
      </c>
      <c r="D1128" s="36" t="s">
        <v>2994</v>
      </c>
      <c r="E1128" s="36" t="s">
        <v>4147</v>
      </c>
      <c r="F1128" s="37" t="s">
        <v>4159</v>
      </c>
      <c r="G1128" s="36" t="s">
        <v>4149</v>
      </c>
      <c r="H1128" s="36" t="s">
        <v>4156</v>
      </c>
      <c r="I1128" s="36" t="s">
        <v>824</v>
      </c>
    </row>
    <row r="1129" spans="1:9" x14ac:dyDescent="0.3">
      <c r="A1129">
        <v>1132</v>
      </c>
      <c r="B1129" s="36" t="s">
        <v>4162</v>
      </c>
      <c r="C1129" s="36" t="s">
        <v>4146</v>
      </c>
      <c r="D1129" s="36" t="s">
        <v>2999</v>
      </c>
      <c r="E1129" s="36" t="s">
        <v>4151</v>
      </c>
      <c r="F1129" s="37" t="s">
        <v>4155</v>
      </c>
      <c r="G1129" s="36" t="s">
        <v>4149</v>
      </c>
      <c r="H1129" s="36" t="s">
        <v>4156</v>
      </c>
      <c r="I1129" s="36" t="s">
        <v>824</v>
      </c>
    </row>
    <row r="1130" spans="1:9" x14ac:dyDescent="0.3">
      <c r="A1130">
        <v>1133</v>
      </c>
      <c r="B1130" s="36" t="s">
        <v>4162</v>
      </c>
      <c r="C1130" s="36" t="s">
        <v>4154</v>
      </c>
      <c r="D1130" s="36" t="s">
        <v>2999</v>
      </c>
      <c r="E1130" s="36" t="s">
        <v>4151</v>
      </c>
      <c r="F1130" s="37" t="s">
        <v>4148</v>
      </c>
      <c r="G1130" s="36" t="s">
        <v>4149</v>
      </c>
      <c r="H1130" s="36" t="s">
        <v>4156</v>
      </c>
      <c r="I1130" s="36" t="s">
        <v>824</v>
      </c>
    </row>
    <row r="1131" spans="1:9" x14ac:dyDescent="0.3">
      <c r="A1131">
        <v>1134</v>
      </c>
      <c r="B1131" s="36" t="s">
        <v>4162</v>
      </c>
      <c r="C1131" s="36" t="s">
        <v>4154</v>
      </c>
      <c r="D1131" s="36" t="s">
        <v>2999</v>
      </c>
      <c r="E1131" s="36" t="s">
        <v>4151</v>
      </c>
      <c r="F1131" s="37" t="s">
        <v>4159</v>
      </c>
      <c r="G1131" s="36" t="s">
        <v>4149</v>
      </c>
      <c r="H1131" s="36" t="s">
        <v>4156</v>
      </c>
      <c r="I1131" s="36" t="s">
        <v>824</v>
      </c>
    </row>
    <row r="1132" spans="1:9" x14ac:dyDescent="0.3">
      <c r="A1132">
        <v>1135</v>
      </c>
      <c r="B1132" s="36" t="s">
        <v>4162</v>
      </c>
      <c r="C1132" s="36" t="s">
        <v>4154</v>
      </c>
      <c r="D1132" s="36" t="s">
        <v>2999</v>
      </c>
      <c r="E1132" s="36" t="s">
        <v>4151</v>
      </c>
      <c r="F1132" s="37" t="s">
        <v>4148</v>
      </c>
      <c r="G1132" s="36" t="s">
        <v>4149</v>
      </c>
      <c r="H1132" s="36" t="s">
        <v>4156</v>
      </c>
      <c r="I1132" s="36" t="s">
        <v>824</v>
      </c>
    </row>
    <row r="1133" spans="1:9" x14ac:dyDescent="0.3">
      <c r="A1133">
        <v>1136</v>
      </c>
      <c r="B1133" s="36" t="s">
        <v>4162</v>
      </c>
      <c r="C1133" s="36" t="s">
        <v>4154</v>
      </c>
      <c r="D1133" s="36" t="s">
        <v>2999</v>
      </c>
      <c r="E1133" s="36" t="s">
        <v>4151</v>
      </c>
      <c r="F1133" s="37" t="s">
        <v>4148</v>
      </c>
      <c r="G1133" s="36" t="s">
        <v>4149</v>
      </c>
      <c r="H1133" s="36" t="s">
        <v>4156</v>
      </c>
      <c r="I1133" s="36" t="s">
        <v>824</v>
      </c>
    </row>
    <row r="1134" spans="1:9" x14ac:dyDescent="0.3">
      <c r="A1134">
        <v>1137</v>
      </c>
      <c r="B1134" s="36" t="s">
        <v>4162</v>
      </c>
      <c r="C1134" s="36" t="s">
        <v>4154</v>
      </c>
      <c r="D1134" s="36" t="s">
        <v>3001</v>
      </c>
      <c r="E1134" s="36" t="s">
        <v>4147</v>
      </c>
      <c r="F1134" s="37" t="s">
        <v>4148</v>
      </c>
      <c r="G1134" s="36" t="s">
        <v>4149</v>
      </c>
      <c r="H1134" s="36" t="s">
        <v>4156</v>
      </c>
      <c r="I1134" s="36" t="s">
        <v>824</v>
      </c>
    </row>
    <row r="1135" spans="1:9" x14ac:dyDescent="0.3">
      <c r="A1135">
        <v>1138</v>
      </c>
      <c r="B1135" s="36" t="s">
        <v>4162</v>
      </c>
      <c r="C1135" s="36" t="s">
        <v>4154</v>
      </c>
      <c r="D1135" s="36" t="s">
        <v>2999</v>
      </c>
      <c r="E1135" s="36" t="s">
        <v>4151</v>
      </c>
      <c r="F1135" s="37" t="s">
        <v>4148</v>
      </c>
      <c r="G1135" s="36" t="s">
        <v>4149</v>
      </c>
      <c r="H1135" s="36" t="s">
        <v>4156</v>
      </c>
      <c r="I1135" s="36" t="s">
        <v>4199</v>
      </c>
    </row>
    <row r="1136" spans="1:9" x14ac:dyDescent="0.3">
      <c r="A1136">
        <v>1139</v>
      </c>
      <c r="B1136" s="36" t="s">
        <v>4162</v>
      </c>
      <c r="C1136" s="36" t="s">
        <v>4154</v>
      </c>
      <c r="D1136" s="36" t="s">
        <v>2999</v>
      </c>
      <c r="E1136" s="36" t="s">
        <v>4151</v>
      </c>
      <c r="F1136" s="37" t="s">
        <v>4148</v>
      </c>
      <c r="G1136" s="36" t="s">
        <v>4149</v>
      </c>
      <c r="H1136" s="36" t="s">
        <v>4156</v>
      </c>
      <c r="I1136" s="36" t="s">
        <v>824</v>
      </c>
    </row>
    <row r="1137" spans="1:9" x14ac:dyDescent="0.3">
      <c r="A1137">
        <v>1140</v>
      </c>
      <c r="B1137" s="36" t="s">
        <v>4162</v>
      </c>
      <c r="C1137" s="36" t="s">
        <v>4154</v>
      </c>
      <c r="D1137" s="36" t="s">
        <v>2999</v>
      </c>
      <c r="E1137" s="36" t="s">
        <v>4151</v>
      </c>
      <c r="F1137" s="37" t="s">
        <v>4155</v>
      </c>
      <c r="G1137" s="36" t="s">
        <v>4149</v>
      </c>
      <c r="H1137" s="36" t="s">
        <v>4156</v>
      </c>
      <c r="I1137" s="36" t="s">
        <v>824</v>
      </c>
    </row>
    <row r="1138" spans="1:9" x14ac:dyDescent="0.3">
      <c r="A1138">
        <v>1141</v>
      </c>
      <c r="B1138" s="36" t="s">
        <v>4162</v>
      </c>
      <c r="C1138" s="36" t="s">
        <v>4154</v>
      </c>
      <c r="D1138" s="36" t="s">
        <v>2999</v>
      </c>
      <c r="E1138" s="36" t="s">
        <v>4151</v>
      </c>
      <c r="F1138" s="37" t="s">
        <v>4148</v>
      </c>
      <c r="G1138" s="36" t="s">
        <v>4149</v>
      </c>
      <c r="H1138" s="36" t="s">
        <v>4156</v>
      </c>
      <c r="I1138" s="36" t="s">
        <v>824</v>
      </c>
    </row>
    <row r="1139" spans="1:9" x14ac:dyDescent="0.3">
      <c r="A1139">
        <v>1142</v>
      </c>
      <c r="B1139" s="36" t="s">
        <v>4162</v>
      </c>
      <c r="C1139" s="36" t="s">
        <v>4154</v>
      </c>
      <c r="D1139" s="36" t="s">
        <v>2996</v>
      </c>
      <c r="E1139" s="36" t="s">
        <v>4151</v>
      </c>
      <c r="F1139" s="37" t="s">
        <v>4152</v>
      </c>
      <c r="G1139" s="36" t="s">
        <v>4153</v>
      </c>
      <c r="H1139" s="36" t="s">
        <v>4156</v>
      </c>
      <c r="I1139" s="36" t="s">
        <v>4160</v>
      </c>
    </row>
    <row r="1140" spans="1:9" x14ac:dyDescent="0.3">
      <c r="A1140">
        <v>1143</v>
      </c>
      <c r="B1140" s="36" t="s">
        <v>4162</v>
      </c>
      <c r="C1140" s="36" t="s">
        <v>4154</v>
      </c>
      <c r="D1140" s="36" t="s">
        <v>2996</v>
      </c>
      <c r="E1140" s="36" t="s">
        <v>4151</v>
      </c>
      <c r="F1140" s="37" t="s">
        <v>4152</v>
      </c>
      <c r="G1140" s="36" t="s">
        <v>4153</v>
      </c>
      <c r="H1140" s="36" t="s">
        <v>4156</v>
      </c>
      <c r="I1140" s="36" t="s">
        <v>4160</v>
      </c>
    </row>
    <row r="1141" spans="1:9" x14ac:dyDescent="0.3">
      <c r="A1141">
        <v>1144</v>
      </c>
      <c r="B1141" s="36" t="s">
        <v>4162</v>
      </c>
      <c r="C1141" s="36" t="s">
        <v>4154</v>
      </c>
      <c r="D1141" s="36" t="s">
        <v>2996</v>
      </c>
      <c r="E1141" s="36" t="s">
        <v>4151</v>
      </c>
      <c r="F1141" s="37" t="s">
        <v>4152</v>
      </c>
      <c r="G1141" s="36" t="s">
        <v>4153</v>
      </c>
      <c r="H1141" s="36" t="s">
        <v>4156</v>
      </c>
      <c r="I1141" s="36" t="s">
        <v>4160</v>
      </c>
    </row>
    <row r="1142" spans="1:9" x14ac:dyDescent="0.3">
      <c r="A1142">
        <v>1145</v>
      </c>
      <c r="B1142" s="36" t="s">
        <v>4162</v>
      </c>
      <c r="C1142" s="36" t="s">
        <v>4154</v>
      </c>
      <c r="D1142" s="36" t="s">
        <v>2996</v>
      </c>
      <c r="E1142" s="36" t="s">
        <v>4151</v>
      </c>
      <c r="F1142" s="37" t="s">
        <v>4152</v>
      </c>
      <c r="G1142" s="36" t="s">
        <v>4153</v>
      </c>
      <c r="H1142" s="36" t="s">
        <v>4156</v>
      </c>
      <c r="I1142" s="36" t="s">
        <v>4160</v>
      </c>
    </row>
    <row r="1143" spans="1:9" x14ac:dyDescent="0.3">
      <c r="A1143">
        <v>1146</v>
      </c>
      <c r="B1143" s="36" t="s">
        <v>4162</v>
      </c>
      <c r="C1143" s="36" t="s">
        <v>4154</v>
      </c>
      <c r="D1143" s="36" t="s">
        <v>2996</v>
      </c>
      <c r="E1143" s="36" t="s">
        <v>4151</v>
      </c>
      <c r="F1143" s="37" t="s">
        <v>4152</v>
      </c>
      <c r="G1143" s="36" t="s">
        <v>4153</v>
      </c>
      <c r="H1143" s="36" t="s">
        <v>4156</v>
      </c>
      <c r="I1143" s="36" t="s">
        <v>4160</v>
      </c>
    </row>
    <row r="1144" spans="1:9" x14ac:dyDescent="0.3">
      <c r="A1144">
        <v>1147</v>
      </c>
      <c r="B1144" s="36" t="s">
        <v>4162</v>
      </c>
      <c r="C1144" s="36" t="s">
        <v>4154</v>
      </c>
      <c r="D1144" s="36" t="s">
        <v>3001</v>
      </c>
      <c r="E1144" s="36" t="s">
        <v>4147</v>
      </c>
      <c r="F1144" s="37" t="s">
        <v>4155</v>
      </c>
      <c r="G1144" s="36" t="s">
        <v>4153</v>
      </c>
      <c r="H1144" s="36" t="s">
        <v>4156</v>
      </c>
      <c r="I1144" s="36" t="s">
        <v>4160</v>
      </c>
    </row>
    <row r="1145" spans="1:9" x14ac:dyDescent="0.3">
      <c r="A1145">
        <v>1148</v>
      </c>
      <c r="B1145" s="36" t="s">
        <v>4162</v>
      </c>
      <c r="C1145" s="36" t="s">
        <v>4154</v>
      </c>
      <c r="D1145" s="36" t="s">
        <v>2994</v>
      </c>
      <c r="E1145" s="36" t="s">
        <v>4147</v>
      </c>
      <c r="F1145" s="37" t="s">
        <v>4148</v>
      </c>
      <c r="G1145" s="36" t="s">
        <v>4149</v>
      </c>
      <c r="H1145" s="36" t="s">
        <v>4156</v>
      </c>
      <c r="I1145" s="36" t="s">
        <v>824</v>
      </c>
    </row>
    <row r="1146" spans="1:9" x14ac:dyDescent="0.3">
      <c r="A1146">
        <v>1149</v>
      </c>
      <c r="B1146" s="36" t="s">
        <v>4162</v>
      </c>
      <c r="C1146" s="36" t="s">
        <v>4154</v>
      </c>
      <c r="D1146" s="36" t="s">
        <v>2999</v>
      </c>
      <c r="E1146" s="36" t="s">
        <v>4151</v>
      </c>
      <c r="F1146" s="37" t="s">
        <v>4155</v>
      </c>
      <c r="G1146" s="36" t="s">
        <v>4149</v>
      </c>
      <c r="H1146" s="36" t="s">
        <v>4156</v>
      </c>
      <c r="I1146" s="36" t="s">
        <v>824</v>
      </c>
    </row>
    <row r="1147" spans="1:9" x14ac:dyDescent="0.3">
      <c r="A1147">
        <v>1150</v>
      </c>
      <c r="B1147" s="36" t="s">
        <v>4162</v>
      </c>
      <c r="C1147" s="36" t="s">
        <v>4146</v>
      </c>
      <c r="D1147" s="36" t="s">
        <v>2994</v>
      </c>
      <c r="E1147" s="36" t="s">
        <v>4147</v>
      </c>
      <c r="F1147" s="37" t="s">
        <v>4148</v>
      </c>
      <c r="G1147" s="36" t="s">
        <v>4149</v>
      </c>
      <c r="H1147" s="36" t="s">
        <v>4156</v>
      </c>
      <c r="I1147" s="36" t="s">
        <v>4160</v>
      </c>
    </row>
    <row r="1148" spans="1:9" x14ac:dyDescent="0.3">
      <c r="A1148">
        <v>1151</v>
      </c>
      <c r="B1148" s="36" t="s">
        <v>4162</v>
      </c>
      <c r="C1148" s="36" t="s">
        <v>4154</v>
      </c>
      <c r="D1148" s="36" t="s">
        <v>2999</v>
      </c>
      <c r="E1148" s="36" t="s">
        <v>4151</v>
      </c>
      <c r="F1148" s="37" t="s">
        <v>4148</v>
      </c>
      <c r="G1148" s="36" t="s">
        <v>4149</v>
      </c>
      <c r="H1148" s="36" t="s">
        <v>4156</v>
      </c>
      <c r="I1148" s="36" t="s">
        <v>824</v>
      </c>
    </row>
    <row r="1149" spans="1:9" x14ac:dyDescent="0.3">
      <c r="A1149">
        <v>1152</v>
      </c>
      <c r="B1149" s="36" t="s">
        <v>4162</v>
      </c>
      <c r="C1149" s="36" t="s">
        <v>4154</v>
      </c>
      <c r="D1149" s="36" t="s">
        <v>3001</v>
      </c>
      <c r="E1149" s="36" t="s">
        <v>4147</v>
      </c>
      <c r="F1149" s="37" t="s">
        <v>4148</v>
      </c>
      <c r="G1149" s="36" t="s">
        <v>4149</v>
      </c>
      <c r="H1149" s="36" t="s">
        <v>4156</v>
      </c>
      <c r="I1149" s="36" t="s">
        <v>824</v>
      </c>
    </row>
    <row r="1150" spans="1:9" x14ac:dyDescent="0.3">
      <c r="A1150">
        <v>1153</v>
      </c>
      <c r="B1150" s="36" t="s">
        <v>4162</v>
      </c>
      <c r="C1150" s="36" t="s">
        <v>4154</v>
      </c>
      <c r="D1150" s="36" t="s">
        <v>2999</v>
      </c>
      <c r="E1150" s="36" t="s">
        <v>4151</v>
      </c>
      <c r="F1150" s="37" t="s">
        <v>4155</v>
      </c>
      <c r="G1150" s="36" t="s">
        <v>4153</v>
      </c>
      <c r="H1150" s="36" t="s">
        <v>4156</v>
      </c>
      <c r="I1150" s="36" t="s">
        <v>824</v>
      </c>
    </row>
    <row r="1151" spans="1:9" x14ac:dyDescent="0.3">
      <c r="A1151">
        <v>1154</v>
      </c>
      <c r="B1151" s="36" t="s">
        <v>4162</v>
      </c>
      <c r="C1151" s="36" t="s">
        <v>4154</v>
      </c>
      <c r="D1151" s="36" t="s">
        <v>3001</v>
      </c>
      <c r="E1151" s="36" t="s">
        <v>4147</v>
      </c>
      <c r="F1151" s="37" t="s">
        <v>4155</v>
      </c>
      <c r="G1151" s="36" t="s">
        <v>4153</v>
      </c>
      <c r="H1151" s="36" t="s">
        <v>4156</v>
      </c>
      <c r="I1151" s="36" t="s">
        <v>824</v>
      </c>
    </row>
    <row r="1152" spans="1:9" x14ac:dyDescent="0.3">
      <c r="A1152">
        <v>1155</v>
      </c>
      <c r="B1152" s="36" t="s">
        <v>4162</v>
      </c>
      <c r="C1152" s="36" t="s">
        <v>4154</v>
      </c>
      <c r="D1152" s="36" t="s">
        <v>2999</v>
      </c>
      <c r="E1152" s="36" t="s">
        <v>4151</v>
      </c>
      <c r="F1152" s="37" t="s">
        <v>4148</v>
      </c>
      <c r="G1152" s="36" t="s">
        <v>4149</v>
      </c>
      <c r="H1152" s="36" t="s">
        <v>4156</v>
      </c>
      <c r="I1152" s="36" t="s">
        <v>824</v>
      </c>
    </row>
    <row r="1153" spans="1:9" x14ac:dyDescent="0.3">
      <c r="A1153">
        <v>1156</v>
      </c>
      <c r="B1153" s="36" t="s">
        <v>4162</v>
      </c>
      <c r="C1153" s="36" t="s">
        <v>4154</v>
      </c>
      <c r="D1153" s="36" t="s">
        <v>2999</v>
      </c>
      <c r="E1153" s="36" t="s">
        <v>4151</v>
      </c>
      <c r="F1153" s="37" t="s">
        <v>4148</v>
      </c>
      <c r="G1153" s="36" t="s">
        <v>4149</v>
      </c>
      <c r="H1153" s="36" t="s">
        <v>4156</v>
      </c>
      <c r="I1153" s="36" t="s">
        <v>824</v>
      </c>
    </row>
    <row r="1154" spans="1:9" x14ac:dyDescent="0.3">
      <c r="A1154">
        <v>1157</v>
      </c>
      <c r="B1154" s="36" t="s">
        <v>4162</v>
      </c>
      <c r="C1154" s="36" t="s">
        <v>4154</v>
      </c>
      <c r="D1154" s="36" t="s">
        <v>2994</v>
      </c>
      <c r="E1154" s="36" t="s">
        <v>4147</v>
      </c>
      <c r="F1154" s="37" t="s">
        <v>4152</v>
      </c>
      <c r="G1154" s="36" t="s">
        <v>4153</v>
      </c>
      <c r="H1154" s="36" t="s">
        <v>4156</v>
      </c>
      <c r="I1154" s="36" t="s">
        <v>824</v>
      </c>
    </row>
    <row r="1155" spans="1:9" x14ac:dyDescent="0.3">
      <c r="A1155">
        <v>1158</v>
      </c>
      <c r="B1155" s="36" t="s">
        <v>4162</v>
      </c>
      <c r="C1155" s="36" t="s">
        <v>4154</v>
      </c>
      <c r="D1155" s="36" t="s">
        <v>2999</v>
      </c>
      <c r="E1155" s="36" t="s">
        <v>4151</v>
      </c>
      <c r="F1155" s="37" t="s">
        <v>4159</v>
      </c>
      <c r="G1155" s="36" t="s">
        <v>4153</v>
      </c>
      <c r="H1155" s="36" t="s">
        <v>4156</v>
      </c>
      <c r="I1155" s="36" t="s">
        <v>824</v>
      </c>
    </row>
    <row r="1156" spans="1:9" x14ac:dyDescent="0.3">
      <c r="A1156">
        <v>1159</v>
      </c>
      <c r="B1156" s="36" t="s">
        <v>4162</v>
      </c>
      <c r="C1156" s="36" t="s">
        <v>4154</v>
      </c>
      <c r="D1156" s="36" t="s">
        <v>3001</v>
      </c>
      <c r="E1156" s="36" t="s">
        <v>4147</v>
      </c>
      <c r="F1156" s="37" t="s">
        <v>4155</v>
      </c>
      <c r="G1156" s="36" t="s">
        <v>4153</v>
      </c>
      <c r="H1156" s="36" t="s">
        <v>4156</v>
      </c>
      <c r="I1156" s="36" t="s">
        <v>824</v>
      </c>
    </row>
    <row r="1157" spans="1:9" x14ac:dyDescent="0.3">
      <c r="A1157">
        <v>1160</v>
      </c>
      <c r="B1157" s="36" t="s">
        <v>4162</v>
      </c>
      <c r="C1157" s="36" t="s">
        <v>4146</v>
      </c>
      <c r="D1157" s="36" t="s">
        <v>2994</v>
      </c>
      <c r="E1157" s="36" t="s">
        <v>4147</v>
      </c>
      <c r="F1157" s="37" t="s">
        <v>4148</v>
      </c>
      <c r="G1157" s="36" t="s">
        <v>4149</v>
      </c>
      <c r="H1157" s="36" t="s">
        <v>4156</v>
      </c>
      <c r="I1157" s="36" t="s">
        <v>824</v>
      </c>
    </row>
    <row r="1158" spans="1:9" x14ac:dyDescent="0.3">
      <c r="A1158">
        <v>1161</v>
      </c>
      <c r="B1158" s="36" t="s">
        <v>4162</v>
      </c>
      <c r="C1158" s="36" t="s">
        <v>4154</v>
      </c>
      <c r="D1158" s="36" t="s">
        <v>2999</v>
      </c>
      <c r="E1158" s="36" t="s">
        <v>4151</v>
      </c>
      <c r="F1158" s="37" t="s">
        <v>4155</v>
      </c>
      <c r="G1158" s="36" t="s">
        <v>4149</v>
      </c>
      <c r="H1158" s="36" t="s">
        <v>4156</v>
      </c>
      <c r="I1158" s="36" t="s">
        <v>824</v>
      </c>
    </row>
    <row r="1159" spans="1:9" x14ac:dyDescent="0.3">
      <c r="A1159">
        <v>1162</v>
      </c>
      <c r="B1159" s="36" t="s">
        <v>4162</v>
      </c>
      <c r="C1159" s="36" t="s">
        <v>4154</v>
      </c>
      <c r="D1159" s="36" t="s">
        <v>2999</v>
      </c>
      <c r="E1159" s="36" t="s">
        <v>4151</v>
      </c>
      <c r="F1159" s="37" t="s">
        <v>4159</v>
      </c>
      <c r="G1159" s="36" t="s">
        <v>4149</v>
      </c>
      <c r="H1159" s="36" t="s">
        <v>4156</v>
      </c>
      <c r="I1159" s="36" t="s">
        <v>824</v>
      </c>
    </row>
    <row r="1160" spans="1:9" x14ac:dyDescent="0.3">
      <c r="A1160">
        <v>1163</v>
      </c>
      <c r="B1160" s="36" t="s">
        <v>4162</v>
      </c>
      <c r="C1160" s="36" t="s">
        <v>4146</v>
      </c>
      <c r="D1160" s="36" t="s">
        <v>2999</v>
      </c>
      <c r="E1160" s="36" t="s">
        <v>4151</v>
      </c>
      <c r="F1160" s="37" t="s">
        <v>4148</v>
      </c>
      <c r="G1160" s="36" t="s">
        <v>4149</v>
      </c>
      <c r="H1160" s="36" t="s">
        <v>4156</v>
      </c>
      <c r="I1160" s="36" t="s">
        <v>4160</v>
      </c>
    </row>
    <row r="1161" spans="1:9" x14ac:dyDescent="0.3">
      <c r="A1161">
        <v>1164</v>
      </c>
      <c r="B1161" s="36" t="s">
        <v>4162</v>
      </c>
      <c r="C1161" s="36" t="s">
        <v>4154</v>
      </c>
      <c r="D1161" s="36" t="s">
        <v>2999</v>
      </c>
      <c r="E1161" s="36" t="s">
        <v>4151</v>
      </c>
      <c r="F1161" s="37" t="s">
        <v>4148</v>
      </c>
      <c r="G1161" s="36" t="s">
        <v>4149</v>
      </c>
      <c r="H1161" s="36" t="s">
        <v>4156</v>
      </c>
      <c r="I1161" s="36" t="s">
        <v>4160</v>
      </c>
    </row>
    <row r="1162" spans="1:9" x14ac:dyDescent="0.3">
      <c r="A1162">
        <v>1165</v>
      </c>
      <c r="B1162" s="36" t="s">
        <v>4162</v>
      </c>
      <c r="C1162" s="36" t="s">
        <v>4154</v>
      </c>
      <c r="D1162" s="36" t="s">
        <v>2999</v>
      </c>
      <c r="E1162" s="36" t="s">
        <v>4151</v>
      </c>
      <c r="F1162" s="37" t="s">
        <v>4148</v>
      </c>
      <c r="G1162" s="36" t="s">
        <v>4149</v>
      </c>
      <c r="H1162" s="36" t="s">
        <v>4156</v>
      </c>
      <c r="I1162" s="36" t="s">
        <v>4199</v>
      </c>
    </row>
    <row r="1163" spans="1:9" x14ac:dyDescent="0.3">
      <c r="A1163">
        <v>1166</v>
      </c>
      <c r="B1163" s="36" t="s">
        <v>4162</v>
      </c>
      <c r="C1163" s="36" t="s">
        <v>4154</v>
      </c>
      <c r="D1163" s="36" t="s">
        <v>2999</v>
      </c>
      <c r="E1163" s="36" t="s">
        <v>4151</v>
      </c>
      <c r="F1163" s="37" t="s">
        <v>4148</v>
      </c>
      <c r="G1163" s="36" t="s">
        <v>4149</v>
      </c>
      <c r="H1163" s="36" t="s">
        <v>4156</v>
      </c>
      <c r="I1163" s="36" t="s">
        <v>4199</v>
      </c>
    </row>
    <row r="1164" spans="1:9" x14ac:dyDescent="0.3">
      <c r="A1164">
        <v>1167</v>
      </c>
      <c r="B1164" s="36" t="s">
        <v>4162</v>
      </c>
      <c r="C1164" s="36" t="s">
        <v>4154</v>
      </c>
      <c r="D1164" s="36" t="s">
        <v>2999</v>
      </c>
      <c r="E1164" s="36" t="s">
        <v>4151</v>
      </c>
      <c r="F1164" s="37" t="s">
        <v>4148</v>
      </c>
      <c r="G1164" s="36" t="s">
        <v>4149</v>
      </c>
      <c r="H1164" s="36" t="s">
        <v>4156</v>
      </c>
      <c r="I1164" s="36" t="s">
        <v>4199</v>
      </c>
    </row>
    <row r="1165" spans="1:9" x14ac:dyDescent="0.3">
      <c r="A1165">
        <v>1168</v>
      </c>
      <c r="B1165" s="36" t="s">
        <v>4162</v>
      </c>
      <c r="C1165" s="36" t="s">
        <v>4154</v>
      </c>
      <c r="D1165" s="36" t="s">
        <v>2999</v>
      </c>
      <c r="E1165" s="36" t="s">
        <v>4151</v>
      </c>
      <c r="F1165" s="37" t="s">
        <v>4148</v>
      </c>
      <c r="G1165" s="36" t="s">
        <v>4149</v>
      </c>
      <c r="H1165" s="36" t="s">
        <v>4156</v>
      </c>
      <c r="I1165" s="36" t="s">
        <v>4160</v>
      </c>
    </row>
    <row r="1166" spans="1:9" x14ac:dyDescent="0.3">
      <c r="A1166">
        <v>1169</v>
      </c>
      <c r="B1166" s="36" t="s">
        <v>4162</v>
      </c>
      <c r="C1166" s="36" t="s">
        <v>4154</v>
      </c>
      <c r="D1166" s="36" t="s">
        <v>2999</v>
      </c>
      <c r="E1166" s="36" t="s">
        <v>4151</v>
      </c>
      <c r="F1166" s="37" t="s">
        <v>4148</v>
      </c>
      <c r="G1166" s="36" t="s">
        <v>4149</v>
      </c>
      <c r="H1166" s="36" t="s">
        <v>4156</v>
      </c>
      <c r="I1166" s="36" t="s">
        <v>824</v>
      </c>
    </row>
    <row r="1167" spans="1:9" x14ac:dyDescent="0.3">
      <c r="A1167">
        <v>1170</v>
      </c>
      <c r="B1167" s="36" t="s">
        <v>4162</v>
      </c>
      <c r="C1167" s="36" t="s">
        <v>4154</v>
      </c>
      <c r="D1167" s="36" t="s">
        <v>2999</v>
      </c>
      <c r="E1167" s="36" t="s">
        <v>4151</v>
      </c>
      <c r="F1167" s="37" t="s">
        <v>4155</v>
      </c>
      <c r="G1167" s="36" t="s">
        <v>4149</v>
      </c>
      <c r="H1167" s="36" t="s">
        <v>4156</v>
      </c>
      <c r="I1167" s="36" t="s">
        <v>824</v>
      </c>
    </row>
    <row r="1168" spans="1:9" x14ac:dyDescent="0.3">
      <c r="A1168">
        <v>1171</v>
      </c>
      <c r="B1168" s="36" t="s">
        <v>4162</v>
      </c>
      <c r="C1168" s="36" t="s">
        <v>4154</v>
      </c>
      <c r="D1168" s="36" t="s">
        <v>2996</v>
      </c>
      <c r="E1168" s="36" t="s">
        <v>4151</v>
      </c>
      <c r="F1168" s="37" t="s">
        <v>4148</v>
      </c>
      <c r="G1168" s="36" t="s">
        <v>4153</v>
      </c>
      <c r="H1168" s="36" t="s">
        <v>4158</v>
      </c>
      <c r="I1168" s="36" t="s">
        <v>824</v>
      </c>
    </row>
    <row r="1169" spans="1:9" x14ac:dyDescent="0.3">
      <c r="A1169">
        <v>1172</v>
      </c>
      <c r="B1169" s="36" t="s">
        <v>4162</v>
      </c>
      <c r="C1169" s="36" t="s">
        <v>4154</v>
      </c>
      <c r="D1169" s="36" t="s">
        <v>2996</v>
      </c>
      <c r="E1169" s="36" t="s">
        <v>4151</v>
      </c>
      <c r="F1169" s="37" t="s">
        <v>4159</v>
      </c>
      <c r="G1169" s="36" t="s">
        <v>4153</v>
      </c>
      <c r="H1169" s="36" t="s">
        <v>4158</v>
      </c>
      <c r="I1169" s="36" t="s">
        <v>824</v>
      </c>
    </row>
    <row r="1170" spans="1:9" x14ac:dyDescent="0.3">
      <c r="A1170">
        <v>1173</v>
      </c>
      <c r="B1170" s="36" t="s">
        <v>4162</v>
      </c>
      <c r="C1170" s="36" t="s">
        <v>4154</v>
      </c>
      <c r="D1170" s="36" t="s">
        <v>2994</v>
      </c>
      <c r="E1170" s="36" t="s">
        <v>4147</v>
      </c>
      <c r="F1170" s="37" t="s">
        <v>4148</v>
      </c>
      <c r="G1170" s="36" t="s">
        <v>4153</v>
      </c>
      <c r="H1170" s="36" t="s">
        <v>4158</v>
      </c>
      <c r="I1170" s="36" t="s">
        <v>824</v>
      </c>
    </row>
    <row r="1171" spans="1:9" x14ac:dyDescent="0.3">
      <c r="A1171">
        <v>1174</v>
      </c>
      <c r="B1171" s="36" t="s">
        <v>4162</v>
      </c>
      <c r="C1171" s="36" t="s">
        <v>4154</v>
      </c>
      <c r="D1171" s="36" t="s">
        <v>2994</v>
      </c>
      <c r="E1171" s="36" t="s">
        <v>4147</v>
      </c>
      <c r="F1171" s="37" t="s">
        <v>4148</v>
      </c>
      <c r="G1171" s="36" t="s">
        <v>4153</v>
      </c>
      <c r="H1171" s="36" t="s">
        <v>4158</v>
      </c>
      <c r="I1171" s="36" t="s">
        <v>824</v>
      </c>
    </row>
    <row r="1172" spans="1:9" x14ac:dyDescent="0.3">
      <c r="A1172">
        <v>1175</v>
      </c>
      <c r="B1172" s="36" t="s">
        <v>4162</v>
      </c>
      <c r="C1172" s="36" t="s">
        <v>4154</v>
      </c>
      <c r="D1172" s="36" t="s">
        <v>2994</v>
      </c>
      <c r="E1172" s="36" t="s">
        <v>4147</v>
      </c>
      <c r="F1172" s="37" t="s">
        <v>4148</v>
      </c>
      <c r="G1172" s="36" t="s">
        <v>4153</v>
      </c>
      <c r="H1172" s="36" t="s">
        <v>4158</v>
      </c>
      <c r="I1172" s="36" t="s">
        <v>824</v>
      </c>
    </row>
    <row r="1173" spans="1:9" x14ac:dyDescent="0.3">
      <c r="A1173">
        <v>1176</v>
      </c>
      <c r="B1173" s="36" t="s">
        <v>4162</v>
      </c>
      <c r="C1173" s="36" t="s">
        <v>4154</v>
      </c>
      <c r="D1173" s="36" t="s">
        <v>2994</v>
      </c>
      <c r="E1173" s="36" t="s">
        <v>4147</v>
      </c>
      <c r="F1173" s="37" t="s">
        <v>4148</v>
      </c>
      <c r="G1173" s="36" t="s">
        <v>4153</v>
      </c>
      <c r="H1173" s="36" t="s">
        <v>4158</v>
      </c>
      <c r="I1173" s="36" t="s">
        <v>824</v>
      </c>
    </row>
    <row r="1174" spans="1:9" x14ac:dyDescent="0.3">
      <c r="A1174">
        <v>1177</v>
      </c>
      <c r="B1174" s="36" t="s">
        <v>4162</v>
      </c>
      <c r="C1174" s="36" t="s">
        <v>4154</v>
      </c>
      <c r="D1174" s="36" t="s">
        <v>2999</v>
      </c>
      <c r="E1174" s="36" t="s">
        <v>4151</v>
      </c>
      <c r="F1174" s="37" t="s">
        <v>4148</v>
      </c>
      <c r="G1174" s="36" t="s">
        <v>4153</v>
      </c>
      <c r="H1174" s="36" t="s">
        <v>4158</v>
      </c>
      <c r="I1174" s="36" t="s">
        <v>824</v>
      </c>
    </row>
    <row r="1175" spans="1:9" x14ac:dyDescent="0.3">
      <c r="A1175">
        <v>1178</v>
      </c>
      <c r="B1175" s="36" t="s">
        <v>4162</v>
      </c>
      <c r="C1175" s="36" t="s">
        <v>4154</v>
      </c>
      <c r="D1175" s="36" t="s">
        <v>2999</v>
      </c>
      <c r="E1175" s="36" t="s">
        <v>4151</v>
      </c>
      <c r="F1175" s="37" t="s">
        <v>4148</v>
      </c>
      <c r="G1175" s="36" t="s">
        <v>4153</v>
      </c>
      <c r="H1175" s="36" t="s">
        <v>4158</v>
      </c>
      <c r="I1175" s="36" t="s">
        <v>824</v>
      </c>
    </row>
    <row r="1176" spans="1:9" x14ac:dyDescent="0.3">
      <c r="A1176">
        <v>1179</v>
      </c>
      <c r="B1176" s="36" t="s">
        <v>4162</v>
      </c>
      <c r="C1176" s="36" t="s">
        <v>4154</v>
      </c>
      <c r="D1176" s="36" t="s">
        <v>2999</v>
      </c>
      <c r="E1176" s="36" t="s">
        <v>4151</v>
      </c>
      <c r="F1176" s="37" t="s">
        <v>4148</v>
      </c>
      <c r="G1176" s="36" t="s">
        <v>4153</v>
      </c>
      <c r="H1176" s="36" t="s">
        <v>4158</v>
      </c>
      <c r="I1176" s="36" t="s">
        <v>824</v>
      </c>
    </row>
    <row r="1177" spans="1:9" x14ac:dyDescent="0.3">
      <c r="A1177">
        <v>1180</v>
      </c>
      <c r="B1177" s="36" t="s">
        <v>4162</v>
      </c>
      <c r="C1177" s="36" t="s">
        <v>4154</v>
      </c>
      <c r="D1177" s="36" t="s">
        <v>2999</v>
      </c>
      <c r="E1177" s="36" t="s">
        <v>4151</v>
      </c>
      <c r="F1177" s="37" t="s">
        <v>4148</v>
      </c>
      <c r="G1177" s="36" t="s">
        <v>4153</v>
      </c>
      <c r="H1177" s="36" t="s">
        <v>4158</v>
      </c>
      <c r="I1177" s="36" t="s">
        <v>824</v>
      </c>
    </row>
    <row r="1178" spans="1:9" x14ac:dyDescent="0.3">
      <c r="A1178">
        <v>1181</v>
      </c>
      <c r="B1178" s="36" t="s">
        <v>4162</v>
      </c>
      <c r="C1178" s="36" t="s">
        <v>4154</v>
      </c>
      <c r="D1178" s="36" t="s">
        <v>3001</v>
      </c>
      <c r="E1178" s="36" t="s">
        <v>4147</v>
      </c>
      <c r="F1178" s="37" t="s">
        <v>4148</v>
      </c>
      <c r="G1178" s="36" t="s">
        <v>4153</v>
      </c>
      <c r="H1178" s="36" t="s">
        <v>4158</v>
      </c>
      <c r="I1178" s="36" t="s">
        <v>824</v>
      </c>
    </row>
    <row r="1179" spans="1:9" x14ac:dyDescent="0.3">
      <c r="A1179">
        <v>1182</v>
      </c>
      <c r="B1179" s="36" t="s">
        <v>4162</v>
      </c>
      <c r="C1179" s="36" t="s">
        <v>4154</v>
      </c>
      <c r="D1179" s="36" t="s">
        <v>2999</v>
      </c>
      <c r="E1179" s="36" t="s">
        <v>4151</v>
      </c>
      <c r="F1179" s="37" t="s">
        <v>4148</v>
      </c>
      <c r="G1179" s="36" t="s">
        <v>4149</v>
      </c>
      <c r="H1179" s="36" t="s">
        <v>4156</v>
      </c>
      <c r="I1179" s="36" t="s">
        <v>824</v>
      </c>
    </row>
    <row r="1180" spans="1:9" x14ac:dyDescent="0.3">
      <c r="A1180">
        <v>1183</v>
      </c>
      <c r="B1180" s="36" t="s">
        <v>4162</v>
      </c>
      <c r="C1180" s="36" t="s">
        <v>4146</v>
      </c>
      <c r="D1180" s="36" t="s">
        <v>2994</v>
      </c>
      <c r="E1180" s="36" t="s">
        <v>4147</v>
      </c>
      <c r="F1180" s="37" t="s">
        <v>4148</v>
      </c>
      <c r="G1180" s="36" t="s">
        <v>4149</v>
      </c>
      <c r="H1180" s="36" t="s">
        <v>4156</v>
      </c>
      <c r="I1180" s="36" t="s">
        <v>824</v>
      </c>
    </row>
    <row r="1181" spans="1:9" x14ac:dyDescent="0.3">
      <c r="A1181">
        <v>1184</v>
      </c>
      <c r="B1181" s="36" t="s">
        <v>4162</v>
      </c>
      <c r="C1181" s="36" t="s">
        <v>4154</v>
      </c>
      <c r="D1181" s="36" t="s">
        <v>2999</v>
      </c>
      <c r="E1181" s="36" t="s">
        <v>4151</v>
      </c>
      <c r="F1181" s="37" t="s">
        <v>4155</v>
      </c>
      <c r="G1181" s="36" t="s">
        <v>4149</v>
      </c>
      <c r="H1181" s="36" t="s">
        <v>4156</v>
      </c>
      <c r="I1181" s="36" t="s">
        <v>824</v>
      </c>
    </row>
    <row r="1182" spans="1:9" x14ac:dyDescent="0.3">
      <c r="A1182">
        <v>1185</v>
      </c>
      <c r="B1182" s="36" t="s">
        <v>4162</v>
      </c>
      <c r="C1182" s="36" t="s">
        <v>4154</v>
      </c>
      <c r="D1182" s="36" t="s">
        <v>2999</v>
      </c>
      <c r="E1182" s="36" t="s">
        <v>4151</v>
      </c>
      <c r="F1182" s="37" t="s">
        <v>4148</v>
      </c>
      <c r="G1182" s="36" t="s">
        <v>4153</v>
      </c>
      <c r="H1182" s="36" t="s">
        <v>4156</v>
      </c>
      <c r="I1182" s="36" t="s">
        <v>4199</v>
      </c>
    </row>
    <row r="1183" spans="1:9" x14ac:dyDescent="0.3">
      <c r="A1183">
        <v>1186</v>
      </c>
      <c r="B1183" s="36" t="s">
        <v>4162</v>
      </c>
      <c r="C1183" s="36" t="s">
        <v>4154</v>
      </c>
      <c r="D1183" s="36" t="s">
        <v>2999</v>
      </c>
      <c r="E1183" s="36" t="s">
        <v>4151</v>
      </c>
      <c r="F1183" s="37" t="s">
        <v>4148</v>
      </c>
      <c r="G1183" s="36" t="s">
        <v>4153</v>
      </c>
      <c r="H1183" s="36" t="s">
        <v>4156</v>
      </c>
      <c r="I1183" s="36" t="s">
        <v>4199</v>
      </c>
    </row>
    <row r="1184" spans="1:9" x14ac:dyDescent="0.3">
      <c r="A1184">
        <v>1187</v>
      </c>
      <c r="B1184" s="36" t="s">
        <v>4162</v>
      </c>
      <c r="C1184" s="36" t="s">
        <v>4154</v>
      </c>
      <c r="D1184" s="36" t="s">
        <v>2999</v>
      </c>
      <c r="E1184" s="36" t="s">
        <v>4151</v>
      </c>
      <c r="F1184" s="37" t="s">
        <v>4148</v>
      </c>
      <c r="G1184" s="36" t="s">
        <v>4153</v>
      </c>
      <c r="H1184" s="36" t="s">
        <v>4156</v>
      </c>
      <c r="I1184" s="36" t="s">
        <v>4199</v>
      </c>
    </row>
    <row r="1185" spans="1:9" x14ac:dyDescent="0.3">
      <c r="A1185">
        <v>1188</v>
      </c>
      <c r="B1185" s="36" t="s">
        <v>4162</v>
      </c>
      <c r="C1185" s="36" t="s">
        <v>4146</v>
      </c>
      <c r="D1185" s="36" t="s">
        <v>2994</v>
      </c>
      <c r="E1185" s="36" t="s">
        <v>4147</v>
      </c>
      <c r="F1185" s="37" t="s">
        <v>4152</v>
      </c>
      <c r="G1185" s="36" t="s">
        <v>4153</v>
      </c>
      <c r="H1185" s="36" t="s">
        <v>4156</v>
      </c>
      <c r="I1185" s="36" t="s">
        <v>824</v>
      </c>
    </row>
    <row r="1186" spans="1:9" x14ac:dyDescent="0.3">
      <c r="A1186">
        <v>1189</v>
      </c>
      <c r="B1186" s="36" t="s">
        <v>4162</v>
      </c>
      <c r="C1186" s="36" t="s">
        <v>4146</v>
      </c>
      <c r="D1186" s="36" t="s">
        <v>3001</v>
      </c>
      <c r="E1186" s="36" t="s">
        <v>4147</v>
      </c>
      <c r="F1186" s="37" t="s">
        <v>4148</v>
      </c>
      <c r="G1186" s="36" t="s">
        <v>4153</v>
      </c>
      <c r="H1186" s="36" t="s">
        <v>4156</v>
      </c>
      <c r="I1186" s="36" t="s">
        <v>824</v>
      </c>
    </row>
    <row r="1187" spans="1:9" x14ac:dyDescent="0.3">
      <c r="A1187">
        <v>1190</v>
      </c>
      <c r="B1187" s="36" t="s">
        <v>4162</v>
      </c>
      <c r="C1187" s="36" t="s">
        <v>4146</v>
      </c>
      <c r="D1187" s="36" t="s">
        <v>2994</v>
      </c>
      <c r="E1187" s="36" t="s">
        <v>4147</v>
      </c>
      <c r="F1187" s="37" t="s">
        <v>4152</v>
      </c>
      <c r="G1187" s="36" t="s">
        <v>4153</v>
      </c>
      <c r="H1187" s="36" t="s">
        <v>4156</v>
      </c>
      <c r="I1187" s="36" t="s">
        <v>824</v>
      </c>
    </row>
    <row r="1188" spans="1:9" x14ac:dyDescent="0.3">
      <c r="A1188">
        <v>1191</v>
      </c>
      <c r="B1188" s="36" t="s">
        <v>4162</v>
      </c>
      <c r="C1188" s="36" t="s">
        <v>4146</v>
      </c>
      <c r="D1188" s="36" t="s">
        <v>2999</v>
      </c>
      <c r="E1188" s="36" t="s">
        <v>4151</v>
      </c>
      <c r="F1188" s="37" t="s">
        <v>4148</v>
      </c>
      <c r="G1188" s="36" t="s">
        <v>4149</v>
      </c>
      <c r="H1188" s="36" t="s">
        <v>4156</v>
      </c>
      <c r="I1188" s="36" t="s">
        <v>824</v>
      </c>
    </row>
    <row r="1189" spans="1:9" x14ac:dyDescent="0.3">
      <c r="A1189">
        <v>1192</v>
      </c>
      <c r="B1189" s="36" t="s">
        <v>4162</v>
      </c>
      <c r="C1189" s="36" t="s">
        <v>4154</v>
      </c>
      <c r="D1189" s="36" t="s">
        <v>2999</v>
      </c>
      <c r="E1189" s="36" t="s">
        <v>4151</v>
      </c>
      <c r="F1189" s="37" t="s">
        <v>4148</v>
      </c>
      <c r="G1189" s="36" t="s">
        <v>4149</v>
      </c>
      <c r="H1189" s="36" t="s">
        <v>4156</v>
      </c>
      <c r="I1189" s="36" t="s">
        <v>824</v>
      </c>
    </row>
    <row r="1190" spans="1:9" x14ac:dyDescent="0.3">
      <c r="A1190">
        <v>1193</v>
      </c>
      <c r="B1190" s="36" t="s">
        <v>4162</v>
      </c>
      <c r="C1190" s="36" t="s">
        <v>4154</v>
      </c>
      <c r="D1190" s="36" t="s">
        <v>2999</v>
      </c>
      <c r="E1190" s="36" t="s">
        <v>4151</v>
      </c>
      <c r="F1190" s="37" t="s">
        <v>4148</v>
      </c>
      <c r="G1190" s="36" t="s">
        <v>4149</v>
      </c>
      <c r="H1190" s="36" t="s">
        <v>4156</v>
      </c>
      <c r="I1190" s="36" t="s">
        <v>824</v>
      </c>
    </row>
    <row r="1191" spans="1:9" x14ac:dyDescent="0.3">
      <c r="A1191">
        <v>1194</v>
      </c>
      <c r="B1191" s="36" t="s">
        <v>4162</v>
      </c>
      <c r="C1191" s="36" t="s">
        <v>4154</v>
      </c>
      <c r="D1191" s="36" t="s">
        <v>2999</v>
      </c>
      <c r="E1191" s="36" t="s">
        <v>4151</v>
      </c>
      <c r="F1191" s="37" t="s">
        <v>4148</v>
      </c>
      <c r="G1191" s="36" t="s">
        <v>4149</v>
      </c>
      <c r="H1191" s="36" t="s">
        <v>4156</v>
      </c>
      <c r="I1191" s="36" t="s">
        <v>4160</v>
      </c>
    </row>
    <row r="1192" spans="1:9" x14ac:dyDescent="0.3">
      <c r="A1192">
        <v>1195</v>
      </c>
      <c r="B1192" s="36" t="s">
        <v>4162</v>
      </c>
      <c r="C1192" s="36" t="s">
        <v>4154</v>
      </c>
      <c r="D1192" s="36" t="s">
        <v>2999</v>
      </c>
      <c r="E1192" s="36" t="s">
        <v>4151</v>
      </c>
      <c r="F1192" s="37" t="s">
        <v>4148</v>
      </c>
      <c r="G1192" s="36" t="s">
        <v>4149</v>
      </c>
      <c r="H1192" s="36" t="s">
        <v>4156</v>
      </c>
      <c r="I1192" s="36" t="s">
        <v>824</v>
      </c>
    </row>
    <row r="1193" spans="1:9" x14ac:dyDescent="0.3">
      <c r="A1193">
        <v>1196</v>
      </c>
      <c r="B1193" s="36" t="s">
        <v>4162</v>
      </c>
      <c r="C1193" s="36" t="s">
        <v>4154</v>
      </c>
      <c r="D1193" s="36" t="s">
        <v>2999</v>
      </c>
      <c r="E1193" s="36" t="s">
        <v>4151</v>
      </c>
      <c r="F1193" s="37" t="s">
        <v>4148</v>
      </c>
      <c r="G1193" s="36" t="s">
        <v>4149</v>
      </c>
      <c r="H1193" s="36" t="s">
        <v>4156</v>
      </c>
      <c r="I1193" s="36" t="s">
        <v>4160</v>
      </c>
    </row>
    <row r="1194" spans="1:9" x14ac:dyDescent="0.3">
      <c r="A1194">
        <v>1197</v>
      </c>
      <c r="B1194" s="36" t="s">
        <v>4162</v>
      </c>
      <c r="C1194" s="36" t="s">
        <v>4146</v>
      </c>
      <c r="D1194" s="36" t="s">
        <v>2999</v>
      </c>
      <c r="E1194" s="36" t="s">
        <v>4151</v>
      </c>
      <c r="F1194" s="37" t="s">
        <v>4148</v>
      </c>
      <c r="G1194" s="36" t="s">
        <v>4149</v>
      </c>
      <c r="H1194" s="36" t="s">
        <v>4156</v>
      </c>
      <c r="I1194" s="36" t="s">
        <v>824</v>
      </c>
    </row>
    <row r="1195" spans="1:9" x14ac:dyDescent="0.3">
      <c r="A1195">
        <v>1198</v>
      </c>
      <c r="B1195" s="36" t="s">
        <v>4162</v>
      </c>
      <c r="C1195" s="36" t="s">
        <v>4154</v>
      </c>
      <c r="D1195" s="36" t="s">
        <v>2999</v>
      </c>
      <c r="E1195" s="36" t="s">
        <v>4151</v>
      </c>
      <c r="F1195" s="37" t="s">
        <v>4148</v>
      </c>
      <c r="G1195" s="36" t="s">
        <v>4149</v>
      </c>
      <c r="H1195" s="36" t="s">
        <v>4156</v>
      </c>
      <c r="I1195" s="36" t="s">
        <v>824</v>
      </c>
    </row>
    <row r="1196" spans="1:9" x14ac:dyDescent="0.3">
      <c r="A1196">
        <v>1199</v>
      </c>
      <c r="B1196" s="36" t="s">
        <v>4162</v>
      </c>
      <c r="C1196" s="36" t="s">
        <v>4146</v>
      </c>
      <c r="D1196" s="36" t="s">
        <v>2994</v>
      </c>
      <c r="E1196" s="36" t="s">
        <v>4147</v>
      </c>
      <c r="F1196" s="37" t="s">
        <v>4148</v>
      </c>
      <c r="G1196" s="36" t="s">
        <v>4149</v>
      </c>
      <c r="H1196" s="36" t="s">
        <v>4156</v>
      </c>
      <c r="I1196" s="36" t="s">
        <v>4160</v>
      </c>
    </row>
    <row r="1197" spans="1:9" x14ac:dyDescent="0.3">
      <c r="A1197">
        <v>1200</v>
      </c>
      <c r="B1197" s="36" t="s">
        <v>4162</v>
      </c>
      <c r="C1197" s="36" t="s">
        <v>4154</v>
      </c>
      <c r="D1197" s="36" t="s">
        <v>2999</v>
      </c>
      <c r="E1197" s="36" t="s">
        <v>4151</v>
      </c>
      <c r="F1197" s="37" t="s">
        <v>4148</v>
      </c>
      <c r="G1197" s="36" t="s">
        <v>4149</v>
      </c>
      <c r="H1197" s="36" t="s">
        <v>4156</v>
      </c>
      <c r="I1197" s="36" t="s">
        <v>824</v>
      </c>
    </row>
    <row r="1198" spans="1:9" x14ac:dyDescent="0.3">
      <c r="A1198">
        <v>1201</v>
      </c>
      <c r="B1198" s="36" t="s">
        <v>4162</v>
      </c>
      <c r="C1198" s="36" t="s">
        <v>4154</v>
      </c>
      <c r="D1198" s="36" t="s">
        <v>2999</v>
      </c>
      <c r="E1198" s="36" t="s">
        <v>4151</v>
      </c>
      <c r="F1198" s="37" t="s">
        <v>4148</v>
      </c>
      <c r="G1198" s="36" t="s">
        <v>4149</v>
      </c>
      <c r="H1198" s="36" t="s">
        <v>4156</v>
      </c>
      <c r="I1198" s="36" t="s">
        <v>824</v>
      </c>
    </row>
    <row r="1199" spans="1:9" x14ac:dyDescent="0.3">
      <c r="A1199">
        <v>1202</v>
      </c>
      <c r="B1199" s="36" t="s">
        <v>4162</v>
      </c>
      <c r="C1199" s="36" t="s">
        <v>4154</v>
      </c>
      <c r="D1199" s="36" t="s">
        <v>2999</v>
      </c>
      <c r="E1199" s="36" t="s">
        <v>4151</v>
      </c>
      <c r="F1199" s="37" t="s">
        <v>4148</v>
      </c>
      <c r="G1199" s="36" t="s">
        <v>4149</v>
      </c>
      <c r="H1199" s="36" t="s">
        <v>4156</v>
      </c>
      <c r="I1199" s="36" t="s">
        <v>4199</v>
      </c>
    </row>
    <row r="1200" spans="1:9" x14ac:dyDescent="0.3">
      <c r="A1200">
        <v>1203</v>
      </c>
      <c r="B1200" s="36" t="s">
        <v>4162</v>
      </c>
      <c r="C1200" s="36" t="s">
        <v>4154</v>
      </c>
      <c r="D1200" s="36" t="s">
        <v>2999</v>
      </c>
      <c r="E1200" s="36" t="s">
        <v>4151</v>
      </c>
      <c r="F1200" s="37" t="s">
        <v>4148</v>
      </c>
      <c r="G1200" s="36" t="s">
        <v>4149</v>
      </c>
      <c r="H1200" s="36" t="s">
        <v>4156</v>
      </c>
      <c r="I1200" s="36" t="s">
        <v>824</v>
      </c>
    </row>
    <row r="1201" spans="1:9" x14ac:dyDescent="0.3">
      <c r="A1201">
        <v>1204</v>
      </c>
      <c r="B1201" s="36" t="s">
        <v>4162</v>
      </c>
      <c r="C1201" s="36" t="s">
        <v>4154</v>
      </c>
      <c r="D1201" s="36" t="s">
        <v>2999</v>
      </c>
      <c r="E1201" s="36" t="s">
        <v>4151</v>
      </c>
      <c r="F1201" s="37" t="s">
        <v>4155</v>
      </c>
      <c r="G1201" s="36" t="s">
        <v>4149</v>
      </c>
      <c r="H1201" s="36" t="s">
        <v>4156</v>
      </c>
      <c r="I1201" s="36" t="s">
        <v>824</v>
      </c>
    </row>
    <row r="1202" spans="1:9" x14ac:dyDescent="0.3">
      <c r="A1202">
        <v>1205</v>
      </c>
      <c r="B1202" s="36" t="s">
        <v>4162</v>
      </c>
      <c r="C1202" s="36" t="s">
        <v>4154</v>
      </c>
      <c r="D1202" s="36" t="s">
        <v>2999</v>
      </c>
      <c r="E1202" s="36" t="s">
        <v>4151</v>
      </c>
      <c r="F1202" s="37" t="s">
        <v>4148</v>
      </c>
      <c r="G1202" s="36" t="s">
        <v>4149</v>
      </c>
      <c r="H1202" s="36" t="s">
        <v>4156</v>
      </c>
      <c r="I1202" s="36" t="s">
        <v>824</v>
      </c>
    </row>
    <row r="1203" spans="1:9" x14ac:dyDescent="0.3">
      <c r="A1203">
        <v>1206</v>
      </c>
      <c r="B1203" s="36" t="s">
        <v>4162</v>
      </c>
      <c r="C1203" s="36" t="s">
        <v>4146</v>
      </c>
      <c r="D1203" s="36" t="s">
        <v>2994</v>
      </c>
      <c r="E1203" s="36" t="s">
        <v>4147</v>
      </c>
      <c r="F1203" s="37" t="s">
        <v>4159</v>
      </c>
      <c r="G1203" s="36" t="s">
        <v>4149</v>
      </c>
      <c r="H1203" s="36" t="s">
        <v>4156</v>
      </c>
      <c r="I1203" s="36" t="s">
        <v>824</v>
      </c>
    </row>
    <row r="1204" spans="1:9" x14ac:dyDescent="0.3">
      <c r="A1204">
        <v>1207</v>
      </c>
      <c r="B1204" s="36" t="s">
        <v>4162</v>
      </c>
      <c r="C1204" s="36" t="s">
        <v>4154</v>
      </c>
      <c r="D1204" s="36" t="s">
        <v>2996</v>
      </c>
      <c r="E1204" s="36" t="s">
        <v>4151</v>
      </c>
      <c r="F1204" s="37" t="s">
        <v>4152</v>
      </c>
      <c r="G1204" s="36" t="s">
        <v>4153</v>
      </c>
      <c r="H1204" s="36" t="s">
        <v>4156</v>
      </c>
      <c r="I1204" s="36" t="s">
        <v>824</v>
      </c>
    </row>
    <row r="1205" spans="1:9" x14ac:dyDescent="0.3">
      <c r="A1205">
        <v>1208</v>
      </c>
      <c r="B1205" s="36" t="s">
        <v>4162</v>
      </c>
      <c r="C1205" s="36" t="s">
        <v>4154</v>
      </c>
      <c r="D1205" s="36" t="s">
        <v>2996</v>
      </c>
      <c r="E1205" s="36" t="s">
        <v>4151</v>
      </c>
      <c r="F1205" s="37" t="s">
        <v>4152</v>
      </c>
      <c r="G1205" s="36" t="s">
        <v>4153</v>
      </c>
      <c r="H1205" s="36" t="s">
        <v>4156</v>
      </c>
      <c r="I1205" s="36" t="s">
        <v>824</v>
      </c>
    </row>
    <row r="1206" spans="1:9" x14ac:dyDescent="0.3">
      <c r="A1206">
        <v>1209</v>
      </c>
      <c r="B1206" s="36" t="s">
        <v>4162</v>
      </c>
      <c r="C1206" s="36" t="s">
        <v>4154</v>
      </c>
      <c r="D1206" s="36" t="s">
        <v>2994</v>
      </c>
      <c r="E1206" s="36" t="s">
        <v>4147</v>
      </c>
      <c r="F1206" s="37" t="s">
        <v>4152</v>
      </c>
      <c r="G1206" s="36" t="s">
        <v>4153</v>
      </c>
      <c r="H1206" s="36" t="s">
        <v>4156</v>
      </c>
      <c r="I1206" s="36" t="s">
        <v>824</v>
      </c>
    </row>
    <row r="1207" spans="1:9" x14ac:dyDescent="0.3">
      <c r="A1207">
        <v>1210</v>
      </c>
      <c r="B1207" s="36" t="s">
        <v>4162</v>
      </c>
      <c r="C1207" s="36" t="s">
        <v>4154</v>
      </c>
      <c r="D1207" s="36" t="s">
        <v>2994</v>
      </c>
      <c r="E1207" s="36" t="s">
        <v>4147</v>
      </c>
      <c r="F1207" s="37" t="s">
        <v>4152</v>
      </c>
      <c r="G1207" s="36" t="s">
        <v>4153</v>
      </c>
      <c r="H1207" s="36" t="s">
        <v>4156</v>
      </c>
      <c r="I1207" s="36" t="s">
        <v>824</v>
      </c>
    </row>
    <row r="1208" spans="1:9" x14ac:dyDescent="0.3">
      <c r="A1208">
        <v>1211</v>
      </c>
      <c r="B1208" s="36" t="s">
        <v>4162</v>
      </c>
      <c r="C1208" s="36" t="s">
        <v>4154</v>
      </c>
      <c r="D1208" s="36" t="s">
        <v>2999</v>
      </c>
      <c r="E1208" s="36" t="s">
        <v>4151</v>
      </c>
      <c r="F1208" s="37" t="s">
        <v>4155</v>
      </c>
      <c r="G1208" s="36" t="s">
        <v>4153</v>
      </c>
      <c r="H1208" s="36" t="s">
        <v>4156</v>
      </c>
      <c r="I1208" s="36" t="s">
        <v>824</v>
      </c>
    </row>
    <row r="1209" spans="1:9" x14ac:dyDescent="0.3">
      <c r="A1209">
        <v>1212</v>
      </c>
      <c r="B1209" s="36" t="s">
        <v>4162</v>
      </c>
      <c r="C1209" s="36" t="s">
        <v>4154</v>
      </c>
      <c r="D1209" s="36" t="s">
        <v>3001</v>
      </c>
      <c r="E1209" s="36" t="s">
        <v>4147</v>
      </c>
      <c r="F1209" s="37" t="s">
        <v>4155</v>
      </c>
      <c r="G1209" s="36" t="s">
        <v>4153</v>
      </c>
      <c r="H1209" s="36" t="s">
        <v>4156</v>
      </c>
      <c r="I1209" s="36" t="s">
        <v>824</v>
      </c>
    </row>
    <row r="1210" spans="1:9" x14ac:dyDescent="0.3">
      <c r="A1210">
        <v>1213</v>
      </c>
      <c r="B1210" s="36" t="s">
        <v>4162</v>
      </c>
      <c r="C1210" s="36" t="s">
        <v>4154</v>
      </c>
      <c r="D1210" s="36" t="s">
        <v>2999</v>
      </c>
      <c r="E1210" s="36" t="s">
        <v>4151</v>
      </c>
      <c r="F1210" s="37" t="s">
        <v>4148</v>
      </c>
      <c r="G1210" s="36" t="s">
        <v>4149</v>
      </c>
      <c r="H1210" s="36" t="s">
        <v>4156</v>
      </c>
      <c r="I1210" s="36" t="s">
        <v>824</v>
      </c>
    </row>
    <row r="1211" spans="1:9" x14ac:dyDescent="0.3">
      <c r="A1211">
        <v>1214</v>
      </c>
      <c r="B1211" s="36" t="s">
        <v>4162</v>
      </c>
      <c r="C1211" s="36" t="s">
        <v>4154</v>
      </c>
      <c r="D1211" s="36" t="s">
        <v>2999</v>
      </c>
      <c r="E1211" s="36" t="s">
        <v>4151</v>
      </c>
      <c r="F1211" s="37" t="s">
        <v>4148</v>
      </c>
      <c r="G1211" s="36" t="s">
        <v>4149</v>
      </c>
      <c r="H1211" s="36" t="s">
        <v>4156</v>
      </c>
      <c r="I1211" s="36" t="s">
        <v>824</v>
      </c>
    </row>
    <row r="1212" spans="1:9" x14ac:dyDescent="0.3">
      <c r="A1212">
        <v>1215</v>
      </c>
      <c r="B1212" s="36" t="s">
        <v>4162</v>
      </c>
      <c r="C1212" s="36" t="s">
        <v>4154</v>
      </c>
      <c r="D1212" s="36" t="s">
        <v>2999</v>
      </c>
      <c r="E1212" s="36" t="s">
        <v>4151</v>
      </c>
      <c r="F1212" s="37" t="s">
        <v>4148</v>
      </c>
      <c r="G1212" s="36" t="s">
        <v>4149</v>
      </c>
      <c r="H1212" s="36" t="s">
        <v>4156</v>
      </c>
      <c r="I1212" s="36" t="s">
        <v>824</v>
      </c>
    </row>
    <row r="1213" spans="1:9" x14ac:dyDescent="0.3">
      <c r="A1213">
        <v>1216</v>
      </c>
      <c r="B1213" s="36" t="s">
        <v>4162</v>
      </c>
      <c r="C1213" s="36" t="s">
        <v>4154</v>
      </c>
      <c r="D1213" s="36" t="s">
        <v>2999</v>
      </c>
      <c r="E1213" s="36" t="s">
        <v>4151</v>
      </c>
      <c r="F1213" s="37" t="s">
        <v>4148</v>
      </c>
      <c r="G1213" s="36" t="s">
        <v>4149</v>
      </c>
      <c r="H1213" s="36" t="s">
        <v>4156</v>
      </c>
      <c r="I1213" s="36" t="s">
        <v>4160</v>
      </c>
    </row>
    <row r="1214" spans="1:9" x14ac:dyDescent="0.3">
      <c r="A1214">
        <v>1217</v>
      </c>
      <c r="B1214" s="36" t="s">
        <v>4162</v>
      </c>
      <c r="C1214" s="36" t="s">
        <v>4146</v>
      </c>
      <c r="D1214" s="36" t="s">
        <v>2994</v>
      </c>
      <c r="E1214" s="36" t="s">
        <v>4147</v>
      </c>
      <c r="F1214" s="37" t="s">
        <v>4148</v>
      </c>
      <c r="G1214" s="36" t="s">
        <v>4149</v>
      </c>
      <c r="H1214" s="36" t="s">
        <v>4156</v>
      </c>
      <c r="I1214" s="36" t="s">
        <v>4160</v>
      </c>
    </row>
    <row r="1215" spans="1:9" x14ac:dyDescent="0.3">
      <c r="A1215">
        <v>1218</v>
      </c>
      <c r="B1215" s="36" t="s">
        <v>4162</v>
      </c>
      <c r="C1215" s="36" t="s">
        <v>4154</v>
      </c>
      <c r="D1215" s="36" t="s">
        <v>2999</v>
      </c>
      <c r="E1215" s="36" t="s">
        <v>4151</v>
      </c>
      <c r="F1215" s="37" t="s">
        <v>4148</v>
      </c>
      <c r="G1215" s="36" t="s">
        <v>4149</v>
      </c>
      <c r="H1215" s="36" t="s">
        <v>4156</v>
      </c>
      <c r="I1215" s="36" t="s">
        <v>824</v>
      </c>
    </row>
    <row r="1216" spans="1:9" x14ac:dyDescent="0.3">
      <c r="A1216">
        <v>1219</v>
      </c>
      <c r="B1216" s="36" t="s">
        <v>4162</v>
      </c>
      <c r="C1216" s="36" t="s">
        <v>4154</v>
      </c>
      <c r="D1216" s="36" t="s">
        <v>2999</v>
      </c>
      <c r="E1216" s="36" t="s">
        <v>4151</v>
      </c>
      <c r="F1216" s="37" t="s">
        <v>4148</v>
      </c>
      <c r="G1216" s="36" t="s">
        <v>4149</v>
      </c>
      <c r="H1216" s="36" t="s">
        <v>4156</v>
      </c>
      <c r="I1216" s="36" t="s">
        <v>824</v>
      </c>
    </row>
    <row r="1217" spans="1:9" x14ac:dyDescent="0.3">
      <c r="A1217">
        <v>1220</v>
      </c>
      <c r="B1217" s="36" t="s">
        <v>4162</v>
      </c>
      <c r="C1217" s="36" t="s">
        <v>4154</v>
      </c>
      <c r="D1217" s="36" t="s">
        <v>2999</v>
      </c>
      <c r="E1217" s="36" t="s">
        <v>4151</v>
      </c>
      <c r="F1217" s="37" t="s">
        <v>4148</v>
      </c>
      <c r="G1217" s="36" t="s">
        <v>4149</v>
      </c>
      <c r="H1217" s="36" t="s">
        <v>4156</v>
      </c>
      <c r="I1217" s="36" t="s">
        <v>824</v>
      </c>
    </row>
    <row r="1218" spans="1:9" x14ac:dyDescent="0.3">
      <c r="A1218">
        <v>1221</v>
      </c>
      <c r="B1218" s="36" t="s">
        <v>4162</v>
      </c>
      <c r="C1218" s="36" t="s">
        <v>4154</v>
      </c>
      <c r="D1218" s="36" t="s">
        <v>2999</v>
      </c>
      <c r="E1218" s="36" t="s">
        <v>4151</v>
      </c>
      <c r="F1218" s="37" t="s">
        <v>4155</v>
      </c>
      <c r="G1218" s="36" t="s">
        <v>4149</v>
      </c>
      <c r="H1218" s="36" t="s">
        <v>4156</v>
      </c>
      <c r="I1218" s="36" t="s">
        <v>824</v>
      </c>
    </row>
    <row r="1219" spans="1:9" x14ac:dyDescent="0.3">
      <c r="A1219">
        <v>1222</v>
      </c>
      <c r="B1219" s="36" t="s">
        <v>4162</v>
      </c>
      <c r="C1219" s="36" t="s">
        <v>4154</v>
      </c>
      <c r="D1219" s="36" t="s">
        <v>2999</v>
      </c>
      <c r="E1219" s="36" t="s">
        <v>4151</v>
      </c>
      <c r="F1219" s="37" t="s">
        <v>4148</v>
      </c>
      <c r="G1219" s="36" t="s">
        <v>4149</v>
      </c>
      <c r="H1219" s="36" t="s">
        <v>4156</v>
      </c>
      <c r="I1219" s="36" t="s">
        <v>824</v>
      </c>
    </row>
    <row r="1220" spans="1:9" x14ac:dyDescent="0.3">
      <c r="A1220">
        <v>1223</v>
      </c>
      <c r="B1220" s="36" t="s">
        <v>4162</v>
      </c>
      <c r="C1220" s="36" t="s">
        <v>4154</v>
      </c>
      <c r="D1220" s="36" t="s">
        <v>2999</v>
      </c>
      <c r="E1220" s="36" t="s">
        <v>4151</v>
      </c>
      <c r="F1220" s="37" t="s">
        <v>4155</v>
      </c>
      <c r="G1220" s="36" t="s">
        <v>4149</v>
      </c>
      <c r="H1220" s="36" t="s">
        <v>4156</v>
      </c>
      <c r="I1220" s="36" t="s">
        <v>4199</v>
      </c>
    </row>
    <row r="1221" spans="1:9" x14ac:dyDescent="0.3">
      <c r="A1221">
        <v>1224</v>
      </c>
      <c r="B1221" s="36" t="s">
        <v>4162</v>
      </c>
      <c r="C1221" s="36" t="s">
        <v>4146</v>
      </c>
      <c r="D1221" s="36" t="s">
        <v>2994</v>
      </c>
      <c r="E1221" s="36" t="s">
        <v>4147</v>
      </c>
      <c r="F1221" s="37" t="s">
        <v>4148</v>
      </c>
      <c r="G1221" s="36" t="s">
        <v>4149</v>
      </c>
      <c r="H1221" s="36" t="s">
        <v>4156</v>
      </c>
      <c r="I1221" s="36" t="s">
        <v>824</v>
      </c>
    </row>
    <row r="1222" spans="1:9" x14ac:dyDescent="0.3">
      <c r="A1222">
        <v>1225</v>
      </c>
      <c r="B1222" s="36" t="s">
        <v>4162</v>
      </c>
      <c r="C1222" s="36" t="s">
        <v>4154</v>
      </c>
      <c r="D1222" s="36" t="s">
        <v>2999</v>
      </c>
      <c r="E1222" s="36" t="s">
        <v>4151</v>
      </c>
      <c r="F1222" s="37" t="s">
        <v>4148</v>
      </c>
      <c r="G1222" s="36" t="s">
        <v>4149</v>
      </c>
      <c r="H1222" s="36" t="s">
        <v>4156</v>
      </c>
      <c r="I1222" s="36" t="s">
        <v>824</v>
      </c>
    </row>
    <row r="1223" spans="1:9" x14ac:dyDescent="0.3">
      <c r="A1223">
        <v>1226</v>
      </c>
      <c r="B1223" s="36" t="s">
        <v>4162</v>
      </c>
      <c r="C1223" s="36" t="s">
        <v>4154</v>
      </c>
      <c r="D1223" s="36" t="s">
        <v>2999</v>
      </c>
      <c r="E1223" s="36" t="s">
        <v>4151</v>
      </c>
      <c r="F1223" s="37" t="s">
        <v>4157</v>
      </c>
      <c r="G1223" s="36" t="s">
        <v>4149</v>
      </c>
      <c r="H1223" s="36" t="s">
        <v>4156</v>
      </c>
      <c r="I1223" s="36" t="s">
        <v>824</v>
      </c>
    </row>
    <row r="1224" spans="1:9" x14ac:dyDescent="0.3">
      <c r="A1224">
        <v>1227</v>
      </c>
      <c r="B1224" s="36" t="s">
        <v>4162</v>
      </c>
      <c r="C1224" s="36" t="s">
        <v>4154</v>
      </c>
      <c r="D1224" s="36" t="s">
        <v>2999</v>
      </c>
      <c r="E1224" s="36" t="s">
        <v>4151</v>
      </c>
      <c r="F1224" s="37" t="s">
        <v>4148</v>
      </c>
      <c r="G1224" s="36" t="s">
        <v>4149</v>
      </c>
      <c r="H1224" s="36" t="s">
        <v>4156</v>
      </c>
      <c r="I1224" s="36" t="s">
        <v>824</v>
      </c>
    </row>
    <row r="1225" spans="1:9" x14ac:dyDescent="0.3">
      <c r="A1225">
        <v>1228</v>
      </c>
      <c r="B1225" s="36" t="s">
        <v>4162</v>
      </c>
      <c r="C1225" s="36" t="s">
        <v>4154</v>
      </c>
      <c r="D1225" s="36" t="s">
        <v>2994</v>
      </c>
      <c r="E1225" s="36" t="s">
        <v>4147</v>
      </c>
      <c r="F1225" s="37" t="s">
        <v>4148</v>
      </c>
      <c r="G1225" s="36" t="s">
        <v>4149</v>
      </c>
      <c r="H1225" s="36" t="s">
        <v>4156</v>
      </c>
      <c r="I1225" s="36" t="s">
        <v>824</v>
      </c>
    </row>
    <row r="1226" spans="1:9" x14ac:dyDescent="0.3">
      <c r="A1226">
        <v>1229</v>
      </c>
      <c r="B1226" s="36" t="s">
        <v>4162</v>
      </c>
      <c r="C1226" s="36" t="s">
        <v>4146</v>
      </c>
      <c r="D1226" s="36" t="s">
        <v>2999</v>
      </c>
      <c r="E1226" s="36" t="s">
        <v>4151</v>
      </c>
      <c r="F1226" s="37" t="s">
        <v>4155</v>
      </c>
      <c r="G1226" s="36" t="s">
        <v>4149</v>
      </c>
      <c r="H1226" s="36" t="s">
        <v>4156</v>
      </c>
      <c r="I1226" s="36" t="s">
        <v>824</v>
      </c>
    </row>
    <row r="1227" spans="1:9" x14ac:dyDescent="0.3">
      <c r="A1227">
        <v>1230</v>
      </c>
      <c r="B1227" s="36" t="s">
        <v>4162</v>
      </c>
      <c r="C1227" s="36" t="s">
        <v>4154</v>
      </c>
      <c r="D1227" s="36" t="s">
        <v>2999</v>
      </c>
      <c r="E1227" s="36" t="s">
        <v>4151</v>
      </c>
      <c r="F1227" s="37" t="s">
        <v>4148</v>
      </c>
      <c r="G1227" s="36" t="s">
        <v>4149</v>
      </c>
      <c r="H1227" s="36" t="s">
        <v>4156</v>
      </c>
      <c r="I1227" s="36" t="s">
        <v>824</v>
      </c>
    </row>
    <row r="1228" spans="1:9" x14ac:dyDescent="0.3">
      <c r="A1228">
        <v>1231</v>
      </c>
      <c r="B1228" s="36" t="s">
        <v>4162</v>
      </c>
      <c r="C1228" s="36" t="s">
        <v>4154</v>
      </c>
      <c r="D1228" s="36" t="s">
        <v>2994</v>
      </c>
      <c r="E1228" s="36" t="s">
        <v>4147</v>
      </c>
      <c r="F1228" s="37" t="s">
        <v>4152</v>
      </c>
      <c r="G1228" s="36" t="s">
        <v>4153</v>
      </c>
      <c r="H1228" s="36" t="s">
        <v>4156</v>
      </c>
      <c r="I1228" s="36" t="s">
        <v>824</v>
      </c>
    </row>
    <row r="1229" spans="1:9" x14ac:dyDescent="0.3">
      <c r="A1229">
        <v>1232</v>
      </c>
      <c r="B1229" s="36" t="s">
        <v>4162</v>
      </c>
      <c r="C1229" s="36" t="s">
        <v>4154</v>
      </c>
      <c r="D1229" s="36" t="s">
        <v>3001</v>
      </c>
      <c r="E1229" s="36" t="s">
        <v>4147</v>
      </c>
      <c r="F1229" s="37" t="s">
        <v>4148</v>
      </c>
      <c r="G1229" s="36" t="s">
        <v>4153</v>
      </c>
      <c r="H1229" s="36" t="s">
        <v>4156</v>
      </c>
      <c r="I1229" s="36" t="s">
        <v>824</v>
      </c>
    </row>
    <row r="1230" spans="1:9" x14ac:dyDescent="0.3">
      <c r="A1230">
        <v>1233</v>
      </c>
      <c r="B1230" s="36" t="s">
        <v>4162</v>
      </c>
      <c r="C1230" s="36" t="s">
        <v>4146</v>
      </c>
      <c r="D1230" s="36" t="s">
        <v>2999</v>
      </c>
      <c r="E1230" s="36" t="s">
        <v>4151</v>
      </c>
      <c r="F1230" s="37" t="s">
        <v>4159</v>
      </c>
      <c r="G1230" s="36" t="s">
        <v>4149</v>
      </c>
      <c r="H1230" s="36" t="s">
        <v>4156</v>
      </c>
      <c r="I1230" s="36" t="s">
        <v>824</v>
      </c>
    </row>
    <row r="1231" spans="1:9" x14ac:dyDescent="0.3">
      <c r="A1231">
        <v>1234</v>
      </c>
      <c r="B1231" s="36" t="s">
        <v>4162</v>
      </c>
      <c r="C1231" s="36" t="s">
        <v>4146</v>
      </c>
      <c r="D1231" s="36" t="s">
        <v>2999</v>
      </c>
      <c r="E1231" s="36" t="s">
        <v>4151</v>
      </c>
      <c r="F1231" s="37" t="s">
        <v>4155</v>
      </c>
      <c r="G1231" s="36" t="s">
        <v>4149</v>
      </c>
      <c r="H1231" s="36" t="s">
        <v>4156</v>
      </c>
      <c r="I1231" s="36" t="s">
        <v>824</v>
      </c>
    </row>
    <row r="1232" spans="1:9" x14ac:dyDescent="0.3">
      <c r="A1232">
        <v>1235</v>
      </c>
      <c r="B1232" s="36" t="s">
        <v>4162</v>
      </c>
      <c r="C1232" s="36" t="s">
        <v>4154</v>
      </c>
      <c r="D1232" s="36" t="s">
        <v>2999</v>
      </c>
      <c r="E1232" s="36" t="s">
        <v>4151</v>
      </c>
      <c r="F1232" s="37" t="s">
        <v>4148</v>
      </c>
      <c r="G1232" s="36" t="s">
        <v>4149</v>
      </c>
      <c r="H1232" s="36" t="s">
        <v>4156</v>
      </c>
      <c r="I1232" s="36" t="s">
        <v>824</v>
      </c>
    </row>
    <row r="1233" spans="1:9" x14ac:dyDescent="0.3">
      <c r="A1233">
        <v>1236</v>
      </c>
      <c r="B1233" s="36" t="s">
        <v>4162</v>
      </c>
      <c r="C1233" s="36" t="s">
        <v>4154</v>
      </c>
      <c r="D1233" s="36" t="s">
        <v>2999</v>
      </c>
      <c r="E1233" s="36" t="s">
        <v>4151</v>
      </c>
      <c r="F1233" s="37" t="s">
        <v>4157</v>
      </c>
      <c r="G1233" s="36" t="s">
        <v>4149</v>
      </c>
      <c r="H1233" s="36" t="s">
        <v>4156</v>
      </c>
      <c r="I1233" s="36" t="s">
        <v>824</v>
      </c>
    </row>
    <row r="1234" spans="1:9" x14ac:dyDescent="0.3">
      <c r="A1234">
        <v>1237</v>
      </c>
      <c r="B1234" s="36" t="s">
        <v>4162</v>
      </c>
      <c r="C1234" s="36" t="s">
        <v>4146</v>
      </c>
      <c r="D1234" s="36" t="s">
        <v>2999</v>
      </c>
      <c r="E1234" s="36" t="s">
        <v>4151</v>
      </c>
      <c r="F1234" s="37" t="s">
        <v>4159</v>
      </c>
      <c r="G1234" s="36" t="s">
        <v>4149</v>
      </c>
      <c r="H1234" s="36" t="s">
        <v>4156</v>
      </c>
      <c r="I1234" s="36" t="s">
        <v>824</v>
      </c>
    </row>
    <row r="1235" spans="1:9" x14ac:dyDescent="0.3">
      <c r="A1235">
        <v>1238</v>
      </c>
      <c r="B1235" s="36" t="s">
        <v>4162</v>
      </c>
      <c r="C1235" s="36" t="s">
        <v>4154</v>
      </c>
      <c r="D1235" s="36" t="s">
        <v>2999</v>
      </c>
      <c r="E1235" s="36" t="s">
        <v>4151</v>
      </c>
      <c r="F1235" s="37" t="s">
        <v>4148</v>
      </c>
      <c r="G1235" s="36" t="s">
        <v>4149</v>
      </c>
      <c r="H1235" s="36" t="s">
        <v>4156</v>
      </c>
      <c r="I1235" s="36" t="s">
        <v>824</v>
      </c>
    </row>
    <row r="1236" spans="1:9" x14ac:dyDescent="0.3">
      <c r="A1236">
        <v>1239</v>
      </c>
      <c r="B1236" s="36" t="s">
        <v>4162</v>
      </c>
      <c r="C1236" s="36" t="s">
        <v>4146</v>
      </c>
      <c r="D1236" s="36" t="s">
        <v>2999</v>
      </c>
      <c r="E1236" s="36" t="s">
        <v>4151</v>
      </c>
      <c r="F1236" s="37" t="s">
        <v>4148</v>
      </c>
      <c r="G1236" s="36" t="s">
        <v>4149</v>
      </c>
      <c r="H1236" s="36" t="s">
        <v>4156</v>
      </c>
      <c r="I1236" s="36" t="s">
        <v>824</v>
      </c>
    </row>
    <row r="1237" spans="1:9" x14ac:dyDescent="0.3">
      <c r="A1237">
        <v>1240</v>
      </c>
      <c r="B1237" s="36" t="s">
        <v>4162</v>
      </c>
      <c r="C1237" s="36" t="s">
        <v>4154</v>
      </c>
      <c r="D1237" s="36" t="s">
        <v>2999</v>
      </c>
      <c r="E1237" s="36" t="s">
        <v>4151</v>
      </c>
      <c r="F1237" s="37" t="s">
        <v>4155</v>
      </c>
      <c r="G1237" s="36" t="s">
        <v>4149</v>
      </c>
      <c r="H1237" s="36" t="s">
        <v>4156</v>
      </c>
      <c r="I1237" s="36" t="s">
        <v>824</v>
      </c>
    </row>
    <row r="1238" spans="1:9" x14ac:dyDescent="0.3">
      <c r="A1238">
        <v>1241</v>
      </c>
      <c r="B1238" s="36" t="s">
        <v>4162</v>
      </c>
      <c r="C1238" s="36" t="s">
        <v>4146</v>
      </c>
      <c r="D1238" s="36" t="s">
        <v>2996</v>
      </c>
      <c r="E1238" s="36" t="s">
        <v>4151</v>
      </c>
      <c r="F1238" s="37" t="s">
        <v>4152</v>
      </c>
      <c r="G1238" s="36" t="s">
        <v>4153</v>
      </c>
      <c r="H1238" s="36" t="s">
        <v>4156</v>
      </c>
      <c r="I1238" s="36" t="s">
        <v>4199</v>
      </c>
    </row>
    <row r="1239" spans="1:9" x14ac:dyDescent="0.3">
      <c r="A1239">
        <v>1242</v>
      </c>
      <c r="B1239" s="36" t="s">
        <v>4162</v>
      </c>
      <c r="C1239" s="36" t="s">
        <v>4154</v>
      </c>
      <c r="D1239" s="36" t="s">
        <v>2999</v>
      </c>
      <c r="E1239" s="36" t="s">
        <v>4151</v>
      </c>
      <c r="F1239" s="37" t="s">
        <v>4148</v>
      </c>
      <c r="G1239" s="36" t="s">
        <v>4153</v>
      </c>
      <c r="H1239" s="36" t="s">
        <v>4156</v>
      </c>
      <c r="I1239" s="36" t="s">
        <v>4199</v>
      </c>
    </row>
    <row r="1240" spans="1:9" x14ac:dyDescent="0.3">
      <c r="A1240">
        <v>1243</v>
      </c>
      <c r="B1240" s="36" t="s">
        <v>4162</v>
      </c>
      <c r="C1240" s="36" t="s">
        <v>4154</v>
      </c>
      <c r="D1240" s="36" t="s">
        <v>2999</v>
      </c>
      <c r="E1240" s="36" t="s">
        <v>4151</v>
      </c>
      <c r="F1240" s="37" t="s">
        <v>4148</v>
      </c>
      <c r="G1240" s="36" t="s">
        <v>4149</v>
      </c>
      <c r="H1240" s="36" t="s">
        <v>4156</v>
      </c>
      <c r="I1240" s="36" t="s">
        <v>4199</v>
      </c>
    </row>
    <row r="1241" spans="1:9" x14ac:dyDescent="0.3">
      <c r="A1241">
        <v>1244</v>
      </c>
      <c r="B1241" s="36" t="s">
        <v>4162</v>
      </c>
      <c r="C1241" s="36" t="s">
        <v>4154</v>
      </c>
      <c r="D1241" s="36" t="s">
        <v>2999</v>
      </c>
      <c r="E1241" s="36" t="s">
        <v>4151</v>
      </c>
      <c r="F1241" s="37" t="s">
        <v>4148</v>
      </c>
      <c r="G1241" s="36" t="s">
        <v>4149</v>
      </c>
      <c r="H1241" s="36" t="s">
        <v>4156</v>
      </c>
      <c r="I1241" s="36" t="s">
        <v>4199</v>
      </c>
    </row>
    <row r="1242" spans="1:9" x14ac:dyDescent="0.3">
      <c r="A1242">
        <v>1245</v>
      </c>
      <c r="B1242" s="36" t="s">
        <v>4162</v>
      </c>
      <c r="C1242" s="36" t="s">
        <v>4146</v>
      </c>
      <c r="D1242" s="36" t="s">
        <v>3001</v>
      </c>
      <c r="E1242" s="36" t="s">
        <v>4147</v>
      </c>
      <c r="F1242" s="37" t="s">
        <v>4159</v>
      </c>
      <c r="G1242" s="36" t="s">
        <v>4153</v>
      </c>
      <c r="H1242" s="36" t="s">
        <v>4156</v>
      </c>
      <c r="I1242" s="36" t="s">
        <v>4199</v>
      </c>
    </row>
    <row r="1243" spans="1:9" x14ac:dyDescent="0.3">
      <c r="A1243">
        <v>1246</v>
      </c>
      <c r="B1243" s="36" t="s">
        <v>4162</v>
      </c>
      <c r="C1243" s="36" t="s">
        <v>4154</v>
      </c>
      <c r="D1243" s="36" t="s">
        <v>2999</v>
      </c>
      <c r="E1243" s="36" t="s">
        <v>4151</v>
      </c>
      <c r="F1243" s="37" t="s">
        <v>4148</v>
      </c>
      <c r="G1243" s="36" t="s">
        <v>4149</v>
      </c>
      <c r="H1243" s="36" t="s">
        <v>4156</v>
      </c>
      <c r="I1243" s="36" t="s">
        <v>824</v>
      </c>
    </row>
    <row r="1244" spans="1:9" x14ac:dyDescent="0.3">
      <c r="A1244">
        <v>1247</v>
      </c>
      <c r="B1244" s="36" t="s">
        <v>4162</v>
      </c>
      <c r="C1244" s="36" t="s">
        <v>4154</v>
      </c>
      <c r="D1244" s="36" t="s">
        <v>2999</v>
      </c>
      <c r="E1244" s="36" t="s">
        <v>4151</v>
      </c>
      <c r="F1244" s="37" t="s">
        <v>4148</v>
      </c>
      <c r="G1244" s="36" t="s">
        <v>4153</v>
      </c>
      <c r="H1244" s="36" t="s">
        <v>4156</v>
      </c>
      <c r="I1244" s="36" t="s">
        <v>824</v>
      </c>
    </row>
    <row r="1245" spans="1:9" x14ac:dyDescent="0.3">
      <c r="A1245">
        <v>1248</v>
      </c>
      <c r="B1245" s="36" t="s">
        <v>4162</v>
      </c>
      <c r="C1245" s="36" t="s">
        <v>4146</v>
      </c>
      <c r="D1245" s="36" t="s">
        <v>3001</v>
      </c>
      <c r="E1245" s="36" t="s">
        <v>4147</v>
      </c>
      <c r="F1245" s="37" t="s">
        <v>4148</v>
      </c>
      <c r="G1245" s="36" t="s">
        <v>4153</v>
      </c>
      <c r="H1245" s="36" t="s">
        <v>4156</v>
      </c>
      <c r="I1245" s="36" t="s">
        <v>824</v>
      </c>
    </row>
    <row r="1246" spans="1:9" x14ac:dyDescent="0.3">
      <c r="A1246">
        <v>1249</v>
      </c>
      <c r="B1246" s="36" t="s">
        <v>4162</v>
      </c>
      <c r="C1246" s="36" t="s">
        <v>4154</v>
      </c>
      <c r="D1246" s="36" t="s">
        <v>2999</v>
      </c>
      <c r="E1246" s="36" t="s">
        <v>4151</v>
      </c>
      <c r="F1246" s="37" t="s">
        <v>4155</v>
      </c>
      <c r="G1246" s="36" t="s">
        <v>4149</v>
      </c>
      <c r="H1246" s="36" t="s">
        <v>4156</v>
      </c>
      <c r="I1246" s="36" t="s">
        <v>824</v>
      </c>
    </row>
    <row r="1247" spans="1:9" x14ac:dyDescent="0.3">
      <c r="A1247">
        <v>1250</v>
      </c>
      <c r="B1247" s="36" t="s">
        <v>4162</v>
      </c>
      <c r="C1247" s="36" t="s">
        <v>4154</v>
      </c>
      <c r="D1247" s="36" t="s">
        <v>2999</v>
      </c>
      <c r="E1247" s="36" t="s">
        <v>4151</v>
      </c>
      <c r="F1247" s="37" t="s">
        <v>4148</v>
      </c>
      <c r="G1247" s="36" t="s">
        <v>4149</v>
      </c>
      <c r="H1247" s="36" t="s">
        <v>4156</v>
      </c>
      <c r="I1247" s="36" t="s">
        <v>4160</v>
      </c>
    </row>
    <row r="1248" spans="1:9" x14ac:dyDescent="0.3">
      <c r="A1248">
        <v>1251</v>
      </c>
      <c r="B1248" s="36" t="s">
        <v>4162</v>
      </c>
      <c r="C1248" s="36" t="s">
        <v>4154</v>
      </c>
      <c r="D1248" s="36" t="s">
        <v>2999</v>
      </c>
      <c r="E1248" s="36" t="s">
        <v>4151</v>
      </c>
      <c r="F1248" s="37" t="s">
        <v>4148</v>
      </c>
      <c r="G1248" s="36" t="s">
        <v>4149</v>
      </c>
      <c r="H1248" s="36" t="s">
        <v>4156</v>
      </c>
      <c r="I1248" s="36" t="s">
        <v>824</v>
      </c>
    </row>
    <row r="1249" spans="1:9" x14ac:dyDescent="0.3">
      <c r="A1249">
        <v>1252</v>
      </c>
      <c r="B1249" s="36" t="s">
        <v>4162</v>
      </c>
      <c r="C1249" s="36" t="s">
        <v>4154</v>
      </c>
      <c r="D1249" s="36" t="s">
        <v>2999</v>
      </c>
      <c r="E1249" s="36" t="s">
        <v>4151</v>
      </c>
      <c r="F1249" s="37" t="s">
        <v>4155</v>
      </c>
      <c r="G1249" s="36" t="s">
        <v>4149</v>
      </c>
      <c r="H1249" s="36" t="s">
        <v>4156</v>
      </c>
      <c r="I1249" s="36" t="s">
        <v>824</v>
      </c>
    </row>
    <row r="1250" spans="1:9" x14ac:dyDescent="0.3">
      <c r="A1250">
        <v>1253</v>
      </c>
      <c r="B1250" s="36" t="s">
        <v>4162</v>
      </c>
      <c r="C1250" s="36" t="s">
        <v>4154</v>
      </c>
      <c r="D1250" s="36" t="s">
        <v>2999</v>
      </c>
      <c r="E1250" s="36" t="s">
        <v>4151</v>
      </c>
      <c r="F1250" s="37" t="s">
        <v>4155</v>
      </c>
      <c r="G1250" s="36" t="s">
        <v>4149</v>
      </c>
      <c r="H1250" s="36" t="s">
        <v>4156</v>
      </c>
      <c r="I1250" s="36" t="s">
        <v>824</v>
      </c>
    </row>
    <row r="1251" spans="1:9" x14ac:dyDescent="0.3">
      <c r="A1251">
        <v>1254</v>
      </c>
      <c r="B1251" s="36" t="s">
        <v>4162</v>
      </c>
      <c r="C1251" s="36" t="s">
        <v>4154</v>
      </c>
      <c r="D1251" s="36" t="s">
        <v>2999</v>
      </c>
      <c r="E1251" s="36" t="s">
        <v>4151</v>
      </c>
      <c r="F1251" s="37" t="s">
        <v>4148</v>
      </c>
      <c r="G1251" s="36" t="s">
        <v>4149</v>
      </c>
      <c r="H1251" s="36" t="s">
        <v>4156</v>
      </c>
      <c r="I1251" s="36" t="s">
        <v>4199</v>
      </c>
    </row>
    <row r="1252" spans="1:9" x14ac:dyDescent="0.3">
      <c r="A1252">
        <v>1255</v>
      </c>
      <c r="B1252" s="36" t="s">
        <v>4162</v>
      </c>
      <c r="C1252" s="36" t="s">
        <v>4146</v>
      </c>
      <c r="D1252" s="36" t="s">
        <v>2999</v>
      </c>
      <c r="E1252" s="36" t="s">
        <v>4151</v>
      </c>
      <c r="F1252" s="37" t="s">
        <v>4148</v>
      </c>
      <c r="G1252" s="36" t="s">
        <v>4149</v>
      </c>
      <c r="H1252" s="36" t="s">
        <v>4156</v>
      </c>
      <c r="I1252" s="36" t="s">
        <v>824</v>
      </c>
    </row>
    <row r="1253" spans="1:9" x14ac:dyDescent="0.3">
      <c r="A1253">
        <v>1256</v>
      </c>
      <c r="B1253" s="36" t="s">
        <v>4162</v>
      </c>
      <c r="C1253" s="36" t="s">
        <v>4154</v>
      </c>
      <c r="D1253" s="36" t="s">
        <v>2999</v>
      </c>
      <c r="E1253" s="36" t="s">
        <v>4151</v>
      </c>
      <c r="F1253" s="37" t="s">
        <v>4148</v>
      </c>
      <c r="G1253" s="36" t="s">
        <v>4149</v>
      </c>
      <c r="H1253" s="36" t="s">
        <v>4156</v>
      </c>
      <c r="I1253" s="36" t="s">
        <v>4199</v>
      </c>
    </row>
    <row r="1254" spans="1:9" x14ac:dyDescent="0.3">
      <c r="A1254">
        <v>1257</v>
      </c>
      <c r="B1254" s="36" t="s">
        <v>4162</v>
      </c>
      <c r="C1254" s="36" t="s">
        <v>4146</v>
      </c>
      <c r="D1254" s="36" t="s">
        <v>2996</v>
      </c>
      <c r="E1254" s="36" t="s">
        <v>4151</v>
      </c>
      <c r="F1254" s="37" t="s">
        <v>4152</v>
      </c>
      <c r="G1254" s="36" t="s">
        <v>4153</v>
      </c>
      <c r="H1254" s="36" t="s">
        <v>4156</v>
      </c>
      <c r="I1254" s="36" t="s">
        <v>4199</v>
      </c>
    </row>
    <row r="1255" spans="1:9" x14ac:dyDescent="0.3">
      <c r="A1255">
        <v>1258</v>
      </c>
      <c r="B1255" s="36" t="s">
        <v>4162</v>
      </c>
      <c r="C1255" s="36" t="s">
        <v>4146</v>
      </c>
      <c r="D1255" s="36" t="s">
        <v>2994</v>
      </c>
      <c r="E1255" s="36" t="s">
        <v>4147</v>
      </c>
      <c r="F1255" s="37" t="s">
        <v>4152</v>
      </c>
      <c r="G1255" s="36" t="s">
        <v>4153</v>
      </c>
      <c r="H1255" s="36" t="s">
        <v>4156</v>
      </c>
      <c r="I1255" s="36" t="s">
        <v>4199</v>
      </c>
    </row>
    <row r="1256" spans="1:9" x14ac:dyDescent="0.3">
      <c r="A1256">
        <v>1259</v>
      </c>
      <c r="B1256" s="36" t="s">
        <v>4162</v>
      </c>
      <c r="C1256" s="36" t="s">
        <v>4146</v>
      </c>
      <c r="D1256" s="36" t="s">
        <v>3001</v>
      </c>
      <c r="E1256" s="36" t="s">
        <v>4147</v>
      </c>
      <c r="F1256" s="37" t="s">
        <v>4148</v>
      </c>
      <c r="G1256" s="36" t="s">
        <v>4153</v>
      </c>
      <c r="H1256" s="36" t="s">
        <v>4156</v>
      </c>
      <c r="I1256" s="36" t="s">
        <v>4199</v>
      </c>
    </row>
    <row r="1257" spans="1:9" x14ac:dyDescent="0.3">
      <c r="A1257">
        <v>1260</v>
      </c>
      <c r="B1257" s="36" t="s">
        <v>4162</v>
      </c>
      <c r="C1257" s="36" t="s">
        <v>4154</v>
      </c>
      <c r="D1257" s="36" t="s">
        <v>2999</v>
      </c>
      <c r="E1257" s="36" t="s">
        <v>4151</v>
      </c>
      <c r="F1257" s="37" t="s">
        <v>4155</v>
      </c>
      <c r="G1257" s="36" t="s">
        <v>4149</v>
      </c>
      <c r="H1257" s="36" t="s">
        <v>4156</v>
      </c>
      <c r="I1257" s="36" t="s">
        <v>824</v>
      </c>
    </row>
    <row r="1258" spans="1:9" x14ac:dyDescent="0.3">
      <c r="A1258">
        <v>1261</v>
      </c>
      <c r="B1258" s="36" t="s">
        <v>4162</v>
      </c>
      <c r="C1258" s="36" t="s">
        <v>4146</v>
      </c>
      <c r="D1258" s="36" t="s">
        <v>2994</v>
      </c>
      <c r="E1258" s="36" t="s">
        <v>4147</v>
      </c>
      <c r="F1258" s="37" t="s">
        <v>4159</v>
      </c>
      <c r="G1258" s="36" t="s">
        <v>4149</v>
      </c>
      <c r="H1258" s="36" t="s">
        <v>4156</v>
      </c>
      <c r="I1258" s="36" t="s">
        <v>824</v>
      </c>
    </row>
    <row r="1259" spans="1:9" x14ac:dyDescent="0.3">
      <c r="A1259">
        <v>1262</v>
      </c>
      <c r="B1259" s="36" t="s">
        <v>4162</v>
      </c>
      <c r="C1259" s="36" t="s">
        <v>4146</v>
      </c>
      <c r="D1259" s="36" t="s">
        <v>3001</v>
      </c>
      <c r="E1259" s="36" t="s">
        <v>4147</v>
      </c>
      <c r="F1259" s="37" t="s">
        <v>4157</v>
      </c>
      <c r="G1259" s="36" t="s">
        <v>4149</v>
      </c>
      <c r="H1259" s="36" t="s">
        <v>4156</v>
      </c>
      <c r="I1259" s="36" t="s">
        <v>824</v>
      </c>
    </row>
    <row r="1260" spans="1:9" x14ac:dyDescent="0.3">
      <c r="A1260">
        <v>1263</v>
      </c>
      <c r="B1260" s="36" t="s">
        <v>4162</v>
      </c>
      <c r="C1260" s="36" t="s">
        <v>4154</v>
      </c>
      <c r="D1260" s="36" t="s">
        <v>2996</v>
      </c>
      <c r="E1260" s="36" t="s">
        <v>4151</v>
      </c>
      <c r="F1260" s="37" t="s">
        <v>4148</v>
      </c>
      <c r="G1260" s="36" t="s">
        <v>4153</v>
      </c>
      <c r="H1260" s="36" t="s">
        <v>4156</v>
      </c>
      <c r="I1260" s="36" t="s">
        <v>824</v>
      </c>
    </row>
    <row r="1261" spans="1:9" x14ac:dyDescent="0.3">
      <c r="A1261">
        <v>1264</v>
      </c>
      <c r="B1261" s="36" t="s">
        <v>4162</v>
      </c>
      <c r="C1261" s="36" t="s">
        <v>4154</v>
      </c>
      <c r="D1261" s="36" t="s">
        <v>2996</v>
      </c>
      <c r="E1261" s="36" t="s">
        <v>4151</v>
      </c>
      <c r="F1261" s="37" t="s">
        <v>4152</v>
      </c>
      <c r="G1261" s="36" t="s">
        <v>4153</v>
      </c>
      <c r="H1261" s="36" t="s">
        <v>4156</v>
      </c>
      <c r="I1261" s="36" t="s">
        <v>824</v>
      </c>
    </row>
    <row r="1262" spans="1:9" x14ac:dyDescent="0.3">
      <c r="A1262">
        <v>1265</v>
      </c>
      <c r="B1262" s="36" t="s">
        <v>4162</v>
      </c>
      <c r="C1262" s="36" t="s">
        <v>4154</v>
      </c>
      <c r="D1262" s="36" t="s">
        <v>2999</v>
      </c>
      <c r="E1262" s="36" t="s">
        <v>4151</v>
      </c>
      <c r="F1262" s="37" t="s">
        <v>4155</v>
      </c>
      <c r="G1262" s="36" t="s">
        <v>4153</v>
      </c>
      <c r="H1262" s="36" t="s">
        <v>4156</v>
      </c>
      <c r="I1262" s="36" t="s">
        <v>824</v>
      </c>
    </row>
    <row r="1263" spans="1:9" x14ac:dyDescent="0.3">
      <c r="A1263">
        <v>1266</v>
      </c>
      <c r="B1263" s="36" t="s">
        <v>4162</v>
      </c>
      <c r="C1263" s="36" t="s">
        <v>4154</v>
      </c>
      <c r="D1263" s="36" t="s">
        <v>2994</v>
      </c>
      <c r="E1263" s="36" t="s">
        <v>4147</v>
      </c>
      <c r="F1263" s="37" t="s">
        <v>4152</v>
      </c>
      <c r="G1263" s="36" t="s">
        <v>4153</v>
      </c>
      <c r="H1263" s="36" t="s">
        <v>4156</v>
      </c>
      <c r="I1263" s="36" t="s">
        <v>824</v>
      </c>
    </row>
    <row r="1264" spans="1:9" x14ac:dyDescent="0.3">
      <c r="A1264">
        <v>1267</v>
      </c>
      <c r="B1264" s="36" t="s">
        <v>4162</v>
      </c>
      <c r="C1264" s="36" t="s">
        <v>4154</v>
      </c>
      <c r="D1264" s="36" t="s">
        <v>2999</v>
      </c>
      <c r="E1264" s="36" t="s">
        <v>4151</v>
      </c>
      <c r="F1264" s="37" t="s">
        <v>4155</v>
      </c>
      <c r="G1264" s="36" t="s">
        <v>4153</v>
      </c>
      <c r="H1264" s="36" t="s">
        <v>4156</v>
      </c>
      <c r="I1264" s="36" t="s">
        <v>824</v>
      </c>
    </row>
    <row r="1265" spans="1:9" x14ac:dyDescent="0.3">
      <c r="A1265">
        <v>1268</v>
      </c>
      <c r="B1265" s="36" t="s">
        <v>4162</v>
      </c>
      <c r="C1265" s="36" t="s">
        <v>4154</v>
      </c>
      <c r="D1265" s="36" t="s">
        <v>3001</v>
      </c>
      <c r="E1265" s="36" t="s">
        <v>4147</v>
      </c>
      <c r="F1265" s="37" t="s">
        <v>4148</v>
      </c>
      <c r="G1265" s="36" t="s">
        <v>4153</v>
      </c>
      <c r="H1265" s="36" t="s">
        <v>4156</v>
      </c>
      <c r="I1265" s="36" t="s">
        <v>824</v>
      </c>
    </row>
    <row r="1266" spans="1:9" x14ac:dyDescent="0.3">
      <c r="A1266">
        <v>1269</v>
      </c>
      <c r="B1266" s="36" t="s">
        <v>4162</v>
      </c>
      <c r="C1266" s="36" t="s">
        <v>4154</v>
      </c>
      <c r="D1266" s="36" t="s">
        <v>2999</v>
      </c>
      <c r="E1266" s="36" t="s">
        <v>4151</v>
      </c>
      <c r="F1266" s="37" t="s">
        <v>4148</v>
      </c>
      <c r="G1266" s="36" t="s">
        <v>4149</v>
      </c>
      <c r="H1266" s="36" t="s">
        <v>4156</v>
      </c>
      <c r="I1266" s="36" t="s">
        <v>824</v>
      </c>
    </row>
    <row r="1267" spans="1:9" x14ac:dyDescent="0.3">
      <c r="A1267">
        <v>1270</v>
      </c>
      <c r="B1267" s="36" t="s">
        <v>4162</v>
      </c>
      <c r="C1267" s="36" t="s">
        <v>4154</v>
      </c>
      <c r="D1267" s="36" t="s">
        <v>2999</v>
      </c>
      <c r="E1267" s="36" t="s">
        <v>4151</v>
      </c>
      <c r="F1267" s="37" t="s">
        <v>4155</v>
      </c>
      <c r="G1267" s="36" t="s">
        <v>4149</v>
      </c>
      <c r="H1267" s="36" t="s">
        <v>4156</v>
      </c>
      <c r="I1267" s="36" t="s">
        <v>824</v>
      </c>
    </row>
    <row r="1268" spans="1:9" x14ac:dyDescent="0.3">
      <c r="A1268">
        <v>1271</v>
      </c>
      <c r="B1268" s="36" t="s">
        <v>4162</v>
      </c>
      <c r="C1268" s="36" t="s">
        <v>4154</v>
      </c>
      <c r="D1268" s="36" t="s">
        <v>2999</v>
      </c>
      <c r="E1268" s="36" t="s">
        <v>4151</v>
      </c>
      <c r="F1268" s="37" t="s">
        <v>4148</v>
      </c>
      <c r="G1268" s="36" t="s">
        <v>4149</v>
      </c>
      <c r="H1268" s="36" t="s">
        <v>4156</v>
      </c>
      <c r="I1268" s="36" t="s">
        <v>824</v>
      </c>
    </row>
    <row r="1269" spans="1:9" x14ac:dyDescent="0.3">
      <c r="A1269">
        <v>1272</v>
      </c>
      <c r="B1269" s="36" t="s">
        <v>4162</v>
      </c>
      <c r="C1269" s="36" t="s">
        <v>4154</v>
      </c>
      <c r="D1269" s="36" t="s">
        <v>2999</v>
      </c>
      <c r="E1269" s="36" t="s">
        <v>4151</v>
      </c>
      <c r="F1269" s="37" t="s">
        <v>4148</v>
      </c>
      <c r="G1269" s="36" t="s">
        <v>4149</v>
      </c>
      <c r="H1269" s="36" t="s">
        <v>4156</v>
      </c>
      <c r="I1269" s="36" t="s">
        <v>824</v>
      </c>
    </row>
    <row r="1270" spans="1:9" x14ac:dyDescent="0.3">
      <c r="A1270">
        <v>1273</v>
      </c>
      <c r="B1270" s="36" t="s">
        <v>4162</v>
      </c>
      <c r="C1270" s="36" t="s">
        <v>4154</v>
      </c>
      <c r="D1270" s="36" t="s">
        <v>2999</v>
      </c>
      <c r="E1270" s="36" t="s">
        <v>4151</v>
      </c>
      <c r="F1270" s="37" t="s">
        <v>4155</v>
      </c>
      <c r="G1270" s="36" t="s">
        <v>4149</v>
      </c>
      <c r="H1270" s="36" t="s">
        <v>4156</v>
      </c>
      <c r="I1270" s="36" t="s">
        <v>824</v>
      </c>
    </row>
    <row r="1271" spans="1:9" x14ac:dyDescent="0.3">
      <c r="A1271">
        <v>1274</v>
      </c>
      <c r="B1271" s="36" t="s">
        <v>4162</v>
      </c>
      <c r="C1271" s="36" t="s">
        <v>4154</v>
      </c>
      <c r="D1271" s="36" t="s">
        <v>2994</v>
      </c>
      <c r="E1271" s="36" t="s">
        <v>4147</v>
      </c>
      <c r="F1271" s="37" t="s">
        <v>4159</v>
      </c>
      <c r="G1271" s="36" t="s">
        <v>4153</v>
      </c>
      <c r="H1271" s="36" t="s">
        <v>4156</v>
      </c>
      <c r="I1271" s="36" t="s">
        <v>824</v>
      </c>
    </row>
    <row r="1272" spans="1:9" x14ac:dyDescent="0.3">
      <c r="A1272">
        <v>1275</v>
      </c>
      <c r="B1272" s="36" t="s">
        <v>4162</v>
      </c>
      <c r="C1272" s="36" t="s">
        <v>4154</v>
      </c>
      <c r="D1272" s="36" t="s">
        <v>2999</v>
      </c>
      <c r="E1272" s="36" t="s">
        <v>4151</v>
      </c>
      <c r="F1272" s="37" t="s">
        <v>4155</v>
      </c>
      <c r="G1272" s="36" t="s">
        <v>4153</v>
      </c>
      <c r="H1272" s="36" t="s">
        <v>4156</v>
      </c>
      <c r="I1272" s="36" t="s">
        <v>824</v>
      </c>
    </row>
    <row r="1273" spans="1:9" x14ac:dyDescent="0.3">
      <c r="A1273">
        <v>1276</v>
      </c>
      <c r="B1273" s="36" t="s">
        <v>4162</v>
      </c>
      <c r="C1273" s="36" t="s">
        <v>4154</v>
      </c>
      <c r="D1273" s="36" t="s">
        <v>2999</v>
      </c>
      <c r="E1273" s="36" t="s">
        <v>4151</v>
      </c>
      <c r="F1273" s="37" t="s">
        <v>4159</v>
      </c>
      <c r="G1273" s="36" t="s">
        <v>4153</v>
      </c>
      <c r="H1273" s="36" t="s">
        <v>4156</v>
      </c>
      <c r="I1273" s="36" t="s">
        <v>824</v>
      </c>
    </row>
    <row r="1274" spans="1:9" x14ac:dyDescent="0.3">
      <c r="A1274">
        <v>1277</v>
      </c>
      <c r="B1274" s="36" t="s">
        <v>4162</v>
      </c>
      <c r="C1274" s="36" t="s">
        <v>4154</v>
      </c>
      <c r="D1274" s="36" t="s">
        <v>3001</v>
      </c>
      <c r="E1274" s="36" t="s">
        <v>4147</v>
      </c>
      <c r="F1274" s="37" t="s">
        <v>4155</v>
      </c>
      <c r="G1274" s="36" t="s">
        <v>4153</v>
      </c>
      <c r="H1274" s="36" t="s">
        <v>4156</v>
      </c>
      <c r="I1274" s="36" t="s">
        <v>824</v>
      </c>
    </row>
    <row r="1275" spans="1:9" x14ac:dyDescent="0.3">
      <c r="A1275">
        <v>1278</v>
      </c>
      <c r="B1275" s="36" t="s">
        <v>4162</v>
      </c>
      <c r="C1275" s="36" t="s">
        <v>4146</v>
      </c>
      <c r="D1275" s="36" t="s">
        <v>2999</v>
      </c>
      <c r="E1275" s="36" t="s">
        <v>4151</v>
      </c>
      <c r="F1275" s="37" t="s">
        <v>4148</v>
      </c>
      <c r="G1275" s="36" t="s">
        <v>4149</v>
      </c>
      <c r="H1275" s="36" t="s">
        <v>4156</v>
      </c>
      <c r="I1275" s="36" t="s">
        <v>4199</v>
      </c>
    </row>
    <row r="1276" spans="1:9" x14ac:dyDescent="0.3">
      <c r="A1276">
        <v>1279</v>
      </c>
      <c r="B1276" s="36" t="s">
        <v>4162</v>
      </c>
      <c r="C1276" s="36" t="s">
        <v>4154</v>
      </c>
      <c r="D1276" s="36" t="s">
        <v>2999</v>
      </c>
      <c r="E1276" s="36" t="s">
        <v>4151</v>
      </c>
      <c r="F1276" s="37" t="s">
        <v>4148</v>
      </c>
      <c r="G1276" s="36" t="s">
        <v>4149</v>
      </c>
      <c r="H1276" s="36" t="s">
        <v>4156</v>
      </c>
      <c r="I1276" s="36" t="s">
        <v>824</v>
      </c>
    </row>
    <row r="1277" spans="1:9" x14ac:dyDescent="0.3">
      <c r="A1277">
        <v>1280</v>
      </c>
      <c r="B1277" s="36" t="s">
        <v>4162</v>
      </c>
      <c r="C1277" s="36" t="s">
        <v>4154</v>
      </c>
      <c r="D1277" s="36" t="s">
        <v>2994</v>
      </c>
      <c r="E1277" s="36" t="s">
        <v>4147</v>
      </c>
      <c r="F1277" s="37" t="s">
        <v>4159</v>
      </c>
      <c r="G1277" s="36" t="s">
        <v>4149</v>
      </c>
      <c r="H1277" s="36" t="s">
        <v>4156</v>
      </c>
      <c r="I1277" s="36" t="s">
        <v>824</v>
      </c>
    </row>
    <row r="1278" spans="1:9" x14ac:dyDescent="0.3">
      <c r="A1278">
        <v>1281</v>
      </c>
      <c r="B1278" s="36" t="s">
        <v>4162</v>
      </c>
      <c r="C1278" s="36" t="s">
        <v>4154</v>
      </c>
      <c r="D1278" s="36" t="s">
        <v>2999</v>
      </c>
      <c r="E1278" s="36" t="s">
        <v>4151</v>
      </c>
      <c r="F1278" s="37" t="s">
        <v>4148</v>
      </c>
      <c r="G1278" s="36" t="s">
        <v>4149</v>
      </c>
      <c r="H1278" s="36" t="s">
        <v>4156</v>
      </c>
      <c r="I1278" s="36" t="s">
        <v>824</v>
      </c>
    </row>
    <row r="1279" spans="1:9" x14ac:dyDescent="0.3">
      <c r="A1279">
        <v>1282</v>
      </c>
      <c r="B1279" s="36" t="s">
        <v>4162</v>
      </c>
      <c r="C1279" s="36" t="s">
        <v>4154</v>
      </c>
      <c r="D1279" s="36" t="s">
        <v>2999</v>
      </c>
      <c r="E1279" s="36" t="s">
        <v>4151</v>
      </c>
      <c r="F1279" s="37" t="s">
        <v>4148</v>
      </c>
      <c r="G1279" s="36" t="s">
        <v>4149</v>
      </c>
      <c r="H1279" s="36" t="s">
        <v>4156</v>
      </c>
      <c r="I1279" s="36" t="s">
        <v>824</v>
      </c>
    </row>
    <row r="1280" spans="1:9" x14ac:dyDescent="0.3">
      <c r="A1280">
        <v>1283</v>
      </c>
      <c r="B1280" s="36" t="s">
        <v>4162</v>
      </c>
      <c r="C1280" s="36" t="s">
        <v>4154</v>
      </c>
      <c r="D1280" s="36" t="s">
        <v>2999</v>
      </c>
      <c r="E1280" s="36" t="s">
        <v>4151</v>
      </c>
      <c r="F1280" s="37" t="s">
        <v>4148</v>
      </c>
      <c r="G1280" s="36" t="s">
        <v>4149</v>
      </c>
      <c r="H1280" s="36" t="s">
        <v>4156</v>
      </c>
      <c r="I1280" s="36" t="s">
        <v>824</v>
      </c>
    </row>
    <row r="1281" spans="1:9" x14ac:dyDescent="0.3">
      <c r="A1281">
        <v>1284</v>
      </c>
      <c r="B1281" s="36" t="s">
        <v>4162</v>
      </c>
      <c r="C1281" s="36" t="s">
        <v>4154</v>
      </c>
      <c r="D1281" s="36" t="s">
        <v>2999</v>
      </c>
      <c r="E1281" s="36" t="s">
        <v>4151</v>
      </c>
      <c r="F1281" s="37" t="s">
        <v>4148</v>
      </c>
      <c r="G1281" s="36" t="s">
        <v>4149</v>
      </c>
      <c r="H1281" s="36" t="s">
        <v>4156</v>
      </c>
      <c r="I1281" s="36" t="s">
        <v>824</v>
      </c>
    </row>
    <row r="1282" spans="1:9" x14ac:dyDescent="0.3">
      <c r="A1282">
        <v>1285</v>
      </c>
      <c r="B1282" s="36" t="s">
        <v>4162</v>
      </c>
      <c r="C1282" s="36" t="s">
        <v>4154</v>
      </c>
      <c r="D1282" s="36" t="s">
        <v>2999</v>
      </c>
      <c r="E1282" s="36" t="s">
        <v>4151</v>
      </c>
      <c r="F1282" s="37" t="s">
        <v>4148</v>
      </c>
      <c r="G1282" s="36" t="s">
        <v>4149</v>
      </c>
      <c r="H1282" s="36" t="s">
        <v>4156</v>
      </c>
      <c r="I1282" s="36" t="s">
        <v>824</v>
      </c>
    </row>
    <row r="1283" spans="1:9" x14ac:dyDescent="0.3">
      <c r="A1283">
        <v>1286</v>
      </c>
      <c r="B1283" s="36" t="s">
        <v>4162</v>
      </c>
      <c r="C1283" s="36" t="s">
        <v>4154</v>
      </c>
      <c r="D1283" s="36" t="s">
        <v>2999</v>
      </c>
      <c r="E1283" s="36" t="s">
        <v>4151</v>
      </c>
      <c r="F1283" s="37" t="s">
        <v>4155</v>
      </c>
      <c r="G1283" s="36" t="s">
        <v>4149</v>
      </c>
      <c r="H1283" s="36" t="s">
        <v>4156</v>
      </c>
      <c r="I1283" s="36" t="s">
        <v>824</v>
      </c>
    </row>
    <row r="1284" spans="1:9" x14ac:dyDescent="0.3">
      <c r="A1284">
        <v>1287</v>
      </c>
      <c r="B1284" s="36" t="s">
        <v>4162</v>
      </c>
      <c r="C1284" s="36" t="s">
        <v>4146</v>
      </c>
      <c r="D1284" s="36" t="s">
        <v>3001</v>
      </c>
      <c r="E1284" s="36" t="s">
        <v>4147</v>
      </c>
      <c r="F1284" s="37" t="s">
        <v>4155</v>
      </c>
      <c r="G1284" s="36" t="s">
        <v>4149</v>
      </c>
      <c r="H1284" s="36" t="s">
        <v>4156</v>
      </c>
      <c r="I1284" s="36" t="s">
        <v>4199</v>
      </c>
    </row>
    <row r="1285" spans="1:9" x14ac:dyDescent="0.3">
      <c r="A1285">
        <v>1288</v>
      </c>
      <c r="B1285" s="36" t="s">
        <v>4162</v>
      </c>
      <c r="C1285" s="36" t="s">
        <v>4154</v>
      </c>
      <c r="D1285" s="36" t="s">
        <v>2999</v>
      </c>
      <c r="E1285" s="36" t="s">
        <v>4151</v>
      </c>
      <c r="F1285" s="37" t="s">
        <v>4157</v>
      </c>
      <c r="G1285" s="36" t="s">
        <v>4149</v>
      </c>
      <c r="H1285" s="36" t="s">
        <v>4156</v>
      </c>
      <c r="I1285" s="36" t="s">
        <v>824</v>
      </c>
    </row>
    <row r="1286" spans="1:9" x14ac:dyDescent="0.3">
      <c r="A1286">
        <v>1289</v>
      </c>
      <c r="B1286" s="36" t="s">
        <v>4162</v>
      </c>
      <c r="C1286" s="36" t="s">
        <v>4154</v>
      </c>
      <c r="D1286" s="36" t="s">
        <v>2999</v>
      </c>
      <c r="E1286" s="36" t="s">
        <v>4151</v>
      </c>
      <c r="F1286" s="37" t="s">
        <v>4159</v>
      </c>
      <c r="G1286" s="36" t="s">
        <v>4153</v>
      </c>
      <c r="H1286" s="36" t="s">
        <v>4156</v>
      </c>
      <c r="I1286" s="36" t="s">
        <v>824</v>
      </c>
    </row>
    <row r="1287" spans="1:9" x14ac:dyDescent="0.3">
      <c r="A1287">
        <v>1290</v>
      </c>
      <c r="B1287" s="36" t="s">
        <v>4162</v>
      </c>
      <c r="C1287" s="36" t="s">
        <v>4154</v>
      </c>
      <c r="D1287" s="36" t="s">
        <v>2999</v>
      </c>
      <c r="E1287" s="36" t="s">
        <v>4151</v>
      </c>
      <c r="F1287" s="37" t="s">
        <v>4148</v>
      </c>
      <c r="G1287" s="36" t="s">
        <v>4153</v>
      </c>
      <c r="H1287" s="36" t="s">
        <v>4156</v>
      </c>
      <c r="I1287" s="36" t="s">
        <v>824</v>
      </c>
    </row>
    <row r="1288" spans="1:9" x14ac:dyDescent="0.3">
      <c r="A1288">
        <v>1291</v>
      </c>
      <c r="B1288" s="36" t="s">
        <v>4162</v>
      </c>
      <c r="C1288" s="36" t="s">
        <v>4146</v>
      </c>
      <c r="D1288" s="36" t="s">
        <v>3001</v>
      </c>
      <c r="E1288" s="36" t="s">
        <v>4147</v>
      </c>
      <c r="F1288" s="37" t="s">
        <v>4155</v>
      </c>
      <c r="G1288" s="36" t="s">
        <v>4153</v>
      </c>
      <c r="H1288" s="36" t="s">
        <v>4156</v>
      </c>
      <c r="I1288" s="36" t="s">
        <v>824</v>
      </c>
    </row>
    <row r="1289" spans="1:9" x14ac:dyDescent="0.3">
      <c r="A1289">
        <v>1292</v>
      </c>
      <c r="B1289" s="36" t="s">
        <v>4162</v>
      </c>
      <c r="C1289" s="36" t="s">
        <v>4154</v>
      </c>
      <c r="D1289" s="36" t="s">
        <v>2999</v>
      </c>
      <c r="E1289" s="36" t="s">
        <v>4151</v>
      </c>
      <c r="F1289" s="37" t="s">
        <v>4148</v>
      </c>
      <c r="G1289" s="36" t="s">
        <v>4149</v>
      </c>
      <c r="H1289" s="36" t="s">
        <v>4156</v>
      </c>
      <c r="I1289" s="36" t="s">
        <v>824</v>
      </c>
    </row>
    <row r="1290" spans="1:9" x14ac:dyDescent="0.3">
      <c r="A1290">
        <v>1293</v>
      </c>
      <c r="B1290" s="36" t="s">
        <v>4162</v>
      </c>
      <c r="C1290" s="36" t="s">
        <v>4154</v>
      </c>
      <c r="D1290" s="36" t="s">
        <v>2999</v>
      </c>
      <c r="E1290" s="36" t="s">
        <v>4151</v>
      </c>
      <c r="F1290" s="37" t="s">
        <v>4148</v>
      </c>
      <c r="G1290" s="36" t="s">
        <v>4149</v>
      </c>
      <c r="H1290" s="36" t="s">
        <v>4156</v>
      </c>
      <c r="I1290" s="36" t="s">
        <v>824</v>
      </c>
    </row>
    <row r="1291" spans="1:9" x14ac:dyDescent="0.3">
      <c r="A1291">
        <v>1294</v>
      </c>
      <c r="B1291" s="36" t="s">
        <v>4162</v>
      </c>
      <c r="C1291" s="36" t="s">
        <v>4154</v>
      </c>
      <c r="D1291" s="36" t="s">
        <v>2999</v>
      </c>
      <c r="E1291" s="36" t="s">
        <v>4151</v>
      </c>
      <c r="F1291" s="37" t="s">
        <v>4148</v>
      </c>
      <c r="G1291" s="36" t="s">
        <v>4149</v>
      </c>
      <c r="H1291" s="36" t="s">
        <v>4156</v>
      </c>
      <c r="I1291" s="36" t="s">
        <v>824</v>
      </c>
    </row>
    <row r="1292" spans="1:9" x14ac:dyDescent="0.3">
      <c r="A1292">
        <v>1295</v>
      </c>
      <c r="B1292" s="36" t="s">
        <v>4162</v>
      </c>
      <c r="C1292" s="36" t="s">
        <v>4154</v>
      </c>
      <c r="D1292" s="36" t="s">
        <v>2999</v>
      </c>
      <c r="E1292" s="36" t="s">
        <v>4151</v>
      </c>
      <c r="F1292" s="37" t="s">
        <v>4148</v>
      </c>
      <c r="G1292" s="36" t="s">
        <v>4149</v>
      </c>
      <c r="H1292" s="36" t="s">
        <v>4156</v>
      </c>
      <c r="I1292" s="36" t="s">
        <v>824</v>
      </c>
    </row>
    <row r="1293" spans="1:9" x14ac:dyDescent="0.3">
      <c r="A1293">
        <v>1296</v>
      </c>
      <c r="B1293" s="36" t="s">
        <v>4162</v>
      </c>
      <c r="C1293" s="36" t="s">
        <v>4154</v>
      </c>
      <c r="D1293" s="36" t="s">
        <v>2999</v>
      </c>
      <c r="E1293" s="36" t="s">
        <v>4151</v>
      </c>
      <c r="F1293" s="37" t="s">
        <v>4148</v>
      </c>
      <c r="G1293" s="36" t="s">
        <v>4149</v>
      </c>
      <c r="H1293" s="36" t="s">
        <v>4156</v>
      </c>
      <c r="I1293" s="36" t="s">
        <v>824</v>
      </c>
    </row>
    <row r="1294" spans="1:9" x14ac:dyDescent="0.3">
      <c r="A1294">
        <v>1297</v>
      </c>
      <c r="B1294" s="36" t="s">
        <v>4162</v>
      </c>
      <c r="C1294" s="36" t="s">
        <v>4154</v>
      </c>
      <c r="D1294" s="36" t="s">
        <v>2999</v>
      </c>
      <c r="E1294" s="36" t="s">
        <v>4151</v>
      </c>
      <c r="F1294" s="37" t="s">
        <v>4148</v>
      </c>
      <c r="G1294" s="36" t="s">
        <v>4149</v>
      </c>
      <c r="H1294" s="36" t="s">
        <v>4156</v>
      </c>
      <c r="I1294" s="36" t="s">
        <v>824</v>
      </c>
    </row>
    <row r="1295" spans="1:9" x14ac:dyDescent="0.3">
      <c r="A1295">
        <v>1298</v>
      </c>
      <c r="B1295" s="36" t="s">
        <v>4162</v>
      </c>
      <c r="C1295" s="36" t="s">
        <v>4154</v>
      </c>
      <c r="D1295" s="36" t="s">
        <v>2999</v>
      </c>
      <c r="E1295" s="36" t="s">
        <v>4151</v>
      </c>
      <c r="F1295" s="37" t="s">
        <v>4148</v>
      </c>
      <c r="G1295" s="36" t="s">
        <v>4149</v>
      </c>
      <c r="H1295" s="36" t="s">
        <v>4156</v>
      </c>
      <c r="I1295" s="36" t="s">
        <v>824</v>
      </c>
    </row>
    <row r="1296" spans="1:9" x14ac:dyDescent="0.3">
      <c r="A1296">
        <v>1299</v>
      </c>
      <c r="B1296" s="36" t="s">
        <v>4162</v>
      </c>
      <c r="C1296" s="36" t="s">
        <v>4154</v>
      </c>
      <c r="D1296" s="36" t="s">
        <v>2999</v>
      </c>
      <c r="E1296" s="36" t="s">
        <v>4151</v>
      </c>
      <c r="F1296" s="37" t="s">
        <v>4155</v>
      </c>
      <c r="G1296" s="36" t="s">
        <v>4149</v>
      </c>
      <c r="H1296" s="36" t="s">
        <v>4156</v>
      </c>
      <c r="I1296" s="36" t="s">
        <v>824</v>
      </c>
    </row>
    <row r="1297" spans="1:9" x14ac:dyDescent="0.3">
      <c r="A1297">
        <v>1300</v>
      </c>
      <c r="B1297" s="36" t="s">
        <v>4162</v>
      </c>
      <c r="C1297" s="36" t="s">
        <v>4154</v>
      </c>
      <c r="D1297" s="36" t="s">
        <v>2999</v>
      </c>
      <c r="E1297" s="36" t="s">
        <v>4151</v>
      </c>
      <c r="F1297" s="37" t="s">
        <v>4148</v>
      </c>
      <c r="G1297" s="36" t="s">
        <v>4153</v>
      </c>
      <c r="H1297" s="36" t="s">
        <v>4156</v>
      </c>
      <c r="I1297" s="36" t="s">
        <v>4199</v>
      </c>
    </row>
    <row r="1298" spans="1:9" x14ac:dyDescent="0.3">
      <c r="A1298">
        <v>1301</v>
      </c>
      <c r="B1298" s="36" t="s">
        <v>4162</v>
      </c>
      <c r="C1298" s="36" t="s">
        <v>4146</v>
      </c>
      <c r="D1298" s="36" t="s">
        <v>3001</v>
      </c>
      <c r="E1298" s="36" t="s">
        <v>4147</v>
      </c>
      <c r="F1298" s="37" t="s">
        <v>4159</v>
      </c>
      <c r="G1298" s="36" t="s">
        <v>4153</v>
      </c>
      <c r="H1298" s="36" t="s">
        <v>4156</v>
      </c>
      <c r="I1298" s="36" t="s">
        <v>4199</v>
      </c>
    </row>
    <row r="1299" spans="1:9" x14ac:dyDescent="0.3">
      <c r="A1299">
        <v>1302</v>
      </c>
      <c r="B1299" s="36" t="s">
        <v>4162</v>
      </c>
      <c r="C1299" s="36" t="s">
        <v>4154</v>
      </c>
      <c r="D1299" s="36" t="s">
        <v>2999</v>
      </c>
      <c r="E1299" s="36" t="s">
        <v>4151</v>
      </c>
      <c r="F1299" s="37" t="s">
        <v>4155</v>
      </c>
      <c r="G1299" s="36" t="s">
        <v>4149</v>
      </c>
      <c r="H1299" s="36" t="s">
        <v>4156</v>
      </c>
      <c r="I1299" s="36" t="s">
        <v>4199</v>
      </c>
    </row>
    <row r="1300" spans="1:9" x14ac:dyDescent="0.3">
      <c r="A1300">
        <v>1303</v>
      </c>
      <c r="B1300" s="36" t="s">
        <v>4162</v>
      </c>
      <c r="C1300" s="36" t="s">
        <v>4154</v>
      </c>
      <c r="D1300" s="36" t="s">
        <v>2999</v>
      </c>
      <c r="E1300" s="36" t="s">
        <v>4151</v>
      </c>
      <c r="F1300" s="37" t="s">
        <v>4148</v>
      </c>
      <c r="G1300" s="36" t="s">
        <v>4149</v>
      </c>
      <c r="H1300" s="36" t="s">
        <v>4156</v>
      </c>
      <c r="I1300" s="36" t="s">
        <v>4199</v>
      </c>
    </row>
    <row r="1301" spans="1:9" x14ac:dyDescent="0.3">
      <c r="A1301">
        <v>1304</v>
      </c>
      <c r="B1301" s="36" t="s">
        <v>4162</v>
      </c>
      <c r="C1301" s="36" t="s">
        <v>4154</v>
      </c>
      <c r="D1301" s="36" t="s">
        <v>2999</v>
      </c>
      <c r="E1301" s="36" t="s">
        <v>4151</v>
      </c>
      <c r="F1301" s="37" t="s">
        <v>4148</v>
      </c>
      <c r="G1301" s="36" t="s">
        <v>4149</v>
      </c>
      <c r="H1301" s="36" t="s">
        <v>4156</v>
      </c>
      <c r="I1301" s="36" t="s">
        <v>4199</v>
      </c>
    </row>
    <row r="1302" spans="1:9" x14ac:dyDescent="0.3">
      <c r="A1302">
        <v>1305</v>
      </c>
      <c r="B1302" s="36" t="s">
        <v>4162</v>
      </c>
      <c r="C1302" s="36" t="s">
        <v>4154</v>
      </c>
      <c r="D1302" s="36" t="s">
        <v>2994</v>
      </c>
      <c r="E1302" s="36" t="s">
        <v>4147</v>
      </c>
      <c r="F1302" s="37" t="s">
        <v>4159</v>
      </c>
      <c r="G1302" s="36" t="s">
        <v>4153</v>
      </c>
      <c r="H1302" s="36" t="s">
        <v>4156</v>
      </c>
      <c r="I1302" s="36" t="s">
        <v>4199</v>
      </c>
    </row>
    <row r="1303" spans="1:9" x14ac:dyDescent="0.3">
      <c r="A1303">
        <v>1306</v>
      </c>
      <c r="B1303" s="36" t="s">
        <v>4162</v>
      </c>
      <c r="C1303" s="36" t="s">
        <v>4154</v>
      </c>
      <c r="D1303" s="36" t="s">
        <v>2994</v>
      </c>
      <c r="E1303" s="36" t="s">
        <v>4147</v>
      </c>
      <c r="F1303" s="37" t="s">
        <v>4148</v>
      </c>
      <c r="G1303" s="36" t="s">
        <v>4153</v>
      </c>
      <c r="H1303" s="36" t="s">
        <v>4156</v>
      </c>
      <c r="I1303" s="36" t="s">
        <v>4199</v>
      </c>
    </row>
    <row r="1304" spans="1:9" x14ac:dyDescent="0.3">
      <c r="A1304">
        <v>1307</v>
      </c>
      <c r="B1304" s="36" t="s">
        <v>4162</v>
      </c>
      <c r="C1304" s="36" t="s">
        <v>4154</v>
      </c>
      <c r="D1304" s="36" t="s">
        <v>2999</v>
      </c>
      <c r="E1304" s="36" t="s">
        <v>4151</v>
      </c>
      <c r="F1304" s="37" t="s">
        <v>4148</v>
      </c>
      <c r="G1304" s="36" t="s">
        <v>4149</v>
      </c>
      <c r="H1304" s="36" t="s">
        <v>4156</v>
      </c>
      <c r="I1304" s="36" t="s">
        <v>4199</v>
      </c>
    </row>
    <row r="1305" spans="1:9" x14ac:dyDescent="0.3">
      <c r="A1305">
        <v>1308</v>
      </c>
      <c r="B1305" s="36" t="s">
        <v>4162</v>
      </c>
      <c r="C1305" s="36" t="s">
        <v>4154</v>
      </c>
      <c r="D1305" s="36" t="s">
        <v>2999</v>
      </c>
      <c r="E1305" s="36" t="s">
        <v>4151</v>
      </c>
      <c r="F1305" s="37" t="s">
        <v>4148</v>
      </c>
      <c r="G1305" s="36" t="s">
        <v>4149</v>
      </c>
      <c r="H1305" s="36" t="s">
        <v>4156</v>
      </c>
      <c r="I1305" s="36" t="s">
        <v>4199</v>
      </c>
    </row>
    <row r="1306" spans="1:9" x14ac:dyDescent="0.3">
      <c r="A1306">
        <v>1309</v>
      </c>
      <c r="B1306" s="36" t="s">
        <v>4162</v>
      </c>
      <c r="C1306" s="36" t="s">
        <v>4154</v>
      </c>
      <c r="D1306" s="36" t="s">
        <v>2999</v>
      </c>
      <c r="E1306" s="36" t="s">
        <v>4151</v>
      </c>
      <c r="F1306" s="37" t="s">
        <v>4148</v>
      </c>
      <c r="G1306" s="36" t="s">
        <v>4149</v>
      </c>
      <c r="H1306" s="36" t="s">
        <v>4156</v>
      </c>
      <c r="I1306" s="36" t="s">
        <v>824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DC62D-2D71-40DE-BC23-83F4AA06EB71}">
  <sheetPr>
    <tabColor theme="5" tint="0.59999389629810485"/>
  </sheetPr>
  <dimension ref="A1:N1310"/>
  <sheetViews>
    <sheetView topLeftCell="D1" workbookViewId="0">
      <selection activeCell="M12" sqref="M12"/>
    </sheetView>
  </sheetViews>
  <sheetFormatPr defaultRowHeight="14.4" x14ac:dyDescent="0.3"/>
  <cols>
    <col min="1" max="1" width="8.21875" bestFit="1" customWidth="1"/>
    <col min="2" max="2" width="10.33203125" bestFit="1" customWidth="1"/>
    <col min="3" max="3" width="68.88671875" bestFit="1" customWidth="1"/>
    <col min="4" max="4" width="6.6640625" bestFit="1" customWidth="1"/>
    <col min="5" max="5" width="6.21875" bestFit="1" customWidth="1"/>
    <col min="6" max="6" width="7.44140625" bestFit="1" customWidth="1"/>
    <col min="7" max="7" width="8" bestFit="1" customWidth="1"/>
    <col min="8" max="8" width="19.109375" bestFit="1" customWidth="1"/>
    <col min="9" max="9" width="9" bestFit="1" customWidth="1"/>
    <col min="10" max="10" width="14.88671875" bestFit="1" customWidth="1"/>
    <col min="11" max="11" width="11.77734375" bestFit="1" customWidth="1"/>
    <col min="12" max="12" width="7.109375" bestFit="1" customWidth="1"/>
    <col min="13" max="13" width="7.5546875" bestFit="1" customWidth="1"/>
    <col min="14" max="14" width="44.77734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v>1</v>
      </c>
      <c r="C2" t="s">
        <v>14</v>
      </c>
      <c r="D2" t="s">
        <v>15</v>
      </c>
      <c r="E2">
        <v>29</v>
      </c>
      <c r="F2">
        <v>0</v>
      </c>
      <c r="G2">
        <v>0</v>
      </c>
      <c r="H2">
        <v>24160</v>
      </c>
      <c r="I2">
        <v>211.33750000000001</v>
      </c>
      <c r="J2" t="s">
        <v>16</v>
      </c>
      <c r="K2" t="s">
        <v>17</v>
      </c>
      <c r="L2">
        <v>2</v>
      </c>
      <c r="N2" t="s">
        <v>18</v>
      </c>
    </row>
    <row r="3" spans="1:14" x14ac:dyDescent="0.3">
      <c r="A3">
        <v>1</v>
      </c>
      <c r="B3">
        <v>1</v>
      </c>
      <c r="C3" t="s">
        <v>19</v>
      </c>
      <c r="D3" t="s">
        <v>20</v>
      </c>
      <c r="E3">
        <v>0.92</v>
      </c>
      <c r="F3">
        <v>1</v>
      </c>
      <c r="G3">
        <v>2</v>
      </c>
      <c r="H3">
        <v>113781</v>
      </c>
      <c r="I3">
        <v>151.55000000000001</v>
      </c>
      <c r="J3" t="s">
        <v>21</v>
      </c>
      <c r="K3" t="s">
        <v>17</v>
      </c>
      <c r="L3">
        <v>11</v>
      </c>
      <c r="N3" t="s">
        <v>22</v>
      </c>
    </row>
    <row r="4" spans="1:14" x14ac:dyDescent="0.3">
      <c r="A4">
        <v>1</v>
      </c>
      <c r="B4">
        <v>0</v>
      </c>
      <c r="C4" t="s">
        <v>23</v>
      </c>
      <c r="D4" t="s">
        <v>15</v>
      </c>
      <c r="E4">
        <v>2</v>
      </c>
      <c r="F4">
        <v>1</v>
      </c>
      <c r="G4">
        <v>2</v>
      </c>
      <c r="H4">
        <v>113781</v>
      </c>
      <c r="I4">
        <v>151.55000000000001</v>
      </c>
      <c r="J4" t="s">
        <v>21</v>
      </c>
      <c r="K4" t="s">
        <v>17</v>
      </c>
      <c r="N4" t="s">
        <v>22</v>
      </c>
    </row>
    <row r="5" spans="1:14" x14ac:dyDescent="0.3">
      <c r="A5">
        <v>1</v>
      </c>
      <c r="B5">
        <v>0</v>
      </c>
      <c r="C5" t="s">
        <v>24</v>
      </c>
      <c r="D5" t="s">
        <v>20</v>
      </c>
      <c r="E5">
        <v>30</v>
      </c>
      <c r="F5">
        <v>1</v>
      </c>
      <c r="G5">
        <v>2</v>
      </c>
      <c r="H5">
        <v>113781</v>
      </c>
      <c r="I5">
        <v>151.55000000000001</v>
      </c>
      <c r="J5" t="s">
        <v>21</v>
      </c>
      <c r="K5" t="s">
        <v>17</v>
      </c>
      <c r="M5">
        <v>135</v>
      </c>
      <c r="N5" t="s">
        <v>22</v>
      </c>
    </row>
    <row r="6" spans="1:14" x14ac:dyDescent="0.3">
      <c r="A6">
        <v>1</v>
      </c>
      <c r="B6">
        <v>0</v>
      </c>
      <c r="C6" t="s">
        <v>25</v>
      </c>
      <c r="D6" t="s">
        <v>15</v>
      </c>
      <c r="E6">
        <v>25</v>
      </c>
      <c r="F6">
        <v>1</v>
      </c>
      <c r="G6">
        <v>2</v>
      </c>
      <c r="H6">
        <v>113781</v>
      </c>
      <c r="I6">
        <v>151.55000000000001</v>
      </c>
      <c r="J6" t="s">
        <v>21</v>
      </c>
      <c r="K6" t="s">
        <v>17</v>
      </c>
      <c r="N6" t="s">
        <v>22</v>
      </c>
    </row>
    <row r="7" spans="1:14" x14ac:dyDescent="0.3">
      <c r="A7">
        <v>1</v>
      </c>
      <c r="B7">
        <v>1</v>
      </c>
      <c r="C7" t="s">
        <v>26</v>
      </c>
      <c r="D7" t="s">
        <v>20</v>
      </c>
      <c r="E7">
        <v>48</v>
      </c>
      <c r="F7">
        <v>0</v>
      </c>
      <c r="G7">
        <v>0</v>
      </c>
      <c r="H7">
        <v>19952</v>
      </c>
      <c r="I7">
        <v>26.55</v>
      </c>
      <c r="J7" t="s">
        <v>27</v>
      </c>
      <c r="K7" t="s">
        <v>17</v>
      </c>
      <c r="L7">
        <v>3</v>
      </c>
      <c r="N7" t="s">
        <v>28</v>
      </c>
    </row>
    <row r="8" spans="1:14" x14ac:dyDescent="0.3">
      <c r="A8">
        <v>1</v>
      </c>
      <c r="B8">
        <v>1</v>
      </c>
      <c r="C8" t="s">
        <v>29</v>
      </c>
      <c r="D8" t="s">
        <v>15</v>
      </c>
      <c r="E8">
        <v>63</v>
      </c>
      <c r="F8">
        <v>1</v>
      </c>
      <c r="G8">
        <v>0</v>
      </c>
      <c r="H8">
        <v>13502</v>
      </c>
      <c r="I8">
        <v>77.958299999999994</v>
      </c>
      <c r="J8" t="s">
        <v>30</v>
      </c>
      <c r="K8" t="s">
        <v>17</v>
      </c>
      <c r="L8">
        <v>10</v>
      </c>
      <c r="N8" t="s">
        <v>31</v>
      </c>
    </row>
    <row r="9" spans="1:14" x14ac:dyDescent="0.3">
      <c r="A9">
        <v>1</v>
      </c>
      <c r="B9">
        <v>0</v>
      </c>
      <c r="C9" t="s">
        <v>32</v>
      </c>
      <c r="D9" t="s">
        <v>20</v>
      </c>
      <c r="E9">
        <v>39</v>
      </c>
      <c r="F9">
        <v>0</v>
      </c>
      <c r="G9">
        <v>0</v>
      </c>
      <c r="H9">
        <v>112050</v>
      </c>
      <c r="I9">
        <v>0</v>
      </c>
      <c r="J9" t="s">
        <v>33</v>
      </c>
      <c r="K9" t="s">
        <v>17</v>
      </c>
      <c r="N9" t="s">
        <v>34</v>
      </c>
    </row>
    <row r="10" spans="1:14" x14ac:dyDescent="0.3">
      <c r="A10">
        <v>1</v>
      </c>
      <c r="B10">
        <v>1</v>
      </c>
      <c r="C10" t="s">
        <v>35</v>
      </c>
      <c r="D10" t="s">
        <v>15</v>
      </c>
      <c r="E10">
        <v>53</v>
      </c>
      <c r="F10">
        <v>2</v>
      </c>
      <c r="G10">
        <v>0</v>
      </c>
      <c r="H10">
        <v>11769</v>
      </c>
      <c r="I10">
        <v>51.479199999999999</v>
      </c>
      <c r="J10" t="s">
        <v>36</v>
      </c>
      <c r="K10" t="s">
        <v>17</v>
      </c>
      <c r="L10" t="s">
        <v>37</v>
      </c>
      <c r="N10" t="s">
        <v>38</v>
      </c>
    </row>
    <row r="11" spans="1:14" x14ac:dyDescent="0.3">
      <c r="A11">
        <v>1</v>
      </c>
      <c r="B11">
        <v>0</v>
      </c>
      <c r="C11" t="s">
        <v>39</v>
      </c>
      <c r="D11" t="s">
        <v>20</v>
      </c>
      <c r="E11">
        <v>71</v>
      </c>
      <c r="F11">
        <v>0</v>
      </c>
      <c r="G11">
        <v>0</v>
      </c>
      <c r="H11" t="s">
        <v>40</v>
      </c>
      <c r="I11">
        <v>49.504199999999997</v>
      </c>
      <c r="K11" t="s">
        <v>41</v>
      </c>
      <c r="M11">
        <v>22</v>
      </c>
      <c r="N11" t="s">
        <v>42</v>
      </c>
    </row>
    <row r="12" spans="1:14" x14ac:dyDescent="0.3">
      <c r="A12">
        <v>1</v>
      </c>
      <c r="B12">
        <v>0</v>
      </c>
      <c r="C12" t="s">
        <v>43</v>
      </c>
      <c r="D12" t="s">
        <v>20</v>
      </c>
      <c r="E12">
        <v>47</v>
      </c>
      <c r="F12">
        <v>1</v>
      </c>
      <c r="G12">
        <v>0</v>
      </c>
      <c r="H12" t="s">
        <v>44</v>
      </c>
      <c r="I12">
        <v>227.52500000000001</v>
      </c>
      <c r="J12" t="s">
        <v>45</v>
      </c>
      <c r="K12" t="s">
        <v>41</v>
      </c>
      <c r="M12">
        <v>124</v>
      </c>
      <c r="N12" t="s">
        <v>28</v>
      </c>
    </row>
    <row r="13" spans="1:14" x14ac:dyDescent="0.3">
      <c r="A13">
        <v>1</v>
      </c>
      <c r="B13">
        <v>1</v>
      </c>
      <c r="C13" t="s">
        <v>46</v>
      </c>
      <c r="D13" t="s">
        <v>15</v>
      </c>
      <c r="E13">
        <v>18</v>
      </c>
      <c r="F13">
        <v>1</v>
      </c>
      <c r="G13">
        <v>0</v>
      </c>
      <c r="H13" t="s">
        <v>44</v>
      </c>
      <c r="I13">
        <v>227.52500000000001</v>
      </c>
      <c r="J13" t="s">
        <v>45</v>
      </c>
      <c r="K13" t="s">
        <v>41</v>
      </c>
      <c r="L13">
        <v>4</v>
      </c>
      <c r="N13" t="s">
        <v>28</v>
      </c>
    </row>
    <row r="14" spans="1:14" x14ac:dyDescent="0.3">
      <c r="A14">
        <v>1</v>
      </c>
      <c r="B14">
        <v>1</v>
      </c>
      <c r="C14" t="s">
        <v>47</v>
      </c>
      <c r="D14" t="s">
        <v>15</v>
      </c>
      <c r="E14">
        <v>24</v>
      </c>
      <c r="F14">
        <v>0</v>
      </c>
      <c r="G14">
        <v>0</v>
      </c>
      <c r="H14" t="s">
        <v>48</v>
      </c>
      <c r="I14">
        <v>69.3</v>
      </c>
      <c r="J14" t="s">
        <v>49</v>
      </c>
      <c r="K14" t="s">
        <v>41</v>
      </c>
      <c r="L14">
        <v>9</v>
      </c>
      <c r="N14" t="s">
        <v>50</v>
      </c>
    </row>
    <row r="15" spans="1:14" x14ac:dyDescent="0.3">
      <c r="A15">
        <v>1</v>
      </c>
      <c r="B15">
        <v>1</v>
      </c>
      <c r="C15" t="s">
        <v>51</v>
      </c>
      <c r="D15" t="s">
        <v>15</v>
      </c>
      <c r="E15">
        <v>26</v>
      </c>
      <c r="F15">
        <v>0</v>
      </c>
      <c r="G15">
        <v>0</v>
      </c>
      <c r="H15">
        <v>19877</v>
      </c>
      <c r="I15">
        <v>78.849999999999994</v>
      </c>
      <c r="K15" t="s">
        <v>17</v>
      </c>
      <c r="L15">
        <v>6</v>
      </c>
    </row>
    <row r="16" spans="1:14" x14ac:dyDescent="0.3">
      <c r="A16">
        <v>1</v>
      </c>
      <c r="B16">
        <v>1</v>
      </c>
      <c r="C16" t="s">
        <v>52</v>
      </c>
      <c r="D16" t="s">
        <v>20</v>
      </c>
      <c r="E16">
        <v>80</v>
      </c>
      <c r="F16">
        <v>0</v>
      </c>
      <c r="G16">
        <v>0</v>
      </c>
      <c r="H16">
        <v>27042</v>
      </c>
      <c r="I16">
        <v>30</v>
      </c>
      <c r="J16" t="s">
        <v>53</v>
      </c>
      <c r="K16" t="s">
        <v>17</v>
      </c>
      <c r="L16" t="s">
        <v>54</v>
      </c>
      <c r="N16" t="s">
        <v>55</v>
      </c>
    </row>
    <row r="17" spans="1:14" x14ac:dyDescent="0.3">
      <c r="A17">
        <v>1</v>
      </c>
      <c r="B17">
        <v>0</v>
      </c>
      <c r="C17" t="s">
        <v>56</v>
      </c>
      <c r="D17" t="s">
        <v>20</v>
      </c>
      <c r="F17">
        <v>0</v>
      </c>
      <c r="G17">
        <v>0</v>
      </c>
      <c r="H17" t="s">
        <v>57</v>
      </c>
      <c r="I17">
        <v>25.925000000000001</v>
      </c>
      <c r="K17" t="s">
        <v>17</v>
      </c>
      <c r="N17" t="s">
        <v>28</v>
      </c>
    </row>
    <row r="18" spans="1:14" x14ac:dyDescent="0.3">
      <c r="A18">
        <v>1</v>
      </c>
      <c r="B18">
        <v>0</v>
      </c>
      <c r="C18" t="s">
        <v>58</v>
      </c>
      <c r="D18" t="s">
        <v>20</v>
      </c>
      <c r="E18">
        <v>24</v>
      </c>
      <c r="F18">
        <v>0</v>
      </c>
      <c r="G18">
        <v>1</v>
      </c>
      <c r="H18" t="s">
        <v>59</v>
      </c>
      <c r="I18">
        <v>247.52080000000001</v>
      </c>
      <c r="J18" t="s">
        <v>60</v>
      </c>
      <c r="K18" t="s">
        <v>41</v>
      </c>
      <c r="N18" t="s">
        <v>61</v>
      </c>
    </row>
    <row r="19" spans="1:14" x14ac:dyDescent="0.3">
      <c r="A19">
        <v>1</v>
      </c>
      <c r="B19">
        <v>1</v>
      </c>
      <c r="C19" t="s">
        <v>62</v>
      </c>
      <c r="D19" t="s">
        <v>15</v>
      </c>
      <c r="E19">
        <v>50</v>
      </c>
      <c r="F19">
        <v>0</v>
      </c>
      <c r="G19">
        <v>1</v>
      </c>
      <c r="H19" t="s">
        <v>59</v>
      </c>
      <c r="I19">
        <v>247.52080000000001</v>
      </c>
      <c r="J19" t="s">
        <v>60</v>
      </c>
      <c r="K19" t="s">
        <v>41</v>
      </c>
      <c r="L19">
        <v>6</v>
      </c>
      <c r="N19" t="s">
        <v>61</v>
      </c>
    </row>
    <row r="20" spans="1:14" x14ac:dyDescent="0.3">
      <c r="A20">
        <v>1</v>
      </c>
      <c r="B20">
        <v>1</v>
      </c>
      <c r="C20" t="s">
        <v>63</v>
      </c>
      <c r="D20" t="s">
        <v>15</v>
      </c>
      <c r="E20">
        <v>32</v>
      </c>
      <c r="F20">
        <v>0</v>
      </c>
      <c r="G20">
        <v>0</v>
      </c>
      <c r="H20">
        <v>11813</v>
      </c>
      <c r="I20">
        <v>76.291700000000006</v>
      </c>
      <c r="J20" t="s">
        <v>64</v>
      </c>
      <c r="K20" t="s">
        <v>41</v>
      </c>
      <c r="L20">
        <v>8</v>
      </c>
    </row>
    <row r="21" spans="1:14" x14ac:dyDescent="0.3">
      <c r="A21">
        <v>1</v>
      </c>
      <c r="B21">
        <v>0</v>
      </c>
      <c r="C21" t="s">
        <v>65</v>
      </c>
      <c r="D21" t="s">
        <v>20</v>
      </c>
      <c r="E21">
        <v>36</v>
      </c>
      <c r="F21">
        <v>0</v>
      </c>
      <c r="G21">
        <v>0</v>
      </c>
      <c r="H21">
        <v>13050</v>
      </c>
      <c r="I21">
        <v>75.241699999999994</v>
      </c>
      <c r="J21" t="s">
        <v>66</v>
      </c>
      <c r="K21" t="s">
        <v>41</v>
      </c>
      <c r="L21" t="s">
        <v>67</v>
      </c>
      <c r="N21" t="s">
        <v>68</v>
      </c>
    </row>
    <row r="22" spans="1:14" x14ac:dyDescent="0.3">
      <c r="A22">
        <v>1</v>
      </c>
      <c r="B22">
        <v>1</v>
      </c>
      <c r="C22" t="s">
        <v>69</v>
      </c>
      <c r="D22" t="s">
        <v>20</v>
      </c>
      <c r="E22">
        <v>37</v>
      </c>
      <c r="F22">
        <v>1</v>
      </c>
      <c r="G22">
        <v>1</v>
      </c>
      <c r="H22">
        <v>11751</v>
      </c>
      <c r="I22">
        <v>52.554200000000002</v>
      </c>
      <c r="J22" t="s">
        <v>70</v>
      </c>
      <c r="K22" t="s">
        <v>17</v>
      </c>
      <c r="L22">
        <v>5</v>
      </c>
      <c r="N22" t="s">
        <v>28</v>
      </c>
    </row>
    <row r="23" spans="1:14" x14ac:dyDescent="0.3">
      <c r="A23">
        <v>1</v>
      </c>
      <c r="B23">
        <v>1</v>
      </c>
      <c r="C23" t="s">
        <v>71</v>
      </c>
      <c r="D23" t="s">
        <v>15</v>
      </c>
      <c r="E23">
        <v>47</v>
      </c>
      <c r="F23">
        <v>1</v>
      </c>
      <c r="G23">
        <v>1</v>
      </c>
      <c r="H23">
        <v>11751</v>
      </c>
      <c r="I23">
        <v>52.554200000000002</v>
      </c>
      <c r="J23" t="s">
        <v>70</v>
      </c>
      <c r="K23" t="s">
        <v>17</v>
      </c>
      <c r="L23">
        <v>5</v>
      </c>
      <c r="N23" t="s">
        <v>28</v>
      </c>
    </row>
    <row r="24" spans="1:14" x14ac:dyDescent="0.3">
      <c r="A24">
        <v>1</v>
      </c>
      <c r="B24">
        <v>1</v>
      </c>
      <c r="C24" t="s">
        <v>72</v>
      </c>
      <c r="D24" t="s">
        <v>20</v>
      </c>
      <c r="E24">
        <v>26</v>
      </c>
      <c r="F24">
        <v>0</v>
      </c>
      <c r="G24">
        <v>0</v>
      </c>
      <c r="H24">
        <v>111369</v>
      </c>
      <c r="I24">
        <v>30</v>
      </c>
      <c r="J24" t="s">
        <v>73</v>
      </c>
      <c r="K24" t="s">
        <v>41</v>
      </c>
      <c r="L24">
        <v>5</v>
      </c>
      <c r="N24" t="s">
        <v>28</v>
      </c>
    </row>
    <row r="25" spans="1:14" x14ac:dyDescent="0.3">
      <c r="A25">
        <v>1</v>
      </c>
      <c r="B25">
        <v>1</v>
      </c>
      <c r="C25" t="s">
        <v>74</v>
      </c>
      <c r="D25" t="s">
        <v>15</v>
      </c>
      <c r="E25">
        <v>42</v>
      </c>
      <c r="F25">
        <v>0</v>
      </c>
      <c r="G25">
        <v>0</v>
      </c>
      <c r="H25" t="s">
        <v>44</v>
      </c>
      <c r="I25">
        <v>227.52500000000001</v>
      </c>
      <c r="K25" t="s">
        <v>41</v>
      </c>
      <c r="L25">
        <v>4</v>
      </c>
    </row>
    <row r="26" spans="1:14" x14ac:dyDescent="0.3">
      <c r="A26">
        <v>1</v>
      </c>
      <c r="B26">
        <v>1</v>
      </c>
      <c r="C26" t="s">
        <v>75</v>
      </c>
      <c r="D26" t="s">
        <v>15</v>
      </c>
      <c r="E26">
        <v>29</v>
      </c>
      <c r="F26">
        <v>0</v>
      </c>
      <c r="G26">
        <v>0</v>
      </c>
      <c r="H26" t="s">
        <v>76</v>
      </c>
      <c r="I26">
        <v>221.7792</v>
      </c>
      <c r="J26" t="s">
        <v>77</v>
      </c>
      <c r="K26" t="s">
        <v>17</v>
      </c>
      <c r="L26">
        <v>8</v>
      </c>
    </row>
    <row r="27" spans="1:14" x14ac:dyDescent="0.3">
      <c r="A27">
        <v>1</v>
      </c>
      <c r="B27">
        <v>0</v>
      </c>
      <c r="C27" t="s">
        <v>78</v>
      </c>
      <c r="D27" t="s">
        <v>20</v>
      </c>
      <c r="E27">
        <v>25</v>
      </c>
      <c r="F27">
        <v>0</v>
      </c>
      <c r="G27">
        <v>0</v>
      </c>
      <c r="H27">
        <v>13905</v>
      </c>
      <c r="I27">
        <v>26</v>
      </c>
      <c r="K27" t="s">
        <v>41</v>
      </c>
      <c r="M27">
        <v>148</v>
      </c>
      <c r="N27" t="s">
        <v>79</v>
      </c>
    </row>
    <row r="28" spans="1:14" x14ac:dyDescent="0.3">
      <c r="A28">
        <v>1</v>
      </c>
      <c r="B28">
        <v>1</v>
      </c>
      <c r="C28" t="s">
        <v>80</v>
      </c>
      <c r="D28" t="s">
        <v>20</v>
      </c>
      <c r="E28">
        <v>25</v>
      </c>
      <c r="F28">
        <v>1</v>
      </c>
      <c r="G28">
        <v>0</v>
      </c>
      <c r="H28">
        <v>11967</v>
      </c>
      <c r="I28">
        <v>91.0792</v>
      </c>
      <c r="J28" t="s">
        <v>81</v>
      </c>
      <c r="K28" t="s">
        <v>41</v>
      </c>
      <c r="L28">
        <v>7</v>
      </c>
      <c r="N28" t="s">
        <v>82</v>
      </c>
    </row>
    <row r="29" spans="1:14" x14ac:dyDescent="0.3">
      <c r="A29">
        <v>1</v>
      </c>
      <c r="B29">
        <v>1</v>
      </c>
      <c r="C29" t="s">
        <v>83</v>
      </c>
      <c r="D29" t="s">
        <v>15</v>
      </c>
      <c r="E29">
        <v>19</v>
      </c>
      <c r="F29">
        <v>1</v>
      </c>
      <c r="G29">
        <v>0</v>
      </c>
      <c r="H29">
        <v>11967</v>
      </c>
      <c r="I29">
        <v>91.0792</v>
      </c>
      <c r="J29" t="s">
        <v>81</v>
      </c>
      <c r="K29" t="s">
        <v>41</v>
      </c>
      <c r="L29">
        <v>7</v>
      </c>
      <c r="N29" t="s">
        <v>82</v>
      </c>
    </row>
    <row r="30" spans="1:14" x14ac:dyDescent="0.3">
      <c r="A30">
        <v>1</v>
      </c>
      <c r="B30">
        <v>1</v>
      </c>
      <c r="C30" t="s">
        <v>84</v>
      </c>
      <c r="D30" t="s">
        <v>15</v>
      </c>
      <c r="E30">
        <v>35</v>
      </c>
      <c r="F30">
        <v>0</v>
      </c>
      <c r="G30">
        <v>0</v>
      </c>
      <c r="H30" t="s">
        <v>85</v>
      </c>
      <c r="I30">
        <v>135.63329999999999</v>
      </c>
      <c r="J30" t="s">
        <v>86</v>
      </c>
      <c r="K30" t="s">
        <v>17</v>
      </c>
      <c r="L30">
        <v>8</v>
      </c>
    </row>
    <row r="31" spans="1:14" x14ac:dyDescent="0.3">
      <c r="A31">
        <v>1</v>
      </c>
      <c r="B31">
        <v>1</v>
      </c>
      <c r="C31" t="s">
        <v>87</v>
      </c>
      <c r="D31" t="s">
        <v>20</v>
      </c>
      <c r="E31">
        <v>28</v>
      </c>
      <c r="F31">
        <v>0</v>
      </c>
      <c r="G31">
        <v>0</v>
      </c>
      <c r="H31">
        <v>110564</v>
      </c>
      <c r="I31">
        <v>26.55</v>
      </c>
      <c r="J31" t="s">
        <v>88</v>
      </c>
      <c r="K31" t="s">
        <v>17</v>
      </c>
      <c r="L31" t="s">
        <v>37</v>
      </c>
      <c r="N31" t="s">
        <v>89</v>
      </c>
    </row>
    <row r="32" spans="1:14" x14ac:dyDescent="0.3">
      <c r="A32">
        <v>1</v>
      </c>
      <c r="B32">
        <v>0</v>
      </c>
      <c r="C32" t="s">
        <v>90</v>
      </c>
      <c r="D32" t="s">
        <v>20</v>
      </c>
      <c r="E32">
        <v>45</v>
      </c>
      <c r="F32">
        <v>0</v>
      </c>
      <c r="G32">
        <v>0</v>
      </c>
      <c r="H32">
        <v>113784</v>
      </c>
      <c r="I32">
        <v>35.5</v>
      </c>
      <c r="J32" t="s">
        <v>91</v>
      </c>
      <c r="K32" t="s">
        <v>17</v>
      </c>
      <c r="N32" t="s">
        <v>92</v>
      </c>
    </row>
    <row r="33" spans="1:14" x14ac:dyDescent="0.3">
      <c r="A33">
        <v>1</v>
      </c>
      <c r="B33">
        <v>1</v>
      </c>
      <c r="C33" t="s">
        <v>93</v>
      </c>
      <c r="D33" t="s">
        <v>20</v>
      </c>
      <c r="E33">
        <v>40</v>
      </c>
      <c r="F33">
        <v>0</v>
      </c>
      <c r="G33">
        <v>0</v>
      </c>
      <c r="H33">
        <v>112277</v>
      </c>
      <c r="I33">
        <v>31</v>
      </c>
      <c r="J33" t="s">
        <v>94</v>
      </c>
      <c r="K33" t="s">
        <v>41</v>
      </c>
      <c r="L33">
        <v>7</v>
      </c>
      <c r="N33" t="s">
        <v>95</v>
      </c>
    </row>
    <row r="34" spans="1:14" x14ac:dyDescent="0.3">
      <c r="A34">
        <v>1</v>
      </c>
      <c r="B34">
        <v>1</v>
      </c>
      <c r="C34" t="s">
        <v>96</v>
      </c>
      <c r="D34" t="s">
        <v>15</v>
      </c>
      <c r="E34">
        <v>30</v>
      </c>
      <c r="F34">
        <v>0</v>
      </c>
      <c r="G34">
        <v>0</v>
      </c>
      <c r="H34">
        <v>36928</v>
      </c>
      <c r="I34">
        <v>164.86670000000001</v>
      </c>
      <c r="J34" t="s">
        <v>97</v>
      </c>
      <c r="K34" t="s">
        <v>17</v>
      </c>
      <c r="L34">
        <v>8</v>
      </c>
      <c r="N34" t="s">
        <v>98</v>
      </c>
    </row>
    <row r="35" spans="1:14" x14ac:dyDescent="0.3">
      <c r="A35">
        <v>1</v>
      </c>
      <c r="B35">
        <v>1</v>
      </c>
      <c r="C35" t="s">
        <v>99</v>
      </c>
      <c r="D35" t="s">
        <v>15</v>
      </c>
      <c r="E35">
        <v>58</v>
      </c>
      <c r="F35">
        <v>0</v>
      </c>
      <c r="G35">
        <v>0</v>
      </c>
      <c r="H35">
        <v>113783</v>
      </c>
      <c r="I35">
        <v>26.55</v>
      </c>
      <c r="J35" t="s">
        <v>100</v>
      </c>
      <c r="K35" t="s">
        <v>17</v>
      </c>
      <c r="L35">
        <v>8</v>
      </c>
      <c r="N35" t="s">
        <v>101</v>
      </c>
    </row>
    <row r="36" spans="1:14" x14ac:dyDescent="0.3">
      <c r="A36">
        <v>1</v>
      </c>
      <c r="B36">
        <v>0</v>
      </c>
      <c r="C36" t="s">
        <v>102</v>
      </c>
      <c r="D36" t="s">
        <v>20</v>
      </c>
      <c r="E36">
        <v>42</v>
      </c>
      <c r="F36">
        <v>0</v>
      </c>
      <c r="G36">
        <v>0</v>
      </c>
      <c r="H36">
        <v>110489</v>
      </c>
      <c r="I36">
        <v>26.55</v>
      </c>
      <c r="J36" t="s">
        <v>103</v>
      </c>
      <c r="K36" t="s">
        <v>17</v>
      </c>
      <c r="N36" t="s">
        <v>104</v>
      </c>
    </row>
    <row r="37" spans="1:14" x14ac:dyDescent="0.3">
      <c r="A37">
        <v>1</v>
      </c>
      <c r="B37">
        <v>1</v>
      </c>
      <c r="C37" t="s">
        <v>105</v>
      </c>
      <c r="D37" t="s">
        <v>15</v>
      </c>
      <c r="E37">
        <v>45</v>
      </c>
      <c r="F37">
        <v>0</v>
      </c>
      <c r="G37">
        <v>0</v>
      </c>
      <c r="H37" t="s">
        <v>106</v>
      </c>
      <c r="I37">
        <v>262.375</v>
      </c>
      <c r="K37" t="s">
        <v>41</v>
      </c>
      <c r="L37">
        <v>4</v>
      </c>
      <c r="N37" t="s">
        <v>107</v>
      </c>
    </row>
    <row r="38" spans="1:14" x14ac:dyDescent="0.3">
      <c r="A38">
        <v>1</v>
      </c>
      <c r="B38">
        <v>1</v>
      </c>
      <c r="C38" t="s">
        <v>108</v>
      </c>
      <c r="D38" t="s">
        <v>15</v>
      </c>
      <c r="E38">
        <v>22</v>
      </c>
      <c r="F38">
        <v>0</v>
      </c>
      <c r="G38">
        <v>1</v>
      </c>
      <c r="H38">
        <v>113505</v>
      </c>
      <c r="I38">
        <v>55</v>
      </c>
      <c r="J38" t="s">
        <v>109</v>
      </c>
      <c r="K38" t="s">
        <v>17</v>
      </c>
      <c r="L38">
        <v>6</v>
      </c>
      <c r="N38" t="s">
        <v>110</v>
      </c>
    </row>
    <row r="39" spans="1:14" x14ac:dyDescent="0.3">
      <c r="A39">
        <v>1</v>
      </c>
      <c r="B39">
        <v>1</v>
      </c>
      <c r="C39" t="s">
        <v>111</v>
      </c>
      <c r="D39" t="s">
        <v>20</v>
      </c>
      <c r="F39">
        <v>0</v>
      </c>
      <c r="G39">
        <v>0</v>
      </c>
      <c r="H39">
        <v>111427</v>
      </c>
      <c r="I39">
        <v>26.55</v>
      </c>
      <c r="K39" t="s">
        <v>17</v>
      </c>
      <c r="L39">
        <v>9</v>
      </c>
      <c r="N39" t="s">
        <v>112</v>
      </c>
    </row>
    <row r="40" spans="1:14" x14ac:dyDescent="0.3">
      <c r="A40">
        <v>1</v>
      </c>
      <c r="B40">
        <v>0</v>
      </c>
      <c r="C40" t="s">
        <v>113</v>
      </c>
      <c r="D40" t="s">
        <v>20</v>
      </c>
      <c r="E40">
        <v>41</v>
      </c>
      <c r="F40">
        <v>0</v>
      </c>
      <c r="G40">
        <v>0</v>
      </c>
      <c r="H40">
        <v>113054</v>
      </c>
      <c r="I40">
        <v>30.5</v>
      </c>
      <c r="J40" t="s">
        <v>114</v>
      </c>
      <c r="K40" t="s">
        <v>17</v>
      </c>
      <c r="N40" t="s">
        <v>115</v>
      </c>
    </row>
    <row r="41" spans="1:14" x14ac:dyDescent="0.3">
      <c r="A41">
        <v>1</v>
      </c>
      <c r="B41">
        <v>0</v>
      </c>
      <c r="C41" t="s">
        <v>116</v>
      </c>
      <c r="D41" t="s">
        <v>20</v>
      </c>
      <c r="E41">
        <v>48</v>
      </c>
      <c r="F41">
        <v>0</v>
      </c>
      <c r="G41">
        <v>0</v>
      </c>
      <c r="H41" t="s">
        <v>117</v>
      </c>
      <c r="I41">
        <v>50.495800000000003</v>
      </c>
      <c r="J41" t="s">
        <v>118</v>
      </c>
      <c r="K41" t="s">
        <v>41</v>
      </c>
      <c r="M41">
        <v>208</v>
      </c>
      <c r="N41" t="s">
        <v>119</v>
      </c>
    </row>
    <row r="42" spans="1:14" x14ac:dyDescent="0.3">
      <c r="A42">
        <v>1</v>
      </c>
      <c r="B42">
        <v>0</v>
      </c>
      <c r="C42" t="s">
        <v>120</v>
      </c>
      <c r="D42" t="s">
        <v>20</v>
      </c>
      <c r="F42">
        <v>0</v>
      </c>
      <c r="G42">
        <v>0</v>
      </c>
      <c r="H42">
        <v>112379</v>
      </c>
      <c r="I42">
        <v>39.6</v>
      </c>
      <c r="K42" t="s">
        <v>41</v>
      </c>
      <c r="N42" t="s">
        <v>121</v>
      </c>
    </row>
    <row r="43" spans="1:14" x14ac:dyDescent="0.3">
      <c r="A43">
        <v>1</v>
      </c>
      <c r="B43">
        <v>1</v>
      </c>
      <c r="C43" t="s">
        <v>122</v>
      </c>
      <c r="D43" t="s">
        <v>15</v>
      </c>
      <c r="E43">
        <v>44</v>
      </c>
      <c r="F43">
        <v>0</v>
      </c>
      <c r="G43">
        <v>0</v>
      </c>
      <c r="H43" t="s">
        <v>123</v>
      </c>
      <c r="I43">
        <v>27.720800000000001</v>
      </c>
      <c r="J43" t="s">
        <v>124</v>
      </c>
      <c r="K43" t="s">
        <v>41</v>
      </c>
      <c r="L43">
        <v>6</v>
      </c>
      <c r="N43" t="s">
        <v>125</v>
      </c>
    </row>
    <row r="44" spans="1:14" x14ac:dyDescent="0.3">
      <c r="A44">
        <v>1</v>
      </c>
      <c r="B44">
        <v>1</v>
      </c>
      <c r="C44" t="s">
        <v>126</v>
      </c>
      <c r="D44" t="s">
        <v>15</v>
      </c>
      <c r="E44">
        <v>59</v>
      </c>
      <c r="F44">
        <v>2</v>
      </c>
      <c r="G44">
        <v>0</v>
      </c>
      <c r="H44">
        <v>11769</v>
      </c>
      <c r="I44">
        <v>51.479199999999999</v>
      </c>
      <c r="J44" t="s">
        <v>36</v>
      </c>
      <c r="K44" t="s">
        <v>17</v>
      </c>
      <c r="L44" t="s">
        <v>37</v>
      </c>
      <c r="N44" t="s">
        <v>127</v>
      </c>
    </row>
    <row r="45" spans="1:14" x14ac:dyDescent="0.3">
      <c r="A45">
        <v>1</v>
      </c>
      <c r="B45">
        <v>1</v>
      </c>
      <c r="C45" t="s">
        <v>128</v>
      </c>
      <c r="D45" t="s">
        <v>15</v>
      </c>
      <c r="E45">
        <v>60</v>
      </c>
      <c r="F45">
        <v>0</v>
      </c>
      <c r="G45">
        <v>0</v>
      </c>
      <c r="H45">
        <v>11813</v>
      </c>
      <c r="I45">
        <v>76.291700000000006</v>
      </c>
      <c r="J45" t="s">
        <v>64</v>
      </c>
      <c r="K45" t="s">
        <v>41</v>
      </c>
      <c r="L45">
        <v>8</v>
      </c>
      <c r="N45" t="s">
        <v>121</v>
      </c>
    </row>
    <row r="46" spans="1:14" x14ac:dyDescent="0.3">
      <c r="A46">
        <v>1</v>
      </c>
      <c r="B46">
        <v>1</v>
      </c>
      <c r="C46" t="s">
        <v>129</v>
      </c>
      <c r="D46" t="s">
        <v>15</v>
      </c>
      <c r="E46">
        <v>41</v>
      </c>
      <c r="F46">
        <v>0</v>
      </c>
      <c r="G46">
        <v>0</v>
      </c>
      <c r="H46">
        <v>16966</v>
      </c>
      <c r="I46">
        <v>134.5</v>
      </c>
      <c r="J46" t="s">
        <v>130</v>
      </c>
      <c r="K46" t="s">
        <v>41</v>
      </c>
      <c r="L46">
        <v>3</v>
      </c>
    </row>
    <row r="47" spans="1:14" x14ac:dyDescent="0.3">
      <c r="A47">
        <v>1</v>
      </c>
      <c r="B47">
        <v>0</v>
      </c>
      <c r="C47" t="s">
        <v>131</v>
      </c>
      <c r="D47" t="s">
        <v>20</v>
      </c>
      <c r="E47">
        <v>45</v>
      </c>
      <c r="F47">
        <v>0</v>
      </c>
      <c r="G47">
        <v>0</v>
      </c>
      <c r="H47">
        <v>113050</v>
      </c>
      <c r="I47">
        <v>26.55</v>
      </c>
      <c r="J47" t="s">
        <v>132</v>
      </c>
      <c r="K47" t="s">
        <v>17</v>
      </c>
      <c r="N47" t="s">
        <v>133</v>
      </c>
    </row>
    <row r="48" spans="1:14" x14ac:dyDescent="0.3">
      <c r="A48">
        <v>1</v>
      </c>
      <c r="B48">
        <v>0</v>
      </c>
      <c r="C48" t="s">
        <v>134</v>
      </c>
      <c r="D48" t="s">
        <v>20</v>
      </c>
      <c r="F48">
        <v>0</v>
      </c>
      <c r="G48">
        <v>0</v>
      </c>
      <c r="H48">
        <v>113798</v>
      </c>
      <c r="I48">
        <v>31</v>
      </c>
      <c r="K48" t="s">
        <v>17</v>
      </c>
    </row>
    <row r="49" spans="1:14" x14ac:dyDescent="0.3">
      <c r="A49">
        <v>1</v>
      </c>
      <c r="B49">
        <v>1</v>
      </c>
      <c r="C49" t="s">
        <v>135</v>
      </c>
      <c r="D49" t="s">
        <v>20</v>
      </c>
      <c r="E49">
        <v>42</v>
      </c>
      <c r="F49">
        <v>0</v>
      </c>
      <c r="G49">
        <v>0</v>
      </c>
      <c r="H49" t="s">
        <v>136</v>
      </c>
      <c r="I49">
        <v>26.287500000000001</v>
      </c>
      <c r="J49" t="s">
        <v>137</v>
      </c>
      <c r="K49" t="s">
        <v>17</v>
      </c>
      <c r="L49">
        <v>5</v>
      </c>
      <c r="N49" t="s">
        <v>28</v>
      </c>
    </row>
    <row r="50" spans="1:14" x14ac:dyDescent="0.3">
      <c r="A50">
        <v>1</v>
      </c>
      <c r="B50">
        <v>1</v>
      </c>
      <c r="C50" t="s">
        <v>138</v>
      </c>
      <c r="D50" t="s">
        <v>15</v>
      </c>
      <c r="E50">
        <v>53</v>
      </c>
      <c r="F50">
        <v>0</v>
      </c>
      <c r="G50">
        <v>0</v>
      </c>
      <c r="H50" t="s">
        <v>139</v>
      </c>
      <c r="I50">
        <v>27.445799999999998</v>
      </c>
      <c r="K50" t="s">
        <v>41</v>
      </c>
      <c r="L50">
        <v>6</v>
      </c>
      <c r="N50" t="s">
        <v>133</v>
      </c>
    </row>
    <row r="51" spans="1:14" x14ac:dyDescent="0.3">
      <c r="A51">
        <v>1</v>
      </c>
      <c r="B51">
        <v>1</v>
      </c>
      <c r="C51" t="s">
        <v>140</v>
      </c>
      <c r="D51" t="s">
        <v>20</v>
      </c>
      <c r="E51">
        <v>36</v>
      </c>
      <c r="F51">
        <v>0</v>
      </c>
      <c r="G51">
        <v>1</v>
      </c>
      <c r="H51" t="s">
        <v>141</v>
      </c>
      <c r="I51">
        <v>512.32920000000001</v>
      </c>
      <c r="J51" t="s">
        <v>142</v>
      </c>
      <c r="K51" t="s">
        <v>41</v>
      </c>
      <c r="L51">
        <v>3</v>
      </c>
      <c r="N51" t="s">
        <v>143</v>
      </c>
    </row>
    <row r="52" spans="1:14" x14ac:dyDescent="0.3">
      <c r="A52">
        <v>1</v>
      </c>
      <c r="B52">
        <v>1</v>
      </c>
      <c r="C52" t="s">
        <v>144</v>
      </c>
      <c r="D52" t="s">
        <v>15</v>
      </c>
      <c r="E52">
        <v>58</v>
      </c>
      <c r="F52">
        <v>0</v>
      </c>
      <c r="G52">
        <v>1</v>
      </c>
      <c r="H52" t="s">
        <v>141</v>
      </c>
      <c r="I52">
        <v>512.32920000000001</v>
      </c>
      <c r="J52" t="s">
        <v>142</v>
      </c>
      <c r="K52" t="s">
        <v>41</v>
      </c>
      <c r="L52">
        <v>3</v>
      </c>
      <c r="N52" t="s">
        <v>145</v>
      </c>
    </row>
    <row r="53" spans="1:14" x14ac:dyDescent="0.3">
      <c r="A53">
        <v>1</v>
      </c>
      <c r="B53">
        <v>0</v>
      </c>
      <c r="C53" t="s">
        <v>146</v>
      </c>
      <c r="D53" t="s">
        <v>20</v>
      </c>
      <c r="E53">
        <v>33</v>
      </c>
      <c r="F53">
        <v>0</v>
      </c>
      <c r="G53">
        <v>0</v>
      </c>
      <c r="H53">
        <v>695</v>
      </c>
      <c r="I53">
        <v>5</v>
      </c>
      <c r="J53" t="s">
        <v>142</v>
      </c>
      <c r="K53" t="s">
        <v>17</v>
      </c>
      <c r="N53" t="s">
        <v>28</v>
      </c>
    </row>
    <row r="54" spans="1:14" x14ac:dyDescent="0.3">
      <c r="A54">
        <v>1</v>
      </c>
      <c r="B54">
        <v>0</v>
      </c>
      <c r="C54" t="s">
        <v>147</v>
      </c>
      <c r="D54" t="s">
        <v>20</v>
      </c>
      <c r="E54">
        <v>28</v>
      </c>
      <c r="F54">
        <v>0</v>
      </c>
      <c r="G54">
        <v>0</v>
      </c>
      <c r="H54">
        <v>113059</v>
      </c>
      <c r="I54">
        <v>47.1</v>
      </c>
      <c r="K54" t="s">
        <v>17</v>
      </c>
      <c r="N54" t="s">
        <v>42</v>
      </c>
    </row>
    <row r="55" spans="1:14" x14ac:dyDescent="0.3">
      <c r="A55">
        <v>1</v>
      </c>
      <c r="B55">
        <v>0</v>
      </c>
      <c r="C55" t="s">
        <v>148</v>
      </c>
      <c r="D55" t="s">
        <v>20</v>
      </c>
      <c r="E55">
        <v>17</v>
      </c>
      <c r="F55">
        <v>0</v>
      </c>
      <c r="G55">
        <v>0</v>
      </c>
      <c r="H55">
        <v>113059</v>
      </c>
      <c r="I55">
        <v>47.1</v>
      </c>
      <c r="K55" t="s">
        <v>17</v>
      </c>
      <c r="N55" t="s">
        <v>42</v>
      </c>
    </row>
    <row r="56" spans="1:14" x14ac:dyDescent="0.3">
      <c r="A56">
        <v>1</v>
      </c>
      <c r="B56">
        <v>1</v>
      </c>
      <c r="C56" t="s">
        <v>149</v>
      </c>
      <c r="D56" t="s">
        <v>20</v>
      </c>
      <c r="E56">
        <v>11</v>
      </c>
      <c r="F56">
        <v>1</v>
      </c>
      <c r="G56">
        <v>2</v>
      </c>
      <c r="H56">
        <v>113760</v>
      </c>
      <c r="I56">
        <v>120</v>
      </c>
      <c r="J56" t="s">
        <v>150</v>
      </c>
      <c r="K56" t="s">
        <v>17</v>
      </c>
      <c r="L56">
        <v>4</v>
      </c>
      <c r="N56" t="s">
        <v>151</v>
      </c>
    </row>
    <row r="57" spans="1:14" x14ac:dyDescent="0.3">
      <c r="A57">
        <v>1</v>
      </c>
      <c r="B57">
        <v>1</v>
      </c>
      <c r="C57" t="s">
        <v>152</v>
      </c>
      <c r="D57" t="s">
        <v>15</v>
      </c>
      <c r="E57">
        <v>14</v>
      </c>
      <c r="F57">
        <v>1</v>
      </c>
      <c r="G57">
        <v>2</v>
      </c>
      <c r="H57">
        <v>113760</v>
      </c>
      <c r="I57">
        <v>120</v>
      </c>
      <c r="J57" t="s">
        <v>150</v>
      </c>
      <c r="K57" t="s">
        <v>17</v>
      </c>
      <c r="L57">
        <v>4</v>
      </c>
      <c r="N57" t="s">
        <v>151</v>
      </c>
    </row>
    <row r="58" spans="1:14" x14ac:dyDescent="0.3">
      <c r="A58">
        <v>1</v>
      </c>
      <c r="B58">
        <v>1</v>
      </c>
      <c r="C58" t="s">
        <v>153</v>
      </c>
      <c r="D58" t="s">
        <v>20</v>
      </c>
      <c r="E58">
        <v>36</v>
      </c>
      <c r="F58">
        <v>1</v>
      </c>
      <c r="G58">
        <v>2</v>
      </c>
      <c r="H58">
        <v>113760</v>
      </c>
      <c r="I58">
        <v>120</v>
      </c>
      <c r="J58" t="s">
        <v>150</v>
      </c>
      <c r="K58" t="s">
        <v>17</v>
      </c>
      <c r="L58" t="s">
        <v>41</v>
      </c>
      <c r="N58" t="s">
        <v>151</v>
      </c>
    </row>
    <row r="59" spans="1:14" x14ac:dyDescent="0.3">
      <c r="A59">
        <v>1</v>
      </c>
      <c r="B59">
        <v>1</v>
      </c>
      <c r="C59" t="s">
        <v>154</v>
      </c>
      <c r="D59" t="s">
        <v>15</v>
      </c>
      <c r="E59">
        <v>36</v>
      </c>
      <c r="F59">
        <v>1</v>
      </c>
      <c r="G59">
        <v>2</v>
      </c>
      <c r="H59">
        <v>113760</v>
      </c>
      <c r="I59">
        <v>120</v>
      </c>
      <c r="J59" t="s">
        <v>150</v>
      </c>
      <c r="K59" t="s">
        <v>17</v>
      </c>
      <c r="L59">
        <v>4</v>
      </c>
      <c r="N59" t="s">
        <v>151</v>
      </c>
    </row>
    <row r="60" spans="1:14" x14ac:dyDescent="0.3">
      <c r="A60">
        <v>1</v>
      </c>
      <c r="B60">
        <v>0</v>
      </c>
      <c r="C60" t="s">
        <v>155</v>
      </c>
      <c r="D60" t="s">
        <v>20</v>
      </c>
      <c r="E60">
        <v>49</v>
      </c>
      <c r="F60">
        <v>0</v>
      </c>
      <c r="G60">
        <v>0</v>
      </c>
      <c r="H60">
        <v>19924</v>
      </c>
      <c r="I60">
        <v>26</v>
      </c>
      <c r="K60" t="s">
        <v>17</v>
      </c>
      <c r="N60" t="s">
        <v>156</v>
      </c>
    </row>
    <row r="61" spans="1:14" x14ac:dyDescent="0.3">
      <c r="A61">
        <v>1</v>
      </c>
      <c r="B61">
        <v>1</v>
      </c>
      <c r="C61" t="s">
        <v>157</v>
      </c>
      <c r="D61" t="s">
        <v>15</v>
      </c>
      <c r="F61">
        <v>0</v>
      </c>
      <c r="G61">
        <v>0</v>
      </c>
      <c r="H61">
        <v>17770</v>
      </c>
      <c r="I61">
        <v>27.720800000000001</v>
      </c>
      <c r="K61" t="s">
        <v>41</v>
      </c>
      <c r="L61">
        <v>5</v>
      </c>
      <c r="N61" t="s">
        <v>28</v>
      </c>
    </row>
    <row r="62" spans="1:14" x14ac:dyDescent="0.3">
      <c r="A62">
        <v>1</v>
      </c>
      <c r="B62">
        <v>0</v>
      </c>
      <c r="C62" t="s">
        <v>158</v>
      </c>
      <c r="D62" t="s">
        <v>20</v>
      </c>
      <c r="E62">
        <v>36</v>
      </c>
      <c r="F62">
        <v>1</v>
      </c>
      <c r="G62">
        <v>0</v>
      </c>
      <c r="H62">
        <v>19877</v>
      </c>
      <c r="I62">
        <v>78.849999999999994</v>
      </c>
      <c r="J62" t="s">
        <v>159</v>
      </c>
      <c r="K62" t="s">
        <v>17</v>
      </c>
      <c r="M62">
        <v>172</v>
      </c>
      <c r="N62" t="s">
        <v>160</v>
      </c>
    </row>
    <row r="63" spans="1:14" x14ac:dyDescent="0.3">
      <c r="A63">
        <v>1</v>
      </c>
      <c r="B63">
        <v>1</v>
      </c>
      <c r="C63" t="s">
        <v>161</v>
      </c>
      <c r="D63" t="s">
        <v>15</v>
      </c>
      <c r="E63">
        <v>76</v>
      </c>
      <c r="F63">
        <v>1</v>
      </c>
      <c r="G63">
        <v>0</v>
      </c>
      <c r="H63">
        <v>19877</v>
      </c>
      <c r="I63">
        <v>78.849999999999994</v>
      </c>
      <c r="J63" t="s">
        <v>159</v>
      </c>
      <c r="K63" t="s">
        <v>17</v>
      </c>
      <c r="L63">
        <v>6</v>
      </c>
      <c r="N63" t="s">
        <v>160</v>
      </c>
    </row>
    <row r="64" spans="1:14" x14ac:dyDescent="0.3">
      <c r="A64">
        <v>1</v>
      </c>
      <c r="B64">
        <v>0</v>
      </c>
      <c r="C64" t="s">
        <v>162</v>
      </c>
      <c r="D64" t="s">
        <v>20</v>
      </c>
      <c r="E64">
        <v>46</v>
      </c>
      <c r="F64">
        <v>1</v>
      </c>
      <c r="G64">
        <v>0</v>
      </c>
      <c r="H64" t="s">
        <v>163</v>
      </c>
      <c r="I64">
        <v>61.174999999999997</v>
      </c>
      <c r="J64" t="s">
        <v>164</v>
      </c>
      <c r="K64" t="s">
        <v>17</v>
      </c>
      <c r="N64" t="s">
        <v>165</v>
      </c>
    </row>
    <row r="65" spans="1:14" x14ac:dyDescent="0.3">
      <c r="A65">
        <v>1</v>
      </c>
      <c r="B65">
        <v>1</v>
      </c>
      <c r="C65" t="s">
        <v>166</v>
      </c>
      <c r="D65" t="s">
        <v>15</v>
      </c>
      <c r="E65">
        <v>47</v>
      </c>
      <c r="F65">
        <v>1</v>
      </c>
      <c r="G65">
        <v>0</v>
      </c>
      <c r="H65" t="s">
        <v>163</v>
      </c>
      <c r="I65">
        <v>61.174999999999997</v>
      </c>
      <c r="J65" t="s">
        <v>164</v>
      </c>
      <c r="K65" t="s">
        <v>17</v>
      </c>
      <c r="L65">
        <v>4</v>
      </c>
      <c r="N65" t="s">
        <v>165</v>
      </c>
    </row>
    <row r="66" spans="1:14" x14ac:dyDescent="0.3">
      <c r="A66">
        <v>1</v>
      </c>
      <c r="B66">
        <v>1</v>
      </c>
      <c r="C66" t="s">
        <v>167</v>
      </c>
      <c r="D66" t="s">
        <v>20</v>
      </c>
      <c r="E66">
        <v>27</v>
      </c>
      <c r="F66">
        <v>1</v>
      </c>
      <c r="G66">
        <v>0</v>
      </c>
      <c r="H66">
        <v>113806</v>
      </c>
      <c r="I66">
        <v>53.1</v>
      </c>
      <c r="J66" t="s">
        <v>168</v>
      </c>
      <c r="K66" t="s">
        <v>17</v>
      </c>
      <c r="L66">
        <v>5</v>
      </c>
      <c r="N66" t="s">
        <v>169</v>
      </c>
    </row>
    <row r="67" spans="1:14" x14ac:dyDescent="0.3">
      <c r="A67">
        <v>1</v>
      </c>
      <c r="B67">
        <v>1</v>
      </c>
      <c r="C67" t="s">
        <v>170</v>
      </c>
      <c r="D67" t="s">
        <v>15</v>
      </c>
      <c r="E67">
        <v>33</v>
      </c>
      <c r="F67">
        <v>1</v>
      </c>
      <c r="G67">
        <v>0</v>
      </c>
      <c r="H67">
        <v>113806</v>
      </c>
      <c r="I67">
        <v>53.1</v>
      </c>
      <c r="J67" t="s">
        <v>168</v>
      </c>
      <c r="K67" t="s">
        <v>17</v>
      </c>
      <c r="L67">
        <v>5</v>
      </c>
      <c r="N67" t="s">
        <v>169</v>
      </c>
    </row>
    <row r="68" spans="1:14" x14ac:dyDescent="0.3">
      <c r="A68">
        <v>1</v>
      </c>
      <c r="B68">
        <v>1</v>
      </c>
      <c r="C68" t="s">
        <v>171</v>
      </c>
      <c r="D68" t="s">
        <v>15</v>
      </c>
      <c r="E68">
        <v>36</v>
      </c>
      <c r="F68">
        <v>0</v>
      </c>
      <c r="G68">
        <v>0</v>
      </c>
      <c r="H68" t="s">
        <v>106</v>
      </c>
      <c r="I68">
        <v>262.375</v>
      </c>
      <c r="J68" t="s">
        <v>172</v>
      </c>
      <c r="K68" t="s">
        <v>41</v>
      </c>
      <c r="L68">
        <v>4</v>
      </c>
    </row>
    <row r="69" spans="1:14" x14ac:dyDescent="0.3">
      <c r="A69">
        <v>1</v>
      </c>
      <c r="B69">
        <v>1</v>
      </c>
      <c r="C69" t="s">
        <v>173</v>
      </c>
      <c r="D69" t="s">
        <v>15</v>
      </c>
      <c r="E69">
        <v>30</v>
      </c>
      <c r="F69">
        <v>0</v>
      </c>
      <c r="G69">
        <v>0</v>
      </c>
      <c r="H69">
        <v>110152</v>
      </c>
      <c r="I69">
        <v>86.5</v>
      </c>
      <c r="J69" t="s">
        <v>174</v>
      </c>
      <c r="K69" t="s">
        <v>17</v>
      </c>
      <c r="L69">
        <v>8</v>
      </c>
      <c r="N69" t="s">
        <v>175</v>
      </c>
    </row>
    <row r="70" spans="1:14" x14ac:dyDescent="0.3">
      <c r="A70">
        <v>1</v>
      </c>
      <c r="B70">
        <v>1</v>
      </c>
      <c r="C70" t="s">
        <v>176</v>
      </c>
      <c r="D70" t="s">
        <v>20</v>
      </c>
      <c r="E70">
        <v>45</v>
      </c>
      <c r="F70">
        <v>0</v>
      </c>
      <c r="G70">
        <v>0</v>
      </c>
      <c r="H70" t="s">
        <v>177</v>
      </c>
      <c r="I70">
        <v>29.7</v>
      </c>
      <c r="J70" t="s">
        <v>178</v>
      </c>
      <c r="K70" t="s">
        <v>41</v>
      </c>
      <c r="L70">
        <v>7</v>
      </c>
      <c r="N70" t="s">
        <v>50</v>
      </c>
    </row>
    <row r="71" spans="1:14" x14ac:dyDescent="0.3">
      <c r="A71">
        <v>1</v>
      </c>
      <c r="B71">
        <v>1</v>
      </c>
      <c r="C71" t="s">
        <v>179</v>
      </c>
      <c r="D71" t="s">
        <v>15</v>
      </c>
      <c r="F71">
        <v>0</v>
      </c>
      <c r="G71">
        <v>1</v>
      </c>
      <c r="H71">
        <v>113505</v>
      </c>
      <c r="I71">
        <v>55</v>
      </c>
      <c r="J71" t="s">
        <v>109</v>
      </c>
      <c r="K71" t="s">
        <v>17</v>
      </c>
      <c r="L71">
        <v>6</v>
      </c>
      <c r="N71" t="s">
        <v>110</v>
      </c>
    </row>
    <row r="72" spans="1:14" x14ac:dyDescent="0.3">
      <c r="A72">
        <v>1</v>
      </c>
      <c r="B72">
        <v>0</v>
      </c>
      <c r="C72" t="s">
        <v>180</v>
      </c>
      <c r="D72" t="s">
        <v>20</v>
      </c>
      <c r="F72">
        <v>0</v>
      </c>
      <c r="G72">
        <v>0</v>
      </c>
      <c r="H72">
        <v>112051</v>
      </c>
      <c r="I72">
        <v>0</v>
      </c>
      <c r="K72" t="s">
        <v>17</v>
      </c>
      <c r="N72" t="s">
        <v>181</v>
      </c>
    </row>
    <row r="73" spans="1:14" x14ac:dyDescent="0.3">
      <c r="A73">
        <v>1</v>
      </c>
      <c r="B73">
        <v>0</v>
      </c>
      <c r="C73" t="s">
        <v>182</v>
      </c>
      <c r="D73" t="s">
        <v>20</v>
      </c>
      <c r="E73">
        <v>27</v>
      </c>
      <c r="F73">
        <v>1</v>
      </c>
      <c r="G73">
        <v>0</v>
      </c>
      <c r="H73">
        <v>13508</v>
      </c>
      <c r="I73">
        <v>136.7792</v>
      </c>
      <c r="J73" t="s">
        <v>183</v>
      </c>
      <c r="K73" t="s">
        <v>41</v>
      </c>
      <c r="N73" t="s">
        <v>112</v>
      </c>
    </row>
    <row r="74" spans="1:14" x14ac:dyDescent="0.3">
      <c r="A74">
        <v>1</v>
      </c>
      <c r="B74">
        <v>1</v>
      </c>
      <c r="C74" t="s">
        <v>184</v>
      </c>
      <c r="D74" t="s">
        <v>15</v>
      </c>
      <c r="E74">
        <v>26</v>
      </c>
      <c r="F74">
        <v>1</v>
      </c>
      <c r="G74">
        <v>0</v>
      </c>
      <c r="H74">
        <v>13508</v>
      </c>
      <c r="I74">
        <v>136.7792</v>
      </c>
      <c r="J74" t="s">
        <v>183</v>
      </c>
      <c r="K74" t="s">
        <v>41</v>
      </c>
      <c r="L74">
        <v>4</v>
      </c>
      <c r="N74" t="s">
        <v>112</v>
      </c>
    </row>
    <row r="75" spans="1:14" x14ac:dyDescent="0.3">
      <c r="A75">
        <v>1</v>
      </c>
      <c r="B75">
        <v>1</v>
      </c>
      <c r="C75" t="s">
        <v>185</v>
      </c>
      <c r="D75" t="s">
        <v>15</v>
      </c>
      <c r="E75">
        <v>22</v>
      </c>
      <c r="F75">
        <v>0</v>
      </c>
      <c r="G75">
        <v>0</v>
      </c>
      <c r="H75">
        <v>113781</v>
      </c>
      <c r="I75">
        <v>151.55000000000001</v>
      </c>
      <c r="K75" t="s">
        <v>17</v>
      </c>
      <c r="L75">
        <v>11</v>
      </c>
    </row>
    <row r="76" spans="1:14" x14ac:dyDescent="0.3">
      <c r="A76">
        <v>1</v>
      </c>
      <c r="B76">
        <v>0</v>
      </c>
      <c r="C76" t="s">
        <v>186</v>
      </c>
      <c r="D76" t="s">
        <v>20</v>
      </c>
      <c r="F76">
        <v>0</v>
      </c>
      <c r="G76">
        <v>0</v>
      </c>
      <c r="H76">
        <v>110465</v>
      </c>
      <c r="I76">
        <v>52</v>
      </c>
      <c r="J76" t="s">
        <v>187</v>
      </c>
      <c r="K76" t="s">
        <v>17</v>
      </c>
      <c r="N76" t="s">
        <v>188</v>
      </c>
    </row>
    <row r="77" spans="1:14" x14ac:dyDescent="0.3">
      <c r="A77">
        <v>1</v>
      </c>
      <c r="B77">
        <v>0</v>
      </c>
      <c r="C77" t="s">
        <v>189</v>
      </c>
      <c r="D77" t="s">
        <v>20</v>
      </c>
      <c r="E77">
        <v>47</v>
      </c>
      <c r="F77">
        <v>0</v>
      </c>
      <c r="G77">
        <v>0</v>
      </c>
      <c r="H77">
        <v>5727</v>
      </c>
      <c r="I77">
        <v>25.587499999999999</v>
      </c>
      <c r="J77" t="s">
        <v>190</v>
      </c>
      <c r="K77" t="s">
        <v>17</v>
      </c>
      <c r="N77" t="s">
        <v>191</v>
      </c>
    </row>
    <row r="78" spans="1:14" x14ac:dyDescent="0.3">
      <c r="A78">
        <v>1</v>
      </c>
      <c r="B78">
        <v>1</v>
      </c>
      <c r="C78" t="s">
        <v>192</v>
      </c>
      <c r="D78" t="s">
        <v>15</v>
      </c>
      <c r="E78">
        <v>39</v>
      </c>
      <c r="F78">
        <v>1</v>
      </c>
      <c r="G78">
        <v>1</v>
      </c>
      <c r="H78" t="s">
        <v>193</v>
      </c>
      <c r="I78">
        <v>83.158299999999997</v>
      </c>
      <c r="J78" t="s">
        <v>194</v>
      </c>
      <c r="K78" t="s">
        <v>41</v>
      </c>
      <c r="L78">
        <v>14</v>
      </c>
      <c r="N78" t="s">
        <v>195</v>
      </c>
    </row>
    <row r="79" spans="1:14" x14ac:dyDescent="0.3">
      <c r="A79">
        <v>1</v>
      </c>
      <c r="B79">
        <v>0</v>
      </c>
      <c r="C79" t="s">
        <v>196</v>
      </c>
      <c r="D79" t="s">
        <v>20</v>
      </c>
      <c r="E79">
        <v>37</v>
      </c>
      <c r="F79">
        <v>1</v>
      </c>
      <c r="G79">
        <v>1</v>
      </c>
      <c r="H79" t="s">
        <v>193</v>
      </c>
      <c r="I79">
        <v>83.158299999999997</v>
      </c>
      <c r="J79" t="s">
        <v>197</v>
      </c>
      <c r="K79" t="s">
        <v>41</v>
      </c>
      <c r="N79" t="s">
        <v>195</v>
      </c>
    </row>
    <row r="80" spans="1:14" x14ac:dyDescent="0.3">
      <c r="A80">
        <v>1</v>
      </c>
      <c r="B80">
        <v>1</v>
      </c>
      <c r="C80" t="s">
        <v>198</v>
      </c>
      <c r="D80" t="s">
        <v>15</v>
      </c>
      <c r="E80">
        <v>64</v>
      </c>
      <c r="F80">
        <v>0</v>
      </c>
      <c r="G80">
        <v>2</v>
      </c>
      <c r="H80" t="s">
        <v>193</v>
      </c>
      <c r="I80">
        <v>83.158299999999997</v>
      </c>
      <c r="J80" t="s">
        <v>199</v>
      </c>
      <c r="K80" t="s">
        <v>41</v>
      </c>
      <c r="L80">
        <v>14</v>
      </c>
      <c r="N80" t="s">
        <v>195</v>
      </c>
    </row>
    <row r="81" spans="1:14" x14ac:dyDescent="0.3">
      <c r="A81">
        <v>1</v>
      </c>
      <c r="B81">
        <v>1</v>
      </c>
      <c r="C81" t="s">
        <v>200</v>
      </c>
      <c r="D81" t="s">
        <v>15</v>
      </c>
      <c r="E81">
        <v>55</v>
      </c>
      <c r="F81">
        <v>2</v>
      </c>
      <c r="G81">
        <v>0</v>
      </c>
      <c r="H81">
        <v>11770</v>
      </c>
      <c r="I81">
        <v>25.7</v>
      </c>
      <c r="J81" t="s">
        <v>36</v>
      </c>
      <c r="K81" t="s">
        <v>17</v>
      </c>
      <c r="L81">
        <v>2</v>
      </c>
      <c r="N81" t="s">
        <v>28</v>
      </c>
    </row>
    <row r="82" spans="1:14" x14ac:dyDescent="0.3">
      <c r="A82">
        <v>1</v>
      </c>
      <c r="B82">
        <v>0</v>
      </c>
      <c r="C82" t="s">
        <v>201</v>
      </c>
      <c r="D82" t="s">
        <v>20</v>
      </c>
      <c r="F82">
        <v>0</v>
      </c>
      <c r="G82">
        <v>0</v>
      </c>
      <c r="H82">
        <v>113791</v>
      </c>
      <c r="I82">
        <v>26.55</v>
      </c>
      <c r="K82" t="s">
        <v>17</v>
      </c>
      <c r="N82" t="s">
        <v>202</v>
      </c>
    </row>
    <row r="83" spans="1:14" x14ac:dyDescent="0.3">
      <c r="A83">
        <v>1</v>
      </c>
      <c r="B83">
        <v>0</v>
      </c>
      <c r="C83" t="s">
        <v>203</v>
      </c>
      <c r="D83" t="s">
        <v>20</v>
      </c>
      <c r="E83">
        <v>70</v>
      </c>
      <c r="F83">
        <v>1</v>
      </c>
      <c r="G83">
        <v>1</v>
      </c>
      <c r="H83" t="s">
        <v>204</v>
      </c>
      <c r="I83">
        <v>71</v>
      </c>
      <c r="J83" t="s">
        <v>205</v>
      </c>
      <c r="K83" t="s">
        <v>17</v>
      </c>
      <c r="M83">
        <v>269</v>
      </c>
      <c r="N83" t="s">
        <v>206</v>
      </c>
    </row>
    <row r="84" spans="1:14" x14ac:dyDescent="0.3">
      <c r="A84">
        <v>1</v>
      </c>
      <c r="B84">
        <v>1</v>
      </c>
      <c r="C84" t="s">
        <v>207</v>
      </c>
      <c r="D84" t="s">
        <v>15</v>
      </c>
      <c r="E84">
        <v>36</v>
      </c>
      <c r="F84">
        <v>0</v>
      </c>
      <c r="G84">
        <v>2</v>
      </c>
      <c r="H84" t="s">
        <v>204</v>
      </c>
      <c r="I84">
        <v>71</v>
      </c>
      <c r="J84" t="s">
        <v>205</v>
      </c>
      <c r="K84" t="s">
        <v>17</v>
      </c>
      <c r="L84">
        <v>7</v>
      </c>
      <c r="N84" t="s">
        <v>206</v>
      </c>
    </row>
    <row r="85" spans="1:14" x14ac:dyDescent="0.3">
      <c r="A85">
        <v>1</v>
      </c>
      <c r="B85">
        <v>1</v>
      </c>
      <c r="C85" t="s">
        <v>208</v>
      </c>
      <c r="D85" t="s">
        <v>15</v>
      </c>
      <c r="E85">
        <v>64</v>
      </c>
      <c r="F85">
        <v>1</v>
      </c>
      <c r="G85">
        <v>1</v>
      </c>
      <c r="H85">
        <v>112901</v>
      </c>
      <c r="I85">
        <v>26.55</v>
      </c>
      <c r="J85" t="s">
        <v>209</v>
      </c>
      <c r="K85" t="s">
        <v>17</v>
      </c>
      <c r="L85">
        <v>7</v>
      </c>
      <c r="N85" t="s">
        <v>206</v>
      </c>
    </row>
    <row r="86" spans="1:14" x14ac:dyDescent="0.3">
      <c r="A86">
        <v>1</v>
      </c>
      <c r="B86">
        <v>0</v>
      </c>
      <c r="C86" t="s">
        <v>210</v>
      </c>
      <c r="D86" t="s">
        <v>20</v>
      </c>
      <c r="E86">
        <v>39</v>
      </c>
      <c r="F86">
        <v>1</v>
      </c>
      <c r="G86">
        <v>0</v>
      </c>
      <c r="H86" t="s">
        <v>211</v>
      </c>
      <c r="I86">
        <v>71.283299999999997</v>
      </c>
      <c r="J86" t="s">
        <v>212</v>
      </c>
      <c r="K86" t="s">
        <v>41</v>
      </c>
      <c r="N86" t="s">
        <v>28</v>
      </c>
    </row>
    <row r="87" spans="1:14" x14ac:dyDescent="0.3">
      <c r="A87">
        <v>1</v>
      </c>
      <c r="B87">
        <v>1</v>
      </c>
      <c r="C87" t="s">
        <v>213</v>
      </c>
      <c r="D87" t="s">
        <v>15</v>
      </c>
      <c r="E87">
        <v>38</v>
      </c>
      <c r="F87">
        <v>1</v>
      </c>
      <c r="G87">
        <v>0</v>
      </c>
      <c r="H87" t="s">
        <v>211</v>
      </c>
      <c r="I87">
        <v>71.283299999999997</v>
      </c>
      <c r="J87" t="s">
        <v>212</v>
      </c>
      <c r="K87" t="s">
        <v>41</v>
      </c>
      <c r="L87">
        <v>4</v>
      </c>
      <c r="N87" t="s">
        <v>28</v>
      </c>
    </row>
    <row r="88" spans="1:14" x14ac:dyDescent="0.3">
      <c r="A88">
        <v>1</v>
      </c>
      <c r="B88">
        <v>1</v>
      </c>
      <c r="C88" t="s">
        <v>214</v>
      </c>
      <c r="D88" t="s">
        <v>20</v>
      </c>
      <c r="E88">
        <v>51</v>
      </c>
      <c r="F88">
        <v>0</v>
      </c>
      <c r="G88">
        <v>0</v>
      </c>
      <c r="H88">
        <v>113055</v>
      </c>
      <c r="I88">
        <v>26.55</v>
      </c>
      <c r="J88" t="s">
        <v>215</v>
      </c>
      <c r="K88" t="s">
        <v>17</v>
      </c>
      <c r="L88" t="s">
        <v>216</v>
      </c>
      <c r="N88" t="s">
        <v>217</v>
      </c>
    </row>
    <row r="89" spans="1:14" x14ac:dyDescent="0.3">
      <c r="A89">
        <v>1</v>
      </c>
      <c r="B89">
        <v>1</v>
      </c>
      <c r="C89" t="s">
        <v>218</v>
      </c>
      <c r="D89" t="s">
        <v>20</v>
      </c>
      <c r="E89">
        <v>27</v>
      </c>
      <c r="F89">
        <v>0</v>
      </c>
      <c r="G89">
        <v>0</v>
      </c>
      <c r="H89">
        <v>113804</v>
      </c>
      <c r="I89">
        <v>30.5</v>
      </c>
      <c r="K89" t="s">
        <v>17</v>
      </c>
      <c r="L89">
        <v>3</v>
      </c>
      <c r="N89" t="s">
        <v>121</v>
      </c>
    </row>
    <row r="90" spans="1:14" x14ac:dyDescent="0.3">
      <c r="A90">
        <v>1</v>
      </c>
      <c r="B90">
        <v>1</v>
      </c>
      <c r="C90" t="s">
        <v>219</v>
      </c>
      <c r="D90" t="s">
        <v>15</v>
      </c>
      <c r="E90">
        <v>33</v>
      </c>
      <c r="F90">
        <v>0</v>
      </c>
      <c r="G90">
        <v>0</v>
      </c>
      <c r="H90">
        <v>113781</v>
      </c>
      <c r="I90">
        <v>151.55000000000001</v>
      </c>
      <c r="K90" t="s">
        <v>17</v>
      </c>
      <c r="L90">
        <v>8</v>
      </c>
    </row>
    <row r="91" spans="1:14" x14ac:dyDescent="0.3">
      <c r="A91">
        <v>1</v>
      </c>
      <c r="B91">
        <v>0</v>
      </c>
      <c r="C91" t="s">
        <v>220</v>
      </c>
      <c r="D91" t="s">
        <v>20</v>
      </c>
      <c r="E91">
        <v>31</v>
      </c>
      <c r="F91">
        <v>1</v>
      </c>
      <c r="G91">
        <v>0</v>
      </c>
      <c r="H91" t="s">
        <v>221</v>
      </c>
      <c r="I91">
        <v>52</v>
      </c>
      <c r="J91" t="s">
        <v>222</v>
      </c>
      <c r="K91" t="s">
        <v>17</v>
      </c>
      <c r="N91" t="s">
        <v>61</v>
      </c>
    </row>
    <row r="92" spans="1:14" x14ac:dyDescent="0.3">
      <c r="A92">
        <v>1</v>
      </c>
      <c r="B92">
        <v>1</v>
      </c>
      <c r="C92" t="s">
        <v>223</v>
      </c>
      <c r="D92" t="s">
        <v>15</v>
      </c>
      <c r="E92">
        <v>27</v>
      </c>
      <c r="F92">
        <v>1</v>
      </c>
      <c r="G92">
        <v>2</v>
      </c>
      <c r="H92" t="s">
        <v>221</v>
      </c>
      <c r="I92">
        <v>52</v>
      </c>
      <c r="J92" t="s">
        <v>222</v>
      </c>
      <c r="K92" t="s">
        <v>17</v>
      </c>
      <c r="L92">
        <v>3</v>
      </c>
      <c r="N92" t="s">
        <v>61</v>
      </c>
    </row>
    <row r="93" spans="1:14" x14ac:dyDescent="0.3">
      <c r="A93">
        <v>1</v>
      </c>
      <c r="B93">
        <v>1</v>
      </c>
      <c r="C93" t="s">
        <v>224</v>
      </c>
      <c r="D93" t="s">
        <v>20</v>
      </c>
      <c r="E93">
        <v>31</v>
      </c>
      <c r="F93">
        <v>1</v>
      </c>
      <c r="G93">
        <v>0</v>
      </c>
      <c r="H93">
        <v>17474</v>
      </c>
      <c r="I93">
        <v>57</v>
      </c>
      <c r="J93" t="s">
        <v>225</v>
      </c>
      <c r="K93" t="s">
        <v>17</v>
      </c>
      <c r="L93">
        <v>3</v>
      </c>
      <c r="N93" t="s">
        <v>226</v>
      </c>
    </row>
    <row r="94" spans="1:14" x14ac:dyDescent="0.3">
      <c r="A94">
        <v>1</v>
      </c>
      <c r="B94">
        <v>1</v>
      </c>
      <c r="C94" t="s">
        <v>227</v>
      </c>
      <c r="D94" t="s">
        <v>15</v>
      </c>
      <c r="E94">
        <v>17</v>
      </c>
      <c r="F94">
        <v>1</v>
      </c>
      <c r="G94">
        <v>0</v>
      </c>
      <c r="H94">
        <v>17474</v>
      </c>
      <c r="I94">
        <v>57</v>
      </c>
      <c r="J94" t="s">
        <v>225</v>
      </c>
      <c r="K94" t="s">
        <v>17</v>
      </c>
      <c r="L94">
        <v>3</v>
      </c>
      <c r="N94" t="s">
        <v>226</v>
      </c>
    </row>
    <row r="95" spans="1:14" x14ac:dyDescent="0.3">
      <c r="A95">
        <v>1</v>
      </c>
      <c r="B95">
        <v>1</v>
      </c>
      <c r="C95" t="s">
        <v>228</v>
      </c>
      <c r="D95" t="s">
        <v>20</v>
      </c>
      <c r="E95">
        <v>53</v>
      </c>
      <c r="F95">
        <v>1</v>
      </c>
      <c r="G95">
        <v>1</v>
      </c>
      <c r="H95">
        <v>33638</v>
      </c>
      <c r="I95">
        <v>81.8583</v>
      </c>
      <c r="J95" t="s">
        <v>229</v>
      </c>
      <c r="K95" t="s">
        <v>17</v>
      </c>
      <c r="L95">
        <v>13</v>
      </c>
      <c r="N95" t="s">
        <v>79</v>
      </c>
    </row>
    <row r="96" spans="1:14" x14ac:dyDescent="0.3">
      <c r="A96">
        <v>1</v>
      </c>
      <c r="B96">
        <v>1</v>
      </c>
      <c r="C96" t="s">
        <v>230</v>
      </c>
      <c r="D96" t="s">
        <v>20</v>
      </c>
      <c r="E96">
        <v>4</v>
      </c>
      <c r="F96">
        <v>0</v>
      </c>
      <c r="G96">
        <v>2</v>
      </c>
      <c r="H96">
        <v>33638</v>
      </c>
      <c r="I96">
        <v>81.8583</v>
      </c>
      <c r="J96" t="s">
        <v>229</v>
      </c>
      <c r="K96" t="s">
        <v>17</v>
      </c>
      <c r="L96">
        <v>5</v>
      </c>
      <c r="N96" t="s">
        <v>79</v>
      </c>
    </row>
    <row r="97" spans="1:14" x14ac:dyDescent="0.3">
      <c r="A97">
        <v>1</v>
      </c>
      <c r="B97">
        <v>1</v>
      </c>
      <c r="C97" t="s">
        <v>231</v>
      </c>
      <c r="D97" t="s">
        <v>15</v>
      </c>
      <c r="E97">
        <v>54</v>
      </c>
      <c r="F97">
        <v>1</v>
      </c>
      <c r="G97">
        <v>1</v>
      </c>
      <c r="H97">
        <v>33638</v>
      </c>
      <c r="I97">
        <v>81.8583</v>
      </c>
      <c r="J97" t="s">
        <v>229</v>
      </c>
      <c r="K97" t="s">
        <v>17</v>
      </c>
      <c r="L97">
        <v>5</v>
      </c>
      <c r="N97" t="s">
        <v>79</v>
      </c>
    </row>
    <row r="98" spans="1:14" x14ac:dyDescent="0.3">
      <c r="A98">
        <v>1</v>
      </c>
      <c r="B98">
        <v>0</v>
      </c>
      <c r="C98" t="s">
        <v>232</v>
      </c>
      <c r="D98" t="s">
        <v>20</v>
      </c>
      <c r="E98">
        <v>50</v>
      </c>
      <c r="F98">
        <v>1</v>
      </c>
      <c r="G98">
        <v>0</v>
      </c>
      <c r="H98" t="s">
        <v>233</v>
      </c>
      <c r="I98">
        <v>106.425</v>
      </c>
      <c r="J98" t="s">
        <v>234</v>
      </c>
      <c r="K98" t="s">
        <v>41</v>
      </c>
      <c r="M98">
        <v>62</v>
      </c>
      <c r="N98" t="s">
        <v>235</v>
      </c>
    </row>
    <row r="99" spans="1:14" x14ac:dyDescent="0.3">
      <c r="A99">
        <v>1</v>
      </c>
      <c r="B99">
        <v>1</v>
      </c>
      <c r="C99" t="s">
        <v>236</v>
      </c>
      <c r="D99" t="s">
        <v>15</v>
      </c>
      <c r="E99">
        <v>27</v>
      </c>
      <c r="F99">
        <v>1</v>
      </c>
      <c r="G99">
        <v>1</v>
      </c>
      <c r="H99" t="s">
        <v>59</v>
      </c>
      <c r="I99">
        <v>247.52080000000001</v>
      </c>
      <c r="J99" t="s">
        <v>60</v>
      </c>
      <c r="K99" t="s">
        <v>41</v>
      </c>
      <c r="L99">
        <v>6</v>
      </c>
      <c r="N99" t="s">
        <v>61</v>
      </c>
    </row>
    <row r="100" spans="1:14" x14ac:dyDescent="0.3">
      <c r="A100">
        <v>1</v>
      </c>
      <c r="B100">
        <v>1</v>
      </c>
      <c r="C100" t="s">
        <v>237</v>
      </c>
      <c r="D100" t="s">
        <v>15</v>
      </c>
      <c r="E100">
        <v>48</v>
      </c>
      <c r="F100">
        <v>1</v>
      </c>
      <c r="G100">
        <v>0</v>
      </c>
      <c r="H100" t="s">
        <v>233</v>
      </c>
      <c r="I100">
        <v>106.425</v>
      </c>
      <c r="J100" t="s">
        <v>234</v>
      </c>
      <c r="K100" t="s">
        <v>41</v>
      </c>
      <c r="L100">
        <v>2</v>
      </c>
      <c r="N100" t="s">
        <v>235</v>
      </c>
    </row>
    <row r="101" spans="1:14" x14ac:dyDescent="0.3">
      <c r="A101">
        <v>1</v>
      </c>
      <c r="B101">
        <v>1</v>
      </c>
      <c r="C101" t="s">
        <v>238</v>
      </c>
      <c r="D101" t="s">
        <v>15</v>
      </c>
      <c r="E101">
        <v>48</v>
      </c>
      <c r="F101">
        <v>1</v>
      </c>
      <c r="G101">
        <v>0</v>
      </c>
      <c r="H101">
        <v>11755</v>
      </c>
      <c r="I101">
        <v>39.6</v>
      </c>
      <c r="J101" t="s">
        <v>239</v>
      </c>
      <c r="K101" t="s">
        <v>41</v>
      </c>
      <c r="L101">
        <v>1</v>
      </c>
      <c r="N101" t="s">
        <v>240</v>
      </c>
    </row>
    <row r="102" spans="1:14" x14ac:dyDescent="0.3">
      <c r="A102">
        <v>1</v>
      </c>
      <c r="B102">
        <v>1</v>
      </c>
      <c r="C102" t="s">
        <v>241</v>
      </c>
      <c r="D102" t="s">
        <v>20</v>
      </c>
      <c r="E102">
        <v>49</v>
      </c>
      <c r="F102">
        <v>1</v>
      </c>
      <c r="G102">
        <v>0</v>
      </c>
      <c r="H102" t="s">
        <v>242</v>
      </c>
      <c r="I102">
        <v>56.929200000000002</v>
      </c>
      <c r="J102" t="s">
        <v>243</v>
      </c>
      <c r="K102" t="s">
        <v>41</v>
      </c>
      <c r="L102">
        <v>1</v>
      </c>
      <c r="N102" t="s">
        <v>240</v>
      </c>
    </row>
    <row r="103" spans="1:14" x14ac:dyDescent="0.3">
      <c r="A103">
        <v>1</v>
      </c>
      <c r="B103">
        <v>0</v>
      </c>
      <c r="C103" t="s">
        <v>244</v>
      </c>
      <c r="D103" t="s">
        <v>20</v>
      </c>
      <c r="E103">
        <v>39</v>
      </c>
      <c r="F103">
        <v>0</v>
      </c>
      <c r="G103">
        <v>0</v>
      </c>
      <c r="H103" t="s">
        <v>245</v>
      </c>
      <c r="I103">
        <v>29.7</v>
      </c>
      <c r="J103" t="s">
        <v>246</v>
      </c>
      <c r="K103" t="s">
        <v>41</v>
      </c>
      <c r="M103">
        <v>133</v>
      </c>
      <c r="N103" t="s">
        <v>121</v>
      </c>
    </row>
    <row r="104" spans="1:14" x14ac:dyDescent="0.3">
      <c r="A104">
        <v>1</v>
      </c>
      <c r="B104">
        <v>1</v>
      </c>
      <c r="C104" t="s">
        <v>247</v>
      </c>
      <c r="D104" t="s">
        <v>15</v>
      </c>
      <c r="E104">
        <v>23</v>
      </c>
      <c r="F104">
        <v>0</v>
      </c>
      <c r="G104">
        <v>1</v>
      </c>
      <c r="H104">
        <v>11767</v>
      </c>
      <c r="I104">
        <v>83.158299999999997</v>
      </c>
      <c r="J104" t="s">
        <v>248</v>
      </c>
      <c r="K104" t="s">
        <v>41</v>
      </c>
      <c r="L104">
        <v>7</v>
      </c>
      <c r="N104" t="s">
        <v>249</v>
      </c>
    </row>
    <row r="105" spans="1:14" x14ac:dyDescent="0.3">
      <c r="A105">
        <v>1</v>
      </c>
      <c r="B105">
        <v>1</v>
      </c>
      <c r="C105" t="s">
        <v>250</v>
      </c>
      <c r="D105" t="s">
        <v>15</v>
      </c>
      <c r="E105">
        <v>38</v>
      </c>
      <c r="F105">
        <v>0</v>
      </c>
      <c r="G105">
        <v>0</v>
      </c>
      <c r="H105" t="s">
        <v>44</v>
      </c>
      <c r="I105">
        <v>227.52500000000001</v>
      </c>
      <c r="J105" t="s">
        <v>251</v>
      </c>
      <c r="K105" t="s">
        <v>41</v>
      </c>
      <c r="L105">
        <v>4</v>
      </c>
      <c r="N105" t="s">
        <v>28</v>
      </c>
    </row>
    <row r="106" spans="1:14" x14ac:dyDescent="0.3">
      <c r="A106">
        <v>1</v>
      </c>
      <c r="B106">
        <v>1</v>
      </c>
      <c r="C106" t="s">
        <v>252</v>
      </c>
      <c r="D106" t="s">
        <v>15</v>
      </c>
      <c r="E106">
        <v>54</v>
      </c>
      <c r="F106">
        <v>1</v>
      </c>
      <c r="G106">
        <v>0</v>
      </c>
      <c r="H106">
        <v>36947</v>
      </c>
      <c r="I106">
        <v>78.2667</v>
      </c>
      <c r="J106" t="s">
        <v>253</v>
      </c>
      <c r="K106" t="s">
        <v>41</v>
      </c>
      <c r="L106">
        <v>4</v>
      </c>
      <c r="N106" t="s">
        <v>254</v>
      </c>
    </row>
    <row r="107" spans="1:14" x14ac:dyDescent="0.3">
      <c r="A107">
        <v>1</v>
      </c>
      <c r="B107">
        <v>0</v>
      </c>
      <c r="C107" t="s">
        <v>255</v>
      </c>
      <c r="D107" t="s">
        <v>15</v>
      </c>
      <c r="E107">
        <v>36</v>
      </c>
      <c r="F107">
        <v>0</v>
      </c>
      <c r="G107">
        <v>0</v>
      </c>
      <c r="H107" t="s">
        <v>256</v>
      </c>
      <c r="I107">
        <v>31.679200000000002</v>
      </c>
      <c r="J107" t="s">
        <v>257</v>
      </c>
      <c r="K107" t="s">
        <v>41</v>
      </c>
      <c r="N107" t="s">
        <v>28</v>
      </c>
    </row>
    <row r="108" spans="1:14" x14ac:dyDescent="0.3">
      <c r="A108">
        <v>1</v>
      </c>
      <c r="B108">
        <v>0</v>
      </c>
      <c r="C108" t="s">
        <v>258</v>
      </c>
      <c r="D108" t="s">
        <v>20</v>
      </c>
      <c r="F108">
        <v>0</v>
      </c>
      <c r="G108">
        <v>0</v>
      </c>
      <c r="H108" t="s">
        <v>76</v>
      </c>
      <c r="I108">
        <v>221.7792</v>
      </c>
      <c r="J108" t="s">
        <v>259</v>
      </c>
      <c r="K108" t="s">
        <v>17</v>
      </c>
    </row>
    <row r="109" spans="1:14" x14ac:dyDescent="0.3">
      <c r="A109">
        <v>1</v>
      </c>
      <c r="B109">
        <v>1</v>
      </c>
      <c r="C109" t="s">
        <v>260</v>
      </c>
      <c r="D109" t="s">
        <v>15</v>
      </c>
      <c r="F109">
        <v>0</v>
      </c>
      <c r="G109">
        <v>0</v>
      </c>
      <c r="H109" t="s">
        <v>261</v>
      </c>
      <c r="I109">
        <v>31.683299999999999</v>
      </c>
      <c r="K109" t="s">
        <v>17</v>
      </c>
      <c r="L109">
        <v>7</v>
      </c>
      <c r="N109" t="s">
        <v>28</v>
      </c>
    </row>
    <row r="110" spans="1:14" x14ac:dyDescent="0.3">
      <c r="A110">
        <v>1</v>
      </c>
      <c r="B110">
        <v>1</v>
      </c>
      <c r="C110" t="s">
        <v>262</v>
      </c>
      <c r="D110" t="s">
        <v>15</v>
      </c>
      <c r="F110">
        <v>0</v>
      </c>
      <c r="G110">
        <v>0</v>
      </c>
      <c r="H110">
        <v>17421</v>
      </c>
      <c r="I110">
        <v>110.88330000000001</v>
      </c>
      <c r="K110" t="s">
        <v>41</v>
      </c>
      <c r="L110">
        <v>4</v>
      </c>
    </row>
    <row r="111" spans="1:14" x14ac:dyDescent="0.3">
      <c r="A111">
        <v>1</v>
      </c>
      <c r="B111">
        <v>1</v>
      </c>
      <c r="C111" t="s">
        <v>263</v>
      </c>
      <c r="D111" t="s">
        <v>20</v>
      </c>
      <c r="E111">
        <v>36</v>
      </c>
      <c r="F111">
        <v>0</v>
      </c>
      <c r="G111">
        <v>0</v>
      </c>
      <c r="H111" t="s">
        <v>264</v>
      </c>
      <c r="I111">
        <v>26.387499999999999</v>
      </c>
      <c r="J111" t="s">
        <v>265</v>
      </c>
      <c r="K111" t="s">
        <v>17</v>
      </c>
      <c r="L111">
        <v>5</v>
      </c>
      <c r="N111" t="s">
        <v>266</v>
      </c>
    </row>
    <row r="112" spans="1:14" x14ac:dyDescent="0.3">
      <c r="A112">
        <v>1</v>
      </c>
      <c r="B112">
        <v>0</v>
      </c>
      <c r="C112" t="s">
        <v>267</v>
      </c>
      <c r="D112" t="s">
        <v>20</v>
      </c>
      <c r="E112">
        <v>30</v>
      </c>
      <c r="F112">
        <v>0</v>
      </c>
      <c r="G112">
        <v>0</v>
      </c>
      <c r="H112">
        <v>113051</v>
      </c>
      <c r="I112">
        <v>27.75</v>
      </c>
      <c r="J112" t="s">
        <v>268</v>
      </c>
      <c r="K112" t="s">
        <v>41</v>
      </c>
      <c r="N112" t="s">
        <v>28</v>
      </c>
    </row>
    <row r="113" spans="1:14" x14ac:dyDescent="0.3">
      <c r="A113">
        <v>1</v>
      </c>
      <c r="B113">
        <v>1</v>
      </c>
      <c r="C113" t="s">
        <v>269</v>
      </c>
      <c r="D113" t="s">
        <v>15</v>
      </c>
      <c r="E113">
        <v>24</v>
      </c>
      <c r="F113">
        <v>3</v>
      </c>
      <c r="G113">
        <v>2</v>
      </c>
      <c r="H113">
        <v>19950</v>
      </c>
      <c r="I113">
        <v>263</v>
      </c>
      <c r="J113" t="s">
        <v>270</v>
      </c>
      <c r="K113" t="s">
        <v>17</v>
      </c>
      <c r="L113">
        <v>10</v>
      </c>
      <c r="N113" t="s">
        <v>271</v>
      </c>
    </row>
    <row r="114" spans="1:14" x14ac:dyDescent="0.3">
      <c r="A114">
        <v>1</v>
      </c>
      <c r="B114">
        <v>1</v>
      </c>
      <c r="C114" t="s">
        <v>272</v>
      </c>
      <c r="D114" t="s">
        <v>15</v>
      </c>
      <c r="E114">
        <v>28</v>
      </c>
      <c r="F114">
        <v>3</v>
      </c>
      <c r="G114">
        <v>2</v>
      </c>
      <c r="H114">
        <v>19950</v>
      </c>
      <c r="I114">
        <v>263</v>
      </c>
      <c r="J114" t="s">
        <v>270</v>
      </c>
      <c r="K114" t="s">
        <v>17</v>
      </c>
      <c r="L114">
        <v>10</v>
      </c>
      <c r="N114" t="s">
        <v>271</v>
      </c>
    </row>
    <row r="115" spans="1:14" x14ac:dyDescent="0.3">
      <c r="A115">
        <v>1</v>
      </c>
      <c r="B115">
        <v>1</v>
      </c>
      <c r="C115" t="s">
        <v>273</v>
      </c>
      <c r="D115" t="s">
        <v>15</v>
      </c>
      <c r="E115">
        <v>23</v>
      </c>
      <c r="F115">
        <v>3</v>
      </c>
      <c r="G115">
        <v>2</v>
      </c>
      <c r="H115">
        <v>19950</v>
      </c>
      <c r="I115">
        <v>263</v>
      </c>
      <c r="J115" t="s">
        <v>270</v>
      </c>
      <c r="K115" t="s">
        <v>17</v>
      </c>
      <c r="L115">
        <v>10</v>
      </c>
      <c r="N115" t="s">
        <v>271</v>
      </c>
    </row>
    <row r="116" spans="1:14" x14ac:dyDescent="0.3">
      <c r="A116">
        <v>1</v>
      </c>
      <c r="B116">
        <v>0</v>
      </c>
      <c r="C116" t="s">
        <v>274</v>
      </c>
      <c r="D116" t="s">
        <v>20</v>
      </c>
      <c r="E116">
        <v>19</v>
      </c>
      <c r="F116">
        <v>3</v>
      </c>
      <c r="G116">
        <v>2</v>
      </c>
      <c r="H116">
        <v>19950</v>
      </c>
      <c r="I116">
        <v>263</v>
      </c>
      <c r="J116" t="s">
        <v>270</v>
      </c>
      <c r="K116" t="s">
        <v>17</v>
      </c>
      <c r="N116" t="s">
        <v>271</v>
      </c>
    </row>
    <row r="117" spans="1:14" x14ac:dyDescent="0.3">
      <c r="A117">
        <v>1</v>
      </c>
      <c r="B117">
        <v>0</v>
      </c>
      <c r="C117" t="s">
        <v>275</v>
      </c>
      <c r="D117" t="s">
        <v>20</v>
      </c>
      <c r="E117">
        <v>64</v>
      </c>
      <c r="F117">
        <v>1</v>
      </c>
      <c r="G117">
        <v>4</v>
      </c>
      <c r="H117">
        <v>19950</v>
      </c>
      <c r="I117">
        <v>263</v>
      </c>
      <c r="J117" t="s">
        <v>270</v>
      </c>
      <c r="K117" t="s">
        <v>17</v>
      </c>
      <c r="N117" t="s">
        <v>271</v>
      </c>
    </row>
    <row r="118" spans="1:14" x14ac:dyDescent="0.3">
      <c r="A118">
        <v>1</v>
      </c>
      <c r="B118">
        <v>1</v>
      </c>
      <c r="C118" t="s">
        <v>276</v>
      </c>
      <c r="D118" t="s">
        <v>15</v>
      </c>
      <c r="E118">
        <v>60</v>
      </c>
      <c r="F118">
        <v>1</v>
      </c>
      <c r="G118">
        <v>4</v>
      </c>
      <c r="H118">
        <v>19950</v>
      </c>
      <c r="I118">
        <v>263</v>
      </c>
      <c r="J118" t="s">
        <v>270</v>
      </c>
      <c r="K118" t="s">
        <v>17</v>
      </c>
      <c r="L118">
        <v>10</v>
      </c>
      <c r="N118" t="s">
        <v>271</v>
      </c>
    </row>
    <row r="119" spans="1:14" x14ac:dyDescent="0.3">
      <c r="A119">
        <v>1</v>
      </c>
      <c r="B119">
        <v>1</v>
      </c>
      <c r="C119" t="s">
        <v>277</v>
      </c>
      <c r="D119" t="s">
        <v>15</v>
      </c>
      <c r="E119">
        <v>30</v>
      </c>
      <c r="F119">
        <v>0</v>
      </c>
      <c r="G119">
        <v>0</v>
      </c>
      <c r="H119" t="s">
        <v>242</v>
      </c>
      <c r="I119">
        <v>56.929200000000002</v>
      </c>
      <c r="J119" t="s">
        <v>278</v>
      </c>
      <c r="K119" t="s">
        <v>41</v>
      </c>
      <c r="L119">
        <v>1</v>
      </c>
    </row>
    <row r="120" spans="1:14" x14ac:dyDescent="0.3">
      <c r="A120">
        <v>1</v>
      </c>
      <c r="B120">
        <v>0</v>
      </c>
      <c r="C120" t="s">
        <v>279</v>
      </c>
      <c r="D120" t="s">
        <v>20</v>
      </c>
      <c r="F120">
        <v>0</v>
      </c>
      <c r="G120">
        <v>0</v>
      </c>
      <c r="H120">
        <v>113778</v>
      </c>
      <c r="I120">
        <v>26.55</v>
      </c>
      <c r="J120" t="s">
        <v>280</v>
      </c>
      <c r="K120" t="s">
        <v>17</v>
      </c>
      <c r="N120" t="s">
        <v>281</v>
      </c>
    </row>
    <row r="121" spans="1:14" x14ac:dyDescent="0.3">
      <c r="A121">
        <v>1</v>
      </c>
      <c r="B121">
        <v>1</v>
      </c>
      <c r="C121" t="s">
        <v>282</v>
      </c>
      <c r="D121" t="s">
        <v>20</v>
      </c>
      <c r="E121">
        <v>50</v>
      </c>
      <c r="F121">
        <v>2</v>
      </c>
      <c r="G121">
        <v>0</v>
      </c>
      <c r="H121" t="s">
        <v>283</v>
      </c>
      <c r="I121">
        <v>133.65</v>
      </c>
      <c r="K121" t="s">
        <v>17</v>
      </c>
      <c r="L121">
        <v>5</v>
      </c>
      <c r="N121" t="s">
        <v>28</v>
      </c>
    </row>
    <row r="122" spans="1:14" x14ac:dyDescent="0.3">
      <c r="A122">
        <v>1</v>
      </c>
      <c r="B122">
        <v>1</v>
      </c>
      <c r="C122" t="s">
        <v>284</v>
      </c>
      <c r="D122" t="s">
        <v>20</v>
      </c>
      <c r="E122">
        <v>43</v>
      </c>
      <c r="F122">
        <v>1</v>
      </c>
      <c r="G122">
        <v>0</v>
      </c>
      <c r="H122">
        <v>17765</v>
      </c>
      <c r="I122">
        <v>27.720800000000001</v>
      </c>
      <c r="J122" t="s">
        <v>285</v>
      </c>
      <c r="K122" t="s">
        <v>41</v>
      </c>
      <c r="L122">
        <v>5</v>
      </c>
      <c r="N122" t="s">
        <v>28</v>
      </c>
    </row>
    <row r="123" spans="1:14" x14ac:dyDescent="0.3">
      <c r="A123">
        <v>1</v>
      </c>
      <c r="B123">
        <v>1</v>
      </c>
      <c r="C123" t="s">
        <v>286</v>
      </c>
      <c r="D123" t="s">
        <v>15</v>
      </c>
      <c r="F123">
        <v>1</v>
      </c>
      <c r="G123">
        <v>0</v>
      </c>
      <c r="H123" t="s">
        <v>283</v>
      </c>
      <c r="I123">
        <v>133.65</v>
      </c>
      <c r="K123" t="s">
        <v>17</v>
      </c>
      <c r="L123">
        <v>5</v>
      </c>
      <c r="N123" t="s">
        <v>28</v>
      </c>
    </row>
    <row r="124" spans="1:14" x14ac:dyDescent="0.3">
      <c r="A124">
        <v>1</v>
      </c>
      <c r="B124">
        <v>1</v>
      </c>
      <c r="C124" t="s">
        <v>287</v>
      </c>
      <c r="D124" t="s">
        <v>15</v>
      </c>
      <c r="E124">
        <v>22</v>
      </c>
      <c r="F124">
        <v>0</v>
      </c>
      <c r="G124">
        <v>2</v>
      </c>
      <c r="H124">
        <v>13568</v>
      </c>
      <c r="I124">
        <v>49.5</v>
      </c>
      <c r="J124" t="s">
        <v>288</v>
      </c>
      <c r="K124" t="s">
        <v>41</v>
      </c>
      <c r="L124">
        <v>5</v>
      </c>
      <c r="N124" t="s">
        <v>289</v>
      </c>
    </row>
    <row r="125" spans="1:14" x14ac:dyDescent="0.3">
      <c r="A125">
        <v>1</v>
      </c>
      <c r="B125">
        <v>1</v>
      </c>
      <c r="C125" t="s">
        <v>290</v>
      </c>
      <c r="D125" t="s">
        <v>20</v>
      </c>
      <c r="E125">
        <v>60</v>
      </c>
      <c r="F125">
        <v>1</v>
      </c>
      <c r="G125">
        <v>1</v>
      </c>
      <c r="H125">
        <v>13567</v>
      </c>
      <c r="I125">
        <v>79.2</v>
      </c>
      <c r="J125" t="s">
        <v>291</v>
      </c>
      <c r="K125" t="s">
        <v>41</v>
      </c>
      <c r="L125">
        <v>5</v>
      </c>
      <c r="N125" t="s">
        <v>289</v>
      </c>
    </row>
    <row r="126" spans="1:14" x14ac:dyDescent="0.3">
      <c r="A126">
        <v>1</v>
      </c>
      <c r="B126">
        <v>1</v>
      </c>
      <c r="C126" t="s">
        <v>292</v>
      </c>
      <c r="D126" t="s">
        <v>15</v>
      </c>
      <c r="E126">
        <v>48</v>
      </c>
      <c r="F126">
        <v>1</v>
      </c>
      <c r="G126">
        <v>1</v>
      </c>
      <c r="H126">
        <v>13567</v>
      </c>
      <c r="I126">
        <v>79.2</v>
      </c>
      <c r="J126" t="s">
        <v>291</v>
      </c>
      <c r="K126" t="s">
        <v>41</v>
      </c>
      <c r="L126">
        <v>5</v>
      </c>
      <c r="N126" t="s">
        <v>289</v>
      </c>
    </row>
    <row r="127" spans="1:14" x14ac:dyDescent="0.3">
      <c r="A127">
        <v>1</v>
      </c>
      <c r="B127">
        <v>0</v>
      </c>
      <c r="C127" t="s">
        <v>293</v>
      </c>
      <c r="D127" t="s">
        <v>20</v>
      </c>
      <c r="F127">
        <v>0</v>
      </c>
      <c r="G127">
        <v>0</v>
      </c>
      <c r="H127">
        <v>112058</v>
      </c>
      <c r="I127">
        <v>0</v>
      </c>
      <c r="J127" t="s">
        <v>294</v>
      </c>
      <c r="K127" t="s">
        <v>17</v>
      </c>
    </row>
    <row r="128" spans="1:14" x14ac:dyDescent="0.3">
      <c r="A128">
        <v>1</v>
      </c>
      <c r="B128">
        <v>0</v>
      </c>
      <c r="C128" t="s">
        <v>295</v>
      </c>
      <c r="D128" t="s">
        <v>20</v>
      </c>
      <c r="E128">
        <v>37</v>
      </c>
      <c r="F128">
        <v>1</v>
      </c>
      <c r="G128">
        <v>0</v>
      </c>
      <c r="H128">
        <v>113803</v>
      </c>
      <c r="I128">
        <v>53.1</v>
      </c>
      <c r="J128" t="s">
        <v>296</v>
      </c>
      <c r="K128" t="s">
        <v>17</v>
      </c>
      <c r="N128" t="s">
        <v>297</v>
      </c>
    </row>
    <row r="129" spans="1:14" x14ac:dyDescent="0.3">
      <c r="A129">
        <v>1</v>
      </c>
      <c r="B129">
        <v>1</v>
      </c>
      <c r="C129" t="s">
        <v>298</v>
      </c>
      <c r="D129" t="s">
        <v>15</v>
      </c>
      <c r="E129">
        <v>35</v>
      </c>
      <c r="F129">
        <v>1</v>
      </c>
      <c r="G129">
        <v>0</v>
      </c>
      <c r="H129">
        <v>113803</v>
      </c>
      <c r="I129">
        <v>53.1</v>
      </c>
      <c r="J129" t="s">
        <v>296</v>
      </c>
      <c r="K129" t="s">
        <v>17</v>
      </c>
      <c r="L129" t="s">
        <v>37</v>
      </c>
      <c r="N129" t="s">
        <v>297</v>
      </c>
    </row>
    <row r="130" spans="1:14" x14ac:dyDescent="0.3">
      <c r="A130">
        <v>1</v>
      </c>
      <c r="B130">
        <v>0</v>
      </c>
      <c r="C130" t="s">
        <v>299</v>
      </c>
      <c r="D130" t="s">
        <v>20</v>
      </c>
      <c r="E130">
        <v>47</v>
      </c>
      <c r="F130">
        <v>0</v>
      </c>
      <c r="G130">
        <v>0</v>
      </c>
      <c r="H130">
        <v>111320</v>
      </c>
      <c r="I130">
        <v>38.5</v>
      </c>
      <c r="J130" t="s">
        <v>300</v>
      </c>
      <c r="K130" t="s">
        <v>17</v>
      </c>
      <c r="M130">
        <v>275</v>
      </c>
      <c r="N130" t="s">
        <v>301</v>
      </c>
    </row>
    <row r="131" spans="1:14" x14ac:dyDescent="0.3">
      <c r="A131">
        <v>1</v>
      </c>
      <c r="B131">
        <v>1</v>
      </c>
      <c r="C131" t="s">
        <v>302</v>
      </c>
      <c r="D131" t="s">
        <v>15</v>
      </c>
      <c r="E131">
        <v>35</v>
      </c>
      <c r="F131">
        <v>0</v>
      </c>
      <c r="G131">
        <v>0</v>
      </c>
      <c r="H131">
        <v>113503</v>
      </c>
      <c r="I131">
        <v>211.5</v>
      </c>
      <c r="J131" t="s">
        <v>303</v>
      </c>
      <c r="K131" t="s">
        <v>41</v>
      </c>
      <c r="L131">
        <v>4</v>
      </c>
    </row>
    <row r="132" spans="1:14" x14ac:dyDescent="0.3">
      <c r="A132">
        <v>1</v>
      </c>
      <c r="B132">
        <v>1</v>
      </c>
      <c r="C132" t="s">
        <v>304</v>
      </c>
      <c r="D132" t="s">
        <v>15</v>
      </c>
      <c r="E132">
        <v>22</v>
      </c>
      <c r="F132">
        <v>0</v>
      </c>
      <c r="G132">
        <v>1</v>
      </c>
      <c r="H132">
        <v>112378</v>
      </c>
      <c r="I132">
        <v>59.4</v>
      </c>
      <c r="K132" t="s">
        <v>41</v>
      </c>
      <c r="L132">
        <v>7</v>
      </c>
      <c r="N132" t="s">
        <v>28</v>
      </c>
    </row>
    <row r="133" spans="1:14" x14ac:dyDescent="0.3">
      <c r="A133">
        <v>1</v>
      </c>
      <c r="B133">
        <v>1</v>
      </c>
      <c r="C133" t="s">
        <v>305</v>
      </c>
      <c r="D133" t="s">
        <v>15</v>
      </c>
      <c r="E133">
        <v>45</v>
      </c>
      <c r="F133">
        <v>0</v>
      </c>
      <c r="G133">
        <v>1</v>
      </c>
      <c r="H133">
        <v>112378</v>
      </c>
      <c r="I133">
        <v>59.4</v>
      </c>
      <c r="K133" t="s">
        <v>41</v>
      </c>
      <c r="L133">
        <v>7</v>
      </c>
      <c r="N133" t="s">
        <v>28</v>
      </c>
    </row>
    <row r="134" spans="1:14" x14ac:dyDescent="0.3">
      <c r="A134">
        <v>1</v>
      </c>
      <c r="B134">
        <v>0</v>
      </c>
      <c r="C134" t="s">
        <v>306</v>
      </c>
      <c r="D134" t="s">
        <v>20</v>
      </c>
      <c r="E134">
        <v>24</v>
      </c>
      <c r="F134">
        <v>0</v>
      </c>
      <c r="G134">
        <v>0</v>
      </c>
      <c r="H134" t="s">
        <v>307</v>
      </c>
      <c r="I134">
        <v>79.2</v>
      </c>
      <c r="J134" t="s">
        <v>308</v>
      </c>
      <c r="K134" t="s">
        <v>41</v>
      </c>
    </row>
    <row r="135" spans="1:14" x14ac:dyDescent="0.3">
      <c r="A135">
        <v>1</v>
      </c>
      <c r="B135">
        <v>1</v>
      </c>
      <c r="C135" t="s">
        <v>309</v>
      </c>
      <c r="D135" t="s">
        <v>20</v>
      </c>
      <c r="E135">
        <v>49</v>
      </c>
      <c r="F135">
        <v>1</v>
      </c>
      <c r="G135">
        <v>0</v>
      </c>
      <c r="H135">
        <v>17453</v>
      </c>
      <c r="I135">
        <v>89.104200000000006</v>
      </c>
      <c r="J135" t="s">
        <v>310</v>
      </c>
      <c r="K135" t="s">
        <v>41</v>
      </c>
      <c r="L135">
        <v>5</v>
      </c>
      <c r="N135" t="s">
        <v>311</v>
      </c>
    </row>
    <row r="136" spans="1:14" x14ac:dyDescent="0.3">
      <c r="A136">
        <v>1</v>
      </c>
      <c r="B136">
        <v>1</v>
      </c>
      <c r="C136" t="s">
        <v>312</v>
      </c>
      <c r="D136" t="s">
        <v>15</v>
      </c>
      <c r="F136">
        <v>1</v>
      </c>
      <c r="G136">
        <v>0</v>
      </c>
      <c r="H136">
        <v>17453</v>
      </c>
      <c r="I136">
        <v>89.104200000000006</v>
      </c>
      <c r="J136" t="s">
        <v>310</v>
      </c>
      <c r="K136" t="s">
        <v>41</v>
      </c>
      <c r="L136">
        <v>5</v>
      </c>
      <c r="N136" t="s">
        <v>311</v>
      </c>
    </row>
    <row r="137" spans="1:14" x14ac:dyDescent="0.3">
      <c r="A137">
        <v>1</v>
      </c>
      <c r="B137">
        <v>0</v>
      </c>
      <c r="C137" t="s">
        <v>313</v>
      </c>
      <c r="D137" t="s">
        <v>20</v>
      </c>
      <c r="E137">
        <v>71</v>
      </c>
      <c r="F137">
        <v>0</v>
      </c>
      <c r="G137">
        <v>0</v>
      </c>
      <c r="H137" t="s">
        <v>314</v>
      </c>
      <c r="I137">
        <v>34.654200000000003</v>
      </c>
      <c r="J137" t="s">
        <v>315</v>
      </c>
      <c r="K137" t="s">
        <v>41</v>
      </c>
      <c r="N137" t="s">
        <v>28</v>
      </c>
    </row>
    <row r="138" spans="1:14" x14ac:dyDescent="0.3">
      <c r="A138">
        <v>1</v>
      </c>
      <c r="B138">
        <v>1</v>
      </c>
      <c r="C138" t="s">
        <v>316</v>
      </c>
      <c r="D138" t="s">
        <v>20</v>
      </c>
      <c r="E138">
        <v>53</v>
      </c>
      <c r="F138">
        <v>0</v>
      </c>
      <c r="G138">
        <v>0</v>
      </c>
      <c r="H138">
        <v>113780</v>
      </c>
      <c r="I138">
        <v>28.5</v>
      </c>
      <c r="J138" t="s">
        <v>317</v>
      </c>
      <c r="K138" t="s">
        <v>41</v>
      </c>
      <c r="L138" t="s">
        <v>54</v>
      </c>
      <c r="N138" t="s">
        <v>133</v>
      </c>
    </row>
    <row r="139" spans="1:14" x14ac:dyDescent="0.3">
      <c r="A139">
        <v>1</v>
      </c>
      <c r="B139">
        <v>1</v>
      </c>
      <c r="C139" t="s">
        <v>318</v>
      </c>
      <c r="D139" t="s">
        <v>15</v>
      </c>
      <c r="E139">
        <v>19</v>
      </c>
      <c r="F139">
        <v>0</v>
      </c>
      <c r="G139">
        <v>0</v>
      </c>
      <c r="H139">
        <v>112053</v>
      </c>
      <c r="I139">
        <v>30</v>
      </c>
      <c r="J139" t="s">
        <v>319</v>
      </c>
      <c r="K139" t="s">
        <v>17</v>
      </c>
      <c r="L139">
        <v>3</v>
      </c>
      <c r="N139" t="s">
        <v>320</v>
      </c>
    </row>
    <row r="140" spans="1:14" x14ac:dyDescent="0.3">
      <c r="A140">
        <v>1</v>
      </c>
      <c r="B140">
        <v>0</v>
      </c>
      <c r="C140" t="s">
        <v>321</v>
      </c>
      <c r="D140" t="s">
        <v>20</v>
      </c>
      <c r="E140">
        <v>38</v>
      </c>
      <c r="F140">
        <v>0</v>
      </c>
      <c r="G140">
        <v>1</v>
      </c>
      <c r="H140" t="s">
        <v>322</v>
      </c>
      <c r="I140">
        <v>153.46250000000001</v>
      </c>
      <c r="J140" t="s">
        <v>323</v>
      </c>
      <c r="K140" t="s">
        <v>17</v>
      </c>
      <c r="M140">
        <v>147</v>
      </c>
      <c r="N140" t="s">
        <v>271</v>
      </c>
    </row>
    <row r="141" spans="1:14" x14ac:dyDescent="0.3">
      <c r="A141">
        <v>1</v>
      </c>
      <c r="B141">
        <v>1</v>
      </c>
      <c r="C141" t="s">
        <v>324</v>
      </c>
      <c r="D141" t="s">
        <v>15</v>
      </c>
      <c r="E141">
        <v>58</v>
      </c>
      <c r="F141">
        <v>0</v>
      </c>
      <c r="G141">
        <v>1</v>
      </c>
      <c r="H141" t="s">
        <v>322</v>
      </c>
      <c r="I141">
        <v>153.46250000000001</v>
      </c>
      <c r="J141" t="s">
        <v>325</v>
      </c>
      <c r="K141" t="s">
        <v>17</v>
      </c>
      <c r="L141">
        <v>3</v>
      </c>
      <c r="N141" t="s">
        <v>320</v>
      </c>
    </row>
    <row r="142" spans="1:14" x14ac:dyDescent="0.3">
      <c r="A142">
        <v>1</v>
      </c>
      <c r="B142">
        <v>1</v>
      </c>
      <c r="C142" t="s">
        <v>326</v>
      </c>
      <c r="D142" t="s">
        <v>20</v>
      </c>
      <c r="E142">
        <v>23</v>
      </c>
      <c r="F142">
        <v>0</v>
      </c>
      <c r="G142">
        <v>1</v>
      </c>
      <c r="H142" t="s">
        <v>327</v>
      </c>
      <c r="I142">
        <v>63.3583</v>
      </c>
      <c r="J142" t="s">
        <v>328</v>
      </c>
      <c r="K142" t="s">
        <v>41</v>
      </c>
      <c r="L142">
        <v>7</v>
      </c>
      <c r="N142" t="s">
        <v>28</v>
      </c>
    </row>
    <row r="143" spans="1:14" x14ac:dyDescent="0.3">
      <c r="A143">
        <v>1</v>
      </c>
      <c r="B143">
        <v>1</v>
      </c>
      <c r="C143" t="s">
        <v>329</v>
      </c>
      <c r="D143" t="s">
        <v>15</v>
      </c>
      <c r="E143">
        <v>45</v>
      </c>
      <c r="F143">
        <v>0</v>
      </c>
      <c r="G143">
        <v>1</v>
      </c>
      <c r="H143" t="s">
        <v>327</v>
      </c>
      <c r="I143">
        <v>63.3583</v>
      </c>
      <c r="J143" t="s">
        <v>328</v>
      </c>
      <c r="K143" t="s">
        <v>41</v>
      </c>
      <c r="L143">
        <v>7</v>
      </c>
      <c r="N143" t="s">
        <v>28</v>
      </c>
    </row>
    <row r="144" spans="1:14" x14ac:dyDescent="0.3">
      <c r="A144">
        <v>1</v>
      </c>
      <c r="B144">
        <v>0</v>
      </c>
      <c r="C144" t="s">
        <v>330</v>
      </c>
      <c r="D144" t="s">
        <v>20</v>
      </c>
      <c r="E144">
        <v>46</v>
      </c>
      <c r="F144">
        <v>0</v>
      </c>
      <c r="G144">
        <v>0</v>
      </c>
      <c r="H144" t="s">
        <v>307</v>
      </c>
      <c r="I144">
        <v>79.2</v>
      </c>
      <c r="J144" t="s">
        <v>331</v>
      </c>
      <c r="K144" t="s">
        <v>41</v>
      </c>
      <c r="N144" t="s">
        <v>28</v>
      </c>
    </row>
    <row r="145" spans="1:14" x14ac:dyDescent="0.3">
      <c r="A145">
        <v>1</v>
      </c>
      <c r="B145">
        <v>1</v>
      </c>
      <c r="C145" t="s">
        <v>332</v>
      </c>
      <c r="D145" t="s">
        <v>20</v>
      </c>
      <c r="E145">
        <v>25</v>
      </c>
      <c r="F145">
        <v>1</v>
      </c>
      <c r="G145">
        <v>0</v>
      </c>
      <c r="H145">
        <v>11765</v>
      </c>
      <c r="I145">
        <v>55.441699999999997</v>
      </c>
      <c r="J145" t="s">
        <v>333</v>
      </c>
      <c r="K145" t="s">
        <v>41</v>
      </c>
      <c r="L145">
        <v>5</v>
      </c>
      <c r="N145" t="s">
        <v>266</v>
      </c>
    </row>
    <row r="146" spans="1:14" x14ac:dyDescent="0.3">
      <c r="A146">
        <v>1</v>
      </c>
      <c r="B146">
        <v>1</v>
      </c>
      <c r="C146" t="s">
        <v>334</v>
      </c>
      <c r="D146" t="s">
        <v>15</v>
      </c>
      <c r="E146">
        <v>25</v>
      </c>
      <c r="F146">
        <v>1</v>
      </c>
      <c r="G146">
        <v>0</v>
      </c>
      <c r="H146">
        <v>11765</v>
      </c>
      <c r="I146">
        <v>55.441699999999997</v>
      </c>
      <c r="J146" t="s">
        <v>333</v>
      </c>
      <c r="K146" t="s">
        <v>41</v>
      </c>
      <c r="L146">
        <v>5</v>
      </c>
      <c r="N146" t="s">
        <v>266</v>
      </c>
    </row>
    <row r="147" spans="1:14" x14ac:dyDescent="0.3">
      <c r="A147">
        <v>1</v>
      </c>
      <c r="B147">
        <v>1</v>
      </c>
      <c r="C147" t="s">
        <v>335</v>
      </c>
      <c r="D147" t="s">
        <v>20</v>
      </c>
      <c r="E147">
        <v>48</v>
      </c>
      <c r="F147">
        <v>1</v>
      </c>
      <c r="G147">
        <v>0</v>
      </c>
      <c r="H147" t="s">
        <v>336</v>
      </c>
      <c r="I147">
        <v>76.729200000000006</v>
      </c>
      <c r="J147" t="s">
        <v>337</v>
      </c>
      <c r="K147" t="s">
        <v>41</v>
      </c>
      <c r="L147">
        <v>3</v>
      </c>
      <c r="N147" t="s">
        <v>28</v>
      </c>
    </row>
    <row r="148" spans="1:14" x14ac:dyDescent="0.3">
      <c r="A148">
        <v>1</v>
      </c>
      <c r="B148">
        <v>1</v>
      </c>
      <c r="C148" t="s">
        <v>338</v>
      </c>
      <c r="D148" t="s">
        <v>15</v>
      </c>
      <c r="E148">
        <v>49</v>
      </c>
      <c r="F148">
        <v>1</v>
      </c>
      <c r="G148">
        <v>0</v>
      </c>
      <c r="H148" t="s">
        <v>336</v>
      </c>
      <c r="I148">
        <v>76.729200000000006</v>
      </c>
      <c r="J148" t="s">
        <v>337</v>
      </c>
      <c r="K148" t="s">
        <v>41</v>
      </c>
      <c r="L148">
        <v>3</v>
      </c>
      <c r="N148" t="s">
        <v>28</v>
      </c>
    </row>
    <row r="149" spans="1:14" x14ac:dyDescent="0.3">
      <c r="A149">
        <v>1</v>
      </c>
      <c r="B149">
        <v>0</v>
      </c>
      <c r="C149" t="s">
        <v>339</v>
      </c>
      <c r="D149" t="s">
        <v>20</v>
      </c>
      <c r="F149">
        <v>0</v>
      </c>
      <c r="G149">
        <v>0</v>
      </c>
      <c r="H149">
        <v>113796</v>
      </c>
      <c r="I149">
        <v>42.4</v>
      </c>
      <c r="K149" t="s">
        <v>17</v>
      </c>
    </row>
    <row r="150" spans="1:14" x14ac:dyDescent="0.3">
      <c r="A150">
        <v>1</v>
      </c>
      <c r="B150">
        <v>0</v>
      </c>
      <c r="C150" t="s">
        <v>340</v>
      </c>
      <c r="D150" t="s">
        <v>20</v>
      </c>
      <c r="E150">
        <v>45</v>
      </c>
      <c r="F150">
        <v>1</v>
      </c>
      <c r="G150">
        <v>0</v>
      </c>
      <c r="H150">
        <v>36973</v>
      </c>
      <c r="I150">
        <v>83.474999999999994</v>
      </c>
      <c r="J150" t="s">
        <v>341</v>
      </c>
      <c r="K150" t="s">
        <v>17</v>
      </c>
      <c r="N150" t="s">
        <v>28</v>
      </c>
    </row>
    <row r="151" spans="1:14" x14ac:dyDescent="0.3">
      <c r="A151">
        <v>1</v>
      </c>
      <c r="B151">
        <v>1</v>
      </c>
      <c r="C151" t="s">
        <v>342</v>
      </c>
      <c r="D151" t="s">
        <v>15</v>
      </c>
      <c r="E151">
        <v>35</v>
      </c>
      <c r="F151">
        <v>1</v>
      </c>
      <c r="G151">
        <v>0</v>
      </c>
      <c r="H151">
        <v>36973</v>
      </c>
      <c r="I151">
        <v>83.474999999999994</v>
      </c>
      <c r="J151" t="s">
        <v>341</v>
      </c>
      <c r="K151" t="s">
        <v>17</v>
      </c>
      <c r="L151" t="s">
        <v>37</v>
      </c>
      <c r="N151" t="s">
        <v>28</v>
      </c>
    </row>
    <row r="152" spans="1:14" x14ac:dyDescent="0.3">
      <c r="A152">
        <v>1</v>
      </c>
      <c r="B152">
        <v>0</v>
      </c>
      <c r="C152" t="s">
        <v>343</v>
      </c>
      <c r="D152" t="s">
        <v>20</v>
      </c>
      <c r="E152">
        <v>40</v>
      </c>
      <c r="F152">
        <v>0</v>
      </c>
      <c r="G152">
        <v>0</v>
      </c>
      <c r="H152">
        <v>112059</v>
      </c>
      <c r="I152">
        <v>0</v>
      </c>
      <c r="J152" t="s">
        <v>344</v>
      </c>
      <c r="K152" t="s">
        <v>17</v>
      </c>
      <c r="M152">
        <v>110</v>
      </c>
    </row>
    <row r="153" spans="1:14" x14ac:dyDescent="0.3">
      <c r="A153">
        <v>1</v>
      </c>
      <c r="B153">
        <v>1</v>
      </c>
      <c r="C153" t="s">
        <v>345</v>
      </c>
      <c r="D153" t="s">
        <v>20</v>
      </c>
      <c r="E153">
        <v>27</v>
      </c>
      <c r="F153">
        <v>0</v>
      </c>
      <c r="G153">
        <v>0</v>
      </c>
      <c r="H153" t="s">
        <v>336</v>
      </c>
      <c r="I153">
        <v>76.729200000000006</v>
      </c>
      <c r="J153" t="s">
        <v>346</v>
      </c>
      <c r="K153" t="s">
        <v>41</v>
      </c>
      <c r="L153">
        <v>3</v>
      </c>
    </row>
    <row r="154" spans="1:14" x14ac:dyDescent="0.3">
      <c r="A154">
        <v>1</v>
      </c>
      <c r="B154">
        <v>1</v>
      </c>
      <c r="C154" t="s">
        <v>347</v>
      </c>
      <c r="D154" t="s">
        <v>20</v>
      </c>
      <c r="F154">
        <v>0</v>
      </c>
      <c r="G154">
        <v>0</v>
      </c>
      <c r="H154">
        <v>16988</v>
      </c>
      <c r="I154">
        <v>30</v>
      </c>
      <c r="J154" t="s">
        <v>348</v>
      </c>
      <c r="K154" t="s">
        <v>17</v>
      </c>
      <c r="L154">
        <v>3</v>
      </c>
      <c r="N154" t="s">
        <v>349</v>
      </c>
    </row>
    <row r="155" spans="1:14" x14ac:dyDescent="0.3">
      <c r="A155">
        <v>1</v>
      </c>
      <c r="B155">
        <v>1</v>
      </c>
      <c r="C155" t="s">
        <v>350</v>
      </c>
      <c r="D155" t="s">
        <v>15</v>
      </c>
      <c r="E155">
        <v>24</v>
      </c>
      <c r="F155">
        <v>0</v>
      </c>
      <c r="G155">
        <v>0</v>
      </c>
      <c r="H155">
        <v>11767</v>
      </c>
      <c r="I155">
        <v>83.158299999999997</v>
      </c>
      <c r="J155" t="s">
        <v>248</v>
      </c>
      <c r="K155" t="s">
        <v>41</v>
      </c>
      <c r="L155">
        <v>7</v>
      </c>
      <c r="N155" t="s">
        <v>28</v>
      </c>
    </row>
    <row r="156" spans="1:14" x14ac:dyDescent="0.3">
      <c r="A156">
        <v>1</v>
      </c>
      <c r="B156">
        <v>0</v>
      </c>
      <c r="C156" t="s">
        <v>351</v>
      </c>
      <c r="D156" t="s">
        <v>20</v>
      </c>
      <c r="E156">
        <v>55</v>
      </c>
      <c r="F156">
        <v>1</v>
      </c>
      <c r="G156">
        <v>1</v>
      </c>
      <c r="H156">
        <v>12749</v>
      </c>
      <c r="I156">
        <v>93.5</v>
      </c>
      <c r="J156" t="s">
        <v>352</v>
      </c>
      <c r="K156" t="s">
        <v>17</v>
      </c>
      <c r="M156">
        <v>307</v>
      </c>
      <c r="N156" t="s">
        <v>61</v>
      </c>
    </row>
    <row r="157" spans="1:14" x14ac:dyDescent="0.3">
      <c r="A157">
        <v>1</v>
      </c>
      <c r="B157">
        <v>1</v>
      </c>
      <c r="C157" t="s">
        <v>353</v>
      </c>
      <c r="D157" t="s">
        <v>15</v>
      </c>
      <c r="E157">
        <v>52</v>
      </c>
      <c r="F157">
        <v>1</v>
      </c>
      <c r="G157">
        <v>1</v>
      </c>
      <c r="H157">
        <v>12749</v>
      </c>
      <c r="I157">
        <v>93.5</v>
      </c>
      <c r="J157" t="s">
        <v>352</v>
      </c>
      <c r="K157" t="s">
        <v>17</v>
      </c>
      <c r="L157">
        <v>3</v>
      </c>
      <c r="N157" t="s">
        <v>61</v>
      </c>
    </row>
    <row r="158" spans="1:14" x14ac:dyDescent="0.3">
      <c r="A158">
        <v>1</v>
      </c>
      <c r="B158">
        <v>0</v>
      </c>
      <c r="C158" t="s">
        <v>354</v>
      </c>
      <c r="D158" t="s">
        <v>20</v>
      </c>
      <c r="E158">
        <v>42</v>
      </c>
      <c r="F158">
        <v>0</v>
      </c>
      <c r="G158">
        <v>0</v>
      </c>
      <c r="H158">
        <v>113038</v>
      </c>
      <c r="I158">
        <v>42.5</v>
      </c>
      <c r="J158" t="s">
        <v>355</v>
      </c>
      <c r="K158" t="s">
        <v>17</v>
      </c>
      <c r="N158" t="s">
        <v>356</v>
      </c>
    </row>
    <row r="159" spans="1:14" x14ac:dyDescent="0.3">
      <c r="A159">
        <v>1</v>
      </c>
      <c r="B159">
        <v>0</v>
      </c>
      <c r="C159" t="s">
        <v>357</v>
      </c>
      <c r="D159" t="s">
        <v>20</v>
      </c>
      <c r="F159">
        <v>0</v>
      </c>
      <c r="G159">
        <v>0</v>
      </c>
      <c r="H159">
        <v>17463</v>
      </c>
      <c r="I159">
        <v>51.862499999999997</v>
      </c>
      <c r="J159" t="s">
        <v>358</v>
      </c>
      <c r="K159" t="s">
        <v>17</v>
      </c>
      <c r="N159" t="s">
        <v>359</v>
      </c>
    </row>
    <row r="160" spans="1:14" x14ac:dyDescent="0.3">
      <c r="A160">
        <v>1</v>
      </c>
      <c r="B160">
        <v>0</v>
      </c>
      <c r="C160" t="s">
        <v>360</v>
      </c>
      <c r="D160" t="s">
        <v>20</v>
      </c>
      <c r="E160">
        <v>55</v>
      </c>
      <c r="F160">
        <v>0</v>
      </c>
      <c r="G160">
        <v>0</v>
      </c>
      <c r="H160">
        <v>680</v>
      </c>
      <c r="I160">
        <v>50</v>
      </c>
      <c r="J160" t="s">
        <v>361</v>
      </c>
      <c r="K160" t="s">
        <v>17</v>
      </c>
      <c r="N160" t="s">
        <v>362</v>
      </c>
    </row>
    <row r="161" spans="1:14" x14ac:dyDescent="0.3">
      <c r="A161">
        <v>1</v>
      </c>
      <c r="B161">
        <v>1</v>
      </c>
      <c r="C161" t="s">
        <v>363</v>
      </c>
      <c r="D161" t="s">
        <v>15</v>
      </c>
      <c r="E161">
        <v>16</v>
      </c>
      <c r="F161">
        <v>0</v>
      </c>
      <c r="G161">
        <v>1</v>
      </c>
      <c r="H161">
        <v>111361</v>
      </c>
      <c r="I161">
        <v>57.979199999999999</v>
      </c>
      <c r="J161" t="s">
        <v>364</v>
      </c>
      <c r="K161" t="s">
        <v>41</v>
      </c>
      <c r="L161">
        <v>4</v>
      </c>
      <c r="N161" t="s">
        <v>365</v>
      </c>
    </row>
    <row r="162" spans="1:14" x14ac:dyDescent="0.3">
      <c r="A162">
        <v>1</v>
      </c>
      <c r="B162">
        <v>1</v>
      </c>
      <c r="C162" t="s">
        <v>366</v>
      </c>
      <c r="D162" t="s">
        <v>15</v>
      </c>
      <c r="E162">
        <v>44</v>
      </c>
      <c r="F162">
        <v>0</v>
      </c>
      <c r="G162">
        <v>1</v>
      </c>
      <c r="H162">
        <v>111361</v>
      </c>
      <c r="I162">
        <v>57.979199999999999</v>
      </c>
      <c r="J162" t="s">
        <v>364</v>
      </c>
      <c r="K162" t="s">
        <v>41</v>
      </c>
      <c r="L162">
        <v>4</v>
      </c>
      <c r="N162" t="s">
        <v>365</v>
      </c>
    </row>
    <row r="163" spans="1:14" x14ac:dyDescent="0.3">
      <c r="A163">
        <v>1</v>
      </c>
      <c r="B163">
        <v>1</v>
      </c>
      <c r="C163" t="s">
        <v>367</v>
      </c>
      <c r="D163" t="s">
        <v>15</v>
      </c>
      <c r="E163">
        <v>51</v>
      </c>
      <c r="F163">
        <v>1</v>
      </c>
      <c r="G163">
        <v>0</v>
      </c>
      <c r="H163">
        <v>13502</v>
      </c>
      <c r="I163">
        <v>77.958299999999994</v>
      </c>
      <c r="J163" t="s">
        <v>368</v>
      </c>
      <c r="K163" t="s">
        <v>17</v>
      </c>
      <c r="L163">
        <v>10</v>
      </c>
      <c r="N163" t="s">
        <v>31</v>
      </c>
    </row>
    <row r="164" spans="1:14" x14ac:dyDescent="0.3">
      <c r="A164">
        <v>1</v>
      </c>
      <c r="B164">
        <v>0</v>
      </c>
      <c r="C164" t="s">
        <v>369</v>
      </c>
      <c r="D164" t="s">
        <v>20</v>
      </c>
      <c r="E164">
        <v>42</v>
      </c>
      <c r="F164">
        <v>1</v>
      </c>
      <c r="G164">
        <v>0</v>
      </c>
      <c r="H164">
        <v>113789</v>
      </c>
      <c r="I164">
        <v>52</v>
      </c>
      <c r="K164" t="s">
        <v>17</v>
      </c>
      <c r="M164">
        <v>38</v>
      </c>
      <c r="N164" t="s">
        <v>28</v>
      </c>
    </row>
    <row r="165" spans="1:14" x14ac:dyDescent="0.3">
      <c r="A165">
        <v>1</v>
      </c>
      <c r="B165">
        <v>1</v>
      </c>
      <c r="C165" t="s">
        <v>370</v>
      </c>
      <c r="D165" t="s">
        <v>15</v>
      </c>
      <c r="E165">
        <v>35</v>
      </c>
      <c r="F165">
        <v>1</v>
      </c>
      <c r="G165">
        <v>0</v>
      </c>
      <c r="H165">
        <v>113789</v>
      </c>
      <c r="I165">
        <v>52</v>
      </c>
      <c r="K165" t="s">
        <v>17</v>
      </c>
      <c r="L165">
        <v>8</v>
      </c>
      <c r="N165" t="s">
        <v>28</v>
      </c>
    </row>
    <row r="166" spans="1:14" x14ac:dyDescent="0.3">
      <c r="A166">
        <v>1</v>
      </c>
      <c r="B166">
        <v>1</v>
      </c>
      <c r="C166" t="s">
        <v>371</v>
      </c>
      <c r="D166" t="s">
        <v>20</v>
      </c>
      <c r="E166">
        <v>35</v>
      </c>
      <c r="F166">
        <v>0</v>
      </c>
      <c r="G166">
        <v>0</v>
      </c>
      <c r="H166">
        <v>111426</v>
      </c>
      <c r="I166">
        <v>26.55</v>
      </c>
      <c r="K166" t="s">
        <v>41</v>
      </c>
      <c r="L166">
        <v>15</v>
      </c>
      <c r="N166" t="s">
        <v>372</v>
      </c>
    </row>
    <row r="167" spans="1:14" x14ac:dyDescent="0.3">
      <c r="A167">
        <v>1</v>
      </c>
      <c r="B167">
        <v>1</v>
      </c>
      <c r="C167" t="s">
        <v>373</v>
      </c>
      <c r="D167" t="s">
        <v>20</v>
      </c>
      <c r="E167">
        <v>38</v>
      </c>
      <c r="F167">
        <v>1</v>
      </c>
      <c r="G167">
        <v>0</v>
      </c>
      <c r="H167">
        <v>19943</v>
      </c>
      <c r="I167">
        <v>90</v>
      </c>
      <c r="J167" t="s">
        <v>374</v>
      </c>
      <c r="K167" t="s">
        <v>17</v>
      </c>
      <c r="L167" t="s">
        <v>37</v>
      </c>
      <c r="N167" t="s">
        <v>375</v>
      </c>
    </row>
    <row r="168" spans="1:14" x14ac:dyDescent="0.3">
      <c r="A168">
        <v>1</v>
      </c>
      <c r="B168">
        <v>0</v>
      </c>
      <c r="C168" t="s">
        <v>376</v>
      </c>
      <c r="D168" t="s">
        <v>20</v>
      </c>
      <c r="F168">
        <v>0</v>
      </c>
      <c r="G168">
        <v>0</v>
      </c>
      <c r="H168" t="s">
        <v>377</v>
      </c>
      <c r="I168">
        <v>30.695799999999998</v>
      </c>
      <c r="K168" t="s">
        <v>41</v>
      </c>
      <c r="L168">
        <v>14</v>
      </c>
      <c r="N168" t="s">
        <v>28</v>
      </c>
    </row>
    <row r="169" spans="1:14" x14ac:dyDescent="0.3">
      <c r="A169">
        <v>1</v>
      </c>
      <c r="B169">
        <v>1</v>
      </c>
      <c r="C169" t="s">
        <v>378</v>
      </c>
      <c r="D169" t="s">
        <v>15</v>
      </c>
      <c r="E169">
        <v>35</v>
      </c>
      <c r="F169">
        <v>1</v>
      </c>
      <c r="G169">
        <v>0</v>
      </c>
      <c r="H169">
        <v>19943</v>
      </c>
      <c r="I169">
        <v>90</v>
      </c>
      <c r="J169" t="s">
        <v>374</v>
      </c>
      <c r="K169" t="s">
        <v>17</v>
      </c>
      <c r="L169" t="s">
        <v>37</v>
      </c>
      <c r="N169" t="s">
        <v>375</v>
      </c>
    </row>
    <row r="170" spans="1:14" x14ac:dyDescent="0.3">
      <c r="A170">
        <v>1</v>
      </c>
      <c r="B170">
        <v>1</v>
      </c>
      <c r="C170" t="s">
        <v>379</v>
      </c>
      <c r="D170" t="s">
        <v>15</v>
      </c>
      <c r="E170">
        <v>38</v>
      </c>
      <c r="F170">
        <v>0</v>
      </c>
      <c r="G170">
        <v>0</v>
      </c>
      <c r="H170">
        <v>113572</v>
      </c>
      <c r="I170">
        <v>80</v>
      </c>
      <c r="J170" t="s">
        <v>380</v>
      </c>
      <c r="L170">
        <v>6</v>
      </c>
    </row>
    <row r="171" spans="1:14" x14ac:dyDescent="0.3">
      <c r="A171">
        <v>1</v>
      </c>
      <c r="B171">
        <v>0</v>
      </c>
      <c r="C171" t="s">
        <v>381</v>
      </c>
      <c r="D171" t="s">
        <v>15</v>
      </c>
      <c r="E171">
        <v>50</v>
      </c>
      <c r="F171">
        <v>0</v>
      </c>
      <c r="G171">
        <v>0</v>
      </c>
      <c r="H171" t="s">
        <v>382</v>
      </c>
      <c r="I171">
        <v>28.712499999999999</v>
      </c>
      <c r="J171" t="s">
        <v>383</v>
      </c>
      <c r="K171" t="s">
        <v>41</v>
      </c>
      <c r="N171" t="s">
        <v>384</v>
      </c>
    </row>
    <row r="172" spans="1:14" x14ac:dyDescent="0.3">
      <c r="A172">
        <v>1</v>
      </c>
      <c r="B172">
        <v>1</v>
      </c>
      <c r="C172" t="s">
        <v>385</v>
      </c>
      <c r="D172" t="s">
        <v>20</v>
      </c>
      <c r="E172">
        <v>49</v>
      </c>
      <c r="F172">
        <v>0</v>
      </c>
      <c r="G172">
        <v>0</v>
      </c>
      <c r="H172">
        <v>112058</v>
      </c>
      <c r="I172">
        <v>0</v>
      </c>
      <c r="J172" t="s">
        <v>386</v>
      </c>
      <c r="K172" t="s">
        <v>17</v>
      </c>
      <c r="L172" t="s">
        <v>41</v>
      </c>
      <c r="N172" t="s">
        <v>387</v>
      </c>
    </row>
    <row r="173" spans="1:14" x14ac:dyDescent="0.3">
      <c r="A173">
        <v>1</v>
      </c>
      <c r="B173">
        <v>0</v>
      </c>
      <c r="C173" t="s">
        <v>388</v>
      </c>
      <c r="D173" t="s">
        <v>20</v>
      </c>
      <c r="E173">
        <v>46</v>
      </c>
      <c r="F173">
        <v>0</v>
      </c>
      <c r="G173">
        <v>0</v>
      </c>
      <c r="H173">
        <v>694</v>
      </c>
      <c r="I173">
        <v>26</v>
      </c>
      <c r="K173" t="s">
        <v>17</v>
      </c>
      <c r="M173">
        <v>80</v>
      </c>
      <c r="N173" t="s">
        <v>389</v>
      </c>
    </row>
    <row r="174" spans="1:14" x14ac:dyDescent="0.3">
      <c r="A174">
        <v>1</v>
      </c>
      <c r="B174">
        <v>0</v>
      </c>
      <c r="C174" t="s">
        <v>390</v>
      </c>
      <c r="D174" t="s">
        <v>20</v>
      </c>
      <c r="E174">
        <v>50</v>
      </c>
      <c r="F174">
        <v>0</v>
      </c>
      <c r="G174">
        <v>0</v>
      </c>
      <c r="H174">
        <v>113044</v>
      </c>
      <c r="I174">
        <v>26</v>
      </c>
      <c r="J174" t="s">
        <v>391</v>
      </c>
      <c r="K174" t="s">
        <v>17</v>
      </c>
      <c r="N174" t="s">
        <v>392</v>
      </c>
    </row>
    <row r="175" spans="1:14" x14ac:dyDescent="0.3">
      <c r="A175">
        <v>1</v>
      </c>
      <c r="B175">
        <v>0</v>
      </c>
      <c r="C175" t="s">
        <v>393</v>
      </c>
      <c r="D175" t="s">
        <v>20</v>
      </c>
      <c r="E175">
        <v>32.5</v>
      </c>
      <c r="F175">
        <v>0</v>
      </c>
      <c r="G175">
        <v>0</v>
      </c>
      <c r="H175">
        <v>113503</v>
      </c>
      <c r="I175">
        <v>211.5</v>
      </c>
      <c r="J175" t="s">
        <v>394</v>
      </c>
      <c r="K175" t="s">
        <v>41</v>
      </c>
      <c r="M175">
        <v>45</v>
      </c>
    </row>
    <row r="176" spans="1:14" x14ac:dyDescent="0.3">
      <c r="A176">
        <v>1</v>
      </c>
      <c r="B176">
        <v>0</v>
      </c>
      <c r="C176" t="s">
        <v>395</v>
      </c>
      <c r="D176" t="s">
        <v>20</v>
      </c>
      <c r="E176">
        <v>58</v>
      </c>
      <c r="F176">
        <v>0</v>
      </c>
      <c r="G176">
        <v>0</v>
      </c>
      <c r="H176">
        <v>11771</v>
      </c>
      <c r="I176">
        <v>29.7</v>
      </c>
      <c r="J176" t="s">
        <v>396</v>
      </c>
      <c r="K176" t="s">
        <v>41</v>
      </c>
      <c r="M176">
        <v>258</v>
      </c>
      <c r="N176" t="s">
        <v>397</v>
      </c>
    </row>
    <row r="177" spans="1:14" x14ac:dyDescent="0.3">
      <c r="A177">
        <v>1</v>
      </c>
      <c r="B177">
        <v>0</v>
      </c>
      <c r="C177" t="s">
        <v>398</v>
      </c>
      <c r="D177" t="s">
        <v>20</v>
      </c>
      <c r="E177">
        <v>41</v>
      </c>
      <c r="F177">
        <v>1</v>
      </c>
      <c r="G177">
        <v>0</v>
      </c>
      <c r="H177">
        <v>17464</v>
      </c>
      <c r="I177">
        <v>51.862499999999997</v>
      </c>
      <c r="J177" t="s">
        <v>399</v>
      </c>
      <c r="K177" t="s">
        <v>17</v>
      </c>
      <c r="N177" t="s">
        <v>400</v>
      </c>
    </row>
    <row r="178" spans="1:14" x14ac:dyDescent="0.3">
      <c r="A178">
        <v>1</v>
      </c>
      <c r="B178">
        <v>1</v>
      </c>
      <c r="C178" t="s">
        <v>401</v>
      </c>
      <c r="D178" t="s">
        <v>15</v>
      </c>
      <c r="F178">
        <v>1</v>
      </c>
      <c r="G178">
        <v>0</v>
      </c>
      <c r="H178">
        <v>17464</v>
      </c>
      <c r="I178">
        <v>51.862499999999997</v>
      </c>
      <c r="J178" t="s">
        <v>399</v>
      </c>
      <c r="K178" t="s">
        <v>17</v>
      </c>
      <c r="L178">
        <v>8</v>
      </c>
      <c r="N178" t="s">
        <v>400</v>
      </c>
    </row>
    <row r="179" spans="1:14" x14ac:dyDescent="0.3">
      <c r="A179">
        <v>1</v>
      </c>
      <c r="B179">
        <v>1</v>
      </c>
      <c r="C179" t="s">
        <v>402</v>
      </c>
      <c r="D179" t="s">
        <v>20</v>
      </c>
      <c r="E179">
        <v>42</v>
      </c>
      <c r="F179">
        <v>1</v>
      </c>
      <c r="G179">
        <v>0</v>
      </c>
      <c r="H179">
        <v>11753</v>
      </c>
      <c r="I179">
        <v>52.554200000000002</v>
      </c>
      <c r="J179" t="s">
        <v>403</v>
      </c>
      <c r="K179" t="s">
        <v>17</v>
      </c>
      <c r="L179">
        <v>5</v>
      </c>
      <c r="N179" t="s">
        <v>404</v>
      </c>
    </row>
    <row r="180" spans="1:14" x14ac:dyDescent="0.3">
      <c r="A180">
        <v>1</v>
      </c>
      <c r="B180">
        <v>1</v>
      </c>
      <c r="C180" t="s">
        <v>405</v>
      </c>
      <c r="D180" t="s">
        <v>15</v>
      </c>
      <c r="E180">
        <v>45</v>
      </c>
      <c r="F180">
        <v>1</v>
      </c>
      <c r="G180">
        <v>0</v>
      </c>
      <c r="H180">
        <v>11753</v>
      </c>
      <c r="I180">
        <v>52.554200000000002</v>
      </c>
      <c r="J180" t="s">
        <v>403</v>
      </c>
      <c r="K180" t="s">
        <v>17</v>
      </c>
      <c r="L180">
        <v>5</v>
      </c>
      <c r="N180" t="s">
        <v>404</v>
      </c>
    </row>
    <row r="181" spans="1:14" x14ac:dyDescent="0.3">
      <c r="A181">
        <v>1</v>
      </c>
      <c r="B181">
        <v>0</v>
      </c>
      <c r="C181" t="s">
        <v>406</v>
      </c>
      <c r="D181" t="s">
        <v>20</v>
      </c>
      <c r="F181">
        <v>0</v>
      </c>
      <c r="G181">
        <v>0</v>
      </c>
      <c r="H181">
        <v>113028</v>
      </c>
      <c r="I181">
        <v>26.55</v>
      </c>
      <c r="J181" t="s">
        <v>407</v>
      </c>
      <c r="K181" t="s">
        <v>17</v>
      </c>
      <c r="N181" t="s">
        <v>408</v>
      </c>
    </row>
    <row r="182" spans="1:14" x14ac:dyDescent="0.3">
      <c r="A182">
        <v>1</v>
      </c>
      <c r="B182">
        <v>1</v>
      </c>
      <c r="C182" t="s">
        <v>409</v>
      </c>
      <c r="D182" t="s">
        <v>15</v>
      </c>
      <c r="E182">
        <v>39</v>
      </c>
      <c r="F182">
        <v>0</v>
      </c>
      <c r="G182">
        <v>0</v>
      </c>
      <c r="H182">
        <v>24160</v>
      </c>
      <c r="I182">
        <v>211.33750000000001</v>
      </c>
      <c r="K182" t="s">
        <v>17</v>
      </c>
      <c r="L182">
        <v>2</v>
      </c>
    </row>
    <row r="183" spans="1:14" x14ac:dyDescent="0.3">
      <c r="A183">
        <v>1</v>
      </c>
      <c r="B183">
        <v>1</v>
      </c>
      <c r="C183" t="s">
        <v>410</v>
      </c>
      <c r="D183" t="s">
        <v>15</v>
      </c>
      <c r="E183">
        <v>49</v>
      </c>
      <c r="F183">
        <v>0</v>
      </c>
      <c r="G183">
        <v>0</v>
      </c>
      <c r="H183">
        <v>17465</v>
      </c>
      <c r="I183">
        <v>25.929200000000002</v>
      </c>
      <c r="J183" t="s">
        <v>411</v>
      </c>
      <c r="K183" t="s">
        <v>17</v>
      </c>
      <c r="L183">
        <v>8</v>
      </c>
      <c r="N183" t="s">
        <v>28</v>
      </c>
    </row>
    <row r="184" spans="1:14" x14ac:dyDescent="0.3">
      <c r="A184">
        <v>1</v>
      </c>
      <c r="B184">
        <v>1</v>
      </c>
      <c r="C184" t="s">
        <v>412</v>
      </c>
      <c r="D184" t="s">
        <v>15</v>
      </c>
      <c r="E184">
        <v>30</v>
      </c>
      <c r="F184">
        <v>0</v>
      </c>
      <c r="G184">
        <v>0</v>
      </c>
      <c r="H184" t="s">
        <v>233</v>
      </c>
      <c r="I184">
        <v>106.425</v>
      </c>
      <c r="K184" t="s">
        <v>41</v>
      </c>
      <c r="L184">
        <v>2</v>
      </c>
    </row>
    <row r="185" spans="1:14" x14ac:dyDescent="0.3">
      <c r="A185">
        <v>1</v>
      </c>
      <c r="B185">
        <v>1</v>
      </c>
      <c r="C185" t="s">
        <v>413</v>
      </c>
      <c r="D185" t="s">
        <v>20</v>
      </c>
      <c r="E185">
        <v>35</v>
      </c>
      <c r="F185">
        <v>0</v>
      </c>
      <c r="G185">
        <v>0</v>
      </c>
      <c r="H185" t="s">
        <v>141</v>
      </c>
      <c r="I185">
        <v>512.32920000000001</v>
      </c>
      <c r="J185" t="s">
        <v>414</v>
      </c>
      <c r="K185" t="s">
        <v>41</v>
      </c>
      <c r="L185">
        <v>3</v>
      </c>
    </row>
    <row r="186" spans="1:14" x14ac:dyDescent="0.3">
      <c r="A186">
        <v>1</v>
      </c>
      <c r="B186">
        <v>0</v>
      </c>
      <c r="C186" t="s">
        <v>415</v>
      </c>
      <c r="D186" t="s">
        <v>20</v>
      </c>
      <c r="F186">
        <v>0</v>
      </c>
      <c r="G186">
        <v>0</v>
      </c>
      <c r="H186" t="s">
        <v>416</v>
      </c>
      <c r="I186">
        <v>27.720800000000001</v>
      </c>
      <c r="K186" t="s">
        <v>41</v>
      </c>
      <c r="N186" t="s">
        <v>365</v>
      </c>
    </row>
    <row r="187" spans="1:14" x14ac:dyDescent="0.3">
      <c r="A187">
        <v>1</v>
      </c>
      <c r="B187">
        <v>0</v>
      </c>
      <c r="C187" t="s">
        <v>417</v>
      </c>
      <c r="D187" t="s">
        <v>20</v>
      </c>
      <c r="E187">
        <v>42</v>
      </c>
      <c r="F187">
        <v>0</v>
      </c>
      <c r="G187">
        <v>0</v>
      </c>
      <c r="H187">
        <v>17475</v>
      </c>
      <c r="I187">
        <v>26.55</v>
      </c>
      <c r="K187" t="s">
        <v>17</v>
      </c>
      <c r="N187" t="s">
        <v>418</v>
      </c>
    </row>
    <row r="188" spans="1:14" x14ac:dyDescent="0.3">
      <c r="A188">
        <v>1</v>
      </c>
      <c r="B188">
        <v>1</v>
      </c>
      <c r="C188" t="s">
        <v>419</v>
      </c>
      <c r="D188" t="s">
        <v>15</v>
      </c>
      <c r="E188">
        <v>55</v>
      </c>
      <c r="F188">
        <v>0</v>
      </c>
      <c r="G188">
        <v>0</v>
      </c>
      <c r="H188">
        <v>112377</v>
      </c>
      <c r="I188">
        <v>27.720800000000001</v>
      </c>
      <c r="K188" t="s">
        <v>41</v>
      </c>
      <c r="L188">
        <v>6</v>
      </c>
      <c r="N188" t="s">
        <v>418</v>
      </c>
    </row>
    <row r="189" spans="1:14" x14ac:dyDescent="0.3">
      <c r="A189">
        <v>1</v>
      </c>
      <c r="B189">
        <v>1</v>
      </c>
      <c r="C189" t="s">
        <v>420</v>
      </c>
      <c r="D189" t="s">
        <v>15</v>
      </c>
      <c r="E189">
        <v>16</v>
      </c>
      <c r="F189">
        <v>0</v>
      </c>
      <c r="G189">
        <v>1</v>
      </c>
      <c r="H189" t="s">
        <v>421</v>
      </c>
      <c r="I189">
        <v>39.4</v>
      </c>
      <c r="J189" t="s">
        <v>422</v>
      </c>
      <c r="K189" t="s">
        <v>17</v>
      </c>
      <c r="L189">
        <v>9</v>
      </c>
      <c r="N189" t="s">
        <v>50</v>
      </c>
    </row>
    <row r="190" spans="1:14" x14ac:dyDescent="0.3">
      <c r="A190">
        <v>1</v>
      </c>
      <c r="B190">
        <v>1</v>
      </c>
      <c r="C190" t="s">
        <v>423</v>
      </c>
      <c r="D190" t="s">
        <v>15</v>
      </c>
      <c r="E190">
        <v>51</v>
      </c>
      <c r="F190">
        <v>0</v>
      </c>
      <c r="G190">
        <v>1</v>
      </c>
      <c r="H190" t="s">
        <v>421</v>
      </c>
      <c r="I190">
        <v>39.4</v>
      </c>
      <c r="J190" t="s">
        <v>422</v>
      </c>
      <c r="K190" t="s">
        <v>17</v>
      </c>
      <c r="L190">
        <v>9</v>
      </c>
      <c r="N190" t="s">
        <v>50</v>
      </c>
    </row>
    <row r="191" spans="1:14" x14ac:dyDescent="0.3">
      <c r="A191">
        <v>1</v>
      </c>
      <c r="B191">
        <v>0</v>
      </c>
      <c r="C191" t="s">
        <v>424</v>
      </c>
      <c r="D191" t="s">
        <v>20</v>
      </c>
      <c r="E191">
        <v>29</v>
      </c>
      <c r="F191">
        <v>0</v>
      </c>
      <c r="G191">
        <v>0</v>
      </c>
      <c r="H191">
        <v>113501</v>
      </c>
      <c r="I191">
        <v>30</v>
      </c>
      <c r="J191" t="s">
        <v>425</v>
      </c>
      <c r="K191" t="s">
        <v>17</v>
      </c>
      <c r="M191">
        <v>126</v>
      </c>
      <c r="N191" t="s">
        <v>426</v>
      </c>
    </row>
    <row r="192" spans="1:14" x14ac:dyDescent="0.3">
      <c r="A192">
        <v>1</v>
      </c>
      <c r="B192">
        <v>1</v>
      </c>
      <c r="C192" t="s">
        <v>427</v>
      </c>
      <c r="D192" t="s">
        <v>15</v>
      </c>
      <c r="E192">
        <v>21</v>
      </c>
      <c r="F192">
        <v>0</v>
      </c>
      <c r="G192">
        <v>0</v>
      </c>
      <c r="H192">
        <v>13502</v>
      </c>
      <c r="I192">
        <v>77.958299999999994</v>
      </c>
      <c r="J192" t="s">
        <v>428</v>
      </c>
      <c r="K192" t="s">
        <v>17</v>
      </c>
      <c r="L192">
        <v>10</v>
      </c>
      <c r="N192" t="s">
        <v>31</v>
      </c>
    </row>
    <row r="193" spans="1:14" x14ac:dyDescent="0.3">
      <c r="A193">
        <v>1</v>
      </c>
      <c r="B193">
        <v>0</v>
      </c>
      <c r="C193" t="s">
        <v>429</v>
      </c>
      <c r="D193" t="s">
        <v>20</v>
      </c>
      <c r="E193">
        <v>30</v>
      </c>
      <c r="F193">
        <v>0</v>
      </c>
      <c r="G193">
        <v>0</v>
      </c>
      <c r="H193">
        <v>113801</v>
      </c>
      <c r="I193">
        <v>45.5</v>
      </c>
      <c r="K193" t="s">
        <v>17</v>
      </c>
      <c r="N193" t="s">
        <v>430</v>
      </c>
    </row>
    <row r="194" spans="1:14" x14ac:dyDescent="0.3">
      <c r="A194">
        <v>1</v>
      </c>
      <c r="B194">
        <v>1</v>
      </c>
      <c r="C194" t="s">
        <v>431</v>
      </c>
      <c r="D194" t="s">
        <v>15</v>
      </c>
      <c r="E194">
        <v>58</v>
      </c>
      <c r="F194">
        <v>0</v>
      </c>
      <c r="G194">
        <v>0</v>
      </c>
      <c r="H194" t="s">
        <v>432</v>
      </c>
      <c r="I194">
        <v>146.52080000000001</v>
      </c>
      <c r="J194" t="s">
        <v>433</v>
      </c>
      <c r="K194" t="s">
        <v>41</v>
      </c>
    </row>
    <row r="195" spans="1:14" x14ac:dyDescent="0.3">
      <c r="A195">
        <v>1</v>
      </c>
      <c r="B195">
        <v>1</v>
      </c>
      <c r="C195" t="s">
        <v>434</v>
      </c>
      <c r="D195" t="s">
        <v>15</v>
      </c>
      <c r="E195">
        <v>15</v>
      </c>
      <c r="F195">
        <v>0</v>
      </c>
      <c r="G195">
        <v>1</v>
      </c>
      <c r="H195">
        <v>24160</v>
      </c>
      <c r="I195">
        <v>211.33750000000001</v>
      </c>
      <c r="J195" t="s">
        <v>16</v>
      </c>
      <c r="K195" t="s">
        <v>17</v>
      </c>
      <c r="L195">
        <v>2</v>
      </c>
      <c r="N195" t="s">
        <v>18</v>
      </c>
    </row>
    <row r="196" spans="1:14" x14ac:dyDescent="0.3">
      <c r="A196">
        <v>1</v>
      </c>
      <c r="B196">
        <v>0</v>
      </c>
      <c r="C196" t="s">
        <v>435</v>
      </c>
      <c r="D196" t="s">
        <v>20</v>
      </c>
      <c r="E196">
        <v>30</v>
      </c>
      <c r="F196">
        <v>0</v>
      </c>
      <c r="G196">
        <v>0</v>
      </c>
      <c r="H196">
        <v>110469</v>
      </c>
      <c r="I196">
        <v>26</v>
      </c>
      <c r="J196" t="s">
        <v>436</v>
      </c>
      <c r="K196" t="s">
        <v>17</v>
      </c>
      <c r="N196" t="s">
        <v>437</v>
      </c>
    </row>
    <row r="197" spans="1:14" x14ac:dyDescent="0.3">
      <c r="A197">
        <v>1</v>
      </c>
      <c r="B197">
        <v>1</v>
      </c>
      <c r="C197" t="s">
        <v>438</v>
      </c>
      <c r="D197" t="s">
        <v>15</v>
      </c>
      <c r="E197">
        <v>16</v>
      </c>
      <c r="F197">
        <v>0</v>
      </c>
      <c r="G197">
        <v>0</v>
      </c>
      <c r="H197">
        <v>110152</v>
      </c>
      <c r="I197">
        <v>86.5</v>
      </c>
      <c r="J197" t="s">
        <v>439</v>
      </c>
      <c r="K197" t="s">
        <v>17</v>
      </c>
      <c r="L197">
        <v>8</v>
      </c>
    </row>
    <row r="198" spans="1:14" x14ac:dyDescent="0.3">
      <c r="A198">
        <v>1</v>
      </c>
      <c r="B198">
        <v>1</v>
      </c>
      <c r="C198" t="s">
        <v>440</v>
      </c>
      <c r="D198" t="s">
        <v>20</v>
      </c>
      <c r="F198">
        <v>0</v>
      </c>
      <c r="G198">
        <v>0</v>
      </c>
      <c r="H198">
        <v>11774</v>
      </c>
      <c r="I198">
        <v>29.7</v>
      </c>
      <c r="J198" t="s">
        <v>441</v>
      </c>
      <c r="K198" t="s">
        <v>41</v>
      </c>
      <c r="L198">
        <v>7</v>
      </c>
      <c r="N198" t="s">
        <v>50</v>
      </c>
    </row>
    <row r="199" spans="1:14" x14ac:dyDescent="0.3">
      <c r="A199">
        <v>1</v>
      </c>
      <c r="B199">
        <v>0</v>
      </c>
      <c r="C199" t="s">
        <v>442</v>
      </c>
      <c r="D199" t="s">
        <v>20</v>
      </c>
      <c r="E199">
        <v>19</v>
      </c>
      <c r="F199">
        <v>1</v>
      </c>
      <c r="G199">
        <v>0</v>
      </c>
      <c r="H199">
        <v>113773</v>
      </c>
      <c r="I199">
        <v>53.1</v>
      </c>
      <c r="J199" t="s">
        <v>443</v>
      </c>
      <c r="K199" t="s">
        <v>17</v>
      </c>
      <c r="N199" t="s">
        <v>28</v>
      </c>
    </row>
    <row r="200" spans="1:14" x14ac:dyDescent="0.3">
      <c r="A200">
        <v>1</v>
      </c>
      <c r="B200">
        <v>1</v>
      </c>
      <c r="C200" t="s">
        <v>444</v>
      </c>
      <c r="D200" t="s">
        <v>15</v>
      </c>
      <c r="E200">
        <v>18</v>
      </c>
      <c r="F200">
        <v>1</v>
      </c>
      <c r="G200">
        <v>0</v>
      </c>
      <c r="H200">
        <v>113773</v>
      </c>
      <c r="I200">
        <v>53.1</v>
      </c>
      <c r="J200" t="s">
        <v>443</v>
      </c>
      <c r="K200" t="s">
        <v>17</v>
      </c>
      <c r="L200">
        <v>10</v>
      </c>
      <c r="N200" t="s">
        <v>28</v>
      </c>
    </row>
    <row r="201" spans="1:14" x14ac:dyDescent="0.3">
      <c r="A201">
        <v>1</v>
      </c>
      <c r="B201">
        <v>1</v>
      </c>
      <c r="C201" t="s">
        <v>445</v>
      </c>
      <c r="D201" t="s">
        <v>15</v>
      </c>
      <c r="E201">
        <v>24</v>
      </c>
      <c r="F201">
        <v>0</v>
      </c>
      <c r="G201">
        <v>0</v>
      </c>
      <c r="H201" t="s">
        <v>446</v>
      </c>
      <c r="I201">
        <v>49.504199999999997</v>
      </c>
      <c r="J201" t="s">
        <v>447</v>
      </c>
      <c r="K201" t="s">
        <v>41</v>
      </c>
      <c r="L201">
        <v>6</v>
      </c>
      <c r="N201" t="s">
        <v>448</v>
      </c>
    </row>
    <row r="202" spans="1:14" x14ac:dyDescent="0.3">
      <c r="A202">
        <v>1</v>
      </c>
      <c r="B202">
        <v>0</v>
      </c>
      <c r="C202" t="s">
        <v>449</v>
      </c>
      <c r="D202" t="s">
        <v>20</v>
      </c>
      <c r="E202">
        <v>46</v>
      </c>
      <c r="F202">
        <v>0</v>
      </c>
      <c r="G202">
        <v>0</v>
      </c>
      <c r="H202">
        <v>13050</v>
      </c>
      <c r="I202">
        <v>75.241699999999994</v>
      </c>
      <c r="J202" t="s">
        <v>66</v>
      </c>
      <c r="K202" t="s">
        <v>41</v>
      </c>
      <c r="M202">
        <v>292</v>
      </c>
      <c r="N202" t="s">
        <v>450</v>
      </c>
    </row>
    <row r="203" spans="1:14" x14ac:dyDescent="0.3">
      <c r="A203">
        <v>1</v>
      </c>
      <c r="B203">
        <v>0</v>
      </c>
      <c r="C203" t="s">
        <v>451</v>
      </c>
      <c r="D203" t="s">
        <v>20</v>
      </c>
      <c r="E203">
        <v>54</v>
      </c>
      <c r="F203">
        <v>0</v>
      </c>
      <c r="G203">
        <v>0</v>
      </c>
      <c r="H203">
        <v>17463</v>
      </c>
      <c r="I203">
        <v>51.862499999999997</v>
      </c>
      <c r="J203" t="s">
        <v>358</v>
      </c>
      <c r="K203" t="s">
        <v>17</v>
      </c>
      <c r="M203">
        <v>175</v>
      </c>
      <c r="N203" t="s">
        <v>452</v>
      </c>
    </row>
    <row r="204" spans="1:14" x14ac:dyDescent="0.3">
      <c r="A204">
        <v>1</v>
      </c>
      <c r="B204">
        <v>1</v>
      </c>
      <c r="C204" t="s">
        <v>453</v>
      </c>
      <c r="D204" t="s">
        <v>20</v>
      </c>
      <c r="E204">
        <v>36</v>
      </c>
      <c r="F204">
        <v>0</v>
      </c>
      <c r="G204">
        <v>0</v>
      </c>
      <c r="H204" t="s">
        <v>454</v>
      </c>
      <c r="I204">
        <v>26.287500000000001</v>
      </c>
      <c r="J204" t="s">
        <v>265</v>
      </c>
      <c r="K204" t="s">
        <v>17</v>
      </c>
      <c r="L204">
        <v>7</v>
      </c>
      <c r="N204" t="s">
        <v>121</v>
      </c>
    </row>
    <row r="205" spans="1:14" x14ac:dyDescent="0.3">
      <c r="A205">
        <v>1</v>
      </c>
      <c r="B205">
        <v>0</v>
      </c>
      <c r="C205" t="s">
        <v>455</v>
      </c>
      <c r="D205" t="s">
        <v>20</v>
      </c>
      <c r="E205">
        <v>28</v>
      </c>
      <c r="F205">
        <v>1</v>
      </c>
      <c r="G205">
        <v>0</v>
      </c>
      <c r="H205" t="s">
        <v>456</v>
      </c>
      <c r="I205">
        <v>82.1708</v>
      </c>
      <c r="K205" t="s">
        <v>41</v>
      </c>
      <c r="N205" t="s">
        <v>28</v>
      </c>
    </row>
    <row r="206" spans="1:14" x14ac:dyDescent="0.3">
      <c r="A206">
        <v>1</v>
      </c>
      <c r="B206">
        <v>1</v>
      </c>
      <c r="C206" t="s">
        <v>457</v>
      </c>
      <c r="D206" t="s">
        <v>15</v>
      </c>
      <c r="F206">
        <v>1</v>
      </c>
      <c r="G206">
        <v>0</v>
      </c>
      <c r="H206" t="s">
        <v>456</v>
      </c>
      <c r="I206">
        <v>82.1708</v>
      </c>
      <c r="K206" t="s">
        <v>41</v>
      </c>
      <c r="L206">
        <v>6</v>
      </c>
      <c r="N206" t="s">
        <v>28</v>
      </c>
    </row>
    <row r="207" spans="1:14" x14ac:dyDescent="0.3">
      <c r="A207">
        <v>1</v>
      </c>
      <c r="B207">
        <v>0</v>
      </c>
      <c r="C207" t="s">
        <v>458</v>
      </c>
      <c r="D207" t="s">
        <v>20</v>
      </c>
      <c r="E207">
        <v>65</v>
      </c>
      <c r="F207">
        <v>0</v>
      </c>
      <c r="G207">
        <v>0</v>
      </c>
      <c r="H207">
        <v>13509</v>
      </c>
      <c r="I207">
        <v>26.55</v>
      </c>
      <c r="J207" t="s">
        <v>459</v>
      </c>
      <c r="K207" t="s">
        <v>17</v>
      </c>
      <c r="M207">
        <v>249</v>
      </c>
      <c r="N207" t="s">
        <v>460</v>
      </c>
    </row>
    <row r="208" spans="1:14" x14ac:dyDescent="0.3">
      <c r="A208">
        <v>1</v>
      </c>
      <c r="B208">
        <v>0</v>
      </c>
      <c r="C208" t="s">
        <v>461</v>
      </c>
      <c r="D208" t="s">
        <v>20</v>
      </c>
      <c r="E208">
        <v>44</v>
      </c>
      <c r="F208">
        <v>2</v>
      </c>
      <c r="G208">
        <v>0</v>
      </c>
      <c r="H208">
        <v>19928</v>
      </c>
      <c r="I208">
        <v>90</v>
      </c>
      <c r="J208" t="s">
        <v>462</v>
      </c>
      <c r="K208" t="s">
        <v>463</v>
      </c>
      <c r="M208">
        <v>230</v>
      </c>
      <c r="N208" t="s">
        <v>464</v>
      </c>
    </row>
    <row r="209" spans="1:14" x14ac:dyDescent="0.3">
      <c r="A209">
        <v>1</v>
      </c>
      <c r="B209">
        <v>1</v>
      </c>
      <c r="C209" t="s">
        <v>465</v>
      </c>
      <c r="D209" t="s">
        <v>15</v>
      </c>
      <c r="E209">
        <v>33</v>
      </c>
      <c r="F209">
        <v>1</v>
      </c>
      <c r="G209">
        <v>0</v>
      </c>
      <c r="H209">
        <v>19928</v>
      </c>
      <c r="I209">
        <v>90</v>
      </c>
      <c r="J209" t="s">
        <v>462</v>
      </c>
      <c r="K209" t="s">
        <v>463</v>
      </c>
      <c r="L209">
        <v>14</v>
      </c>
      <c r="N209" t="s">
        <v>466</v>
      </c>
    </row>
    <row r="210" spans="1:14" x14ac:dyDescent="0.3">
      <c r="A210">
        <v>1</v>
      </c>
      <c r="B210">
        <v>1</v>
      </c>
      <c r="C210" t="s">
        <v>467</v>
      </c>
      <c r="D210" t="s">
        <v>15</v>
      </c>
      <c r="E210">
        <v>37</v>
      </c>
      <c r="F210">
        <v>1</v>
      </c>
      <c r="G210">
        <v>0</v>
      </c>
      <c r="H210">
        <v>19928</v>
      </c>
      <c r="I210">
        <v>90</v>
      </c>
      <c r="J210" t="s">
        <v>462</v>
      </c>
      <c r="K210" t="s">
        <v>463</v>
      </c>
      <c r="L210">
        <v>14</v>
      </c>
      <c r="N210" t="s">
        <v>464</v>
      </c>
    </row>
    <row r="211" spans="1:14" x14ac:dyDescent="0.3">
      <c r="A211">
        <v>1</v>
      </c>
      <c r="B211">
        <v>1</v>
      </c>
      <c r="C211" t="s">
        <v>468</v>
      </c>
      <c r="D211" t="s">
        <v>20</v>
      </c>
      <c r="E211">
        <v>30</v>
      </c>
      <c r="F211">
        <v>1</v>
      </c>
      <c r="G211">
        <v>0</v>
      </c>
      <c r="H211">
        <v>13236</v>
      </c>
      <c r="I211">
        <v>57.75</v>
      </c>
      <c r="J211" t="s">
        <v>462</v>
      </c>
      <c r="K211" t="s">
        <v>41</v>
      </c>
      <c r="L211">
        <v>11</v>
      </c>
      <c r="N211" t="s">
        <v>28</v>
      </c>
    </row>
    <row r="212" spans="1:14" x14ac:dyDescent="0.3">
      <c r="A212">
        <v>1</v>
      </c>
      <c r="B212">
        <v>0</v>
      </c>
      <c r="C212" t="s">
        <v>469</v>
      </c>
      <c r="D212" t="s">
        <v>20</v>
      </c>
      <c r="E212">
        <v>55</v>
      </c>
      <c r="F212">
        <v>0</v>
      </c>
      <c r="G212">
        <v>0</v>
      </c>
      <c r="H212">
        <v>113787</v>
      </c>
      <c r="I212">
        <v>30.5</v>
      </c>
      <c r="J212" t="s">
        <v>470</v>
      </c>
      <c r="K212" t="s">
        <v>17</v>
      </c>
      <c r="N212" t="s">
        <v>61</v>
      </c>
    </row>
    <row r="213" spans="1:14" x14ac:dyDescent="0.3">
      <c r="A213">
        <v>1</v>
      </c>
      <c r="B213">
        <v>0</v>
      </c>
      <c r="C213" t="s">
        <v>471</v>
      </c>
      <c r="D213" t="s">
        <v>20</v>
      </c>
      <c r="E213">
        <v>47</v>
      </c>
      <c r="F213">
        <v>0</v>
      </c>
      <c r="G213">
        <v>0</v>
      </c>
      <c r="H213">
        <v>113796</v>
      </c>
      <c r="I213">
        <v>42.4</v>
      </c>
      <c r="K213" t="s">
        <v>17</v>
      </c>
      <c r="N213" t="s">
        <v>133</v>
      </c>
    </row>
    <row r="214" spans="1:14" x14ac:dyDescent="0.3">
      <c r="A214">
        <v>1</v>
      </c>
      <c r="B214">
        <v>0</v>
      </c>
      <c r="C214" t="s">
        <v>472</v>
      </c>
      <c r="D214" t="s">
        <v>20</v>
      </c>
      <c r="E214">
        <v>37</v>
      </c>
      <c r="F214">
        <v>0</v>
      </c>
      <c r="G214">
        <v>1</v>
      </c>
      <c r="H214" t="s">
        <v>473</v>
      </c>
      <c r="I214">
        <v>29.7</v>
      </c>
      <c r="J214" t="s">
        <v>474</v>
      </c>
      <c r="K214" t="s">
        <v>41</v>
      </c>
      <c r="N214" t="s">
        <v>266</v>
      </c>
    </row>
    <row r="215" spans="1:14" x14ac:dyDescent="0.3">
      <c r="A215">
        <v>1</v>
      </c>
      <c r="B215">
        <v>1</v>
      </c>
      <c r="C215" t="s">
        <v>475</v>
      </c>
      <c r="D215" t="s">
        <v>15</v>
      </c>
      <c r="E215">
        <v>31</v>
      </c>
      <c r="F215">
        <v>1</v>
      </c>
      <c r="G215">
        <v>0</v>
      </c>
      <c r="H215">
        <v>35273</v>
      </c>
      <c r="I215">
        <v>113.27500000000001</v>
      </c>
      <c r="J215" t="s">
        <v>476</v>
      </c>
      <c r="K215" t="s">
        <v>41</v>
      </c>
      <c r="L215">
        <v>6</v>
      </c>
      <c r="N215" t="s">
        <v>477</v>
      </c>
    </row>
    <row r="216" spans="1:14" x14ac:dyDescent="0.3">
      <c r="A216">
        <v>1</v>
      </c>
      <c r="B216">
        <v>1</v>
      </c>
      <c r="C216" t="s">
        <v>478</v>
      </c>
      <c r="D216" t="s">
        <v>15</v>
      </c>
      <c r="E216">
        <v>23</v>
      </c>
      <c r="F216">
        <v>1</v>
      </c>
      <c r="G216">
        <v>0</v>
      </c>
      <c r="H216">
        <v>35273</v>
      </c>
      <c r="I216">
        <v>113.27500000000001</v>
      </c>
      <c r="J216" t="s">
        <v>476</v>
      </c>
      <c r="K216" t="s">
        <v>41</v>
      </c>
      <c r="L216">
        <v>6</v>
      </c>
      <c r="N216" t="s">
        <v>477</v>
      </c>
    </row>
    <row r="217" spans="1:14" x14ac:dyDescent="0.3">
      <c r="A217">
        <v>1</v>
      </c>
      <c r="B217">
        <v>0</v>
      </c>
      <c r="C217" t="s">
        <v>479</v>
      </c>
      <c r="D217" t="s">
        <v>20</v>
      </c>
      <c r="E217">
        <v>58</v>
      </c>
      <c r="F217">
        <v>0</v>
      </c>
      <c r="G217">
        <v>2</v>
      </c>
      <c r="H217">
        <v>35273</v>
      </c>
      <c r="I217">
        <v>113.27500000000001</v>
      </c>
      <c r="J217" t="s">
        <v>480</v>
      </c>
      <c r="K217" t="s">
        <v>41</v>
      </c>
      <c r="M217">
        <v>122</v>
      </c>
      <c r="N217" t="s">
        <v>477</v>
      </c>
    </row>
    <row r="218" spans="1:14" x14ac:dyDescent="0.3">
      <c r="A218">
        <v>1</v>
      </c>
      <c r="B218">
        <v>1</v>
      </c>
      <c r="C218" t="s">
        <v>481</v>
      </c>
      <c r="D218" t="s">
        <v>15</v>
      </c>
      <c r="E218">
        <v>19</v>
      </c>
      <c r="F218">
        <v>0</v>
      </c>
      <c r="G218">
        <v>2</v>
      </c>
      <c r="H218">
        <v>11752</v>
      </c>
      <c r="I218">
        <v>26.283300000000001</v>
      </c>
      <c r="J218" t="s">
        <v>482</v>
      </c>
      <c r="K218" t="s">
        <v>17</v>
      </c>
      <c r="L218">
        <v>5</v>
      </c>
      <c r="N218" t="s">
        <v>28</v>
      </c>
    </row>
    <row r="219" spans="1:14" x14ac:dyDescent="0.3">
      <c r="A219">
        <v>1</v>
      </c>
      <c r="B219">
        <v>0</v>
      </c>
      <c r="C219" t="s">
        <v>483</v>
      </c>
      <c r="D219" t="s">
        <v>20</v>
      </c>
      <c r="E219">
        <v>64</v>
      </c>
      <c r="F219">
        <v>0</v>
      </c>
      <c r="G219">
        <v>0</v>
      </c>
      <c r="H219">
        <v>693</v>
      </c>
      <c r="I219">
        <v>26</v>
      </c>
      <c r="K219" t="s">
        <v>17</v>
      </c>
      <c r="M219">
        <v>263</v>
      </c>
      <c r="N219" t="s">
        <v>484</v>
      </c>
    </row>
    <row r="220" spans="1:14" x14ac:dyDescent="0.3">
      <c r="A220">
        <v>1</v>
      </c>
      <c r="B220">
        <v>1</v>
      </c>
      <c r="C220" t="s">
        <v>485</v>
      </c>
      <c r="D220" t="s">
        <v>15</v>
      </c>
      <c r="E220">
        <v>39</v>
      </c>
      <c r="F220">
        <v>0</v>
      </c>
      <c r="G220">
        <v>0</v>
      </c>
      <c r="H220" t="s">
        <v>486</v>
      </c>
      <c r="I220">
        <v>108.9</v>
      </c>
      <c r="J220" t="s">
        <v>487</v>
      </c>
      <c r="K220" t="s">
        <v>41</v>
      </c>
      <c r="L220">
        <v>8</v>
      </c>
    </row>
    <row r="221" spans="1:14" x14ac:dyDescent="0.3">
      <c r="A221">
        <v>1</v>
      </c>
      <c r="B221">
        <v>1</v>
      </c>
      <c r="C221" t="s">
        <v>488</v>
      </c>
      <c r="D221" t="s">
        <v>20</v>
      </c>
      <c r="F221">
        <v>0</v>
      </c>
      <c r="G221">
        <v>0</v>
      </c>
      <c r="H221" t="s">
        <v>489</v>
      </c>
      <c r="I221">
        <v>25.741700000000002</v>
      </c>
      <c r="K221" t="s">
        <v>41</v>
      </c>
      <c r="L221">
        <v>7</v>
      </c>
      <c r="N221" t="s">
        <v>50</v>
      </c>
    </row>
    <row r="222" spans="1:14" x14ac:dyDescent="0.3">
      <c r="A222">
        <v>1</v>
      </c>
      <c r="B222">
        <v>1</v>
      </c>
      <c r="C222" t="s">
        <v>490</v>
      </c>
      <c r="D222" t="s">
        <v>15</v>
      </c>
      <c r="E222">
        <v>22</v>
      </c>
      <c r="F222">
        <v>0</v>
      </c>
      <c r="G222">
        <v>1</v>
      </c>
      <c r="H222">
        <v>113509</v>
      </c>
      <c r="I222">
        <v>61.979199999999999</v>
      </c>
      <c r="J222" t="s">
        <v>491</v>
      </c>
      <c r="K222" t="s">
        <v>41</v>
      </c>
      <c r="L222">
        <v>5</v>
      </c>
      <c r="N222" t="s">
        <v>492</v>
      </c>
    </row>
    <row r="223" spans="1:14" x14ac:dyDescent="0.3">
      <c r="A223">
        <v>1</v>
      </c>
      <c r="B223">
        <v>0</v>
      </c>
      <c r="C223" t="s">
        <v>493</v>
      </c>
      <c r="D223" t="s">
        <v>20</v>
      </c>
      <c r="E223">
        <v>65</v>
      </c>
      <c r="F223">
        <v>0</v>
      </c>
      <c r="G223">
        <v>1</v>
      </c>
      <c r="H223">
        <v>113509</v>
      </c>
      <c r="I223">
        <v>61.979199999999999</v>
      </c>
      <c r="J223" t="s">
        <v>494</v>
      </c>
      <c r="K223" t="s">
        <v>41</v>
      </c>
      <c r="M223">
        <v>234</v>
      </c>
      <c r="N223" t="s">
        <v>492</v>
      </c>
    </row>
    <row r="224" spans="1:14" x14ac:dyDescent="0.3">
      <c r="A224">
        <v>1</v>
      </c>
      <c r="B224">
        <v>0</v>
      </c>
      <c r="C224" t="s">
        <v>495</v>
      </c>
      <c r="D224" t="s">
        <v>20</v>
      </c>
      <c r="E224">
        <v>28.5</v>
      </c>
      <c r="F224">
        <v>0</v>
      </c>
      <c r="G224">
        <v>0</v>
      </c>
      <c r="H224" t="s">
        <v>496</v>
      </c>
      <c r="I224">
        <v>27.720800000000001</v>
      </c>
      <c r="J224" t="s">
        <v>497</v>
      </c>
      <c r="K224" t="s">
        <v>41</v>
      </c>
      <c r="M224">
        <v>189</v>
      </c>
      <c r="N224" t="s">
        <v>498</v>
      </c>
    </row>
    <row r="225" spans="1:14" x14ac:dyDescent="0.3">
      <c r="A225">
        <v>1</v>
      </c>
      <c r="B225">
        <v>0</v>
      </c>
      <c r="C225" t="s">
        <v>499</v>
      </c>
      <c r="D225" t="s">
        <v>20</v>
      </c>
      <c r="F225">
        <v>0</v>
      </c>
      <c r="G225">
        <v>0</v>
      </c>
      <c r="H225">
        <v>112052</v>
      </c>
      <c r="I225">
        <v>0</v>
      </c>
      <c r="K225" t="s">
        <v>17</v>
      </c>
      <c r="N225" t="s">
        <v>500</v>
      </c>
    </row>
    <row r="226" spans="1:14" x14ac:dyDescent="0.3">
      <c r="A226">
        <v>1</v>
      </c>
      <c r="B226">
        <v>0</v>
      </c>
      <c r="C226" t="s">
        <v>501</v>
      </c>
      <c r="D226" t="s">
        <v>20</v>
      </c>
      <c r="E226">
        <v>45.5</v>
      </c>
      <c r="F226">
        <v>0</v>
      </c>
      <c r="G226">
        <v>0</v>
      </c>
      <c r="H226">
        <v>113043</v>
      </c>
      <c r="I226">
        <v>28.5</v>
      </c>
      <c r="J226" t="s">
        <v>407</v>
      </c>
      <c r="K226" t="s">
        <v>17</v>
      </c>
      <c r="M226">
        <v>166</v>
      </c>
      <c r="N226" t="s">
        <v>502</v>
      </c>
    </row>
    <row r="227" spans="1:14" x14ac:dyDescent="0.3">
      <c r="A227">
        <v>1</v>
      </c>
      <c r="B227">
        <v>0</v>
      </c>
      <c r="C227" t="s">
        <v>503</v>
      </c>
      <c r="D227" t="s">
        <v>20</v>
      </c>
      <c r="E227">
        <v>23</v>
      </c>
      <c r="F227">
        <v>0</v>
      </c>
      <c r="G227">
        <v>0</v>
      </c>
      <c r="H227">
        <v>12749</v>
      </c>
      <c r="I227">
        <v>93.5</v>
      </c>
      <c r="J227" t="s">
        <v>504</v>
      </c>
      <c r="K227" t="s">
        <v>17</v>
      </c>
      <c r="N227" t="s">
        <v>61</v>
      </c>
    </row>
    <row r="228" spans="1:14" x14ac:dyDescent="0.3">
      <c r="A228">
        <v>1</v>
      </c>
      <c r="B228">
        <v>0</v>
      </c>
      <c r="C228" t="s">
        <v>505</v>
      </c>
      <c r="D228" t="s">
        <v>20</v>
      </c>
      <c r="E228">
        <v>29</v>
      </c>
      <c r="F228">
        <v>1</v>
      </c>
      <c r="G228">
        <v>0</v>
      </c>
      <c r="H228">
        <v>113776</v>
      </c>
      <c r="I228">
        <v>66.599999999999994</v>
      </c>
      <c r="J228" t="s">
        <v>506</v>
      </c>
      <c r="K228" t="s">
        <v>17</v>
      </c>
      <c r="N228" t="s">
        <v>507</v>
      </c>
    </row>
    <row r="229" spans="1:14" x14ac:dyDescent="0.3">
      <c r="A229">
        <v>1</v>
      </c>
      <c r="B229">
        <v>1</v>
      </c>
      <c r="C229" t="s">
        <v>508</v>
      </c>
      <c r="D229" t="s">
        <v>15</v>
      </c>
      <c r="E229">
        <v>22</v>
      </c>
      <c r="F229">
        <v>1</v>
      </c>
      <c r="G229">
        <v>0</v>
      </c>
      <c r="H229">
        <v>113776</v>
      </c>
      <c r="I229">
        <v>66.599999999999994</v>
      </c>
      <c r="J229" t="s">
        <v>506</v>
      </c>
      <c r="K229" t="s">
        <v>17</v>
      </c>
      <c r="L229">
        <v>8</v>
      </c>
      <c r="N229" t="s">
        <v>507</v>
      </c>
    </row>
    <row r="230" spans="1:14" x14ac:dyDescent="0.3">
      <c r="A230">
        <v>1</v>
      </c>
      <c r="B230">
        <v>0</v>
      </c>
      <c r="C230" t="s">
        <v>509</v>
      </c>
      <c r="D230" t="s">
        <v>20</v>
      </c>
      <c r="E230">
        <v>18</v>
      </c>
      <c r="F230">
        <v>1</v>
      </c>
      <c r="G230">
        <v>0</v>
      </c>
      <c r="H230" t="s">
        <v>486</v>
      </c>
      <c r="I230">
        <v>108.9</v>
      </c>
      <c r="J230" t="s">
        <v>510</v>
      </c>
      <c r="K230" t="s">
        <v>41</v>
      </c>
      <c r="N230" t="s">
        <v>511</v>
      </c>
    </row>
    <row r="231" spans="1:14" x14ac:dyDescent="0.3">
      <c r="A231">
        <v>1</v>
      </c>
      <c r="B231">
        <v>1</v>
      </c>
      <c r="C231" t="s">
        <v>512</v>
      </c>
      <c r="D231" t="s">
        <v>15</v>
      </c>
      <c r="E231">
        <v>17</v>
      </c>
      <c r="F231">
        <v>1</v>
      </c>
      <c r="G231">
        <v>0</v>
      </c>
      <c r="H231" t="s">
        <v>486</v>
      </c>
      <c r="I231">
        <v>108.9</v>
      </c>
      <c r="J231" t="s">
        <v>510</v>
      </c>
      <c r="K231" t="s">
        <v>41</v>
      </c>
      <c r="L231">
        <v>8</v>
      </c>
      <c r="N231" t="s">
        <v>511</v>
      </c>
    </row>
    <row r="232" spans="1:14" x14ac:dyDescent="0.3">
      <c r="A232">
        <v>1</v>
      </c>
      <c r="B232">
        <v>1</v>
      </c>
      <c r="C232" t="s">
        <v>513</v>
      </c>
      <c r="D232" t="s">
        <v>15</v>
      </c>
      <c r="E232">
        <v>30</v>
      </c>
      <c r="F232">
        <v>0</v>
      </c>
      <c r="G232">
        <v>0</v>
      </c>
      <c r="H232">
        <v>12749</v>
      </c>
      <c r="I232">
        <v>93.5</v>
      </c>
      <c r="J232" t="s">
        <v>514</v>
      </c>
      <c r="K232" t="s">
        <v>17</v>
      </c>
      <c r="L232">
        <v>3</v>
      </c>
    </row>
    <row r="233" spans="1:14" x14ac:dyDescent="0.3">
      <c r="A233">
        <v>1</v>
      </c>
      <c r="B233">
        <v>1</v>
      </c>
      <c r="C233" t="s">
        <v>515</v>
      </c>
      <c r="D233" t="s">
        <v>20</v>
      </c>
      <c r="E233">
        <v>52</v>
      </c>
      <c r="F233">
        <v>0</v>
      </c>
      <c r="G233">
        <v>0</v>
      </c>
      <c r="H233">
        <v>113786</v>
      </c>
      <c r="I233">
        <v>30.5</v>
      </c>
      <c r="J233" t="s">
        <v>516</v>
      </c>
      <c r="K233" t="s">
        <v>17</v>
      </c>
      <c r="L233">
        <v>6</v>
      </c>
      <c r="N233" t="s">
        <v>517</v>
      </c>
    </row>
    <row r="234" spans="1:14" x14ac:dyDescent="0.3">
      <c r="A234">
        <v>1</v>
      </c>
      <c r="B234">
        <v>0</v>
      </c>
      <c r="C234" t="s">
        <v>518</v>
      </c>
      <c r="D234" t="s">
        <v>20</v>
      </c>
      <c r="E234">
        <v>47</v>
      </c>
      <c r="F234">
        <v>0</v>
      </c>
      <c r="G234">
        <v>0</v>
      </c>
      <c r="H234">
        <v>110465</v>
      </c>
      <c r="I234">
        <v>52</v>
      </c>
      <c r="J234" t="s">
        <v>519</v>
      </c>
      <c r="K234" t="s">
        <v>17</v>
      </c>
      <c r="M234">
        <v>207</v>
      </c>
      <c r="N234" t="s">
        <v>520</v>
      </c>
    </row>
    <row r="235" spans="1:14" x14ac:dyDescent="0.3">
      <c r="A235">
        <v>1</v>
      </c>
      <c r="B235">
        <v>1</v>
      </c>
      <c r="C235" t="s">
        <v>521</v>
      </c>
      <c r="D235" t="s">
        <v>15</v>
      </c>
      <c r="E235">
        <v>56</v>
      </c>
      <c r="F235">
        <v>0</v>
      </c>
      <c r="G235">
        <v>1</v>
      </c>
      <c r="H235">
        <v>11767</v>
      </c>
      <c r="I235">
        <v>83.158299999999997</v>
      </c>
      <c r="J235" t="s">
        <v>522</v>
      </c>
      <c r="K235" t="s">
        <v>41</v>
      </c>
      <c r="L235">
        <v>7</v>
      </c>
      <c r="N235" t="s">
        <v>249</v>
      </c>
    </row>
    <row r="236" spans="1:14" x14ac:dyDescent="0.3">
      <c r="A236">
        <v>1</v>
      </c>
      <c r="B236">
        <v>0</v>
      </c>
      <c r="C236" t="s">
        <v>523</v>
      </c>
      <c r="D236" t="s">
        <v>20</v>
      </c>
      <c r="E236">
        <v>38</v>
      </c>
      <c r="F236">
        <v>0</v>
      </c>
      <c r="G236">
        <v>0</v>
      </c>
      <c r="H236">
        <v>19972</v>
      </c>
      <c r="I236">
        <v>0</v>
      </c>
      <c r="K236" t="s">
        <v>17</v>
      </c>
      <c r="N236" t="s">
        <v>524</v>
      </c>
    </row>
    <row r="237" spans="1:14" x14ac:dyDescent="0.3">
      <c r="A237">
        <v>1</v>
      </c>
      <c r="B237">
        <v>1</v>
      </c>
      <c r="C237" t="s">
        <v>525</v>
      </c>
      <c r="D237" t="s">
        <v>20</v>
      </c>
      <c r="F237">
        <v>0</v>
      </c>
      <c r="G237">
        <v>0</v>
      </c>
      <c r="H237" t="s">
        <v>526</v>
      </c>
      <c r="I237">
        <v>39.6</v>
      </c>
      <c r="K237" t="s">
        <v>17</v>
      </c>
      <c r="L237" t="s">
        <v>67</v>
      </c>
      <c r="N237" t="s">
        <v>527</v>
      </c>
    </row>
    <row r="238" spans="1:14" x14ac:dyDescent="0.3">
      <c r="A238">
        <v>1</v>
      </c>
      <c r="B238">
        <v>0</v>
      </c>
      <c r="C238" t="s">
        <v>528</v>
      </c>
      <c r="D238" t="s">
        <v>20</v>
      </c>
      <c r="E238">
        <v>22</v>
      </c>
      <c r="F238">
        <v>0</v>
      </c>
      <c r="G238">
        <v>0</v>
      </c>
      <c r="H238" t="s">
        <v>85</v>
      </c>
      <c r="I238">
        <v>135.63329999999999</v>
      </c>
      <c r="K238" t="s">
        <v>41</v>
      </c>
      <c r="M238">
        <v>232</v>
      </c>
    </row>
    <row r="239" spans="1:14" x14ac:dyDescent="0.3">
      <c r="A239">
        <v>1</v>
      </c>
      <c r="B239">
        <v>0</v>
      </c>
      <c r="C239" t="s">
        <v>529</v>
      </c>
      <c r="D239" t="s">
        <v>20</v>
      </c>
      <c r="F239">
        <v>0</v>
      </c>
      <c r="G239">
        <v>0</v>
      </c>
      <c r="H239" t="s">
        <v>44</v>
      </c>
      <c r="I239">
        <v>227.52500000000001</v>
      </c>
      <c r="K239" t="s">
        <v>41</v>
      </c>
    </row>
    <row r="240" spans="1:14" x14ac:dyDescent="0.3">
      <c r="A240">
        <v>1</v>
      </c>
      <c r="B240">
        <v>1</v>
      </c>
      <c r="C240" t="s">
        <v>530</v>
      </c>
      <c r="D240" t="s">
        <v>15</v>
      </c>
      <c r="E240">
        <v>43</v>
      </c>
      <c r="F240">
        <v>0</v>
      </c>
      <c r="G240">
        <v>1</v>
      </c>
      <c r="H240">
        <v>24160</v>
      </c>
      <c r="I240">
        <v>211.33750000000001</v>
      </c>
      <c r="J240" t="s">
        <v>531</v>
      </c>
      <c r="K240" t="s">
        <v>17</v>
      </c>
      <c r="L240">
        <v>2</v>
      </c>
      <c r="N240" t="s">
        <v>18</v>
      </c>
    </row>
    <row r="241" spans="1:14" x14ac:dyDescent="0.3">
      <c r="A241">
        <v>1</v>
      </c>
      <c r="B241">
        <v>0</v>
      </c>
      <c r="C241" t="s">
        <v>532</v>
      </c>
      <c r="D241" t="s">
        <v>20</v>
      </c>
      <c r="E241">
        <v>31</v>
      </c>
      <c r="F241">
        <v>0</v>
      </c>
      <c r="G241">
        <v>0</v>
      </c>
      <c r="H241" t="s">
        <v>533</v>
      </c>
      <c r="I241">
        <v>50.495800000000003</v>
      </c>
      <c r="J241" t="s">
        <v>534</v>
      </c>
      <c r="K241" t="s">
        <v>17</v>
      </c>
      <c r="N241" t="s">
        <v>92</v>
      </c>
    </row>
    <row r="242" spans="1:14" x14ac:dyDescent="0.3">
      <c r="A242">
        <v>1</v>
      </c>
      <c r="B242">
        <v>1</v>
      </c>
      <c r="C242" t="s">
        <v>535</v>
      </c>
      <c r="D242" t="s">
        <v>20</v>
      </c>
      <c r="E242">
        <v>45</v>
      </c>
      <c r="F242">
        <v>0</v>
      </c>
      <c r="G242">
        <v>0</v>
      </c>
      <c r="H242">
        <v>111428</v>
      </c>
      <c r="I242">
        <v>26.55</v>
      </c>
      <c r="K242" t="s">
        <v>17</v>
      </c>
      <c r="L242">
        <v>9</v>
      </c>
      <c r="N242" t="s">
        <v>28</v>
      </c>
    </row>
    <row r="243" spans="1:14" x14ac:dyDescent="0.3">
      <c r="A243">
        <v>1</v>
      </c>
      <c r="B243">
        <v>0</v>
      </c>
      <c r="C243" t="s">
        <v>536</v>
      </c>
      <c r="D243" t="s">
        <v>20</v>
      </c>
      <c r="F243">
        <v>0</v>
      </c>
      <c r="G243">
        <v>0</v>
      </c>
      <c r="H243">
        <v>113767</v>
      </c>
      <c r="I243">
        <v>50</v>
      </c>
      <c r="J243" t="s">
        <v>537</v>
      </c>
      <c r="K243" t="s">
        <v>17</v>
      </c>
      <c r="N243" t="s">
        <v>538</v>
      </c>
    </row>
    <row r="244" spans="1:14" x14ac:dyDescent="0.3">
      <c r="A244">
        <v>1</v>
      </c>
      <c r="B244">
        <v>1</v>
      </c>
      <c r="C244" t="s">
        <v>539</v>
      </c>
      <c r="D244" t="s">
        <v>15</v>
      </c>
      <c r="E244">
        <v>33</v>
      </c>
      <c r="F244">
        <v>0</v>
      </c>
      <c r="G244">
        <v>0</v>
      </c>
      <c r="H244" t="s">
        <v>540</v>
      </c>
      <c r="I244">
        <v>27.720800000000001</v>
      </c>
      <c r="J244" t="s">
        <v>541</v>
      </c>
      <c r="K244" t="s">
        <v>41</v>
      </c>
      <c r="L244">
        <v>11</v>
      </c>
      <c r="N244" t="s">
        <v>50</v>
      </c>
    </row>
    <row r="245" spans="1:14" x14ac:dyDescent="0.3">
      <c r="A245">
        <v>1</v>
      </c>
      <c r="B245">
        <v>0</v>
      </c>
      <c r="C245" t="s">
        <v>542</v>
      </c>
      <c r="D245" t="s">
        <v>20</v>
      </c>
      <c r="E245">
        <v>46</v>
      </c>
      <c r="F245">
        <v>0</v>
      </c>
      <c r="G245">
        <v>0</v>
      </c>
      <c r="H245" t="s">
        <v>543</v>
      </c>
      <c r="I245">
        <v>79.2</v>
      </c>
      <c r="K245" t="s">
        <v>41</v>
      </c>
      <c r="M245">
        <v>16</v>
      </c>
      <c r="N245" t="s">
        <v>28</v>
      </c>
    </row>
    <row r="246" spans="1:14" x14ac:dyDescent="0.3">
      <c r="A246">
        <v>1</v>
      </c>
      <c r="B246">
        <v>0</v>
      </c>
      <c r="C246" t="s">
        <v>544</v>
      </c>
      <c r="D246" t="s">
        <v>20</v>
      </c>
      <c r="E246">
        <v>36</v>
      </c>
      <c r="F246">
        <v>0</v>
      </c>
      <c r="G246">
        <v>0</v>
      </c>
      <c r="H246">
        <v>13049</v>
      </c>
      <c r="I246">
        <v>40.125</v>
      </c>
      <c r="J246" t="s">
        <v>545</v>
      </c>
      <c r="K246" t="s">
        <v>41</v>
      </c>
      <c r="N246" t="s">
        <v>271</v>
      </c>
    </row>
    <row r="247" spans="1:14" x14ac:dyDescent="0.3">
      <c r="A247">
        <v>1</v>
      </c>
      <c r="B247">
        <v>1</v>
      </c>
      <c r="C247" t="s">
        <v>546</v>
      </c>
      <c r="D247" t="s">
        <v>15</v>
      </c>
      <c r="E247">
        <v>33</v>
      </c>
      <c r="F247">
        <v>0</v>
      </c>
      <c r="G247">
        <v>0</v>
      </c>
      <c r="H247">
        <v>110152</v>
      </c>
      <c r="I247">
        <v>86.5</v>
      </c>
      <c r="J247" t="s">
        <v>174</v>
      </c>
      <c r="K247" t="s">
        <v>17</v>
      </c>
      <c r="L247">
        <v>8</v>
      </c>
      <c r="N247" t="s">
        <v>547</v>
      </c>
    </row>
    <row r="248" spans="1:14" x14ac:dyDescent="0.3">
      <c r="A248">
        <v>1</v>
      </c>
      <c r="B248">
        <v>0</v>
      </c>
      <c r="C248" t="s">
        <v>548</v>
      </c>
      <c r="D248" t="s">
        <v>20</v>
      </c>
      <c r="E248">
        <v>55</v>
      </c>
      <c r="F248">
        <v>1</v>
      </c>
      <c r="G248">
        <v>0</v>
      </c>
      <c r="H248" t="s">
        <v>549</v>
      </c>
      <c r="I248">
        <v>59.4</v>
      </c>
      <c r="K248" t="s">
        <v>41</v>
      </c>
      <c r="N248" t="s">
        <v>28</v>
      </c>
    </row>
    <row r="249" spans="1:14" x14ac:dyDescent="0.3">
      <c r="A249">
        <v>1</v>
      </c>
      <c r="B249">
        <v>1</v>
      </c>
      <c r="C249" t="s">
        <v>550</v>
      </c>
      <c r="D249" t="s">
        <v>15</v>
      </c>
      <c r="E249">
        <v>54</v>
      </c>
      <c r="F249">
        <v>1</v>
      </c>
      <c r="G249">
        <v>0</v>
      </c>
      <c r="H249" t="s">
        <v>549</v>
      </c>
      <c r="I249">
        <v>59.4</v>
      </c>
      <c r="K249" t="s">
        <v>41</v>
      </c>
      <c r="L249">
        <v>6</v>
      </c>
      <c r="N249" t="s">
        <v>28</v>
      </c>
    </row>
    <row r="250" spans="1:14" x14ac:dyDescent="0.3">
      <c r="A250">
        <v>1</v>
      </c>
      <c r="B250">
        <v>0</v>
      </c>
      <c r="C250" t="s">
        <v>551</v>
      </c>
      <c r="D250" t="s">
        <v>20</v>
      </c>
      <c r="E250">
        <v>33</v>
      </c>
      <c r="F250">
        <v>0</v>
      </c>
      <c r="G250">
        <v>0</v>
      </c>
      <c r="H250">
        <v>113790</v>
      </c>
      <c r="I250">
        <v>26.55</v>
      </c>
      <c r="K250" t="s">
        <v>17</v>
      </c>
      <c r="M250">
        <v>109</v>
      </c>
      <c r="N250" t="s">
        <v>392</v>
      </c>
    </row>
    <row r="251" spans="1:14" x14ac:dyDescent="0.3">
      <c r="A251">
        <v>1</v>
      </c>
      <c r="B251">
        <v>1</v>
      </c>
      <c r="C251" t="s">
        <v>552</v>
      </c>
      <c r="D251" t="s">
        <v>20</v>
      </c>
      <c r="E251">
        <v>13</v>
      </c>
      <c r="F251">
        <v>2</v>
      </c>
      <c r="G251">
        <v>2</v>
      </c>
      <c r="H251" t="s">
        <v>106</v>
      </c>
      <c r="I251">
        <v>262.375</v>
      </c>
      <c r="J251" t="s">
        <v>553</v>
      </c>
      <c r="K251" t="s">
        <v>41</v>
      </c>
      <c r="L251">
        <v>4</v>
      </c>
      <c r="N251" t="s">
        <v>554</v>
      </c>
    </row>
    <row r="252" spans="1:14" x14ac:dyDescent="0.3">
      <c r="A252">
        <v>1</v>
      </c>
      <c r="B252">
        <v>1</v>
      </c>
      <c r="C252" t="s">
        <v>555</v>
      </c>
      <c r="D252" t="s">
        <v>15</v>
      </c>
      <c r="E252">
        <v>18</v>
      </c>
      <c r="F252">
        <v>2</v>
      </c>
      <c r="G252">
        <v>2</v>
      </c>
      <c r="H252" t="s">
        <v>106</v>
      </c>
      <c r="I252">
        <v>262.375</v>
      </c>
      <c r="J252" t="s">
        <v>553</v>
      </c>
      <c r="K252" t="s">
        <v>41</v>
      </c>
      <c r="L252">
        <v>4</v>
      </c>
      <c r="N252" t="s">
        <v>554</v>
      </c>
    </row>
    <row r="253" spans="1:14" x14ac:dyDescent="0.3">
      <c r="A253">
        <v>1</v>
      </c>
      <c r="B253">
        <v>1</v>
      </c>
      <c r="C253" t="s">
        <v>556</v>
      </c>
      <c r="D253" t="s">
        <v>15</v>
      </c>
      <c r="E253">
        <v>21</v>
      </c>
      <c r="F253">
        <v>2</v>
      </c>
      <c r="G253">
        <v>2</v>
      </c>
      <c r="H253" t="s">
        <v>106</v>
      </c>
      <c r="I253">
        <v>262.375</v>
      </c>
      <c r="J253" t="s">
        <v>553</v>
      </c>
      <c r="K253" t="s">
        <v>41</v>
      </c>
      <c r="L253">
        <v>4</v>
      </c>
      <c r="N253" t="s">
        <v>554</v>
      </c>
    </row>
    <row r="254" spans="1:14" x14ac:dyDescent="0.3">
      <c r="A254">
        <v>1</v>
      </c>
      <c r="B254">
        <v>0</v>
      </c>
      <c r="C254" t="s">
        <v>557</v>
      </c>
      <c r="D254" t="s">
        <v>20</v>
      </c>
      <c r="E254">
        <v>61</v>
      </c>
      <c r="F254">
        <v>1</v>
      </c>
      <c r="G254">
        <v>3</v>
      </c>
      <c r="H254" t="s">
        <v>106</v>
      </c>
      <c r="I254">
        <v>262.375</v>
      </c>
      <c r="J254" t="s">
        <v>553</v>
      </c>
      <c r="K254" t="s">
        <v>41</v>
      </c>
      <c r="N254" t="s">
        <v>554</v>
      </c>
    </row>
    <row r="255" spans="1:14" x14ac:dyDescent="0.3">
      <c r="A255">
        <v>1</v>
      </c>
      <c r="B255">
        <v>1</v>
      </c>
      <c r="C255" t="s">
        <v>558</v>
      </c>
      <c r="D255" t="s">
        <v>15</v>
      </c>
      <c r="E255">
        <v>48</v>
      </c>
      <c r="F255">
        <v>1</v>
      </c>
      <c r="G255">
        <v>3</v>
      </c>
      <c r="H255" t="s">
        <v>106</v>
      </c>
      <c r="I255">
        <v>262.375</v>
      </c>
      <c r="J255" t="s">
        <v>553</v>
      </c>
      <c r="K255" t="s">
        <v>41</v>
      </c>
      <c r="L255">
        <v>4</v>
      </c>
      <c r="N255" t="s">
        <v>554</v>
      </c>
    </row>
    <row r="256" spans="1:14" x14ac:dyDescent="0.3">
      <c r="A256">
        <v>1</v>
      </c>
      <c r="B256">
        <v>1</v>
      </c>
      <c r="C256" t="s">
        <v>559</v>
      </c>
      <c r="D256" t="s">
        <v>20</v>
      </c>
      <c r="F256">
        <v>0</v>
      </c>
      <c r="G256">
        <v>0</v>
      </c>
      <c r="H256">
        <v>19988</v>
      </c>
      <c r="I256">
        <v>30.5</v>
      </c>
      <c r="J256" t="s">
        <v>436</v>
      </c>
      <c r="K256" t="s">
        <v>17</v>
      </c>
      <c r="L256">
        <v>3</v>
      </c>
      <c r="N256" t="s">
        <v>560</v>
      </c>
    </row>
    <row r="257" spans="1:14" x14ac:dyDescent="0.3">
      <c r="A257">
        <v>1</v>
      </c>
      <c r="B257">
        <v>1</v>
      </c>
      <c r="C257" t="s">
        <v>561</v>
      </c>
      <c r="D257" t="s">
        <v>15</v>
      </c>
      <c r="E257">
        <v>24</v>
      </c>
      <c r="F257">
        <v>0</v>
      </c>
      <c r="G257">
        <v>0</v>
      </c>
      <c r="H257" t="s">
        <v>48</v>
      </c>
      <c r="I257">
        <v>69.3</v>
      </c>
      <c r="J257" t="s">
        <v>49</v>
      </c>
      <c r="K257" t="s">
        <v>41</v>
      </c>
      <c r="L257">
        <v>9</v>
      </c>
    </row>
    <row r="258" spans="1:14" x14ac:dyDescent="0.3">
      <c r="A258">
        <v>1</v>
      </c>
      <c r="B258">
        <v>1</v>
      </c>
      <c r="C258" t="s">
        <v>562</v>
      </c>
      <c r="D258" t="s">
        <v>20</v>
      </c>
      <c r="F258">
        <v>0</v>
      </c>
      <c r="G258">
        <v>0</v>
      </c>
      <c r="H258">
        <v>111163</v>
      </c>
      <c r="I258">
        <v>26</v>
      </c>
      <c r="K258" t="s">
        <v>17</v>
      </c>
      <c r="L258">
        <v>1</v>
      </c>
      <c r="N258" t="s">
        <v>28</v>
      </c>
    </row>
    <row r="259" spans="1:14" x14ac:dyDescent="0.3">
      <c r="A259">
        <v>1</v>
      </c>
      <c r="B259">
        <v>1</v>
      </c>
      <c r="C259" t="s">
        <v>563</v>
      </c>
      <c r="D259" t="s">
        <v>15</v>
      </c>
      <c r="E259">
        <v>35</v>
      </c>
      <c r="F259">
        <v>1</v>
      </c>
      <c r="G259">
        <v>0</v>
      </c>
      <c r="H259">
        <v>13236</v>
      </c>
      <c r="I259">
        <v>57.75</v>
      </c>
      <c r="J259" t="s">
        <v>564</v>
      </c>
      <c r="K259" t="s">
        <v>41</v>
      </c>
      <c r="L259">
        <v>11</v>
      </c>
      <c r="N259" t="s">
        <v>28</v>
      </c>
    </row>
    <row r="260" spans="1:14" x14ac:dyDescent="0.3">
      <c r="A260">
        <v>1</v>
      </c>
      <c r="B260">
        <v>1</v>
      </c>
      <c r="C260" t="s">
        <v>565</v>
      </c>
      <c r="D260" t="s">
        <v>15</v>
      </c>
      <c r="E260">
        <v>30</v>
      </c>
      <c r="F260">
        <v>0</v>
      </c>
      <c r="G260">
        <v>0</v>
      </c>
      <c r="H260">
        <v>113798</v>
      </c>
      <c r="I260">
        <v>31</v>
      </c>
      <c r="K260" t="s">
        <v>41</v>
      </c>
      <c r="L260">
        <v>4</v>
      </c>
    </row>
    <row r="261" spans="1:14" x14ac:dyDescent="0.3">
      <c r="A261">
        <v>1</v>
      </c>
      <c r="B261">
        <v>1</v>
      </c>
      <c r="C261" t="s">
        <v>566</v>
      </c>
      <c r="D261" t="s">
        <v>20</v>
      </c>
      <c r="E261">
        <v>34</v>
      </c>
      <c r="F261">
        <v>0</v>
      </c>
      <c r="G261">
        <v>0</v>
      </c>
      <c r="H261">
        <v>113794</v>
      </c>
      <c r="I261">
        <v>26.55</v>
      </c>
      <c r="K261" t="s">
        <v>17</v>
      </c>
      <c r="L261">
        <v>7</v>
      </c>
      <c r="N261" t="s">
        <v>28</v>
      </c>
    </row>
    <row r="262" spans="1:14" x14ac:dyDescent="0.3">
      <c r="A262">
        <v>1</v>
      </c>
      <c r="B262">
        <v>1</v>
      </c>
      <c r="C262" t="s">
        <v>567</v>
      </c>
      <c r="D262" t="s">
        <v>15</v>
      </c>
      <c r="E262">
        <v>40</v>
      </c>
      <c r="F262">
        <v>0</v>
      </c>
      <c r="G262">
        <v>0</v>
      </c>
      <c r="H262" t="s">
        <v>322</v>
      </c>
      <c r="I262">
        <v>153.46250000000001</v>
      </c>
      <c r="J262" t="s">
        <v>325</v>
      </c>
      <c r="K262" t="s">
        <v>17</v>
      </c>
      <c r="L262">
        <v>3</v>
      </c>
      <c r="N262" t="s">
        <v>568</v>
      </c>
    </row>
    <row r="263" spans="1:14" x14ac:dyDescent="0.3">
      <c r="A263">
        <v>1</v>
      </c>
      <c r="B263">
        <v>1</v>
      </c>
      <c r="C263" t="s">
        <v>569</v>
      </c>
      <c r="D263" t="s">
        <v>20</v>
      </c>
      <c r="E263">
        <v>35</v>
      </c>
      <c r="F263">
        <v>0</v>
      </c>
      <c r="G263">
        <v>0</v>
      </c>
      <c r="H263" t="s">
        <v>570</v>
      </c>
      <c r="I263">
        <v>26.287500000000001</v>
      </c>
      <c r="J263" t="s">
        <v>137</v>
      </c>
      <c r="K263" t="s">
        <v>17</v>
      </c>
      <c r="L263">
        <v>5</v>
      </c>
      <c r="N263" t="s">
        <v>18</v>
      </c>
    </row>
    <row r="264" spans="1:14" x14ac:dyDescent="0.3">
      <c r="A264">
        <v>1</v>
      </c>
      <c r="B264">
        <v>0</v>
      </c>
      <c r="C264" t="s">
        <v>571</v>
      </c>
      <c r="D264" t="s">
        <v>20</v>
      </c>
      <c r="E264">
        <v>50</v>
      </c>
      <c r="F264">
        <v>1</v>
      </c>
      <c r="G264">
        <v>0</v>
      </c>
      <c r="H264">
        <v>13507</v>
      </c>
      <c r="I264">
        <v>55.9</v>
      </c>
      <c r="J264" t="s">
        <v>572</v>
      </c>
      <c r="K264" t="s">
        <v>17</v>
      </c>
      <c r="N264" t="s">
        <v>573</v>
      </c>
    </row>
    <row r="265" spans="1:14" x14ac:dyDescent="0.3">
      <c r="A265">
        <v>1</v>
      </c>
      <c r="B265">
        <v>1</v>
      </c>
      <c r="C265" t="s">
        <v>574</v>
      </c>
      <c r="D265" t="s">
        <v>15</v>
      </c>
      <c r="E265">
        <v>39</v>
      </c>
      <c r="F265">
        <v>1</v>
      </c>
      <c r="G265">
        <v>0</v>
      </c>
      <c r="H265">
        <v>13507</v>
      </c>
      <c r="I265">
        <v>55.9</v>
      </c>
      <c r="J265" t="s">
        <v>572</v>
      </c>
      <c r="K265" t="s">
        <v>17</v>
      </c>
      <c r="L265">
        <v>11</v>
      </c>
      <c r="N265" t="s">
        <v>573</v>
      </c>
    </row>
    <row r="266" spans="1:14" x14ac:dyDescent="0.3">
      <c r="A266">
        <v>1</v>
      </c>
      <c r="B266">
        <v>1</v>
      </c>
      <c r="C266" t="s">
        <v>575</v>
      </c>
      <c r="D266" t="s">
        <v>20</v>
      </c>
      <c r="E266">
        <v>56</v>
      </c>
      <c r="F266">
        <v>0</v>
      </c>
      <c r="G266">
        <v>0</v>
      </c>
      <c r="H266">
        <v>13213</v>
      </c>
      <c r="I266">
        <v>35.5</v>
      </c>
      <c r="J266" t="s">
        <v>576</v>
      </c>
      <c r="K266" t="s">
        <v>41</v>
      </c>
      <c r="L266">
        <v>3</v>
      </c>
      <c r="N266" t="s">
        <v>577</v>
      </c>
    </row>
    <row r="267" spans="1:14" x14ac:dyDescent="0.3">
      <c r="A267">
        <v>1</v>
      </c>
      <c r="B267">
        <v>1</v>
      </c>
      <c r="C267" t="s">
        <v>578</v>
      </c>
      <c r="D267" t="s">
        <v>20</v>
      </c>
      <c r="E267">
        <v>28</v>
      </c>
      <c r="F267">
        <v>0</v>
      </c>
      <c r="G267">
        <v>0</v>
      </c>
      <c r="H267">
        <v>113788</v>
      </c>
      <c r="I267">
        <v>35.5</v>
      </c>
      <c r="J267" t="s">
        <v>579</v>
      </c>
      <c r="K267" t="s">
        <v>17</v>
      </c>
      <c r="L267">
        <v>7</v>
      </c>
      <c r="N267" t="s">
        <v>580</v>
      </c>
    </row>
    <row r="268" spans="1:14" x14ac:dyDescent="0.3">
      <c r="A268">
        <v>1</v>
      </c>
      <c r="B268">
        <v>0</v>
      </c>
      <c r="C268" t="s">
        <v>581</v>
      </c>
      <c r="D268" t="s">
        <v>20</v>
      </c>
      <c r="E268">
        <v>56</v>
      </c>
      <c r="F268">
        <v>0</v>
      </c>
      <c r="G268">
        <v>0</v>
      </c>
      <c r="H268">
        <v>113792</v>
      </c>
      <c r="I268">
        <v>26.55</v>
      </c>
      <c r="K268" t="s">
        <v>17</v>
      </c>
      <c r="N268" t="s">
        <v>28</v>
      </c>
    </row>
    <row r="269" spans="1:14" x14ac:dyDescent="0.3">
      <c r="A269">
        <v>1</v>
      </c>
      <c r="B269">
        <v>0</v>
      </c>
      <c r="C269" t="s">
        <v>582</v>
      </c>
      <c r="D269" t="s">
        <v>20</v>
      </c>
      <c r="E269">
        <v>56</v>
      </c>
      <c r="F269">
        <v>0</v>
      </c>
      <c r="G269">
        <v>0</v>
      </c>
      <c r="H269">
        <v>17764</v>
      </c>
      <c r="I269">
        <v>30.695799999999998</v>
      </c>
      <c r="J269" t="s">
        <v>583</v>
      </c>
      <c r="K269" t="s">
        <v>41</v>
      </c>
      <c r="N269" t="s">
        <v>584</v>
      </c>
    </row>
    <row r="270" spans="1:14" x14ac:dyDescent="0.3">
      <c r="A270">
        <v>1</v>
      </c>
      <c r="B270">
        <v>0</v>
      </c>
      <c r="C270" t="s">
        <v>585</v>
      </c>
      <c r="D270" t="s">
        <v>20</v>
      </c>
      <c r="E270">
        <v>24</v>
      </c>
      <c r="F270">
        <v>1</v>
      </c>
      <c r="G270">
        <v>0</v>
      </c>
      <c r="H270">
        <v>13695</v>
      </c>
      <c r="I270">
        <v>60</v>
      </c>
      <c r="J270" t="s">
        <v>586</v>
      </c>
      <c r="K270" t="s">
        <v>17</v>
      </c>
      <c r="N270" t="s">
        <v>587</v>
      </c>
    </row>
    <row r="271" spans="1:14" x14ac:dyDescent="0.3">
      <c r="A271">
        <v>1</v>
      </c>
      <c r="B271">
        <v>0</v>
      </c>
      <c r="C271" t="s">
        <v>588</v>
      </c>
      <c r="D271" t="s">
        <v>20</v>
      </c>
      <c r="F271">
        <v>0</v>
      </c>
      <c r="G271">
        <v>0</v>
      </c>
      <c r="H271">
        <v>113056</v>
      </c>
      <c r="I271">
        <v>26</v>
      </c>
      <c r="J271" t="s">
        <v>589</v>
      </c>
      <c r="K271" t="s">
        <v>17</v>
      </c>
      <c r="N271" t="s">
        <v>590</v>
      </c>
    </row>
    <row r="272" spans="1:14" x14ac:dyDescent="0.3">
      <c r="A272">
        <v>1</v>
      </c>
      <c r="B272">
        <v>1</v>
      </c>
      <c r="C272" t="s">
        <v>591</v>
      </c>
      <c r="D272" t="s">
        <v>15</v>
      </c>
      <c r="E272">
        <v>18</v>
      </c>
      <c r="F272">
        <v>1</v>
      </c>
      <c r="G272">
        <v>0</v>
      </c>
      <c r="H272">
        <v>13695</v>
      </c>
      <c r="I272">
        <v>60</v>
      </c>
      <c r="J272" t="s">
        <v>586</v>
      </c>
      <c r="K272" t="s">
        <v>17</v>
      </c>
      <c r="L272">
        <v>6</v>
      </c>
      <c r="N272" t="s">
        <v>587</v>
      </c>
    </row>
    <row r="273" spans="1:14" x14ac:dyDescent="0.3">
      <c r="A273">
        <v>1</v>
      </c>
      <c r="B273">
        <v>1</v>
      </c>
      <c r="C273" t="s">
        <v>592</v>
      </c>
      <c r="D273" t="s">
        <v>20</v>
      </c>
      <c r="E273">
        <v>24</v>
      </c>
      <c r="F273">
        <v>1</v>
      </c>
      <c r="G273">
        <v>0</v>
      </c>
      <c r="H273">
        <v>21228</v>
      </c>
      <c r="I273">
        <v>82.2667</v>
      </c>
      <c r="J273" t="s">
        <v>593</v>
      </c>
      <c r="K273" t="s">
        <v>17</v>
      </c>
      <c r="L273">
        <v>7</v>
      </c>
      <c r="N273" t="s">
        <v>594</v>
      </c>
    </row>
    <row r="274" spans="1:14" x14ac:dyDescent="0.3">
      <c r="A274">
        <v>1</v>
      </c>
      <c r="B274">
        <v>1</v>
      </c>
      <c r="C274" t="s">
        <v>595</v>
      </c>
      <c r="D274" t="s">
        <v>15</v>
      </c>
      <c r="E274">
        <v>23</v>
      </c>
      <c r="F274">
        <v>1</v>
      </c>
      <c r="G274">
        <v>0</v>
      </c>
      <c r="H274">
        <v>21228</v>
      </c>
      <c r="I274">
        <v>82.2667</v>
      </c>
      <c r="J274" t="s">
        <v>593</v>
      </c>
      <c r="K274" t="s">
        <v>17</v>
      </c>
      <c r="L274">
        <v>7</v>
      </c>
      <c r="N274" t="s">
        <v>594</v>
      </c>
    </row>
    <row r="275" spans="1:14" x14ac:dyDescent="0.3">
      <c r="A275">
        <v>1</v>
      </c>
      <c r="B275">
        <v>1</v>
      </c>
      <c r="C275" t="s">
        <v>596</v>
      </c>
      <c r="D275" t="s">
        <v>20</v>
      </c>
      <c r="E275">
        <v>6</v>
      </c>
      <c r="F275">
        <v>0</v>
      </c>
      <c r="G275">
        <v>2</v>
      </c>
      <c r="H275">
        <v>16966</v>
      </c>
      <c r="I275">
        <v>134.5</v>
      </c>
      <c r="J275" t="s">
        <v>597</v>
      </c>
      <c r="K275" t="s">
        <v>41</v>
      </c>
      <c r="L275">
        <v>3</v>
      </c>
      <c r="N275" t="s">
        <v>598</v>
      </c>
    </row>
    <row r="276" spans="1:14" x14ac:dyDescent="0.3">
      <c r="A276">
        <v>1</v>
      </c>
      <c r="B276">
        <v>1</v>
      </c>
      <c r="C276" t="s">
        <v>599</v>
      </c>
      <c r="D276" t="s">
        <v>20</v>
      </c>
      <c r="E276">
        <v>45</v>
      </c>
      <c r="F276">
        <v>1</v>
      </c>
      <c r="G276">
        <v>1</v>
      </c>
      <c r="H276">
        <v>16966</v>
      </c>
      <c r="I276">
        <v>134.5</v>
      </c>
      <c r="J276" t="s">
        <v>597</v>
      </c>
      <c r="K276" t="s">
        <v>41</v>
      </c>
      <c r="L276">
        <v>3</v>
      </c>
      <c r="N276" t="s">
        <v>598</v>
      </c>
    </row>
    <row r="277" spans="1:14" x14ac:dyDescent="0.3">
      <c r="A277">
        <v>1</v>
      </c>
      <c r="B277">
        <v>1</v>
      </c>
      <c r="C277" t="s">
        <v>600</v>
      </c>
      <c r="D277" t="s">
        <v>15</v>
      </c>
      <c r="E277">
        <v>40</v>
      </c>
      <c r="F277">
        <v>1</v>
      </c>
      <c r="G277">
        <v>1</v>
      </c>
      <c r="H277">
        <v>16966</v>
      </c>
      <c r="I277">
        <v>134.5</v>
      </c>
      <c r="J277" t="s">
        <v>597</v>
      </c>
      <c r="K277" t="s">
        <v>41</v>
      </c>
      <c r="L277">
        <v>3</v>
      </c>
      <c r="N277" t="s">
        <v>598</v>
      </c>
    </row>
    <row r="278" spans="1:14" x14ac:dyDescent="0.3">
      <c r="A278">
        <v>1</v>
      </c>
      <c r="B278">
        <v>0</v>
      </c>
      <c r="C278" t="s">
        <v>601</v>
      </c>
      <c r="D278" t="s">
        <v>20</v>
      </c>
      <c r="E278">
        <v>57</v>
      </c>
      <c r="F278">
        <v>1</v>
      </c>
      <c r="G278">
        <v>0</v>
      </c>
      <c r="H278" t="s">
        <v>432</v>
      </c>
      <c r="I278">
        <v>146.52080000000001</v>
      </c>
      <c r="J278" t="s">
        <v>602</v>
      </c>
      <c r="K278" t="s">
        <v>41</v>
      </c>
      <c r="N278" t="s">
        <v>50</v>
      </c>
    </row>
    <row r="279" spans="1:14" x14ac:dyDescent="0.3">
      <c r="A279">
        <v>1</v>
      </c>
      <c r="B279">
        <v>1</v>
      </c>
      <c r="C279" t="s">
        <v>603</v>
      </c>
      <c r="D279" t="s">
        <v>15</v>
      </c>
      <c r="F279">
        <v>1</v>
      </c>
      <c r="G279">
        <v>0</v>
      </c>
      <c r="H279" t="s">
        <v>432</v>
      </c>
      <c r="I279">
        <v>146.52080000000001</v>
      </c>
      <c r="J279" t="s">
        <v>602</v>
      </c>
      <c r="K279" t="s">
        <v>41</v>
      </c>
      <c r="L279">
        <v>6</v>
      </c>
      <c r="N279" t="s">
        <v>50</v>
      </c>
    </row>
    <row r="280" spans="1:14" x14ac:dyDescent="0.3">
      <c r="A280">
        <v>1</v>
      </c>
      <c r="B280">
        <v>1</v>
      </c>
      <c r="C280" t="s">
        <v>604</v>
      </c>
      <c r="D280" t="s">
        <v>20</v>
      </c>
      <c r="E280">
        <v>32</v>
      </c>
      <c r="F280">
        <v>0</v>
      </c>
      <c r="G280">
        <v>0</v>
      </c>
      <c r="H280">
        <v>13214</v>
      </c>
      <c r="I280">
        <v>30.5</v>
      </c>
      <c r="J280" t="s">
        <v>605</v>
      </c>
      <c r="K280" t="s">
        <v>41</v>
      </c>
      <c r="L280">
        <v>3</v>
      </c>
      <c r="N280" t="s">
        <v>577</v>
      </c>
    </row>
    <row r="281" spans="1:14" x14ac:dyDescent="0.3">
      <c r="A281">
        <v>1</v>
      </c>
      <c r="B281">
        <v>0</v>
      </c>
      <c r="C281" t="s">
        <v>606</v>
      </c>
      <c r="D281" t="s">
        <v>20</v>
      </c>
      <c r="E281">
        <v>62</v>
      </c>
      <c r="F281">
        <v>0</v>
      </c>
      <c r="G281">
        <v>0</v>
      </c>
      <c r="H281">
        <v>113514</v>
      </c>
      <c r="I281">
        <v>26.55</v>
      </c>
      <c r="J281" t="s">
        <v>607</v>
      </c>
      <c r="K281" t="s">
        <v>17</v>
      </c>
      <c r="N281" t="s">
        <v>608</v>
      </c>
    </row>
    <row r="282" spans="1:14" x14ac:dyDescent="0.3">
      <c r="A282">
        <v>1</v>
      </c>
      <c r="B282">
        <v>1</v>
      </c>
      <c r="C282" t="s">
        <v>609</v>
      </c>
      <c r="D282" t="s">
        <v>20</v>
      </c>
      <c r="E282">
        <v>54</v>
      </c>
      <c r="F282">
        <v>1</v>
      </c>
      <c r="G282">
        <v>0</v>
      </c>
      <c r="H282">
        <v>11778</v>
      </c>
      <c r="I282">
        <v>55.441699999999997</v>
      </c>
      <c r="J282" t="s">
        <v>610</v>
      </c>
      <c r="K282" t="s">
        <v>41</v>
      </c>
      <c r="L282">
        <v>1</v>
      </c>
      <c r="N282" t="s">
        <v>611</v>
      </c>
    </row>
    <row r="283" spans="1:14" x14ac:dyDescent="0.3">
      <c r="A283">
        <v>1</v>
      </c>
      <c r="B283">
        <v>1</v>
      </c>
      <c r="C283" t="s">
        <v>612</v>
      </c>
      <c r="D283" t="s">
        <v>15</v>
      </c>
      <c r="E283">
        <v>43</v>
      </c>
      <c r="F283">
        <v>1</v>
      </c>
      <c r="G283">
        <v>0</v>
      </c>
      <c r="H283">
        <v>11778</v>
      </c>
      <c r="I283">
        <v>55.441699999999997</v>
      </c>
      <c r="J283" t="s">
        <v>610</v>
      </c>
      <c r="K283" t="s">
        <v>41</v>
      </c>
      <c r="L283">
        <v>5</v>
      </c>
      <c r="N283" t="s">
        <v>611</v>
      </c>
    </row>
    <row r="284" spans="1:14" x14ac:dyDescent="0.3">
      <c r="A284">
        <v>1</v>
      </c>
      <c r="B284">
        <v>1</v>
      </c>
      <c r="C284" t="s">
        <v>613</v>
      </c>
      <c r="D284" t="s">
        <v>15</v>
      </c>
      <c r="E284">
        <v>52</v>
      </c>
      <c r="F284">
        <v>1</v>
      </c>
      <c r="G284">
        <v>0</v>
      </c>
      <c r="H284">
        <v>36947</v>
      </c>
      <c r="I284">
        <v>78.2667</v>
      </c>
      <c r="J284" t="s">
        <v>253</v>
      </c>
      <c r="K284" t="s">
        <v>41</v>
      </c>
      <c r="L284">
        <v>4</v>
      </c>
      <c r="N284" t="s">
        <v>614</v>
      </c>
    </row>
    <row r="285" spans="1:14" x14ac:dyDescent="0.3">
      <c r="A285">
        <v>1</v>
      </c>
      <c r="B285">
        <v>0</v>
      </c>
      <c r="C285" t="s">
        <v>615</v>
      </c>
      <c r="D285" t="s">
        <v>20</v>
      </c>
      <c r="F285">
        <v>0</v>
      </c>
      <c r="G285">
        <v>0</v>
      </c>
      <c r="H285" t="s">
        <v>616</v>
      </c>
      <c r="I285">
        <v>27.720800000000001</v>
      </c>
      <c r="K285" t="s">
        <v>41</v>
      </c>
      <c r="N285" t="s">
        <v>617</v>
      </c>
    </row>
    <row r="286" spans="1:14" x14ac:dyDescent="0.3">
      <c r="A286">
        <v>1</v>
      </c>
      <c r="B286">
        <v>1</v>
      </c>
      <c r="C286" t="s">
        <v>618</v>
      </c>
      <c r="D286" t="s">
        <v>15</v>
      </c>
      <c r="E286">
        <v>62</v>
      </c>
      <c r="F286">
        <v>0</v>
      </c>
      <c r="G286">
        <v>0</v>
      </c>
      <c r="H286">
        <v>113572</v>
      </c>
      <c r="I286">
        <v>80</v>
      </c>
      <c r="J286" t="s">
        <v>380</v>
      </c>
      <c r="L286">
        <v>6</v>
      </c>
      <c r="N286" t="s">
        <v>619</v>
      </c>
    </row>
    <row r="287" spans="1:14" x14ac:dyDescent="0.3">
      <c r="A287">
        <v>1</v>
      </c>
      <c r="B287">
        <v>0</v>
      </c>
      <c r="C287" t="s">
        <v>620</v>
      </c>
      <c r="D287" t="s">
        <v>20</v>
      </c>
      <c r="E287">
        <v>67</v>
      </c>
      <c r="F287">
        <v>1</v>
      </c>
      <c r="G287">
        <v>0</v>
      </c>
      <c r="H287" t="s">
        <v>76</v>
      </c>
      <c r="I287">
        <v>221.7792</v>
      </c>
      <c r="J287" t="s">
        <v>621</v>
      </c>
      <c r="K287" t="s">
        <v>17</v>
      </c>
      <c r="M287">
        <v>96</v>
      </c>
      <c r="N287" t="s">
        <v>28</v>
      </c>
    </row>
    <row r="288" spans="1:14" x14ac:dyDescent="0.3">
      <c r="A288">
        <v>1</v>
      </c>
      <c r="B288">
        <v>0</v>
      </c>
      <c r="C288" t="s">
        <v>622</v>
      </c>
      <c r="D288" t="s">
        <v>15</v>
      </c>
      <c r="E288">
        <v>63</v>
      </c>
      <c r="F288">
        <v>1</v>
      </c>
      <c r="G288">
        <v>0</v>
      </c>
      <c r="H288" t="s">
        <v>76</v>
      </c>
      <c r="I288">
        <v>221.7792</v>
      </c>
      <c r="J288" t="s">
        <v>621</v>
      </c>
      <c r="K288" t="s">
        <v>17</v>
      </c>
      <c r="N288" t="s">
        <v>28</v>
      </c>
    </row>
    <row r="289" spans="1:14" x14ac:dyDescent="0.3">
      <c r="A289">
        <v>1</v>
      </c>
      <c r="B289">
        <v>0</v>
      </c>
      <c r="C289" t="s">
        <v>623</v>
      </c>
      <c r="D289" t="s">
        <v>20</v>
      </c>
      <c r="E289">
        <v>61</v>
      </c>
      <c r="F289">
        <v>0</v>
      </c>
      <c r="G289">
        <v>0</v>
      </c>
      <c r="H289">
        <v>36963</v>
      </c>
      <c r="I289">
        <v>32.320799999999998</v>
      </c>
      <c r="J289" t="s">
        <v>624</v>
      </c>
      <c r="K289" t="s">
        <v>17</v>
      </c>
      <c r="M289">
        <v>46</v>
      </c>
      <c r="N289" t="s">
        <v>625</v>
      </c>
    </row>
    <row r="290" spans="1:14" x14ac:dyDescent="0.3">
      <c r="A290">
        <v>1</v>
      </c>
      <c r="B290">
        <v>1</v>
      </c>
      <c r="C290" t="s">
        <v>626</v>
      </c>
      <c r="D290" t="s">
        <v>15</v>
      </c>
      <c r="E290">
        <v>48</v>
      </c>
      <c r="F290">
        <v>0</v>
      </c>
      <c r="G290">
        <v>0</v>
      </c>
      <c r="H290">
        <v>17466</v>
      </c>
      <c r="I290">
        <v>25.929200000000002</v>
      </c>
      <c r="J290" t="s">
        <v>411</v>
      </c>
      <c r="K290" t="s">
        <v>17</v>
      </c>
      <c r="L290">
        <v>8</v>
      </c>
      <c r="N290" t="s">
        <v>266</v>
      </c>
    </row>
    <row r="291" spans="1:14" x14ac:dyDescent="0.3">
      <c r="A291">
        <v>1</v>
      </c>
      <c r="B291">
        <v>1</v>
      </c>
      <c r="C291" t="s">
        <v>627</v>
      </c>
      <c r="D291" t="s">
        <v>15</v>
      </c>
      <c r="E291">
        <v>18</v>
      </c>
      <c r="F291">
        <v>0</v>
      </c>
      <c r="G291">
        <v>2</v>
      </c>
      <c r="H291">
        <v>110413</v>
      </c>
      <c r="I291">
        <v>79.650000000000006</v>
      </c>
      <c r="J291" t="s">
        <v>628</v>
      </c>
      <c r="K291" t="s">
        <v>17</v>
      </c>
      <c r="L291">
        <v>8</v>
      </c>
      <c r="N291" t="s">
        <v>28</v>
      </c>
    </row>
    <row r="292" spans="1:14" x14ac:dyDescent="0.3">
      <c r="A292">
        <v>1</v>
      </c>
      <c r="B292">
        <v>0</v>
      </c>
      <c r="C292" t="s">
        <v>629</v>
      </c>
      <c r="D292" t="s">
        <v>20</v>
      </c>
      <c r="E292">
        <v>52</v>
      </c>
      <c r="F292">
        <v>1</v>
      </c>
      <c r="G292">
        <v>1</v>
      </c>
      <c r="H292">
        <v>110413</v>
      </c>
      <c r="I292">
        <v>79.650000000000006</v>
      </c>
      <c r="J292" t="s">
        <v>630</v>
      </c>
      <c r="K292" t="s">
        <v>17</v>
      </c>
      <c r="N292" t="s">
        <v>28</v>
      </c>
    </row>
    <row r="293" spans="1:14" x14ac:dyDescent="0.3">
      <c r="A293">
        <v>1</v>
      </c>
      <c r="B293">
        <v>1</v>
      </c>
      <c r="C293" t="s">
        <v>631</v>
      </c>
      <c r="D293" t="s">
        <v>15</v>
      </c>
      <c r="E293">
        <v>39</v>
      </c>
      <c r="F293">
        <v>1</v>
      </c>
      <c r="G293">
        <v>1</v>
      </c>
      <c r="H293">
        <v>110413</v>
      </c>
      <c r="I293">
        <v>79.650000000000006</v>
      </c>
      <c r="J293" t="s">
        <v>630</v>
      </c>
      <c r="K293" t="s">
        <v>17</v>
      </c>
      <c r="L293">
        <v>8</v>
      </c>
      <c r="N293" t="s">
        <v>28</v>
      </c>
    </row>
    <row r="294" spans="1:14" x14ac:dyDescent="0.3">
      <c r="A294">
        <v>1</v>
      </c>
      <c r="B294">
        <v>1</v>
      </c>
      <c r="C294" t="s">
        <v>632</v>
      </c>
      <c r="D294" t="s">
        <v>20</v>
      </c>
      <c r="E294">
        <v>48</v>
      </c>
      <c r="F294">
        <v>1</v>
      </c>
      <c r="G294">
        <v>0</v>
      </c>
      <c r="H294">
        <v>19996</v>
      </c>
      <c r="I294">
        <v>52</v>
      </c>
      <c r="J294" t="s">
        <v>633</v>
      </c>
      <c r="K294" t="s">
        <v>17</v>
      </c>
      <c r="L294" t="s">
        <v>634</v>
      </c>
      <c r="N294" t="s">
        <v>635</v>
      </c>
    </row>
    <row r="295" spans="1:14" x14ac:dyDescent="0.3">
      <c r="A295">
        <v>1</v>
      </c>
      <c r="B295">
        <v>1</v>
      </c>
      <c r="C295" t="s">
        <v>636</v>
      </c>
      <c r="D295" t="s">
        <v>15</v>
      </c>
      <c r="F295">
        <v>1</v>
      </c>
      <c r="G295">
        <v>0</v>
      </c>
      <c r="H295">
        <v>19996</v>
      </c>
      <c r="I295">
        <v>52</v>
      </c>
      <c r="J295" t="s">
        <v>633</v>
      </c>
      <c r="K295" t="s">
        <v>17</v>
      </c>
      <c r="L295" t="s">
        <v>634</v>
      </c>
      <c r="N295" t="s">
        <v>635</v>
      </c>
    </row>
    <row r="296" spans="1:14" x14ac:dyDescent="0.3">
      <c r="A296">
        <v>1</v>
      </c>
      <c r="B296">
        <v>0</v>
      </c>
      <c r="C296" t="s">
        <v>637</v>
      </c>
      <c r="D296" t="s">
        <v>20</v>
      </c>
      <c r="E296">
        <v>49</v>
      </c>
      <c r="F296">
        <v>1</v>
      </c>
      <c r="G296">
        <v>1</v>
      </c>
      <c r="H296">
        <v>17421</v>
      </c>
      <c r="I296">
        <v>110.88330000000001</v>
      </c>
      <c r="J296" t="s">
        <v>638</v>
      </c>
      <c r="K296" t="s">
        <v>41</v>
      </c>
      <c r="N296" t="s">
        <v>614</v>
      </c>
    </row>
    <row r="297" spans="1:14" x14ac:dyDescent="0.3">
      <c r="A297">
        <v>1</v>
      </c>
      <c r="B297">
        <v>1</v>
      </c>
      <c r="C297" t="s">
        <v>639</v>
      </c>
      <c r="D297" t="s">
        <v>20</v>
      </c>
      <c r="E297">
        <v>17</v>
      </c>
      <c r="F297">
        <v>0</v>
      </c>
      <c r="G297">
        <v>2</v>
      </c>
      <c r="H297">
        <v>17421</v>
      </c>
      <c r="I297">
        <v>110.88330000000001</v>
      </c>
      <c r="J297" t="s">
        <v>640</v>
      </c>
      <c r="K297" t="s">
        <v>41</v>
      </c>
      <c r="L297" t="s">
        <v>54</v>
      </c>
      <c r="N297" t="s">
        <v>614</v>
      </c>
    </row>
    <row r="298" spans="1:14" x14ac:dyDescent="0.3">
      <c r="A298">
        <v>1</v>
      </c>
      <c r="B298">
        <v>1</v>
      </c>
      <c r="C298" t="s">
        <v>641</v>
      </c>
      <c r="D298" t="s">
        <v>15</v>
      </c>
      <c r="E298">
        <v>39</v>
      </c>
      <c r="F298">
        <v>1</v>
      </c>
      <c r="G298">
        <v>1</v>
      </c>
      <c r="H298">
        <v>17421</v>
      </c>
      <c r="I298">
        <v>110.88330000000001</v>
      </c>
      <c r="J298" t="s">
        <v>638</v>
      </c>
      <c r="K298" t="s">
        <v>41</v>
      </c>
      <c r="L298">
        <v>4</v>
      </c>
      <c r="N298" t="s">
        <v>614</v>
      </c>
    </row>
    <row r="299" spans="1:14" x14ac:dyDescent="0.3">
      <c r="A299">
        <v>1</v>
      </c>
      <c r="B299">
        <v>1</v>
      </c>
      <c r="C299" t="s">
        <v>642</v>
      </c>
      <c r="D299" t="s">
        <v>15</v>
      </c>
      <c r="F299">
        <v>0</v>
      </c>
      <c r="G299">
        <v>0</v>
      </c>
      <c r="H299" t="s">
        <v>543</v>
      </c>
      <c r="I299">
        <v>79.2</v>
      </c>
      <c r="K299" t="s">
        <v>41</v>
      </c>
      <c r="L299" t="s">
        <v>37</v>
      </c>
      <c r="N299" t="s">
        <v>28</v>
      </c>
    </row>
    <row r="300" spans="1:14" x14ac:dyDescent="0.3">
      <c r="A300">
        <v>1</v>
      </c>
      <c r="B300">
        <v>1</v>
      </c>
      <c r="C300" t="s">
        <v>643</v>
      </c>
      <c r="D300" t="s">
        <v>20</v>
      </c>
      <c r="E300">
        <v>31</v>
      </c>
      <c r="F300">
        <v>0</v>
      </c>
      <c r="G300">
        <v>0</v>
      </c>
      <c r="H300">
        <v>2543</v>
      </c>
      <c r="I300">
        <v>28.537500000000001</v>
      </c>
      <c r="J300" t="s">
        <v>644</v>
      </c>
      <c r="K300" t="s">
        <v>41</v>
      </c>
      <c r="L300">
        <v>7</v>
      </c>
      <c r="N300" t="s">
        <v>645</v>
      </c>
    </row>
    <row r="301" spans="1:14" x14ac:dyDescent="0.3">
      <c r="A301">
        <v>1</v>
      </c>
      <c r="B301">
        <v>0</v>
      </c>
      <c r="C301" t="s">
        <v>646</v>
      </c>
      <c r="D301" t="s">
        <v>20</v>
      </c>
      <c r="E301">
        <v>40</v>
      </c>
      <c r="F301">
        <v>0</v>
      </c>
      <c r="G301">
        <v>0</v>
      </c>
      <c r="H301" t="s">
        <v>647</v>
      </c>
      <c r="I301">
        <v>27.720800000000001</v>
      </c>
      <c r="K301" t="s">
        <v>41</v>
      </c>
      <c r="N301" t="s">
        <v>648</v>
      </c>
    </row>
    <row r="302" spans="1:14" x14ac:dyDescent="0.3">
      <c r="A302">
        <v>1</v>
      </c>
      <c r="B302">
        <v>0</v>
      </c>
      <c r="C302" t="s">
        <v>649</v>
      </c>
      <c r="D302" t="s">
        <v>20</v>
      </c>
      <c r="E302">
        <v>61</v>
      </c>
      <c r="F302">
        <v>0</v>
      </c>
      <c r="G302">
        <v>0</v>
      </c>
      <c r="H302">
        <v>111240</v>
      </c>
      <c r="I302">
        <v>33.5</v>
      </c>
      <c r="J302" t="s">
        <v>650</v>
      </c>
      <c r="K302" t="s">
        <v>17</v>
      </c>
      <c r="M302">
        <v>245</v>
      </c>
      <c r="N302" t="s">
        <v>266</v>
      </c>
    </row>
    <row r="303" spans="1:14" x14ac:dyDescent="0.3">
      <c r="A303">
        <v>1</v>
      </c>
      <c r="B303">
        <v>0</v>
      </c>
      <c r="C303" t="s">
        <v>651</v>
      </c>
      <c r="D303" t="s">
        <v>20</v>
      </c>
      <c r="E303">
        <v>47</v>
      </c>
      <c r="F303">
        <v>0</v>
      </c>
      <c r="G303">
        <v>0</v>
      </c>
      <c r="H303">
        <v>36967</v>
      </c>
      <c r="I303">
        <v>34.020800000000001</v>
      </c>
      <c r="J303" t="s">
        <v>652</v>
      </c>
      <c r="K303" t="s">
        <v>17</v>
      </c>
      <c r="N303" t="s">
        <v>653</v>
      </c>
    </row>
    <row r="304" spans="1:14" x14ac:dyDescent="0.3">
      <c r="A304">
        <v>1</v>
      </c>
      <c r="B304">
        <v>1</v>
      </c>
      <c r="C304" t="s">
        <v>654</v>
      </c>
      <c r="D304" t="s">
        <v>15</v>
      </c>
      <c r="E304">
        <v>35</v>
      </c>
      <c r="F304">
        <v>0</v>
      </c>
      <c r="G304">
        <v>0</v>
      </c>
      <c r="H304" t="s">
        <v>141</v>
      </c>
      <c r="I304">
        <v>512.32920000000001</v>
      </c>
      <c r="K304" t="s">
        <v>41</v>
      </c>
      <c r="L304">
        <v>3</v>
      </c>
    </row>
    <row r="305" spans="1:14" x14ac:dyDescent="0.3">
      <c r="A305">
        <v>1</v>
      </c>
      <c r="B305">
        <v>0</v>
      </c>
      <c r="C305" t="s">
        <v>655</v>
      </c>
      <c r="D305" t="s">
        <v>20</v>
      </c>
      <c r="E305">
        <v>64</v>
      </c>
      <c r="F305">
        <v>1</v>
      </c>
      <c r="G305">
        <v>0</v>
      </c>
      <c r="H305">
        <v>110813</v>
      </c>
      <c r="I305">
        <v>75.25</v>
      </c>
      <c r="J305" t="s">
        <v>656</v>
      </c>
      <c r="K305" t="s">
        <v>41</v>
      </c>
      <c r="N305" t="s">
        <v>408</v>
      </c>
    </row>
    <row r="306" spans="1:14" x14ac:dyDescent="0.3">
      <c r="A306">
        <v>1</v>
      </c>
      <c r="B306">
        <v>1</v>
      </c>
      <c r="C306" t="s">
        <v>657</v>
      </c>
      <c r="D306" t="s">
        <v>15</v>
      </c>
      <c r="E306">
        <v>60</v>
      </c>
      <c r="F306">
        <v>1</v>
      </c>
      <c r="G306">
        <v>0</v>
      </c>
      <c r="H306">
        <v>110813</v>
      </c>
      <c r="I306">
        <v>75.25</v>
      </c>
      <c r="J306" t="s">
        <v>656</v>
      </c>
      <c r="K306" t="s">
        <v>41</v>
      </c>
      <c r="L306">
        <v>5</v>
      </c>
      <c r="N306" t="s">
        <v>408</v>
      </c>
    </row>
    <row r="307" spans="1:14" x14ac:dyDescent="0.3">
      <c r="A307">
        <v>1</v>
      </c>
      <c r="B307">
        <v>0</v>
      </c>
      <c r="C307" t="s">
        <v>658</v>
      </c>
      <c r="D307" t="s">
        <v>20</v>
      </c>
      <c r="E307">
        <v>60</v>
      </c>
      <c r="F307">
        <v>0</v>
      </c>
      <c r="G307">
        <v>0</v>
      </c>
      <c r="H307">
        <v>113800</v>
      </c>
      <c r="I307">
        <v>26.55</v>
      </c>
      <c r="K307" t="s">
        <v>17</v>
      </c>
      <c r="N307" t="s">
        <v>659</v>
      </c>
    </row>
    <row r="308" spans="1:14" x14ac:dyDescent="0.3">
      <c r="A308">
        <v>1</v>
      </c>
      <c r="B308">
        <v>0</v>
      </c>
      <c r="C308" t="s">
        <v>660</v>
      </c>
      <c r="D308" t="s">
        <v>20</v>
      </c>
      <c r="E308">
        <v>54</v>
      </c>
      <c r="F308">
        <v>0</v>
      </c>
      <c r="G308">
        <v>1</v>
      </c>
      <c r="H308">
        <v>35281</v>
      </c>
      <c r="I308">
        <v>77.287499999999994</v>
      </c>
      <c r="J308" t="s">
        <v>661</v>
      </c>
      <c r="K308" t="s">
        <v>17</v>
      </c>
      <c r="N308" t="s">
        <v>662</v>
      </c>
    </row>
    <row r="309" spans="1:14" x14ac:dyDescent="0.3">
      <c r="A309">
        <v>1</v>
      </c>
      <c r="B309">
        <v>0</v>
      </c>
      <c r="C309" t="s">
        <v>663</v>
      </c>
      <c r="D309" t="s">
        <v>20</v>
      </c>
      <c r="E309">
        <v>21</v>
      </c>
      <c r="F309">
        <v>0</v>
      </c>
      <c r="G309">
        <v>1</v>
      </c>
      <c r="H309">
        <v>35281</v>
      </c>
      <c r="I309">
        <v>77.287499999999994</v>
      </c>
      <c r="J309" t="s">
        <v>661</v>
      </c>
      <c r="K309" t="s">
        <v>17</v>
      </c>
      <c r="M309">
        <v>169</v>
      </c>
      <c r="N309" t="s">
        <v>662</v>
      </c>
    </row>
    <row r="310" spans="1:14" x14ac:dyDescent="0.3">
      <c r="A310">
        <v>1</v>
      </c>
      <c r="B310">
        <v>1</v>
      </c>
      <c r="C310" t="s">
        <v>664</v>
      </c>
      <c r="D310" t="s">
        <v>15</v>
      </c>
      <c r="E310">
        <v>55</v>
      </c>
      <c r="F310">
        <v>0</v>
      </c>
      <c r="G310">
        <v>0</v>
      </c>
      <c r="H310" t="s">
        <v>85</v>
      </c>
      <c r="I310">
        <v>135.63329999999999</v>
      </c>
      <c r="J310" t="s">
        <v>665</v>
      </c>
      <c r="K310" t="s">
        <v>41</v>
      </c>
      <c r="L310">
        <v>8</v>
      </c>
      <c r="N310" t="s">
        <v>666</v>
      </c>
    </row>
    <row r="311" spans="1:14" x14ac:dyDescent="0.3">
      <c r="A311">
        <v>1</v>
      </c>
      <c r="B311">
        <v>1</v>
      </c>
      <c r="C311" t="s">
        <v>667</v>
      </c>
      <c r="D311" t="s">
        <v>15</v>
      </c>
      <c r="E311">
        <v>31</v>
      </c>
      <c r="F311">
        <v>0</v>
      </c>
      <c r="G311">
        <v>2</v>
      </c>
      <c r="H311">
        <v>36928</v>
      </c>
      <c r="I311">
        <v>164.86670000000001</v>
      </c>
      <c r="J311" t="s">
        <v>97</v>
      </c>
      <c r="K311" t="s">
        <v>17</v>
      </c>
      <c r="L311">
        <v>8</v>
      </c>
      <c r="N311" t="s">
        <v>98</v>
      </c>
    </row>
    <row r="312" spans="1:14" x14ac:dyDescent="0.3">
      <c r="A312">
        <v>1</v>
      </c>
      <c r="B312">
        <v>0</v>
      </c>
      <c r="C312" t="s">
        <v>668</v>
      </c>
      <c r="D312" t="s">
        <v>20</v>
      </c>
      <c r="E312">
        <v>57</v>
      </c>
      <c r="F312">
        <v>1</v>
      </c>
      <c r="G312">
        <v>1</v>
      </c>
      <c r="H312">
        <v>36928</v>
      </c>
      <c r="I312">
        <v>164.86670000000001</v>
      </c>
      <c r="K312" t="s">
        <v>17</v>
      </c>
      <c r="N312" t="s">
        <v>98</v>
      </c>
    </row>
    <row r="313" spans="1:14" x14ac:dyDescent="0.3">
      <c r="A313">
        <v>1</v>
      </c>
      <c r="B313">
        <v>1</v>
      </c>
      <c r="C313" t="s">
        <v>669</v>
      </c>
      <c r="D313" t="s">
        <v>15</v>
      </c>
      <c r="E313">
        <v>45</v>
      </c>
      <c r="F313">
        <v>1</v>
      </c>
      <c r="G313">
        <v>1</v>
      </c>
      <c r="H313">
        <v>36928</v>
      </c>
      <c r="I313">
        <v>164.86670000000001</v>
      </c>
      <c r="K313" t="s">
        <v>17</v>
      </c>
      <c r="L313">
        <v>8</v>
      </c>
      <c r="N313" t="s">
        <v>98</v>
      </c>
    </row>
    <row r="314" spans="1:14" x14ac:dyDescent="0.3">
      <c r="A314">
        <v>1</v>
      </c>
      <c r="B314">
        <v>0</v>
      </c>
      <c r="C314" t="s">
        <v>670</v>
      </c>
      <c r="D314" t="s">
        <v>20</v>
      </c>
      <c r="E314">
        <v>50</v>
      </c>
      <c r="F314">
        <v>1</v>
      </c>
      <c r="G314">
        <v>1</v>
      </c>
      <c r="H314">
        <v>113503</v>
      </c>
      <c r="I314">
        <v>211.5</v>
      </c>
      <c r="J314" t="s">
        <v>671</v>
      </c>
      <c r="K314" t="s">
        <v>41</v>
      </c>
      <c r="N314" t="s">
        <v>672</v>
      </c>
    </row>
    <row r="315" spans="1:14" x14ac:dyDescent="0.3">
      <c r="A315">
        <v>1</v>
      </c>
      <c r="B315">
        <v>0</v>
      </c>
      <c r="C315" t="s">
        <v>673</v>
      </c>
      <c r="D315" t="s">
        <v>20</v>
      </c>
      <c r="E315">
        <v>27</v>
      </c>
      <c r="F315">
        <v>0</v>
      </c>
      <c r="G315">
        <v>2</v>
      </c>
      <c r="H315">
        <v>113503</v>
      </c>
      <c r="I315">
        <v>211.5</v>
      </c>
      <c r="J315" t="s">
        <v>674</v>
      </c>
      <c r="K315" t="s">
        <v>41</v>
      </c>
      <c r="N315" t="s">
        <v>672</v>
      </c>
    </row>
    <row r="316" spans="1:14" x14ac:dyDescent="0.3">
      <c r="A316">
        <v>1</v>
      </c>
      <c r="B316">
        <v>1</v>
      </c>
      <c r="C316" t="s">
        <v>675</v>
      </c>
      <c r="D316" t="s">
        <v>15</v>
      </c>
      <c r="E316">
        <v>50</v>
      </c>
      <c r="F316">
        <v>1</v>
      </c>
      <c r="G316">
        <v>1</v>
      </c>
      <c r="H316">
        <v>113503</v>
      </c>
      <c r="I316">
        <v>211.5</v>
      </c>
      <c r="J316" t="s">
        <v>671</v>
      </c>
      <c r="K316" t="s">
        <v>41</v>
      </c>
      <c r="L316">
        <v>4</v>
      </c>
      <c r="N316" t="s">
        <v>672</v>
      </c>
    </row>
    <row r="317" spans="1:14" x14ac:dyDescent="0.3">
      <c r="A317">
        <v>1</v>
      </c>
      <c r="B317">
        <v>1</v>
      </c>
      <c r="C317" t="s">
        <v>676</v>
      </c>
      <c r="D317" t="s">
        <v>15</v>
      </c>
      <c r="E317">
        <v>21</v>
      </c>
      <c r="F317">
        <v>0</v>
      </c>
      <c r="G317">
        <v>0</v>
      </c>
      <c r="H317">
        <v>113795</v>
      </c>
      <c r="I317">
        <v>26.55</v>
      </c>
      <c r="K317" t="s">
        <v>17</v>
      </c>
      <c r="L317" t="s">
        <v>677</v>
      </c>
      <c r="N317" t="s">
        <v>573</v>
      </c>
    </row>
    <row r="318" spans="1:14" x14ac:dyDescent="0.3">
      <c r="A318">
        <v>1</v>
      </c>
      <c r="B318">
        <v>0</v>
      </c>
      <c r="C318" t="s">
        <v>678</v>
      </c>
      <c r="D318" t="s">
        <v>20</v>
      </c>
      <c r="E318">
        <v>51</v>
      </c>
      <c r="F318">
        <v>0</v>
      </c>
      <c r="G318">
        <v>1</v>
      </c>
      <c r="H318" t="s">
        <v>679</v>
      </c>
      <c r="I318">
        <v>61.379199999999997</v>
      </c>
      <c r="K318" t="s">
        <v>41</v>
      </c>
      <c r="N318" t="s">
        <v>680</v>
      </c>
    </row>
    <row r="319" spans="1:14" x14ac:dyDescent="0.3">
      <c r="A319">
        <v>1</v>
      </c>
      <c r="B319">
        <v>1</v>
      </c>
      <c r="C319" t="s">
        <v>681</v>
      </c>
      <c r="D319" t="s">
        <v>20</v>
      </c>
      <c r="E319">
        <v>21</v>
      </c>
      <c r="F319">
        <v>0</v>
      </c>
      <c r="G319">
        <v>1</v>
      </c>
      <c r="H319" t="s">
        <v>679</v>
      </c>
      <c r="I319">
        <v>61.379199999999997</v>
      </c>
      <c r="K319" t="s">
        <v>41</v>
      </c>
      <c r="L319" t="s">
        <v>67</v>
      </c>
      <c r="N319" t="s">
        <v>680</v>
      </c>
    </row>
    <row r="320" spans="1:14" x14ac:dyDescent="0.3">
      <c r="A320">
        <v>1</v>
      </c>
      <c r="B320">
        <v>0</v>
      </c>
      <c r="C320" t="s">
        <v>682</v>
      </c>
      <c r="D320" t="s">
        <v>20</v>
      </c>
      <c r="F320">
        <v>0</v>
      </c>
      <c r="G320">
        <v>0</v>
      </c>
      <c r="H320">
        <v>113510</v>
      </c>
      <c r="I320">
        <v>35</v>
      </c>
      <c r="J320" t="s">
        <v>683</v>
      </c>
      <c r="K320" t="s">
        <v>17</v>
      </c>
      <c r="N320" t="s">
        <v>175</v>
      </c>
    </row>
    <row r="321" spans="1:14" x14ac:dyDescent="0.3">
      <c r="A321">
        <v>1</v>
      </c>
      <c r="B321">
        <v>1</v>
      </c>
      <c r="C321" t="s">
        <v>684</v>
      </c>
      <c r="D321" t="s">
        <v>15</v>
      </c>
      <c r="E321">
        <v>31</v>
      </c>
      <c r="F321">
        <v>0</v>
      </c>
      <c r="G321">
        <v>0</v>
      </c>
      <c r="H321">
        <v>16966</v>
      </c>
      <c r="I321">
        <v>134.5</v>
      </c>
      <c r="J321" t="s">
        <v>685</v>
      </c>
      <c r="K321" t="s">
        <v>41</v>
      </c>
      <c r="L321">
        <v>3</v>
      </c>
    </row>
    <row r="322" spans="1:14" x14ac:dyDescent="0.3">
      <c r="A322">
        <v>1</v>
      </c>
      <c r="B322">
        <v>1</v>
      </c>
      <c r="C322" t="s">
        <v>686</v>
      </c>
      <c r="D322" t="s">
        <v>20</v>
      </c>
      <c r="F322">
        <v>0</v>
      </c>
      <c r="G322">
        <v>0</v>
      </c>
      <c r="H322">
        <v>19947</v>
      </c>
      <c r="I322">
        <v>35.5</v>
      </c>
      <c r="J322" t="s">
        <v>88</v>
      </c>
      <c r="K322" t="s">
        <v>17</v>
      </c>
      <c r="L322" t="s">
        <v>37</v>
      </c>
      <c r="N322" t="s">
        <v>175</v>
      </c>
    </row>
    <row r="323" spans="1:14" x14ac:dyDescent="0.3">
      <c r="A323">
        <v>1</v>
      </c>
      <c r="B323">
        <v>0</v>
      </c>
      <c r="C323" t="s">
        <v>687</v>
      </c>
      <c r="D323" t="s">
        <v>20</v>
      </c>
      <c r="E323">
        <v>62</v>
      </c>
      <c r="F323">
        <v>0</v>
      </c>
      <c r="G323">
        <v>0</v>
      </c>
      <c r="H323">
        <v>113807</v>
      </c>
      <c r="I323">
        <v>26.55</v>
      </c>
      <c r="K323" t="s">
        <v>17</v>
      </c>
      <c r="N323" t="s">
        <v>688</v>
      </c>
    </row>
    <row r="324" spans="1:14" x14ac:dyDescent="0.3">
      <c r="A324">
        <v>1</v>
      </c>
      <c r="B324">
        <v>1</v>
      </c>
      <c r="C324" t="s">
        <v>689</v>
      </c>
      <c r="D324" t="s">
        <v>15</v>
      </c>
      <c r="E324">
        <v>36</v>
      </c>
      <c r="F324">
        <v>0</v>
      </c>
      <c r="G324">
        <v>0</v>
      </c>
      <c r="H324" t="s">
        <v>85</v>
      </c>
      <c r="I324">
        <v>135.63329999999999</v>
      </c>
      <c r="J324" t="s">
        <v>665</v>
      </c>
      <c r="K324" t="s">
        <v>41</v>
      </c>
      <c r="L324">
        <v>8</v>
      </c>
      <c r="N324" t="s">
        <v>690</v>
      </c>
    </row>
    <row r="325" spans="1:14" x14ac:dyDescent="0.3">
      <c r="A325">
        <v>2</v>
      </c>
      <c r="B325">
        <v>0</v>
      </c>
      <c r="C325" t="s">
        <v>691</v>
      </c>
      <c r="D325" t="s">
        <v>20</v>
      </c>
      <c r="E325">
        <v>30</v>
      </c>
      <c r="F325">
        <v>1</v>
      </c>
      <c r="G325">
        <v>0</v>
      </c>
      <c r="H325" t="s">
        <v>692</v>
      </c>
      <c r="I325">
        <v>24</v>
      </c>
      <c r="K325" t="s">
        <v>41</v>
      </c>
      <c r="N325" t="s">
        <v>693</v>
      </c>
    </row>
    <row r="326" spans="1:14" x14ac:dyDescent="0.3">
      <c r="A326">
        <v>2</v>
      </c>
      <c r="B326">
        <v>1</v>
      </c>
      <c r="C326" t="s">
        <v>694</v>
      </c>
      <c r="D326" t="s">
        <v>15</v>
      </c>
      <c r="E326">
        <v>28</v>
      </c>
      <c r="F326">
        <v>1</v>
      </c>
      <c r="G326">
        <v>0</v>
      </c>
      <c r="H326" t="s">
        <v>692</v>
      </c>
      <c r="I326">
        <v>24</v>
      </c>
      <c r="K326" t="s">
        <v>41</v>
      </c>
      <c r="L326">
        <v>10</v>
      </c>
      <c r="N326" t="s">
        <v>693</v>
      </c>
    </row>
    <row r="327" spans="1:14" x14ac:dyDescent="0.3">
      <c r="A327">
        <v>2</v>
      </c>
      <c r="B327">
        <v>0</v>
      </c>
      <c r="C327" t="s">
        <v>695</v>
      </c>
      <c r="D327" t="s">
        <v>20</v>
      </c>
      <c r="E327">
        <v>30</v>
      </c>
      <c r="F327">
        <v>0</v>
      </c>
      <c r="G327">
        <v>0</v>
      </c>
      <c r="H327">
        <v>248744</v>
      </c>
      <c r="I327">
        <v>13</v>
      </c>
      <c r="K327" t="s">
        <v>17</v>
      </c>
      <c r="N327" t="s">
        <v>696</v>
      </c>
    </row>
    <row r="328" spans="1:14" x14ac:dyDescent="0.3">
      <c r="A328">
        <v>2</v>
      </c>
      <c r="B328">
        <v>0</v>
      </c>
      <c r="C328" t="s">
        <v>697</v>
      </c>
      <c r="D328" t="s">
        <v>20</v>
      </c>
      <c r="E328">
        <v>18</v>
      </c>
      <c r="F328">
        <v>0</v>
      </c>
      <c r="G328">
        <v>0</v>
      </c>
      <c r="H328">
        <v>231945</v>
      </c>
      <c r="I328">
        <v>11.5</v>
      </c>
      <c r="K328" t="s">
        <v>17</v>
      </c>
      <c r="N328" t="s">
        <v>698</v>
      </c>
    </row>
    <row r="329" spans="1:14" x14ac:dyDescent="0.3">
      <c r="A329">
        <v>2</v>
      </c>
      <c r="B329">
        <v>0</v>
      </c>
      <c r="C329" t="s">
        <v>699</v>
      </c>
      <c r="D329" t="s">
        <v>20</v>
      </c>
      <c r="E329">
        <v>25</v>
      </c>
      <c r="F329">
        <v>0</v>
      </c>
      <c r="G329">
        <v>0</v>
      </c>
      <c r="H329" t="s">
        <v>700</v>
      </c>
      <c r="I329">
        <v>10.5</v>
      </c>
      <c r="K329" t="s">
        <v>17</v>
      </c>
      <c r="N329" t="s">
        <v>701</v>
      </c>
    </row>
    <row r="330" spans="1:14" x14ac:dyDescent="0.3">
      <c r="A330">
        <v>2</v>
      </c>
      <c r="B330">
        <v>0</v>
      </c>
      <c r="C330" t="s">
        <v>702</v>
      </c>
      <c r="D330" t="s">
        <v>20</v>
      </c>
      <c r="E330">
        <v>34</v>
      </c>
      <c r="F330">
        <v>1</v>
      </c>
      <c r="G330">
        <v>0</v>
      </c>
      <c r="H330">
        <v>226875</v>
      </c>
      <c r="I330">
        <v>26</v>
      </c>
      <c r="K330" t="s">
        <v>17</v>
      </c>
      <c r="N330" t="s">
        <v>703</v>
      </c>
    </row>
    <row r="331" spans="1:14" x14ac:dyDescent="0.3">
      <c r="A331">
        <v>2</v>
      </c>
      <c r="B331">
        <v>1</v>
      </c>
      <c r="C331" t="s">
        <v>704</v>
      </c>
      <c r="D331" t="s">
        <v>15</v>
      </c>
      <c r="E331">
        <v>36</v>
      </c>
      <c r="F331">
        <v>1</v>
      </c>
      <c r="G331">
        <v>0</v>
      </c>
      <c r="H331">
        <v>226875</v>
      </c>
      <c r="I331">
        <v>26</v>
      </c>
      <c r="K331" t="s">
        <v>17</v>
      </c>
      <c r="L331">
        <v>11</v>
      </c>
      <c r="N331" t="s">
        <v>703</v>
      </c>
    </row>
    <row r="332" spans="1:14" x14ac:dyDescent="0.3">
      <c r="A332">
        <v>2</v>
      </c>
      <c r="B332">
        <v>0</v>
      </c>
      <c r="C332" t="s">
        <v>705</v>
      </c>
      <c r="D332" t="s">
        <v>20</v>
      </c>
      <c r="E332">
        <v>57</v>
      </c>
      <c r="F332">
        <v>0</v>
      </c>
      <c r="G332">
        <v>0</v>
      </c>
      <c r="H332">
        <v>244346</v>
      </c>
      <c r="I332">
        <v>13</v>
      </c>
      <c r="K332" t="s">
        <v>17</v>
      </c>
      <c r="N332" t="s">
        <v>706</v>
      </c>
    </row>
    <row r="333" spans="1:14" x14ac:dyDescent="0.3">
      <c r="A333">
        <v>2</v>
      </c>
      <c r="B333">
        <v>0</v>
      </c>
      <c r="C333" t="s">
        <v>707</v>
      </c>
      <c r="D333" t="s">
        <v>20</v>
      </c>
      <c r="E333">
        <v>18</v>
      </c>
      <c r="F333">
        <v>0</v>
      </c>
      <c r="G333">
        <v>0</v>
      </c>
      <c r="H333">
        <v>29108</v>
      </c>
      <c r="I333">
        <v>11.5</v>
      </c>
      <c r="K333" t="s">
        <v>17</v>
      </c>
      <c r="N333" t="s">
        <v>708</v>
      </c>
    </row>
    <row r="334" spans="1:14" x14ac:dyDescent="0.3">
      <c r="A334">
        <v>2</v>
      </c>
      <c r="B334">
        <v>0</v>
      </c>
      <c r="C334" t="s">
        <v>709</v>
      </c>
      <c r="D334" t="s">
        <v>20</v>
      </c>
      <c r="E334">
        <v>23</v>
      </c>
      <c r="F334">
        <v>0</v>
      </c>
      <c r="G334">
        <v>0</v>
      </c>
      <c r="H334" t="s">
        <v>710</v>
      </c>
      <c r="I334">
        <v>10.5</v>
      </c>
      <c r="K334" t="s">
        <v>17</v>
      </c>
      <c r="N334" t="s">
        <v>711</v>
      </c>
    </row>
    <row r="335" spans="1:14" x14ac:dyDescent="0.3">
      <c r="A335">
        <v>2</v>
      </c>
      <c r="B335">
        <v>1</v>
      </c>
      <c r="C335" t="s">
        <v>712</v>
      </c>
      <c r="D335" t="s">
        <v>15</v>
      </c>
      <c r="E335">
        <v>36</v>
      </c>
      <c r="F335">
        <v>0</v>
      </c>
      <c r="G335">
        <v>0</v>
      </c>
      <c r="H335">
        <v>28551</v>
      </c>
      <c r="I335">
        <v>13</v>
      </c>
      <c r="J335" t="s">
        <v>37</v>
      </c>
      <c r="K335" t="s">
        <v>17</v>
      </c>
      <c r="L335">
        <v>10</v>
      </c>
      <c r="N335" t="s">
        <v>713</v>
      </c>
    </row>
    <row r="336" spans="1:14" x14ac:dyDescent="0.3">
      <c r="A336">
        <v>2</v>
      </c>
      <c r="B336">
        <v>0</v>
      </c>
      <c r="C336" t="s">
        <v>714</v>
      </c>
      <c r="D336" t="s">
        <v>20</v>
      </c>
      <c r="E336">
        <v>28</v>
      </c>
      <c r="F336">
        <v>0</v>
      </c>
      <c r="G336">
        <v>0</v>
      </c>
      <c r="H336" t="s">
        <v>715</v>
      </c>
      <c r="I336">
        <v>10.5</v>
      </c>
      <c r="K336" t="s">
        <v>17</v>
      </c>
      <c r="N336" t="s">
        <v>716</v>
      </c>
    </row>
    <row r="337" spans="1:14" x14ac:dyDescent="0.3">
      <c r="A337">
        <v>2</v>
      </c>
      <c r="B337">
        <v>0</v>
      </c>
      <c r="C337" t="s">
        <v>717</v>
      </c>
      <c r="D337" t="s">
        <v>20</v>
      </c>
      <c r="E337">
        <v>51</v>
      </c>
      <c r="F337">
        <v>0</v>
      </c>
      <c r="G337">
        <v>0</v>
      </c>
      <c r="H337" t="s">
        <v>718</v>
      </c>
      <c r="I337">
        <v>12.525</v>
      </c>
      <c r="K337" t="s">
        <v>17</v>
      </c>
      <c r="M337">
        <v>174</v>
      </c>
      <c r="N337" t="s">
        <v>719</v>
      </c>
    </row>
    <row r="338" spans="1:14" x14ac:dyDescent="0.3">
      <c r="A338">
        <v>2</v>
      </c>
      <c r="B338">
        <v>1</v>
      </c>
      <c r="C338" t="s">
        <v>720</v>
      </c>
      <c r="D338" t="s">
        <v>20</v>
      </c>
      <c r="E338">
        <v>32</v>
      </c>
      <c r="F338">
        <v>1</v>
      </c>
      <c r="G338">
        <v>0</v>
      </c>
      <c r="H338">
        <v>2908</v>
      </c>
      <c r="I338">
        <v>26</v>
      </c>
      <c r="K338" t="s">
        <v>17</v>
      </c>
      <c r="L338">
        <v>13</v>
      </c>
      <c r="N338" t="s">
        <v>721</v>
      </c>
    </row>
    <row r="339" spans="1:14" x14ac:dyDescent="0.3">
      <c r="A339">
        <v>2</v>
      </c>
      <c r="B339">
        <v>1</v>
      </c>
      <c r="C339" t="s">
        <v>722</v>
      </c>
      <c r="D339" t="s">
        <v>15</v>
      </c>
      <c r="E339">
        <v>19</v>
      </c>
      <c r="F339">
        <v>1</v>
      </c>
      <c r="G339">
        <v>0</v>
      </c>
      <c r="H339">
        <v>2908</v>
      </c>
      <c r="I339">
        <v>26</v>
      </c>
      <c r="K339" t="s">
        <v>17</v>
      </c>
      <c r="L339">
        <v>13</v>
      </c>
      <c r="N339" t="s">
        <v>721</v>
      </c>
    </row>
    <row r="340" spans="1:14" x14ac:dyDescent="0.3">
      <c r="A340">
        <v>2</v>
      </c>
      <c r="B340">
        <v>0</v>
      </c>
      <c r="C340" t="s">
        <v>723</v>
      </c>
      <c r="D340" t="s">
        <v>20</v>
      </c>
      <c r="E340">
        <v>28</v>
      </c>
      <c r="F340">
        <v>0</v>
      </c>
      <c r="G340">
        <v>0</v>
      </c>
      <c r="H340">
        <v>244358</v>
      </c>
      <c r="I340">
        <v>26</v>
      </c>
      <c r="K340" t="s">
        <v>17</v>
      </c>
      <c r="N340" t="s">
        <v>724</v>
      </c>
    </row>
    <row r="341" spans="1:14" x14ac:dyDescent="0.3">
      <c r="A341">
        <v>2</v>
      </c>
      <c r="B341">
        <v>1</v>
      </c>
      <c r="C341" t="s">
        <v>725</v>
      </c>
      <c r="D341" t="s">
        <v>20</v>
      </c>
      <c r="E341">
        <v>1</v>
      </c>
      <c r="F341">
        <v>2</v>
      </c>
      <c r="G341">
        <v>1</v>
      </c>
      <c r="H341">
        <v>230136</v>
      </c>
      <c r="I341">
        <v>39</v>
      </c>
      <c r="J341" t="s">
        <v>726</v>
      </c>
      <c r="K341" t="s">
        <v>17</v>
      </c>
      <c r="L341">
        <v>11</v>
      </c>
      <c r="N341" t="s">
        <v>727</v>
      </c>
    </row>
    <row r="342" spans="1:14" x14ac:dyDescent="0.3">
      <c r="A342">
        <v>2</v>
      </c>
      <c r="B342">
        <v>1</v>
      </c>
      <c r="C342" t="s">
        <v>728</v>
      </c>
      <c r="D342" t="s">
        <v>15</v>
      </c>
      <c r="E342">
        <v>4</v>
      </c>
      <c r="F342">
        <v>2</v>
      </c>
      <c r="G342">
        <v>1</v>
      </c>
      <c r="H342">
        <v>230136</v>
      </c>
      <c r="I342">
        <v>39</v>
      </c>
      <c r="J342" t="s">
        <v>726</v>
      </c>
      <c r="K342" t="s">
        <v>17</v>
      </c>
      <c r="L342">
        <v>11</v>
      </c>
      <c r="N342" t="s">
        <v>727</v>
      </c>
    </row>
    <row r="343" spans="1:14" x14ac:dyDescent="0.3">
      <c r="A343">
        <v>2</v>
      </c>
      <c r="B343">
        <v>1</v>
      </c>
      <c r="C343" t="s">
        <v>729</v>
      </c>
      <c r="D343" t="s">
        <v>15</v>
      </c>
      <c r="E343">
        <v>12</v>
      </c>
      <c r="F343">
        <v>2</v>
      </c>
      <c r="G343">
        <v>1</v>
      </c>
      <c r="H343">
        <v>230136</v>
      </c>
      <c r="I343">
        <v>39</v>
      </c>
      <c r="J343" t="s">
        <v>726</v>
      </c>
      <c r="K343" t="s">
        <v>17</v>
      </c>
      <c r="L343">
        <v>13</v>
      </c>
      <c r="N343" t="s">
        <v>727</v>
      </c>
    </row>
    <row r="344" spans="1:14" x14ac:dyDescent="0.3">
      <c r="A344">
        <v>2</v>
      </c>
      <c r="B344">
        <v>1</v>
      </c>
      <c r="C344" t="s">
        <v>730</v>
      </c>
      <c r="D344" t="s">
        <v>15</v>
      </c>
      <c r="E344">
        <v>36</v>
      </c>
      <c r="F344">
        <v>0</v>
      </c>
      <c r="G344">
        <v>3</v>
      </c>
      <c r="H344">
        <v>230136</v>
      </c>
      <c r="I344">
        <v>39</v>
      </c>
      <c r="J344" t="s">
        <v>726</v>
      </c>
      <c r="K344" t="s">
        <v>17</v>
      </c>
      <c r="L344">
        <v>11</v>
      </c>
      <c r="N344" t="s">
        <v>727</v>
      </c>
    </row>
    <row r="345" spans="1:14" x14ac:dyDescent="0.3">
      <c r="A345">
        <v>2</v>
      </c>
      <c r="B345">
        <v>1</v>
      </c>
      <c r="C345" t="s">
        <v>731</v>
      </c>
      <c r="D345" t="s">
        <v>20</v>
      </c>
      <c r="E345">
        <v>34</v>
      </c>
      <c r="F345">
        <v>0</v>
      </c>
      <c r="G345">
        <v>0</v>
      </c>
      <c r="H345">
        <v>248698</v>
      </c>
      <c r="I345">
        <v>13</v>
      </c>
      <c r="J345" t="s">
        <v>732</v>
      </c>
      <c r="K345" t="s">
        <v>17</v>
      </c>
      <c r="L345">
        <v>13</v>
      </c>
      <c r="N345" t="s">
        <v>392</v>
      </c>
    </row>
    <row r="346" spans="1:14" x14ac:dyDescent="0.3">
      <c r="A346">
        <v>2</v>
      </c>
      <c r="B346">
        <v>1</v>
      </c>
      <c r="C346" t="s">
        <v>733</v>
      </c>
      <c r="D346" t="s">
        <v>15</v>
      </c>
      <c r="E346">
        <v>19</v>
      </c>
      <c r="F346">
        <v>0</v>
      </c>
      <c r="G346">
        <v>0</v>
      </c>
      <c r="H346">
        <v>28404</v>
      </c>
      <c r="I346">
        <v>13</v>
      </c>
      <c r="K346" t="s">
        <v>17</v>
      </c>
      <c r="L346">
        <v>12</v>
      </c>
      <c r="N346" t="s">
        <v>734</v>
      </c>
    </row>
    <row r="347" spans="1:14" x14ac:dyDescent="0.3">
      <c r="A347">
        <v>2</v>
      </c>
      <c r="B347">
        <v>0</v>
      </c>
      <c r="C347" t="s">
        <v>735</v>
      </c>
      <c r="D347" t="s">
        <v>20</v>
      </c>
      <c r="E347">
        <v>23</v>
      </c>
      <c r="F347">
        <v>0</v>
      </c>
      <c r="G347">
        <v>0</v>
      </c>
      <c r="H347">
        <v>28425</v>
      </c>
      <c r="I347">
        <v>13</v>
      </c>
      <c r="K347" t="s">
        <v>17</v>
      </c>
      <c r="N347" t="s">
        <v>736</v>
      </c>
    </row>
    <row r="348" spans="1:14" x14ac:dyDescent="0.3">
      <c r="A348">
        <v>2</v>
      </c>
      <c r="B348">
        <v>0</v>
      </c>
      <c r="C348" t="s">
        <v>737</v>
      </c>
      <c r="D348" t="s">
        <v>20</v>
      </c>
      <c r="E348">
        <v>26</v>
      </c>
      <c r="F348">
        <v>0</v>
      </c>
      <c r="G348">
        <v>0</v>
      </c>
      <c r="H348">
        <v>237670</v>
      </c>
      <c r="I348">
        <v>13</v>
      </c>
      <c r="K348" t="s">
        <v>17</v>
      </c>
      <c r="N348" t="s">
        <v>738</v>
      </c>
    </row>
    <row r="349" spans="1:14" x14ac:dyDescent="0.3">
      <c r="A349">
        <v>2</v>
      </c>
      <c r="B349">
        <v>0</v>
      </c>
      <c r="C349" t="s">
        <v>739</v>
      </c>
      <c r="D349" t="s">
        <v>20</v>
      </c>
      <c r="E349">
        <v>42</v>
      </c>
      <c r="F349">
        <v>0</v>
      </c>
      <c r="G349">
        <v>0</v>
      </c>
      <c r="H349">
        <v>211535</v>
      </c>
      <c r="I349">
        <v>13</v>
      </c>
      <c r="K349" t="s">
        <v>17</v>
      </c>
      <c r="N349" t="s">
        <v>392</v>
      </c>
    </row>
    <row r="350" spans="1:14" x14ac:dyDescent="0.3">
      <c r="A350">
        <v>2</v>
      </c>
      <c r="B350">
        <v>0</v>
      </c>
      <c r="C350" t="s">
        <v>740</v>
      </c>
      <c r="D350" t="s">
        <v>20</v>
      </c>
      <c r="E350">
        <v>27</v>
      </c>
      <c r="F350">
        <v>0</v>
      </c>
      <c r="G350">
        <v>0</v>
      </c>
      <c r="H350">
        <v>220367</v>
      </c>
      <c r="I350">
        <v>13</v>
      </c>
      <c r="K350" t="s">
        <v>17</v>
      </c>
      <c r="N350" t="s">
        <v>741</v>
      </c>
    </row>
    <row r="351" spans="1:14" x14ac:dyDescent="0.3">
      <c r="A351">
        <v>2</v>
      </c>
      <c r="B351">
        <v>1</v>
      </c>
      <c r="C351" t="s">
        <v>742</v>
      </c>
      <c r="D351" t="s">
        <v>15</v>
      </c>
      <c r="E351">
        <v>24</v>
      </c>
      <c r="F351">
        <v>0</v>
      </c>
      <c r="G351">
        <v>0</v>
      </c>
      <c r="H351">
        <v>248733</v>
      </c>
      <c r="I351">
        <v>13</v>
      </c>
      <c r="J351" t="s">
        <v>743</v>
      </c>
      <c r="K351" t="s">
        <v>17</v>
      </c>
      <c r="L351">
        <v>11</v>
      </c>
      <c r="N351" t="s">
        <v>744</v>
      </c>
    </row>
    <row r="352" spans="1:14" x14ac:dyDescent="0.3">
      <c r="A352">
        <v>2</v>
      </c>
      <c r="B352">
        <v>1</v>
      </c>
      <c r="C352" t="s">
        <v>745</v>
      </c>
      <c r="D352" t="s">
        <v>15</v>
      </c>
      <c r="E352">
        <v>15</v>
      </c>
      <c r="F352">
        <v>0</v>
      </c>
      <c r="G352">
        <v>2</v>
      </c>
      <c r="H352">
        <v>29750</v>
      </c>
      <c r="I352">
        <v>39</v>
      </c>
      <c r="K352" t="s">
        <v>17</v>
      </c>
      <c r="L352">
        <v>14</v>
      </c>
      <c r="N352" t="s">
        <v>746</v>
      </c>
    </row>
    <row r="353" spans="1:14" x14ac:dyDescent="0.3">
      <c r="A353">
        <v>2</v>
      </c>
      <c r="B353">
        <v>0</v>
      </c>
      <c r="C353" t="s">
        <v>747</v>
      </c>
      <c r="D353" t="s">
        <v>20</v>
      </c>
      <c r="E353">
        <v>60</v>
      </c>
      <c r="F353">
        <v>1</v>
      </c>
      <c r="G353">
        <v>1</v>
      </c>
      <c r="H353">
        <v>29750</v>
      </c>
      <c r="I353">
        <v>39</v>
      </c>
      <c r="K353" t="s">
        <v>17</v>
      </c>
      <c r="N353" t="s">
        <v>746</v>
      </c>
    </row>
    <row r="354" spans="1:14" x14ac:dyDescent="0.3">
      <c r="A354">
        <v>2</v>
      </c>
      <c r="B354">
        <v>1</v>
      </c>
      <c r="C354" t="s">
        <v>748</v>
      </c>
      <c r="D354" t="s">
        <v>15</v>
      </c>
      <c r="E354">
        <v>40</v>
      </c>
      <c r="F354">
        <v>1</v>
      </c>
      <c r="G354">
        <v>1</v>
      </c>
      <c r="H354">
        <v>29750</v>
      </c>
      <c r="I354">
        <v>39</v>
      </c>
      <c r="K354" t="s">
        <v>17</v>
      </c>
      <c r="L354">
        <v>14</v>
      </c>
      <c r="N354" t="s">
        <v>746</v>
      </c>
    </row>
    <row r="355" spans="1:14" x14ac:dyDescent="0.3">
      <c r="A355">
        <v>2</v>
      </c>
      <c r="B355">
        <v>1</v>
      </c>
      <c r="C355" t="s">
        <v>749</v>
      </c>
      <c r="D355" t="s">
        <v>15</v>
      </c>
      <c r="E355">
        <v>20</v>
      </c>
      <c r="F355">
        <v>1</v>
      </c>
      <c r="G355">
        <v>0</v>
      </c>
      <c r="H355">
        <v>236853</v>
      </c>
      <c r="I355">
        <v>26</v>
      </c>
      <c r="K355" t="s">
        <v>17</v>
      </c>
      <c r="L355">
        <v>12</v>
      </c>
      <c r="N355" t="s">
        <v>750</v>
      </c>
    </row>
    <row r="356" spans="1:14" x14ac:dyDescent="0.3">
      <c r="A356">
        <v>2</v>
      </c>
      <c r="B356">
        <v>0</v>
      </c>
      <c r="C356" t="s">
        <v>751</v>
      </c>
      <c r="D356" t="s">
        <v>20</v>
      </c>
      <c r="E356">
        <v>25</v>
      </c>
      <c r="F356">
        <v>1</v>
      </c>
      <c r="G356">
        <v>0</v>
      </c>
      <c r="H356">
        <v>236853</v>
      </c>
      <c r="I356">
        <v>26</v>
      </c>
      <c r="K356" t="s">
        <v>17</v>
      </c>
      <c r="N356" t="s">
        <v>750</v>
      </c>
    </row>
    <row r="357" spans="1:14" x14ac:dyDescent="0.3">
      <c r="A357">
        <v>2</v>
      </c>
      <c r="B357">
        <v>1</v>
      </c>
      <c r="C357" t="s">
        <v>752</v>
      </c>
      <c r="D357" t="s">
        <v>15</v>
      </c>
      <c r="E357">
        <v>36</v>
      </c>
      <c r="F357">
        <v>0</v>
      </c>
      <c r="G357">
        <v>0</v>
      </c>
      <c r="H357">
        <v>27849</v>
      </c>
      <c r="I357">
        <v>13</v>
      </c>
      <c r="K357" t="s">
        <v>17</v>
      </c>
      <c r="L357">
        <v>9</v>
      </c>
      <c r="N357" t="s">
        <v>753</v>
      </c>
    </row>
    <row r="358" spans="1:14" x14ac:dyDescent="0.3">
      <c r="A358">
        <v>2</v>
      </c>
      <c r="B358">
        <v>0</v>
      </c>
      <c r="C358" t="s">
        <v>754</v>
      </c>
      <c r="D358" t="s">
        <v>20</v>
      </c>
      <c r="E358">
        <v>25</v>
      </c>
      <c r="F358">
        <v>0</v>
      </c>
      <c r="G358">
        <v>0</v>
      </c>
      <c r="H358">
        <v>234686</v>
      </c>
      <c r="I358">
        <v>13</v>
      </c>
      <c r="K358" t="s">
        <v>17</v>
      </c>
      <c r="M358">
        <v>97</v>
      </c>
      <c r="N358" t="s">
        <v>755</v>
      </c>
    </row>
    <row r="359" spans="1:14" x14ac:dyDescent="0.3">
      <c r="A359">
        <v>2</v>
      </c>
      <c r="B359">
        <v>0</v>
      </c>
      <c r="C359" t="s">
        <v>756</v>
      </c>
      <c r="D359" t="s">
        <v>20</v>
      </c>
      <c r="E359">
        <v>42</v>
      </c>
      <c r="F359">
        <v>0</v>
      </c>
      <c r="G359">
        <v>0</v>
      </c>
      <c r="H359">
        <v>244310</v>
      </c>
      <c r="I359">
        <v>13</v>
      </c>
      <c r="K359" t="s">
        <v>17</v>
      </c>
      <c r="N359" t="s">
        <v>392</v>
      </c>
    </row>
    <row r="360" spans="1:14" x14ac:dyDescent="0.3">
      <c r="A360">
        <v>2</v>
      </c>
      <c r="B360">
        <v>1</v>
      </c>
      <c r="C360" t="s">
        <v>757</v>
      </c>
      <c r="D360" t="s">
        <v>15</v>
      </c>
      <c r="E360">
        <v>42</v>
      </c>
      <c r="F360">
        <v>0</v>
      </c>
      <c r="G360">
        <v>0</v>
      </c>
      <c r="H360">
        <v>236852</v>
      </c>
      <c r="I360">
        <v>13</v>
      </c>
      <c r="K360" t="s">
        <v>17</v>
      </c>
      <c r="N360" t="s">
        <v>28</v>
      </c>
    </row>
    <row r="361" spans="1:14" x14ac:dyDescent="0.3">
      <c r="A361">
        <v>2</v>
      </c>
      <c r="B361">
        <v>1</v>
      </c>
      <c r="C361" t="s">
        <v>758</v>
      </c>
      <c r="D361" t="s">
        <v>20</v>
      </c>
      <c r="E361">
        <v>0.83</v>
      </c>
      <c r="F361">
        <v>0</v>
      </c>
      <c r="G361">
        <v>2</v>
      </c>
      <c r="H361">
        <v>248738</v>
      </c>
      <c r="I361">
        <v>29</v>
      </c>
      <c r="K361" t="s">
        <v>17</v>
      </c>
      <c r="L361">
        <v>13</v>
      </c>
      <c r="N361" t="s">
        <v>759</v>
      </c>
    </row>
    <row r="362" spans="1:14" x14ac:dyDescent="0.3">
      <c r="A362">
        <v>2</v>
      </c>
      <c r="B362">
        <v>1</v>
      </c>
      <c r="C362" t="s">
        <v>760</v>
      </c>
      <c r="D362" t="s">
        <v>20</v>
      </c>
      <c r="E362">
        <v>26</v>
      </c>
      <c r="F362">
        <v>1</v>
      </c>
      <c r="G362">
        <v>1</v>
      </c>
      <c r="H362">
        <v>248738</v>
      </c>
      <c r="I362">
        <v>29</v>
      </c>
      <c r="K362" t="s">
        <v>17</v>
      </c>
      <c r="L362">
        <v>13</v>
      </c>
      <c r="N362" t="s">
        <v>759</v>
      </c>
    </row>
    <row r="363" spans="1:14" x14ac:dyDescent="0.3">
      <c r="A363">
        <v>2</v>
      </c>
      <c r="B363">
        <v>1</v>
      </c>
      <c r="C363" t="s">
        <v>761</v>
      </c>
      <c r="D363" t="s">
        <v>15</v>
      </c>
      <c r="E363">
        <v>22</v>
      </c>
      <c r="F363">
        <v>1</v>
      </c>
      <c r="G363">
        <v>1</v>
      </c>
      <c r="H363">
        <v>248738</v>
      </c>
      <c r="I363">
        <v>29</v>
      </c>
      <c r="K363" t="s">
        <v>17</v>
      </c>
      <c r="L363">
        <v>13</v>
      </c>
      <c r="N363" t="s">
        <v>759</v>
      </c>
    </row>
    <row r="364" spans="1:14" x14ac:dyDescent="0.3">
      <c r="A364">
        <v>2</v>
      </c>
      <c r="B364">
        <v>1</v>
      </c>
      <c r="C364" t="s">
        <v>762</v>
      </c>
      <c r="D364" t="s">
        <v>15</v>
      </c>
      <c r="E364">
        <v>35</v>
      </c>
      <c r="F364">
        <v>0</v>
      </c>
      <c r="G364">
        <v>0</v>
      </c>
      <c r="H364" t="s">
        <v>763</v>
      </c>
      <c r="I364">
        <v>21</v>
      </c>
      <c r="K364" t="s">
        <v>17</v>
      </c>
      <c r="L364">
        <v>14</v>
      </c>
      <c r="N364" t="s">
        <v>764</v>
      </c>
    </row>
    <row r="365" spans="1:14" x14ac:dyDescent="0.3">
      <c r="A365">
        <v>2</v>
      </c>
      <c r="B365">
        <v>0</v>
      </c>
      <c r="C365" t="s">
        <v>765</v>
      </c>
      <c r="D365" t="s">
        <v>20</v>
      </c>
      <c r="F365">
        <v>0</v>
      </c>
      <c r="G365">
        <v>0</v>
      </c>
      <c r="H365">
        <v>239853</v>
      </c>
      <c r="I365">
        <v>0</v>
      </c>
      <c r="K365" t="s">
        <v>17</v>
      </c>
      <c r="N365" t="s">
        <v>500</v>
      </c>
    </row>
    <row r="366" spans="1:14" x14ac:dyDescent="0.3">
      <c r="A366">
        <v>2</v>
      </c>
      <c r="B366">
        <v>0</v>
      </c>
      <c r="C366" t="s">
        <v>766</v>
      </c>
      <c r="D366" t="s">
        <v>20</v>
      </c>
      <c r="E366">
        <v>19</v>
      </c>
      <c r="F366">
        <v>0</v>
      </c>
      <c r="G366">
        <v>0</v>
      </c>
      <c r="H366">
        <v>28424</v>
      </c>
      <c r="I366">
        <v>13</v>
      </c>
      <c r="K366" t="s">
        <v>17</v>
      </c>
      <c r="M366">
        <v>18</v>
      </c>
      <c r="N366" t="s">
        <v>736</v>
      </c>
    </row>
    <row r="367" spans="1:14" x14ac:dyDescent="0.3">
      <c r="A367">
        <v>2</v>
      </c>
      <c r="B367">
        <v>0</v>
      </c>
      <c r="C367" t="s">
        <v>767</v>
      </c>
      <c r="D367" t="s">
        <v>15</v>
      </c>
      <c r="E367">
        <v>44</v>
      </c>
      <c r="F367">
        <v>1</v>
      </c>
      <c r="G367">
        <v>0</v>
      </c>
      <c r="H367">
        <v>244252</v>
      </c>
      <c r="I367">
        <v>26</v>
      </c>
      <c r="K367" t="s">
        <v>17</v>
      </c>
      <c r="N367" t="s">
        <v>392</v>
      </c>
    </row>
    <row r="368" spans="1:14" x14ac:dyDescent="0.3">
      <c r="A368">
        <v>2</v>
      </c>
      <c r="B368">
        <v>0</v>
      </c>
      <c r="C368" t="s">
        <v>768</v>
      </c>
      <c r="D368" t="s">
        <v>20</v>
      </c>
      <c r="E368">
        <v>54</v>
      </c>
      <c r="F368">
        <v>1</v>
      </c>
      <c r="G368">
        <v>0</v>
      </c>
      <c r="H368">
        <v>244252</v>
      </c>
      <c r="I368">
        <v>26</v>
      </c>
      <c r="K368" t="s">
        <v>17</v>
      </c>
      <c r="N368" t="s">
        <v>392</v>
      </c>
    </row>
    <row r="369" spans="1:14" x14ac:dyDescent="0.3">
      <c r="A369">
        <v>2</v>
      </c>
      <c r="B369">
        <v>0</v>
      </c>
      <c r="C369" t="s">
        <v>769</v>
      </c>
      <c r="D369" t="s">
        <v>20</v>
      </c>
      <c r="E369">
        <v>52</v>
      </c>
      <c r="F369">
        <v>0</v>
      </c>
      <c r="G369">
        <v>0</v>
      </c>
      <c r="H369">
        <v>248731</v>
      </c>
      <c r="I369">
        <v>13.5</v>
      </c>
      <c r="K369" t="s">
        <v>17</v>
      </c>
      <c r="M369">
        <v>130</v>
      </c>
      <c r="N369" t="s">
        <v>770</v>
      </c>
    </row>
    <row r="370" spans="1:14" x14ac:dyDescent="0.3">
      <c r="A370">
        <v>2</v>
      </c>
      <c r="B370">
        <v>0</v>
      </c>
      <c r="C370" t="s">
        <v>771</v>
      </c>
      <c r="D370" t="s">
        <v>20</v>
      </c>
      <c r="E370">
        <v>37</v>
      </c>
      <c r="F370">
        <v>1</v>
      </c>
      <c r="G370">
        <v>0</v>
      </c>
      <c r="H370" t="s">
        <v>772</v>
      </c>
      <c r="I370">
        <v>26</v>
      </c>
      <c r="K370" t="s">
        <v>17</v>
      </c>
      <c r="M370">
        <v>17</v>
      </c>
      <c r="N370" t="s">
        <v>773</v>
      </c>
    </row>
    <row r="371" spans="1:14" x14ac:dyDescent="0.3">
      <c r="A371">
        <v>2</v>
      </c>
      <c r="B371">
        <v>0</v>
      </c>
      <c r="C371" t="s">
        <v>774</v>
      </c>
      <c r="D371" t="s">
        <v>15</v>
      </c>
      <c r="E371">
        <v>29</v>
      </c>
      <c r="F371">
        <v>1</v>
      </c>
      <c r="G371">
        <v>0</v>
      </c>
      <c r="H371" t="s">
        <v>772</v>
      </c>
      <c r="I371">
        <v>26</v>
      </c>
      <c r="K371" t="s">
        <v>17</v>
      </c>
      <c r="N371" t="s">
        <v>773</v>
      </c>
    </row>
    <row r="372" spans="1:14" x14ac:dyDescent="0.3">
      <c r="A372">
        <v>2</v>
      </c>
      <c r="B372">
        <v>1</v>
      </c>
      <c r="C372" t="s">
        <v>775</v>
      </c>
      <c r="D372" t="s">
        <v>15</v>
      </c>
      <c r="E372">
        <v>25</v>
      </c>
      <c r="F372">
        <v>1</v>
      </c>
      <c r="G372">
        <v>1</v>
      </c>
      <c r="H372">
        <v>237789</v>
      </c>
      <c r="I372">
        <v>30</v>
      </c>
      <c r="K372" t="s">
        <v>17</v>
      </c>
      <c r="L372">
        <v>12</v>
      </c>
      <c r="N372" t="s">
        <v>392</v>
      </c>
    </row>
    <row r="373" spans="1:14" x14ac:dyDescent="0.3">
      <c r="A373">
        <v>2</v>
      </c>
      <c r="B373">
        <v>1</v>
      </c>
      <c r="C373" t="s">
        <v>776</v>
      </c>
      <c r="D373" t="s">
        <v>15</v>
      </c>
      <c r="E373">
        <v>45</v>
      </c>
      <c r="F373">
        <v>0</v>
      </c>
      <c r="G373">
        <v>2</v>
      </c>
      <c r="H373">
        <v>237789</v>
      </c>
      <c r="I373">
        <v>30</v>
      </c>
      <c r="K373" t="s">
        <v>17</v>
      </c>
      <c r="L373">
        <v>12</v>
      </c>
      <c r="N373" t="s">
        <v>392</v>
      </c>
    </row>
    <row r="374" spans="1:14" x14ac:dyDescent="0.3">
      <c r="A374">
        <v>2</v>
      </c>
      <c r="B374">
        <v>0</v>
      </c>
      <c r="C374" t="s">
        <v>777</v>
      </c>
      <c r="D374" t="s">
        <v>20</v>
      </c>
      <c r="E374">
        <v>29</v>
      </c>
      <c r="F374">
        <v>1</v>
      </c>
      <c r="G374">
        <v>0</v>
      </c>
      <c r="H374">
        <v>2003</v>
      </c>
      <c r="I374">
        <v>26</v>
      </c>
      <c r="K374" t="s">
        <v>17</v>
      </c>
      <c r="N374" t="s">
        <v>778</v>
      </c>
    </row>
    <row r="375" spans="1:14" x14ac:dyDescent="0.3">
      <c r="A375">
        <v>2</v>
      </c>
      <c r="B375">
        <v>1</v>
      </c>
      <c r="C375" t="s">
        <v>779</v>
      </c>
      <c r="D375" t="s">
        <v>15</v>
      </c>
      <c r="E375">
        <v>28</v>
      </c>
      <c r="F375">
        <v>1</v>
      </c>
      <c r="G375">
        <v>0</v>
      </c>
      <c r="H375">
        <v>2003</v>
      </c>
      <c r="I375">
        <v>26</v>
      </c>
      <c r="K375" t="s">
        <v>17</v>
      </c>
      <c r="L375">
        <v>14</v>
      </c>
      <c r="N375" t="s">
        <v>778</v>
      </c>
    </row>
    <row r="376" spans="1:14" x14ac:dyDescent="0.3">
      <c r="A376">
        <v>2</v>
      </c>
      <c r="B376">
        <v>0</v>
      </c>
      <c r="C376" t="s">
        <v>780</v>
      </c>
      <c r="D376" t="s">
        <v>20</v>
      </c>
      <c r="E376">
        <v>29</v>
      </c>
      <c r="F376">
        <v>0</v>
      </c>
      <c r="G376">
        <v>0</v>
      </c>
      <c r="H376" t="s">
        <v>781</v>
      </c>
      <c r="I376">
        <v>10.5</v>
      </c>
      <c r="K376" t="s">
        <v>17</v>
      </c>
      <c r="N376" t="s">
        <v>782</v>
      </c>
    </row>
    <row r="377" spans="1:14" x14ac:dyDescent="0.3">
      <c r="A377">
        <v>2</v>
      </c>
      <c r="B377">
        <v>0</v>
      </c>
      <c r="C377" t="s">
        <v>783</v>
      </c>
      <c r="D377" t="s">
        <v>20</v>
      </c>
      <c r="E377">
        <v>28</v>
      </c>
      <c r="F377">
        <v>0</v>
      </c>
      <c r="G377">
        <v>0</v>
      </c>
      <c r="H377">
        <v>248740</v>
      </c>
      <c r="I377">
        <v>13</v>
      </c>
      <c r="K377" t="s">
        <v>17</v>
      </c>
      <c r="N377" t="s">
        <v>784</v>
      </c>
    </row>
    <row r="378" spans="1:14" x14ac:dyDescent="0.3">
      <c r="A378">
        <v>2</v>
      </c>
      <c r="B378">
        <v>1</v>
      </c>
      <c r="C378" t="s">
        <v>785</v>
      </c>
      <c r="D378" t="s">
        <v>20</v>
      </c>
      <c r="E378">
        <v>24</v>
      </c>
      <c r="F378">
        <v>0</v>
      </c>
      <c r="G378">
        <v>0</v>
      </c>
      <c r="H378">
        <v>28034</v>
      </c>
      <c r="I378">
        <v>10.5</v>
      </c>
      <c r="K378" t="s">
        <v>17</v>
      </c>
      <c r="L378">
        <v>9</v>
      </c>
      <c r="N378" t="s">
        <v>786</v>
      </c>
    </row>
    <row r="379" spans="1:14" x14ac:dyDescent="0.3">
      <c r="A379">
        <v>2</v>
      </c>
      <c r="B379">
        <v>1</v>
      </c>
      <c r="C379" t="s">
        <v>787</v>
      </c>
      <c r="D379" t="s">
        <v>15</v>
      </c>
      <c r="E379">
        <v>8</v>
      </c>
      <c r="F379">
        <v>0</v>
      </c>
      <c r="G379">
        <v>2</v>
      </c>
      <c r="H379" t="s">
        <v>788</v>
      </c>
      <c r="I379">
        <v>26.25</v>
      </c>
      <c r="K379" t="s">
        <v>17</v>
      </c>
      <c r="L379">
        <v>14</v>
      </c>
      <c r="N379" t="s">
        <v>789</v>
      </c>
    </row>
    <row r="380" spans="1:14" x14ac:dyDescent="0.3">
      <c r="A380">
        <v>2</v>
      </c>
      <c r="B380">
        <v>0</v>
      </c>
      <c r="C380" t="s">
        <v>790</v>
      </c>
      <c r="D380" t="s">
        <v>20</v>
      </c>
      <c r="E380">
        <v>31</v>
      </c>
      <c r="F380">
        <v>1</v>
      </c>
      <c r="G380">
        <v>1</v>
      </c>
      <c r="H380" t="s">
        <v>788</v>
      </c>
      <c r="I380">
        <v>26.25</v>
      </c>
      <c r="K380" t="s">
        <v>17</v>
      </c>
      <c r="N380" t="s">
        <v>789</v>
      </c>
    </row>
    <row r="381" spans="1:14" x14ac:dyDescent="0.3">
      <c r="A381">
        <v>2</v>
      </c>
      <c r="B381">
        <v>1</v>
      </c>
      <c r="C381" t="s">
        <v>791</v>
      </c>
      <c r="D381" t="s">
        <v>15</v>
      </c>
      <c r="E381">
        <v>31</v>
      </c>
      <c r="F381">
        <v>1</v>
      </c>
      <c r="G381">
        <v>1</v>
      </c>
      <c r="H381" t="s">
        <v>788</v>
      </c>
      <c r="I381">
        <v>26.25</v>
      </c>
      <c r="K381" t="s">
        <v>17</v>
      </c>
      <c r="L381">
        <v>14</v>
      </c>
      <c r="N381" t="s">
        <v>789</v>
      </c>
    </row>
    <row r="382" spans="1:14" x14ac:dyDescent="0.3">
      <c r="A382">
        <v>2</v>
      </c>
      <c r="B382">
        <v>1</v>
      </c>
      <c r="C382" t="s">
        <v>792</v>
      </c>
      <c r="D382" t="s">
        <v>15</v>
      </c>
      <c r="E382">
        <v>22</v>
      </c>
      <c r="F382">
        <v>0</v>
      </c>
      <c r="G382">
        <v>0</v>
      </c>
      <c r="H382" t="s">
        <v>793</v>
      </c>
      <c r="I382">
        <v>10.5</v>
      </c>
      <c r="J382" t="s">
        <v>743</v>
      </c>
      <c r="K382" t="s">
        <v>17</v>
      </c>
      <c r="L382">
        <v>14</v>
      </c>
      <c r="N382" t="s">
        <v>794</v>
      </c>
    </row>
    <row r="383" spans="1:14" x14ac:dyDescent="0.3">
      <c r="A383">
        <v>2</v>
      </c>
      <c r="B383">
        <v>0</v>
      </c>
      <c r="C383" t="s">
        <v>795</v>
      </c>
      <c r="D383" t="s">
        <v>15</v>
      </c>
      <c r="E383">
        <v>30</v>
      </c>
      <c r="F383">
        <v>0</v>
      </c>
      <c r="G383">
        <v>0</v>
      </c>
      <c r="H383">
        <v>237249</v>
      </c>
      <c r="I383">
        <v>13</v>
      </c>
      <c r="K383" t="s">
        <v>17</v>
      </c>
      <c r="N383" t="s">
        <v>796</v>
      </c>
    </row>
    <row r="384" spans="1:14" x14ac:dyDescent="0.3">
      <c r="A384">
        <v>2</v>
      </c>
      <c r="B384">
        <v>0</v>
      </c>
      <c r="C384" t="s">
        <v>797</v>
      </c>
      <c r="D384" t="s">
        <v>15</v>
      </c>
      <c r="F384">
        <v>0</v>
      </c>
      <c r="G384">
        <v>0</v>
      </c>
      <c r="H384" t="s">
        <v>798</v>
      </c>
      <c r="I384">
        <v>21</v>
      </c>
      <c r="K384" t="s">
        <v>17</v>
      </c>
      <c r="N384" t="s">
        <v>799</v>
      </c>
    </row>
    <row r="385" spans="1:14" x14ac:dyDescent="0.3">
      <c r="A385">
        <v>2</v>
      </c>
      <c r="B385">
        <v>0</v>
      </c>
      <c r="C385" t="s">
        <v>800</v>
      </c>
      <c r="D385" t="s">
        <v>20</v>
      </c>
      <c r="E385">
        <v>21</v>
      </c>
      <c r="F385">
        <v>0</v>
      </c>
      <c r="G385">
        <v>0</v>
      </c>
      <c r="H385">
        <v>29107</v>
      </c>
      <c r="I385">
        <v>11.5</v>
      </c>
      <c r="K385" t="s">
        <v>17</v>
      </c>
      <c r="N385" t="s">
        <v>708</v>
      </c>
    </row>
    <row r="386" spans="1:14" x14ac:dyDescent="0.3">
      <c r="A386">
        <v>2</v>
      </c>
      <c r="B386">
        <v>0</v>
      </c>
      <c r="C386" t="s">
        <v>801</v>
      </c>
      <c r="D386" t="s">
        <v>20</v>
      </c>
      <c r="F386">
        <v>0</v>
      </c>
      <c r="G386">
        <v>0</v>
      </c>
      <c r="H386">
        <v>239853</v>
      </c>
      <c r="I386">
        <v>0</v>
      </c>
      <c r="K386" t="s">
        <v>17</v>
      </c>
      <c r="N386" t="s">
        <v>500</v>
      </c>
    </row>
    <row r="387" spans="1:14" x14ac:dyDescent="0.3">
      <c r="A387">
        <v>2</v>
      </c>
      <c r="B387">
        <v>1</v>
      </c>
      <c r="C387" t="s">
        <v>802</v>
      </c>
      <c r="D387" t="s">
        <v>20</v>
      </c>
      <c r="E387">
        <v>8</v>
      </c>
      <c r="F387">
        <v>1</v>
      </c>
      <c r="G387">
        <v>1</v>
      </c>
      <c r="H387" t="s">
        <v>803</v>
      </c>
      <c r="I387">
        <v>36.75</v>
      </c>
      <c r="K387" t="s">
        <v>17</v>
      </c>
      <c r="L387">
        <v>14</v>
      </c>
      <c r="N387" t="s">
        <v>804</v>
      </c>
    </row>
    <row r="388" spans="1:14" x14ac:dyDescent="0.3">
      <c r="A388">
        <v>2</v>
      </c>
      <c r="B388">
        <v>0</v>
      </c>
      <c r="C388" t="s">
        <v>805</v>
      </c>
      <c r="D388" t="s">
        <v>20</v>
      </c>
      <c r="E388">
        <v>18</v>
      </c>
      <c r="F388">
        <v>0</v>
      </c>
      <c r="G388">
        <v>0</v>
      </c>
      <c r="H388" t="s">
        <v>806</v>
      </c>
      <c r="I388">
        <v>73.5</v>
      </c>
      <c r="K388" t="s">
        <v>17</v>
      </c>
      <c r="N388" t="s">
        <v>807</v>
      </c>
    </row>
    <row r="389" spans="1:14" x14ac:dyDescent="0.3">
      <c r="A389">
        <v>2</v>
      </c>
      <c r="B389">
        <v>1</v>
      </c>
      <c r="C389" t="s">
        <v>808</v>
      </c>
      <c r="D389" t="s">
        <v>15</v>
      </c>
      <c r="E389">
        <v>48</v>
      </c>
      <c r="F389">
        <v>0</v>
      </c>
      <c r="G389">
        <v>2</v>
      </c>
      <c r="H389" t="s">
        <v>803</v>
      </c>
      <c r="I389">
        <v>36.75</v>
      </c>
      <c r="K389" t="s">
        <v>17</v>
      </c>
      <c r="L389">
        <v>14</v>
      </c>
      <c r="N389" t="s">
        <v>804</v>
      </c>
    </row>
    <row r="390" spans="1:14" x14ac:dyDescent="0.3">
      <c r="A390">
        <v>2</v>
      </c>
      <c r="B390">
        <v>1</v>
      </c>
      <c r="C390" t="s">
        <v>809</v>
      </c>
      <c r="D390" t="s">
        <v>15</v>
      </c>
      <c r="E390">
        <v>28</v>
      </c>
      <c r="F390">
        <v>0</v>
      </c>
      <c r="G390">
        <v>0</v>
      </c>
      <c r="H390">
        <v>237668</v>
      </c>
      <c r="I390">
        <v>13</v>
      </c>
      <c r="K390" t="s">
        <v>17</v>
      </c>
      <c r="L390">
        <v>13</v>
      </c>
      <c r="N390" t="s">
        <v>810</v>
      </c>
    </row>
    <row r="391" spans="1:14" x14ac:dyDescent="0.3">
      <c r="A391">
        <v>2</v>
      </c>
      <c r="B391">
        <v>0</v>
      </c>
      <c r="C391" t="s">
        <v>811</v>
      </c>
      <c r="D391" t="s">
        <v>20</v>
      </c>
      <c r="E391">
        <v>32</v>
      </c>
      <c r="F391">
        <v>0</v>
      </c>
      <c r="G391">
        <v>0</v>
      </c>
      <c r="H391">
        <v>244360</v>
      </c>
      <c r="I391">
        <v>13</v>
      </c>
      <c r="K391" t="s">
        <v>17</v>
      </c>
      <c r="N391" t="s">
        <v>812</v>
      </c>
    </row>
    <row r="392" spans="1:14" x14ac:dyDescent="0.3">
      <c r="A392">
        <v>2</v>
      </c>
      <c r="B392">
        <v>0</v>
      </c>
      <c r="C392" t="s">
        <v>813</v>
      </c>
      <c r="D392" t="s">
        <v>20</v>
      </c>
      <c r="E392">
        <v>17</v>
      </c>
      <c r="F392">
        <v>0</v>
      </c>
      <c r="G392">
        <v>0</v>
      </c>
      <c r="H392" t="s">
        <v>806</v>
      </c>
      <c r="I392">
        <v>73.5</v>
      </c>
      <c r="K392" t="s">
        <v>17</v>
      </c>
    </row>
    <row r="393" spans="1:14" x14ac:dyDescent="0.3">
      <c r="A393">
        <v>2</v>
      </c>
      <c r="B393">
        <v>0</v>
      </c>
      <c r="C393" t="s">
        <v>814</v>
      </c>
      <c r="D393" t="s">
        <v>20</v>
      </c>
      <c r="E393">
        <v>29</v>
      </c>
      <c r="F393">
        <v>1</v>
      </c>
      <c r="G393">
        <v>0</v>
      </c>
      <c r="H393" t="s">
        <v>815</v>
      </c>
      <c r="I393">
        <v>27.720800000000001</v>
      </c>
      <c r="K393" t="s">
        <v>41</v>
      </c>
      <c r="M393">
        <v>295</v>
      </c>
      <c r="N393" t="s">
        <v>816</v>
      </c>
    </row>
    <row r="394" spans="1:14" x14ac:dyDescent="0.3">
      <c r="A394">
        <v>2</v>
      </c>
      <c r="B394">
        <v>1</v>
      </c>
      <c r="C394" t="s">
        <v>817</v>
      </c>
      <c r="D394" t="s">
        <v>15</v>
      </c>
      <c r="E394">
        <v>24</v>
      </c>
      <c r="F394">
        <v>1</v>
      </c>
      <c r="G394">
        <v>0</v>
      </c>
      <c r="H394" t="s">
        <v>815</v>
      </c>
      <c r="I394">
        <v>27.720800000000001</v>
      </c>
      <c r="K394" t="s">
        <v>41</v>
      </c>
      <c r="L394">
        <v>12</v>
      </c>
      <c r="N394" t="s">
        <v>816</v>
      </c>
    </row>
    <row r="395" spans="1:14" x14ac:dyDescent="0.3">
      <c r="A395">
        <v>2</v>
      </c>
      <c r="B395">
        <v>0</v>
      </c>
      <c r="C395" t="s">
        <v>818</v>
      </c>
      <c r="D395" t="s">
        <v>20</v>
      </c>
      <c r="E395">
        <v>25</v>
      </c>
      <c r="F395">
        <v>0</v>
      </c>
      <c r="G395">
        <v>0</v>
      </c>
      <c r="H395" t="s">
        <v>819</v>
      </c>
      <c r="I395">
        <v>31.5</v>
      </c>
      <c r="K395" t="s">
        <v>17</v>
      </c>
      <c r="N395" t="s">
        <v>820</v>
      </c>
    </row>
    <row r="396" spans="1:14" x14ac:dyDescent="0.3">
      <c r="A396">
        <v>2</v>
      </c>
      <c r="B396">
        <v>0</v>
      </c>
      <c r="C396" t="s">
        <v>821</v>
      </c>
      <c r="D396" t="s">
        <v>20</v>
      </c>
      <c r="E396">
        <v>18</v>
      </c>
      <c r="F396">
        <v>0</v>
      </c>
      <c r="G396">
        <v>0</v>
      </c>
      <c r="H396" t="s">
        <v>806</v>
      </c>
      <c r="I396">
        <v>73.5</v>
      </c>
      <c r="K396" t="s">
        <v>17</v>
      </c>
      <c r="N396" t="s">
        <v>822</v>
      </c>
    </row>
    <row r="397" spans="1:14" x14ac:dyDescent="0.3">
      <c r="A397">
        <v>2</v>
      </c>
      <c r="B397">
        <v>1</v>
      </c>
      <c r="C397" t="s">
        <v>823</v>
      </c>
      <c r="D397" t="s">
        <v>15</v>
      </c>
      <c r="E397">
        <v>18</v>
      </c>
      <c r="F397">
        <v>0</v>
      </c>
      <c r="G397">
        <v>1</v>
      </c>
      <c r="H397">
        <v>231919</v>
      </c>
      <c r="I397">
        <v>23</v>
      </c>
      <c r="K397" t="s">
        <v>17</v>
      </c>
      <c r="N397" t="s">
        <v>824</v>
      </c>
    </row>
    <row r="398" spans="1:14" x14ac:dyDescent="0.3">
      <c r="A398">
        <v>2</v>
      </c>
      <c r="B398">
        <v>1</v>
      </c>
      <c r="C398" t="s">
        <v>825</v>
      </c>
      <c r="D398" t="s">
        <v>15</v>
      </c>
      <c r="E398">
        <v>34</v>
      </c>
      <c r="F398">
        <v>0</v>
      </c>
      <c r="G398">
        <v>1</v>
      </c>
      <c r="H398">
        <v>231919</v>
      </c>
      <c r="I398">
        <v>23</v>
      </c>
      <c r="K398" t="s">
        <v>17</v>
      </c>
      <c r="N398" t="s">
        <v>824</v>
      </c>
    </row>
    <row r="399" spans="1:14" x14ac:dyDescent="0.3">
      <c r="A399">
        <v>2</v>
      </c>
      <c r="B399">
        <v>0</v>
      </c>
      <c r="C399" t="s">
        <v>826</v>
      </c>
      <c r="D399" t="s">
        <v>20</v>
      </c>
      <c r="E399">
        <v>54</v>
      </c>
      <c r="F399">
        <v>0</v>
      </c>
      <c r="G399">
        <v>0</v>
      </c>
      <c r="H399">
        <v>28403</v>
      </c>
      <c r="I399">
        <v>26</v>
      </c>
      <c r="K399" t="s">
        <v>17</v>
      </c>
      <c r="N399" t="s">
        <v>827</v>
      </c>
    </row>
    <row r="400" spans="1:14" x14ac:dyDescent="0.3">
      <c r="A400">
        <v>2</v>
      </c>
      <c r="B400">
        <v>1</v>
      </c>
      <c r="C400" t="s">
        <v>828</v>
      </c>
      <c r="D400" t="s">
        <v>20</v>
      </c>
      <c r="E400">
        <v>8</v>
      </c>
      <c r="F400">
        <v>0</v>
      </c>
      <c r="G400">
        <v>2</v>
      </c>
      <c r="H400">
        <v>28220</v>
      </c>
      <c r="I400">
        <v>32.5</v>
      </c>
      <c r="K400" t="s">
        <v>17</v>
      </c>
      <c r="L400">
        <v>10</v>
      </c>
      <c r="N400" t="s">
        <v>829</v>
      </c>
    </row>
    <row r="401" spans="1:14" x14ac:dyDescent="0.3">
      <c r="A401">
        <v>2</v>
      </c>
      <c r="B401">
        <v>0</v>
      </c>
      <c r="C401" t="s">
        <v>830</v>
      </c>
      <c r="D401" t="s">
        <v>20</v>
      </c>
      <c r="E401">
        <v>42</v>
      </c>
      <c r="F401">
        <v>1</v>
      </c>
      <c r="G401">
        <v>1</v>
      </c>
      <c r="H401">
        <v>28220</v>
      </c>
      <c r="I401">
        <v>32.5</v>
      </c>
      <c r="K401" t="s">
        <v>17</v>
      </c>
      <c r="N401" t="s">
        <v>829</v>
      </c>
    </row>
    <row r="402" spans="1:14" x14ac:dyDescent="0.3">
      <c r="A402">
        <v>2</v>
      </c>
      <c r="B402">
        <v>1</v>
      </c>
      <c r="C402" t="s">
        <v>831</v>
      </c>
      <c r="D402" t="s">
        <v>15</v>
      </c>
      <c r="E402">
        <v>34</v>
      </c>
      <c r="F402">
        <v>1</v>
      </c>
      <c r="G402">
        <v>1</v>
      </c>
      <c r="H402">
        <v>28220</v>
      </c>
      <c r="I402">
        <v>32.5</v>
      </c>
      <c r="K402" t="s">
        <v>17</v>
      </c>
      <c r="L402">
        <v>10</v>
      </c>
      <c r="N402" t="s">
        <v>829</v>
      </c>
    </row>
    <row r="403" spans="1:14" x14ac:dyDescent="0.3">
      <c r="A403">
        <v>2</v>
      </c>
      <c r="B403">
        <v>1</v>
      </c>
      <c r="C403" t="s">
        <v>832</v>
      </c>
      <c r="D403" t="s">
        <v>15</v>
      </c>
      <c r="E403">
        <v>27</v>
      </c>
      <c r="F403">
        <v>1</v>
      </c>
      <c r="G403">
        <v>0</v>
      </c>
      <c r="H403" t="s">
        <v>833</v>
      </c>
      <c r="I403">
        <v>13.8583</v>
      </c>
      <c r="K403" t="s">
        <v>41</v>
      </c>
      <c r="L403">
        <v>12</v>
      </c>
      <c r="N403" t="s">
        <v>834</v>
      </c>
    </row>
    <row r="404" spans="1:14" x14ac:dyDescent="0.3">
      <c r="A404">
        <v>2</v>
      </c>
      <c r="B404">
        <v>1</v>
      </c>
      <c r="C404" t="s">
        <v>835</v>
      </c>
      <c r="D404" t="s">
        <v>15</v>
      </c>
      <c r="E404">
        <v>30</v>
      </c>
      <c r="F404">
        <v>1</v>
      </c>
      <c r="G404">
        <v>0</v>
      </c>
      <c r="H404" t="s">
        <v>836</v>
      </c>
      <c r="I404">
        <v>13.8583</v>
      </c>
      <c r="K404" t="s">
        <v>41</v>
      </c>
      <c r="L404">
        <v>12</v>
      </c>
      <c r="N404" t="s">
        <v>834</v>
      </c>
    </row>
    <row r="405" spans="1:14" x14ac:dyDescent="0.3">
      <c r="A405">
        <v>2</v>
      </c>
      <c r="B405">
        <v>0</v>
      </c>
      <c r="C405" t="s">
        <v>837</v>
      </c>
      <c r="D405" t="s">
        <v>20</v>
      </c>
      <c r="E405">
        <v>23</v>
      </c>
      <c r="F405">
        <v>0</v>
      </c>
      <c r="G405">
        <v>0</v>
      </c>
      <c r="H405">
        <v>29751</v>
      </c>
      <c r="I405">
        <v>13</v>
      </c>
      <c r="K405" t="s">
        <v>17</v>
      </c>
      <c r="N405" t="s">
        <v>838</v>
      </c>
    </row>
    <row r="406" spans="1:14" x14ac:dyDescent="0.3">
      <c r="A406">
        <v>2</v>
      </c>
      <c r="B406">
        <v>0</v>
      </c>
      <c r="C406" t="s">
        <v>839</v>
      </c>
      <c r="D406" t="s">
        <v>20</v>
      </c>
      <c r="E406">
        <v>21</v>
      </c>
      <c r="F406">
        <v>0</v>
      </c>
      <c r="G406">
        <v>0</v>
      </c>
      <c r="H406">
        <v>236854</v>
      </c>
      <c r="I406">
        <v>13</v>
      </c>
      <c r="K406" t="s">
        <v>17</v>
      </c>
      <c r="N406" t="s">
        <v>840</v>
      </c>
    </row>
    <row r="407" spans="1:14" x14ac:dyDescent="0.3">
      <c r="A407">
        <v>2</v>
      </c>
      <c r="B407">
        <v>0</v>
      </c>
      <c r="C407" t="s">
        <v>841</v>
      </c>
      <c r="D407" t="s">
        <v>20</v>
      </c>
      <c r="E407">
        <v>18</v>
      </c>
      <c r="F407">
        <v>0</v>
      </c>
      <c r="G407">
        <v>0</v>
      </c>
      <c r="H407">
        <v>236171</v>
      </c>
      <c r="I407">
        <v>13</v>
      </c>
      <c r="K407" t="s">
        <v>17</v>
      </c>
      <c r="N407" t="s">
        <v>842</v>
      </c>
    </row>
    <row r="408" spans="1:14" x14ac:dyDescent="0.3">
      <c r="A408">
        <v>2</v>
      </c>
      <c r="B408">
        <v>0</v>
      </c>
      <c r="C408" t="s">
        <v>843</v>
      </c>
      <c r="D408" t="s">
        <v>20</v>
      </c>
      <c r="E408">
        <v>40</v>
      </c>
      <c r="F408">
        <v>1</v>
      </c>
      <c r="G408">
        <v>0</v>
      </c>
      <c r="H408">
        <v>2926</v>
      </c>
      <c r="I408">
        <v>26</v>
      </c>
      <c r="K408" t="s">
        <v>17</v>
      </c>
      <c r="M408">
        <v>286</v>
      </c>
      <c r="N408" t="s">
        <v>844</v>
      </c>
    </row>
    <row r="409" spans="1:14" x14ac:dyDescent="0.3">
      <c r="A409">
        <v>2</v>
      </c>
      <c r="B409">
        <v>1</v>
      </c>
      <c r="C409" t="s">
        <v>845</v>
      </c>
      <c r="D409" t="s">
        <v>15</v>
      </c>
      <c r="E409">
        <v>29</v>
      </c>
      <c r="F409">
        <v>1</v>
      </c>
      <c r="G409">
        <v>0</v>
      </c>
      <c r="H409">
        <v>2926</v>
      </c>
      <c r="I409">
        <v>26</v>
      </c>
      <c r="K409" t="s">
        <v>17</v>
      </c>
      <c r="L409">
        <v>16</v>
      </c>
    </row>
    <row r="410" spans="1:14" x14ac:dyDescent="0.3">
      <c r="A410">
        <v>2</v>
      </c>
      <c r="B410">
        <v>0</v>
      </c>
      <c r="C410" t="s">
        <v>846</v>
      </c>
      <c r="D410" t="s">
        <v>20</v>
      </c>
      <c r="E410">
        <v>18</v>
      </c>
      <c r="F410">
        <v>0</v>
      </c>
      <c r="G410">
        <v>0</v>
      </c>
      <c r="H410" t="s">
        <v>847</v>
      </c>
      <c r="I410">
        <v>10.5</v>
      </c>
      <c r="K410" t="s">
        <v>17</v>
      </c>
      <c r="N410" t="s">
        <v>848</v>
      </c>
    </row>
    <row r="411" spans="1:14" x14ac:dyDescent="0.3">
      <c r="A411">
        <v>2</v>
      </c>
      <c r="B411">
        <v>0</v>
      </c>
      <c r="C411" t="s">
        <v>849</v>
      </c>
      <c r="D411" t="s">
        <v>20</v>
      </c>
      <c r="E411">
        <v>36</v>
      </c>
      <c r="F411">
        <v>0</v>
      </c>
      <c r="G411">
        <v>0</v>
      </c>
      <c r="H411">
        <v>229236</v>
      </c>
      <c r="I411">
        <v>13</v>
      </c>
      <c r="K411" t="s">
        <v>17</v>
      </c>
      <c r="M411">
        <v>236</v>
      </c>
      <c r="N411" t="s">
        <v>734</v>
      </c>
    </row>
    <row r="412" spans="1:14" x14ac:dyDescent="0.3">
      <c r="A412">
        <v>2</v>
      </c>
      <c r="B412">
        <v>0</v>
      </c>
      <c r="C412" t="s">
        <v>850</v>
      </c>
      <c r="D412" t="s">
        <v>20</v>
      </c>
      <c r="F412">
        <v>0</v>
      </c>
      <c r="G412">
        <v>0</v>
      </c>
      <c r="H412">
        <v>239854</v>
      </c>
      <c r="I412">
        <v>0</v>
      </c>
      <c r="K412" t="s">
        <v>17</v>
      </c>
      <c r="N412" t="s">
        <v>500</v>
      </c>
    </row>
    <row r="413" spans="1:14" x14ac:dyDescent="0.3">
      <c r="A413">
        <v>2</v>
      </c>
      <c r="B413">
        <v>0</v>
      </c>
      <c r="C413" t="s">
        <v>851</v>
      </c>
      <c r="D413" t="s">
        <v>15</v>
      </c>
      <c r="E413">
        <v>38</v>
      </c>
      <c r="F413">
        <v>0</v>
      </c>
      <c r="G413">
        <v>0</v>
      </c>
      <c r="H413">
        <v>237671</v>
      </c>
      <c r="I413">
        <v>13</v>
      </c>
      <c r="K413" t="s">
        <v>17</v>
      </c>
      <c r="N413" t="s">
        <v>852</v>
      </c>
    </row>
    <row r="414" spans="1:14" x14ac:dyDescent="0.3">
      <c r="A414">
        <v>2</v>
      </c>
      <c r="B414">
        <v>0</v>
      </c>
      <c r="C414" t="s">
        <v>853</v>
      </c>
      <c r="D414" t="s">
        <v>20</v>
      </c>
      <c r="E414">
        <v>35</v>
      </c>
      <c r="F414">
        <v>0</v>
      </c>
      <c r="G414">
        <v>0</v>
      </c>
      <c r="H414">
        <v>239865</v>
      </c>
      <c r="I414">
        <v>26</v>
      </c>
      <c r="K414" t="s">
        <v>17</v>
      </c>
      <c r="M414">
        <v>322</v>
      </c>
      <c r="N414" t="s">
        <v>854</v>
      </c>
    </row>
    <row r="415" spans="1:14" x14ac:dyDescent="0.3">
      <c r="A415">
        <v>2</v>
      </c>
      <c r="B415">
        <v>0</v>
      </c>
      <c r="C415" t="s">
        <v>855</v>
      </c>
      <c r="D415" t="s">
        <v>20</v>
      </c>
      <c r="E415">
        <v>38</v>
      </c>
      <c r="F415">
        <v>1</v>
      </c>
      <c r="G415">
        <v>0</v>
      </c>
      <c r="H415">
        <v>28664</v>
      </c>
      <c r="I415">
        <v>21</v>
      </c>
      <c r="K415" t="s">
        <v>17</v>
      </c>
      <c r="N415" t="s">
        <v>856</v>
      </c>
    </row>
    <row r="416" spans="1:14" x14ac:dyDescent="0.3">
      <c r="A416">
        <v>2</v>
      </c>
      <c r="B416">
        <v>0</v>
      </c>
      <c r="C416" t="s">
        <v>857</v>
      </c>
      <c r="D416" t="s">
        <v>20</v>
      </c>
      <c r="E416">
        <v>34</v>
      </c>
      <c r="F416">
        <v>1</v>
      </c>
      <c r="G416">
        <v>0</v>
      </c>
      <c r="H416">
        <v>28664</v>
      </c>
      <c r="I416">
        <v>21</v>
      </c>
      <c r="K416" t="s">
        <v>17</v>
      </c>
      <c r="N416" t="s">
        <v>856</v>
      </c>
    </row>
    <row r="417" spans="1:14" x14ac:dyDescent="0.3">
      <c r="A417">
        <v>2</v>
      </c>
      <c r="B417">
        <v>1</v>
      </c>
      <c r="C417" t="s">
        <v>858</v>
      </c>
      <c r="D417" t="s">
        <v>15</v>
      </c>
      <c r="E417">
        <v>34</v>
      </c>
      <c r="F417">
        <v>0</v>
      </c>
      <c r="G417">
        <v>0</v>
      </c>
      <c r="H417">
        <v>243880</v>
      </c>
      <c r="I417">
        <v>13</v>
      </c>
      <c r="K417" t="s">
        <v>17</v>
      </c>
      <c r="L417">
        <v>12</v>
      </c>
      <c r="N417" t="s">
        <v>266</v>
      </c>
    </row>
    <row r="418" spans="1:14" x14ac:dyDescent="0.3">
      <c r="A418">
        <v>2</v>
      </c>
      <c r="B418">
        <v>0</v>
      </c>
      <c r="C418" t="s">
        <v>859</v>
      </c>
      <c r="D418" t="s">
        <v>20</v>
      </c>
      <c r="E418">
        <v>16</v>
      </c>
      <c r="F418">
        <v>0</v>
      </c>
      <c r="G418">
        <v>0</v>
      </c>
      <c r="H418">
        <v>239865</v>
      </c>
      <c r="I418">
        <v>26</v>
      </c>
      <c r="K418" t="s">
        <v>17</v>
      </c>
      <c r="N418" t="s">
        <v>854</v>
      </c>
    </row>
    <row r="419" spans="1:14" x14ac:dyDescent="0.3">
      <c r="A419">
        <v>2</v>
      </c>
      <c r="B419">
        <v>0</v>
      </c>
      <c r="C419" t="s">
        <v>860</v>
      </c>
      <c r="D419" t="s">
        <v>20</v>
      </c>
      <c r="E419">
        <v>26</v>
      </c>
      <c r="F419">
        <v>0</v>
      </c>
      <c r="G419">
        <v>0</v>
      </c>
      <c r="H419">
        <v>31028</v>
      </c>
      <c r="I419">
        <v>10.5</v>
      </c>
      <c r="K419" t="s">
        <v>17</v>
      </c>
      <c r="N419" t="s">
        <v>820</v>
      </c>
    </row>
    <row r="420" spans="1:14" x14ac:dyDescent="0.3">
      <c r="A420">
        <v>2</v>
      </c>
      <c r="B420">
        <v>0</v>
      </c>
      <c r="C420" t="s">
        <v>861</v>
      </c>
      <c r="D420" t="s">
        <v>20</v>
      </c>
      <c r="E420">
        <v>47</v>
      </c>
      <c r="F420">
        <v>0</v>
      </c>
      <c r="G420">
        <v>0</v>
      </c>
      <c r="H420" t="s">
        <v>862</v>
      </c>
      <c r="I420">
        <v>10.5</v>
      </c>
      <c r="K420" t="s">
        <v>17</v>
      </c>
      <c r="N420" t="s">
        <v>863</v>
      </c>
    </row>
    <row r="421" spans="1:14" x14ac:dyDescent="0.3">
      <c r="A421">
        <v>2</v>
      </c>
      <c r="B421">
        <v>0</v>
      </c>
      <c r="C421" t="s">
        <v>864</v>
      </c>
      <c r="D421" t="s">
        <v>20</v>
      </c>
      <c r="E421">
        <v>21</v>
      </c>
      <c r="F421">
        <v>1</v>
      </c>
      <c r="G421">
        <v>0</v>
      </c>
      <c r="H421">
        <v>28133</v>
      </c>
      <c r="I421">
        <v>11.5</v>
      </c>
      <c r="K421" t="s">
        <v>17</v>
      </c>
      <c r="N421" t="s">
        <v>865</v>
      </c>
    </row>
    <row r="422" spans="1:14" x14ac:dyDescent="0.3">
      <c r="A422">
        <v>2</v>
      </c>
      <c r="B422">
        <v>0</v>
      </c>
      <c r="C422" t="s">
        <v>866</v>
      </c>
      <c r="D422" t="s">
        <v>20</v>
      </c>
      <c r="E422">
        <v>21</v>
      </c>
      <c r="F422">
        <v>1</v>
      </c>
      <c r="G422">
        <v>0</v>
      </c>
      <c r="H422">
        <v>28134</v>
      </c>
      <c r="I422">
        <v>11.5</v>
      </c>
      <c r="K422" t="s">
        <v>17</v>
      </c>
      <c r="N422" t="s">
        <v>865</v>
      </c>
    </row>
    <row r="423" spans="1:14" x14ac:dyDescent="0.3">
      <c r="A423">
        <v>2</v>
      </c>
      <c r="B423">
        <v>0</v>
      </c>
      <c r="C423" t="s">
        <v>867</v>
      </c>
      <c r="D423" t="s">
        <v>20</v>
      </c>
      <c r="E423">
        <v>24</v>
      </c>
      <c r="F423">
        <v>0</v>
      </c>
      <c r="G423">
        <v>0</v>
      </c>
      <c r="H423">
        <v>248726</v>
      </c>
      <c r="I423">
        <v>13.5</v>
      </c>
      <c r="K423" t="s">
        <v>17</v>
      </c>
      <c r="M423">
        <v>297</v>
      </c>
      <c r="N423" t="s">
        <v>868</v>
      </c>
    </row>
    <row r="424" spans="1:14" x14ac:dyDescent="0.3">
      <c r="A424">
        <v>2</v>
      </c>
      <c r="B424">
        <v>0</v>
      </c>
      <c r="C424" t="s">
        <v>869</v>
      </c>
      <c r="D424" t="s">
        <v>20</v>
      </c>
      <c r="E424">
        <v>24</v>
      </c>
      <c r="F424">
        <v>0</v>
      </c>
      <c r="G424">
        <v>0</v>
      </c>
      <c r="H424">
        <v>233866</v>
      </c>
      <c r="I424">
        <v>13</v>
      </c>
      <c r="K424" t="s">
        <v>17</v>
      </c>
      <c r="M424">
        <v>155</v>
      </c>
      <c r="N424" t="s">
        <v>870</v>
      </c>
    </row>
    <row r="425" spans="1:14" x14ac:dyDescent="0.3">
      <c r="A425">
        <v>2</v>
      </c>
      <c r="B425">
        <v>0</v>
      </c>
      <c r="C425" t="s">
        <v>871</v>
      </c>
      <c r="D425" t="s">
        <v>20</v>
      </c>
      <c r="E425">
        <v>34</v>
      </c>
      <c r="F425">
        <v>0</v>
      </c>
      <c r="G425">
        <v>0</v>
      </c>
      <c r="H425">
        <v>12233</v>
      </c>
      <c r="I425">
        <v>13</v>
      </c>
      <c r="K425" t="s">
        <v>17</v>
      </c>
      <c r="N425" t="s">
        <v>450</v>
      </c>
    </row>
    <row r="426" spans="1:14" x14ac:dyDescent="0.3">
      <c r="A426">
        <v>2</v>
      </c>
      <c r="B426">
        <v>0</v>
      </c>
      <c r="C426" t="s">
        <v>872</v>
      </c>
      <c r="D426" t="s">
        <v>20</v>
      </c>
      <c r="E426">
        <v>30</v>
      </c>
      <c r="F426">
        <v>0</v>
      </c>
      <c r="G426">
        <v>0</v>
      </c>
      <c r="H426">
        <v>250646</v>
      </c>
      <c r="I426">
        <v>13</v>
      </c>
      <c r="K426" t="s">
        <v>17</v>
      </c>
      <c r="M426">
        <v>305</v>
      </c>
    </row>
    <row r="427" spans="1:14" x14ac:dyDescent="0.3">
      <c r="A427">
        <v>2</v>
      </c>
      <c r="B427">
        <v>0</v>
      </c>
      <c r="C427" t="s">
        <v>873</v>
      </c>
      <c r="D427" t="s">
        <v>20</v>
      </c>
      <c r="E427">
        <v>52</v>
      </c>
      <c r="F427">
        <v>0</v>
      </c>
      <c r="G427">
        <v>0</v>
      </c>
      <c r="H427">
        <v>250647</v>
      </c>
      <c r="I427">
        <v>13</v>
      </c>
      <c r="K427" t="s">
        <v>17</v>
      </c>
      <c r="M427">
        <v>19</v>
      </c>
      <c r="N427" t="s">
        <v>770</v>
      </c>
    </row>
    <row r="428" spans="1:14" x14ac:dyDescent="0.3">
      <c r="A428">
        <v>2</v>
      </c>
      <c r="B428">
        <v>0</v>
      </c>
      <c r="C428" t="s">
        <v>874</v>
      </c>
      <c r="D428" t="s">
        <v>20</v>
      </c>
      <c r="E428">
        <v>30</v>
      </c>
      <c r="F428">
        <v>0</v>
      </c>
      <c r="G428">
        <v>0</v>
      </c>
      <c r="H428">
        <v>250653</v>
      </c>
      <c r="I428">
        <v>13</v>
      </c>
      <c r="K428" t="s">
        <v>17</v>
      </c>
      <c r="M428">
        <v>75</v>
      </c>
      <c r="N428" t="s">
        <v>875</v>
      </c>
    </row>
    <row r="429" spans="1:14" x14ac:dyDescent="0.3">
      <c r="A429">
        <v>2</v>
      </c>
      <c r="B429">
        <v>1</v>
      </c>
      <c r="C429" t="s">
        <v>876</v>
      </c>
      <c r="D429" t="s">
        <v>20</v>
      </c>
      <c r="E429">
        <v>0.67</v>
      </c>
      <c r="F429">
        <v>1</v>
      </c>
      <c r="G429">
        <v>1</v>
      </c>
      <c r="H429">
        <v>250649</v>
      </c>
      <c r="I429">
        <v>14.5</v>
      </c>
      <c r="K429" t="s">
        <v>17</v>
      </c>
      <c r="L429">
        <v>4</v>
      </c>
      <c r="N429" t="s">
        <v>877</v>
      </c>
    </row>
    <row r="430" spans="1:14" x14ac:dyDescent="0.3">
      <c r="A430">
        <v>2</v>
      </c>
      <c r="B430">
        <v>1</v>
      </c>
      <c r="C430" t="s">
        <v>878</v>
      </c>
      <c r="D430" t="s">
        <v>15</v>
      </c>
      <c r="E430">
        <v>24</v>
      </c>
      <c r="F430">
        <v>0</v>
      </c>
      <c r="G430">
        <v>2</v>
      </c>
      <c r="H430">
        <v>250649</v>
      </c>
      <c r="I430">
        <v>14.5</v>
      </c>
      <c r="K430" t="s">
        <v>17</v>
      </c>
      <c r="L430">
        <v>4</v>
      </c>
      <c r="N430" t="s">
        <v>877</v>
      </c>
    </row>
    <row r="431" spans="1:14" x14ac:dyDescent="0.3">
      <c r="A431">
        <v>2</v>
      </c>
      <c r="B431">
        <v>0</v>
      </c>
      <c r="C431" t="s">
        <v>879</v>
      </c>
      <c r="D431" t="s">
        <v>20</v>
      </c>
      <c r="E431">
        <v>44</v>
      </c>
      <c r="F431">
        <v>0</v>
      </c>
      <c r="G431">
        <v>0</v>
      </c>
      <c r="H431">
        <v>248746</v>
      </c>
      <c r="I431">
        <v>13</v>
      </c>
      <c r="K431" t="s">
        <v>17</v>
      </c>
      <c r="M431">
        <v>35</v>
      </c>
      <c r="N431" t="s">
        <v>880</v>
      </c>
    </row>
    <row r="432" spans="1:14" x14ac:dyDescent="0.3">
      <c r="A432">
        <v>2</v>
      </c>
      <c r="B432">
        <v>1</v>
      </c>
      <c r="C432" t="s">
        <v>881</v>
      </c>
      <c r="D432" t="s">
        <v>15</v>
      </c>
      <c r="E432">
        <v>6</v>
      </c>
      <c r="F432">
        <v>0</v>
      </c>
      <c r="G432">
        <v>1</v>
      </c>
      <c r="H432">
        <v>248727</v>
      </c>
      <c r="I432">
        <v>33</v>
      </c>
      <c r="K432" t="s">
        <v>17</v>
      </c>
      <c r="L432">
        <v>11</v>
      </c>
      <c r="N432" t="s">
        <v>882</v>
      </c>
    </row>
    <row r="433" spans="1:14" x14ac:dyDescent="0.3">
      <c r="A433">
        <v>2</v>
      </c>
      <c r="B433">
        <v>0</v>
      </c>
      <c r="C433" t="s">
        <v>883</v>
      </c>
      <c r="D433" t="s">
        <v>20</v>
      </c>
      <c r="E433">
        <v>28</v>
      </c>
      <c r="F433">
        <v>0</v>
      </c>
      <c r="G433">
        <v>1</v>
      </c>
      <c r="H433">
        <v>248727</v>
      </c>
      <c r="I433">
        <v>33</v>
      </c>
      <c r="K433" t="s">
        <v>17</v>
      </c>
      <c r="N433" t="s">
        <v>882</v>
      </c>
    </row>
    <row r="434" spans="1:14" x14ac:dyDescent="0.3">
      <c r="A434">
        <v>2</v>
      </c>
      <c r="B434">
        <v>1</v>
      </c>
      <c r="C434" t="s">
        <v>884</v>
      </c>
      <c r="D434" t="s">
        <v>20</v>
      </c>
      <c r="E434">
        <v>62</v>
      </c>
      <c r="F434">
        <v>0</v>
      </c>
      <c r="G434">
        <v>0</v>
      </c>
      <c r="H434" t="s">
        <v>885</v>
      </c>
      <c r="I434">
        <v>10.5</v>
      </c>
      <c r="K434" t="s">
        <v>17</v>
      </c>
      <c r="L434">
        <v>15</v>
      </c>
      <c r="N434" t="s">
        <v>392</v>
      </c>
    </row>
    <row r="435" spans="1:14" x14ac:dyDescent="0.3">
      <c r="A435">
        <v>2</v>
      </c>
      <c r="B435">
        <v>0</v>
      </c>
      <c r="C435" t="s">
        <v>886</v>
      </c>
      <c r="D435" t="s">
        <v>20</v>
      </c>
      <c r="E435">
        <v>30</v>
      </c>
      <c r="F435">
        <v>0</v>
      </c>
      <c r="G435">
        <v>0</v>
      </c>
      <c r="H435" t="s">
        <v>887</v>
      </c>
      <c r="I435">
        <v>10.5</v>
      </c>
      <c r="K435" t="s">
        <v>17</v>
      </c>
      <c r="N435" t="s">
        <v>888</v>
      </c>
    </row>
    <row r="436" spans="1:14" x14ac:dyDescent="0.3">
      <c r="A436">
        <v>2</v>
      </c>
      <c r="B436">
        <v>1</v>
      </c>
      <c r="C436" t="s">
        <v>889</v>
      </c>
      <c r="D436" t="s">
        <v>15</v>
      </c>
      <c r="E436">
        <v>7</v>
      </c>
      <c r="F436">
        <v>0</v>
      </c>
      <c r="G436">
        <v>2</v>
      </c>
      <c r="H436" t="s">
        <v>890</v>
      </c>
      <c r="I436">
        <v>26.25</v>
      </c>
      <c r="K436" t="s">
        <v>17</v>
      </c>
      <c r="L436">
        <v>14</v>
      </c>
      <c r="N436" t="s">
        <v>891</v>
      </c>
    </row>
    <row r="437" spans="1:14" x14ac:dyDescent="0.3">
      <c r="A437">
        <v>2</v>
      </c>
      <c r="B437">
        <v>0</v>
      </c>
      <c r="C437" t="s">
        <v>892</v>
      </c>
      <c r="D437" t="s">
        <v>20</v>
      </c>
      <c r="E437">
        <v>43</v>
      </c>
      <c r="F437">
        <v>1</v>
      </c>
      <c r="G437">
        <v>1</v>
      </c>
      <c r="H437" t="s">
        <v>890</v>
      </c>
      <c r="I437">
        <v>26.25</v>
      </c>
      <c r="K437" t="s">
        <v>17</v>
      </c>
      <c r="N437" t="s">
        <v>891</v>
      </c>
    </row>
    <row r="438" spans="1:14" x14ac:dyDescent="0.3">
      <c r="A438">
        <v>2</v>
      </c>
      <c r="B438">
        <v>1</v>
      </c>
      <c r="C438" t="s">
        <v>893</v>
      </c>
      <c r="D438" t="s">
        <v>15</v>
      </c>
      <c r="E438">
        <v>45</v>
      </c>
      <c r="F438">
        <v>1</v>
      </c>
      <c r="G438">
        <v>1</v>
      </c>
      <c r="H438" t="s">
        <v>890</v>
      </c>
      <c r="I438">
        <v>26.25</v>
      </c>
      <c r="K438" t="s">
        <v>17</v>
      </c>
      <c r="L438">
        <v>14</v>
      </c>
      <c r="N438" t="s">
        <v>891</v>
      </c>
    </row>
    <row r="439" spans="1:14" x14ac:dyDescent="0.3">
      <c r="A439">
        <v>2</v>
      </c>
      <c r="B439">
        <v>1</v>
      </c>
      <c r="C439" t="s">
        <v>894</v>
      </c>
      <c r="D439" t="s">
        <v>15</v>
      </c>
      <c r="E439">
        <v>24</v>
      </c>
      <c r="F439">
        <v>1</v>
      </c>
      <c r="G439">
        <v>2</v>
      </c>
      <c r="H439">
        <v>220845</v>
      </c>
      <c r="I439">
        <v>65</v>
      </c>
      <c r="K439" t="s">
        <v>17</v>
      </c>
      <c r="L439">
        <v>9</v>
      </c>
      <c r="N439" t="s">
        <v>895</v>
      </c>
    </row>
    <row r="440" spans="1:14" x14ac:dyDescent="0.3">
      <c r="A440">
        <v>2</v>
      </c>
      <c r="B440">
        <v>1</v>
      </c>
      <c r="C440" t="s">
        <v>896</v>
      </c>
      <c r="D440" t="s">
        <v>15</v>
      </c>
      <c r="E440">
        <v>24</v>
      </c>
      <c r="F440">
        <v>1</v>
      </c>
      <c r="G440">
        <v>2</v>
      </c>
      <c r="H440">
        <v>220845</v>
      </c>
      <c r="I440">
        <v>65</v>
      </c>
      <c r="K440" t="s">
        <v>17</v>
      </c>
      <c r="L440">
        <v>9</v>
      </c>
      <c r="N440" t="s">
        <v>895</v>
      </c>
    </row>
    <row r="441" spans="1:14" x14ac:dyDescent="0.3">
      <c r="A441">
        <v>2</v>
      </c>
      <c r="B441">
        <v>0</v>
      </c>
      <c r="C441" t="s">
        <v>897</v>
      </c>
      <c r="D441" t="s">
        <v>20</v>
      </c>
      <c r="E441">
        <v>49</v>
      </c>
      <c r="F441">
        <v>1</v>
      </c>
      <c r="G441">
        <v>2</v>
      </c>
      <c r="H441">
        <v>220845</v>
      </c>
      <c r="I441">
        <v>65</v>
      </c>
      <c r="K441" t="s">
        <v>17</v>
      </c>
      <c r="N441" t="s">
        <v>895</v>
      </c>
    </row>
    <row r="442" spans="1:14" x14ac:dyDescent="0.3">
      <c r="A442">
        <v>2</v>
      </c>
      <c r="B442">
        <v>1</v>
      </c>
      <c r="C442" t="s">
        <v>898</v>
      </c>
      <c r="D442" t="s">
        <v>15</v>
      </c>
      <c r="E442">
        <v>48</v>
      </c>
      <c r="F442">
        <v>1</v>
      </c>
      <c r="G442">
        <v>2</v>
      </c>
      <c r="H442">
        <v>220845</v>
      </c>
      <c r="I442">
        <v>65</v>
      </c>
      <c r="K442" t="s">
        <v>17</v>
      </c>
      <c r="L442">
        <v>9</v>
      </c>
      <c r="N442" t="s">
        <v>895</v>
      </c>
    </row>
    <row r="443" spans="1:14" x14ac:dyDescent="0.3">
      <c r="A443">
        <v>2</v>
      </c>
      <c r="B443">
        <v>1</v>
      </c>
      <c r="C443" t="s">
        <v>899</v>
      </c>
      <c r="D443" t="s">
        <v>15</v>
      </c>
      <c r="E443">
        <v>55</v>
      </c>
      <c r="F443">
        <v>0</v>
      </c>
      <c r="G443">
        <v>0</v>
      </c>
      <c r="H443">
        <v>248706</v>
      </c>
      <c r="I443">
        <v>16</v>
      </c>
      <c r="K443" t="s">
        <v>17</v>
      </c>
      <c r="L443">
        <v>13</v>
      </c>
      <c r="N443" t="s">
        <v>900</v>
      </c>
    </row>
    <row r="444" spans="1:14" x14ac:dyDescent="0.3">
      <c r="A444">
        <v>2</v>
      </c>
      <c r="B444">
        <v>0</v>
      </c>
      <c r="C444" t="s">
        <v>901</v>
      </c>
      <c r="D444" t="s">
        <v>20</v>
      </c>
      <c r="E444">
        <v>24</v>
      </c>
      <c r="F444">
        <v>2</v>
      </c>
      <c r="G444">
        <v>0</v>
      </c>
      <c r="H444" t="s">
        <v>806</v>
      </c>
      <c r="I444">
        <v>73.5</v>
      </c>
      <c r="K444" t="s">
        <v>17</v>
      </c>
      <c r="N444" t="s">
        <v>902</v>
      </c>
    </row>
    <row r="445" spans="1:14" x14ac:dyDescent="0.3">
      <c r="A445">
        <v>2</v>
      </c>
      <c r="B445">
        <v>0</v>
      </c>
      <c r="C445" t="s">
        <v>903</v>
      </c>
      <c r="D445" t="s">
        <v>20</v>
      </c>
      <c r="E445">
        <v>32</v>
      </c>
      <c r="F445">
        <v>2</v>
      </c>
      <c r="G445">
        <v>0</v>
      </c>
      <c r="H445" t="s">
        <v>806</v>
      </c>
      <c r="I445">
        <v>73.5</v>
      </c>
      <c r="K445" t="s">
        <v>17</v>
      </c>
      <c r="M445">
        <v>256</v>
      </c>
      <c r="N445" t="s">
        <v>902</v>
      </c>
    </row>
    <row r="446" spans="1:14" x14ac:dyDescent="0.3">
      <c r="A446">
        <v>2</v>
      </c>
      <c r="B446">
        <v>0</v>
      </c>
      <c r="C446" t="s">
        <v>904</v>
      </c>
      <c r="D446" t="s">
        <v>20</v>
      </c>
      <c r="E446">
        <v>21</v>
      </c>
      <c r="F446">
        <v>2</v>
      </c>
      <c r="G446">
        <v>0</v>
      </c>
      <c r="H446" t="s">
        <v>806</v>
      </c>
      <c r="I446">
        <v>73.5</v>
      </c>
      <c r="K446" t="s">
        <v>17</v>
      </c>
      <c r="N446" t="s">
        <v>902</v>
      </c>
    </row>
    <row r="447" spans="1:14" x14ac:dyDescent="0.3">
      <c r="A447">
        <v>2</v>
      </c>
      <c r="B447">
        <v>0</v>
      </c>
      <c r="C447" t="s">
        <v>905</v>
      </c>
      <c r="D447" t="s">
        <v>15</v>
      </c>
      <c r="E447">
        <v>18</v>
      </c>
      <c r="F447">
        <v>1</v>
      </c>
      <c r="G447">
        <v>1</v>
      </c>
      <c r="H447">
        <v>250650</v>
      </c>
      <c r="I447">
        <v>13</v>
      </c>
      <c r="K447" t="s">
        <v>17</v>
      </c>
      <c r="N447" t="s">
        <v>906</v>
      </c>
    </row>
    <row r="448" spans="1:14" x14ac:dyDescent="0.3">
      <c r="A448">
        <v>2</v>
      </c>
      <c r="B448">
        <v>1</v>
      </c>
      <c r="C448" t="s">
        <v>907</v>
      </c>
      <c r="D448" t="s">
        <v>15</v>
      </c>
      <c r="E448">
        <v>20</v>
      </c>
      <c r="F448">
        <v>2</v>
      </c>
      <c r="G448">
        <v>1</v>
      </c>
      <c r="H448">
        <v>29105</v>
      </c>
      <c r="I448">
        <v>23</v>
      </c>
      <c r="K448" t="s">
        <v>17</v>
      </c>
      <c r="L448">
        <v>4</v>
      </c>
      <c r="N448" t="s">
        <v>908</v>
      </c>
    </row>
    <row r="449" spans="1:14" x14ac:dyDescent="0.3">
      <c r="A449">
        <v>2</v>
      </c>
      <c r="B449">
        <v>0</v>
      </c>
      <c r="C449" t="s">
        <v>909</v>
      </c>
      <c r="D449" t="s">
        <v>20</v>
      </c>
      <c r="E449">
        <v>23</v>
      </c>
      <c r="F449">
        <v>2</v>
      </c>
      <c r="G449">
        <v>1</v>
      </c>
      <c r="H449">
        <v>29104</v>
      </c>
      <c r="I449">
        <v>11.5</v>
      </c>
      <c r="K449" t="s">
        <v>17</v>
      </c>
      <c r="N449" t="s">
        <v>908</v>
      </c>
    </row>
    <row r="450" spans="1:14" x14ac:dyDescent="0.3">
      <c r="A450">
        <v>2</v>
      </c>
      <c r="B450">
        <v>0</v>
      </c>
      <c r="C450" t="s">
        <v>910</v>
      </c>
      <c r="D450" t="s">
        <v>20</v>
      </c>
      <c r="E450">
        <v>36</v>
      </c>
      <c r="F450">
        <v>0</v>
      </c>
      <c r="G450">
        <v>0</v>
      </c>
      <c r="H450">
        <v>242963</v>
      </c>
      <c r="I450">
        <v>13</v>
      </c>
      <c r="K450" t="s">
        <v>17</v>
      </c>
      <c r="N450" t="s">
        <v>911</v>
      </c>
    </row>
    <row r="451" spans="1:14" x14ac:dyDescent="0.3">
      <c r="A451">
        <v>2</v>
      </c>
      <c r="B451">
        <v>1</v>
      </c>
      <c r="C451" t="s">
        <v>912</v>
      </c>
      <c r="D451" t="s">
        <v>15</v>
      </c>
      <c r="E451">
        <v>54</v>
      </c>
      <c r="F451">
        <v>1</v>
      </c>
      <c r="G451">
        <v>3</v>
      </c>
      <c r="H451">
        <v>29105</v>
      </c>
      <c r="I451">
        <v>23</v>
      </c>
      <c r="K451" t="s">
        <v>17</v>
      </c>
      <c r="L451">
        <v>4</v>
      </c>
      <c r="N451" t="s">
        <v>908</v>
      </c>
    </row>
    <row r="452" spans="1:14" x14ac:dyDescent="0.3">
      <c r="A452">
        <v>2</v>
      </c>
      <c r="B452">
        <v>0</v>
      </c>
      <c r="C452" t="s">
        <v>913</v>
      </c>
      <c r="D452" t="s">
        <v>20</v>
      </c>
      <c r="E452">
        <v>50</v>
      </c>
      <c r="F452">
        <v>0</v>
      </c>
      <c r="G452">
        <v>0</v>
      </c>
      <c r="H452">
        <v>250643</v>
      </c>
      <c r="I452">
        <v>13</v>
      </c>
      <c r="K452" t="s">
        <v>17</v>
      </c>
      <c r="M452">
        <v>149</v>
      </c>
      <c r="N452" t="s">
        <v>824</v>
      </c>
    </row>
    <row r="453" spans="1:14" x14ac:dyDescent="0.3">
      <c r="A453">
        <v>2</v>
      </c>
      <c r="B453">
        <v>0</v>
      </c>
      <c r="C453" t="s">
        <v>914</v>
      </c>
      <c r="D453" t="s">
        <v>20</v>
      </c>
      <c r="E453">
        <v>44</v>
      </c>
      <c r="F453">
        <v>1</v>
      </c>
      <c r="G453">
        <v>0</v>
      </c>
      <c r="H453">
        <v>26707</v>
      </c>
      <c r="I453">
        <v>26</v>
      </c>
      <c r="K453" t="s">
        <v>17</v>
      </c>
      <c r="N453" t="s">
        <v>915</v>
      </c>
    </row>
    <row r="454" spans="1:14" x14ac:dyDescent="0.3">
      <c r="A454">
        <v>2</v>
      </c>
      <c r="B454">
        <v>1</v>
      </c>
      <c r="C454" t="s">
        <v>916</v>
      </c>
      <c r="D454" t="s">
        <v>15</v>
      </c>
      <c r="E454">
        <v>29</v>
      </c>
      <c r="F454">
        <v>1</v>
      </c>
      <c r="G454">
        <v>0</v>
      </c>
      <c r="H454">
        <v>26707</v>
      </c>
      <c r="I454">
        <v>26</v>
      </c>
      <c r="K454" t="s">
        <v>17</v>
      </c>
      <c r="L454">
        <v>10</v>
      </c>
      <c r="N454" t="s">
        <v>915</v>
      </c>
    </row>
    <row r="455" spans="1:14" x14ac:dyDescent="0.3">
      <c r="A455">
        <v>2</v>
      </c>
      <c r="B455">
        <v>0</v>
      </c>
      <c r="C455" t="s">
        <v>917</v>
      </c>
      <c r="D455" t="s">
        <v>20</v>
      </c>
      <c r="E455">
        <v>21</v>
      </c>
      <c r="F455">
        <v>0</v>
      </c>
      <c r="G455">
        <v>0</v>
      </c>
      <c r="H455" t="s">
        <v>806</v>
      </c>
      <c r="I455">
        <v>73.5</v>
      </c>
      <c r="K455" t="s">
        <v>17</v>
      </c>
      <c r="N455" t="s">
        <v>822</v>
      </c>
    </row>
    <row r="456" spans="1:14" x14ac:dyDescent="0.3">
      <c r="A456">
        <v>2</v>
      </c>
      <c r="B456">
        <v>1</v>
      </c>
      <c r="C456" t="s">
        <v>918</v>
      </c>
      <c r="D456" t="s">
        <v>20</v>
      </c>
      <c r="E456">
        <v>42</v>
      </c>
      <c r="F456">
        <v>0</v>
      </c>
      <c r="G456">
        <v>0</v>
      </c>
      <c r="H456">
        <v>237798</v>
      </c>
      <c r="I456">
        <v>13</v>
      </c>
      <c r="K456" t="s">
        <v>17</v>
      </c>
      <c r="L456">
        <v>10</v>
      </c>
      <c r="N456" t="s">
        <v>919</v>
      </c>
    </row>
    <row r="457" spans="1:14" x14ac:dyDescent="0.3">
      <c r="A457">
        <v>2</v>
      </c>
      <c r="B457">
        <v>0</v>
      </c>
      <c r="C457" t="s">
        <v>920</v>
      </c>
      <c r="D457" t="s">
        <v>20</v>
      </c>
      <c r="E457">
        <v>63</v>
      </c>
      <c r="F457">
        <v>1</v>
      </c>
      <c r="G457">
        <v>0</v>
      </c>
      <c r="H457">
        <v>24065</v>
      </c>
      <c r="I457">
        <v>26</v>
      </c>
      <c r="K457" t="s">
        <v>17</v>
      </c>
      <c r="N457" t="s">
        <v>921</v>
      </c>
    </row>
    <row r="458" spans="1:14" x14ac:dyDescent="0.3">
      <c r="A458">
        <v>2</v>
      </c>
      <c r="B458">
        <v>0</v>
      </c>
      <c r="C458" t="s">
        <v>922</v>
      </c>
      <c r="D458" t="s">
        <v>15</v>
      </c>
      <c r="E458">
        <v>60</v>
      </c>
      <c r="F458">
        <v>1</v>
      </c>
      <c r="G458">
        <v>0</v>
      </c>
      <c r="H458">
        <v>24065</v>
      </c>
      <c r="I458">
        <v>26</v>
      </c>
      <c r="K458" t="s">
        <v>17</v>
      </c>
      <c r="N458" t="s">
        <v>921</v>
      </c>
    </row>
    <row r="459" spans="1:14" x14ac:dyDescent="0.3">
      <c r="A459">
        <v>2</v>
      </c>
      <c r="B459">
        <v>0</v>
      </c>
      <c r="C459" t="s">
        <v>923</v>
      </c>
      <c r="D459" t="s">
        <v>20</v>
      </c>
      <c r="E459">
        <v>33</v>
      </c>
      <c r="F459">
        <v>0</v>
      </c>
      <c r="G459">
        <v>0</v>
      </c>
      <c r="H459" t="s">
        <v>924</v>
      </c>
      <c r="I459">
        <v>12.275</v>
      </c>
      <c r="K459" t="s">
        <v>17</v>
      </c>
      <c r="N459" t="s">
        <v>121</v>
      </c>
    </row>
    <row r="460" spans="1:14" x14ac:dyDescent="0.3">
      <c r="A460">
        <v>2</v>
      </c>
      <c r="B460">
        <v>1</v>
      </c>
      <c r="C460" t="s">
        <v>925</v>
      </c>
      <c r="D460" t="s">
        <v>15</v>
      </c>
      <c r="E460">
        <v>17</v>
      </c>
      <c r="F460">
        <v>0</v>
      </c>
      <c r="G460">
        <v>0</v>
      </c>
      <c r="H460" t="s">
        <v>926</v>
      </c>
      <c r="I460">
        <v>10.5</v>
      </c>
      <c r="K460" t="s">
        <v>17</v>
      </c>
      <c r="N460" t="s">
        <v>711</v>
      </c>
    </row>
    <row r="461" spans="1:14" x14ac:dyDescent="0.3">
      <c r="A461">
        <v>2</v>
      </c>
      <c r="B461">
        <v>0</v>
      </c>
      <c r="C461" t="s">
        <v>927</v>
      </c>
      <c r="D461" t="s">
        <v>20</v>
      </c>
      <c r="E461">
        <v>42</v>
      </c>
      <c r="F461">
        <v>1</v>
      </c>
      <c r="G461">
        <v>0</v>
      </c>
      <c r="H461">
        <v>243847</v>
      </c>
      <c r="I461">
        <v>27</v>
      </c>
      <c r="K461" t="s">
        <v>17</v>
      </c>
      <c r="N461" t="s">
        <v>392</v>
      </c>
    </row>
    <row r="462" spans="1:14" x14ac:dyDescent="0.3">
      <c r="A462">
        <v>2</v>
      </c>
      <c r="B462">
        <v>1</v>
      </c>
      <c r="C462" t="s">
        <v>928</v>
      </c>
      <c r="D462" t="s">
        <v>15</v>
      </c>
      <c r="E462">
        <v>24</v>
      </c>
      <c r="F462">
        <v>2</v>
      </c>
      <c r="G462">
        <v>1</v>
      </c>
      <c r="H462">
        <v>243847</v>
      </c>
      <c r="I462">
        <v>27</v>
      </c>
      <c r="K462" t="s">
        <v>17</v>
      </c>
      <c r="L462">
        <v>12</v>
      </c>
      <c r="N462" t="s">
        <v>392</v>
      </c>
    </row>
    <row r="463" spans="1:14" x14ac:dyDescent="0.3">
      <c r="A463">
        <v>2</v>
      </c>
      <c r="B463">
        <v>0</v>
      </c>
      <c r="C463" t="s">
        <v>929</v>
      </c>
      <c r="D463" t="s">
        <v>20</v>
      </c>
      <c r="E463">
        <v>47</v>
      </c>
      <c r="F463">
        <v>0</v>
      </c>
      <c r="G463">
        <v>0</v>
      </c>
      <c r="H463">
        <v>237565</v>
      </c>
      <c r="I463">
        <v>15</v>
      </c>
      <c r="K463" t="s">
        <v>17</v>
      </c>
      <c r="N463" t="s">
        <v>930</v>
      </c>
    </row>
    <row r="464" spans="1:14" x14ac:dyDescent="0.3">
      <c r="A464">
        <v>2</v>
      </c>
      <c r="B464">
        <v>0</v>
      </c>
      <c r="C464" t="s">
        <v>931</v>
      </c>
      <c r="D464" t="s">
        <v>20</v>
      </c>
      <c r="E464">
        <v>24</v>
      </c>
      <c r="F464">
        <v>2</v>
      </c>
      <c r="G464">
        <v>0</v>
      </c>
      <c r="H464" t="s">
        <v>819</v>
      </c>
      <c r="I464">
        <v>31.5</v>
      </c>
      <c r="K464" t="s">
        <v>17</v>
      </c>
      <c r="N464" t="s">
        <v>820</v>
      </c>
    </row>
    <row r="465" spans="1:14" x14ac:dyDescent="0.3">
      <c r="A465">
        <v>2</v>
      </c>
      <c r="B465">
        <v>0</v>
      </c>
      <c r="C465" t="s">
        <v>932</v>
      </c>
      <c r="D465" t="s">
        <v>20</v>
      </c>
      <c r="E465">
        <v>22</v>
      </c>
      <c r="F465">
        <v>2</v>
      </c>
      <c r="G465">
        <v>0</v>
      </c>
      <c r="H465" t="s">
        <v>819</v>
      </c>
      <c r="I465">
        <v>31.5</v>
      </c>
      <c r="K465" t="s">
        <v>17</v>
      </c>
      <c r="N465" t="s">
        <v>820</v>
      </c>
    </row>
    <row r="466" spans="1:14" x14ac:dyDescent="0.3">
      <c r="A466">
        <v>2</v>
      </c>
      <c r="B466">
        <v>0</v>
      </c>
      <c r="C466" t="s">
        <v>933</v>
      </c>
      <c r="D466" t="s">
        <v>20</v>
      </c>
      <c r="E466">
        <v>32</v>
      </c>
      <c r="F466">
        <v>0</v>
      </c>
      <c r="G466">
        <v>0</v>
      </c>
      <c r="H466" t="s">
        <v>934</v>
      </c>
      <c r="I466">
        <v>10.5</v>
      </c>
      <c r="K466" t="s">
        <v>17</v>
      </c>
      <c r="N466" t="s">
        <v>935</v>
      </c>
    </row>
    <row r="467" spans="1:14" x14ac:dyDescent="0.3">
      <c r="A467">
        <v>2</v>
      </c>
      <c r="B467">
        <v>1</v>
      </c>
      <c r="C467" t="s">
        <v>936</v>
      </c>
      <c r="D467" t="s">
        <v>15</v>
      </c>
      <c r="E467">
        <v>23</v>
      </c>
      <c r="F467">
        <v>0</v>
      </c>
      <c r="G467">
        <v>0</v>
      </c>
      <c r="H467" t="s">
        <v>937</v>
      </c>
      <c r="I467">
        <v>13.791700000000001</v>
      </c>
      <c r="J467" t="s">
        <v>37</v>
      </c>
      <c r="K467" t="s">
        <v>41</v>
      </c>
      <c r="L467">
        <v>11</v>
      </c>
      <c r="N467" t="s">
        <v>28</v>
      </c>
    </row>
    <row r="468" spans="1:14" x14ac:dyDescent="0.3">
      <c r="A468">
        <v>2</v>
      </c>
      <c r="B468">
        <v>0</v>
      </c>
      <c r="C468" t="s">
        <v>938</v>
      </c>
      <c r="D468" t="s">
        <v>20</v>
      </c>
      <c r="E468">
        <v>34</v>
      </c>
      <c r="F468">
        <v>1</v>
      </c>
      <c r="G468">
        <v>0</v>
      </c>
      <c r="H468">
        <v>244367</v>
      </c>
      <c r="I468">
        <v>26</v>
      </c>
      <c r="K468" t="s">
        <v>17</v>
      </c>
      <c r="M468">
        <v>283</v>
      </c>
      <c r="N468" t="s">
        <v>939</v>
      </c>
    </row>
    <row r="469" spans="1:14" x14ac:dyDescent="0.3">
      <c r="A469">
        <v>2</v>
      </c>
      <c r="B469">
        <v>1</v>
      </c>
      <c r="C469" t="s">
        <v>940</v>
      </c>
      <c r="D469" t="s">
        <v>15</v>
      </c>
      <c r="E469">
        <v>24</v>
      </c>
      <c r="F469">
        <v>1</v>
      </c>
      <c r="G469">
        <v>0</v>
      </c>
      <c r="H469">
        <v>244367</v>
      </c>
      <c r="I469">
        <v>26</v>
      </c>
      <c r="K469" t="s">
        <v>17</v>
      </c>
      <c r="L469">
        <v>12</v>
      </c>
      <c r="N469" t="s">
        <v>939</v>
      </c>
    </row>
    <row r="470" spans="1:14" x14ac:dyDescent="0.3">
      <c r="A470">
        <v>2</v>
      </c>
      <c r="B470">
        <v>0</v>
      </c>
      <c r="C470" t="s">
        <v>941</v>
      </c>
      <c r="D470" t="s">
        <v>15</v>
      </c>
      <c r="E470">
        <v>22</v>
      </c>
      <c r="F470">
        <v>0</v>
      </c>
      <c r="G470">
        <v>0</v>
      </c>
      <c r="H470" t="s">
        <v>798</v>
      </c>
      <c r="I470">
        <v>21</v>
      </c>
      <c r="K470" t="s">
        <v>17</v>
      </c>
      <c r="N470" t="s">
        <v>942</v>
      </c>
    </row>
    <row r="471" spans="1:14" x14ac:dyDescent="0.3">
      <c r="A471">
        <v>2</v>
      </c>
      <c r="B471">
        <v>1</v>
      </c>
      <c r="C471" t="s">
        <v>943</v>
      </c>
      <c r="D471" t="s">
        <v>15</v>
      </c>
      <c r="F471">
        <v>0</v>
      </c>
      <c r="G471">
        <v>0</v>
      </c>
      <c r="H471">
        <v>226593</v>
      </c>
      <c r="I471">
        <v>12.35</v>
      </c>
      <c r="J471" t="s">
        <v>944</v>
      </c>
      <c r="K471" t="s">
        <v>463</v>
      </c>
      <c r="L471">
        <v>10</v>
      </c>
      <c r="N471" t="s">
        <v>945</v>
      </c>
    </row>
    <row r="472" spans="1:14" x14ac:dyDescent="0.3">
      <c r="A472">
        <v>2</v>
      </c>
      <c r="B472">
        <v>0</v>
      </c>
      <c r="C472" t="s">
        <v>946</v>
      </c>
      <c r="D472" t="s">
        <v>20</v>
      </c>
      <c r="E472">
        <v>35</v>
      </c>
      <c r="F472">
        <v>0</v>
      </c>
      <c r="G472">
        <v>0</v>
      </c>
      <c r="H472">
        <v>233734</v>
      </c>
      <c r="I472">
        <v>12.35</v>
      </c>
      <c r="K472" t="s">
        <v>463</v>
      </c>
    </row>
    <row r="473" spans="1:14" x14ac:dyDescent="0.3">
      <c r="A473">
        <v>2</v>
      </c>
      <c r="B473">
        <v>1</v>
      </c>
      <c r="C473" t="s">
        <v>947</v>
      </c>
      <c r="D473" t="s">
        <v>15</v>
      </c>
      <c r="E473">
        <v>45</v>
      </c>
      <c r="F473">
        <v>0</v>
      </c>
      <c r="G473">
        <v>0</v>
      </c>
      <c r="H473">
        <v>223596</v>
      </c>
      <c r="I473">
        <v>13.5</v>
      </c>
      <c r="K473" t="s">
        <v>17</v>
      </c>
      <c r="L473">
        <v>9</v>
      </c>
      <c r="N473" t="s">
        <v>430</v>
      </c>
    </row>
    <row r="474" spans="1:14" x14ac:dyDescent="0.3">
      <c r="A474">
        <v>2</v>
      </c>
      <c r="B474">
        <v>0</v>
      </c>
      <c r="C474" t="s">
        <v>948</v>
      </c>
      <c r="D474" t="s">
        <v>20</v>
      </c>
      <c r="E474">
        <v>57</v>
      </c>
      <c r="F474">
        <v>0</v>
      </c>
      <c r="G474">
        <v>0</v>
      </c>
      <c r="H474">
        <v>219533</v>
      </c>
      <c r="I474">
        <v>12.35</v>
      </c>
      <c r="K474" t="s">
        <v>463</v>
      </c>
      <c r="N474" t="s">
        <v>949</v>
      </c>
    </row>
    <row r="475" spans="1:14" x14ac:dyDescent="0.3">
      <c r="A475">
        <v>2</v>
      </c>
      <c r="B475">
        <v>0</v>
      </c>
      <c r="C475" t="s">
        <v>950</v>
      </c>
      <c r="D475" t="s">
        <v>20</v>
      </c>
      <c r="F475">
        <v>0</v>
      </c>
      <c r="G475">
        <v>0</v>
      </c>
      <c r="H475">
        <v>239855</v>
      </c>
      <c r="I475">
        <v>0</v>
      </c>
      <c r="K475" t="s">
        <v>17</v>
      </c>
      <c r="N475" t="s">
        <v>500</v>
      </c>
    </row>
    <row r="476" spans="1:14" x14ac:dyDescent="0.3">
      <c r="A476">
        <v>2</v>
      </c>
      <c r="B476">
        <v>0</v>
      </c>
      <c r="C476" t="s">
        <v>951</v>
      </c>
      <c r="D476" t="s">
        <v>20</v>
      </c>
      <c r="E476">
        <v>31</v>
      </c>
      <c r="F476">
        <v>0</v>
      </c>
      <c r="G476">
        <v>0</v>
      </c>
      <c r="H476" t="s">
        <v>952</v>
      </c>
      <c r="I476">
        <v>10.5</v>
      </c>
      <c r="K476" t="s">
        <v>17</v>
      </c>
      <c r="M476">
        <v>165</v>
      </c>
      <c r="N476" t="s">
        <v>953</v>
      </c>
    </row>
    <row r="477" spans="1:14" x14ac:dyDescent="0.3">
      <c r="A477">
        <v>2</v>
      </c>
      <c r="B477">
        <v>0</v>
      </c>
      <c r="C477" t="s">
        <v>954</v>
      </c>
      <c r="D477" t="s">
        <v>15</v>
      </c>
      <c r="E477">
        <v>26</v>
      </c>
      <c r="F477">
        <v>1</v>
      </c>
      <c r="G477">
        <v>1</v>
      </c>
      <c r="H477">
        <v>250651</v>
      </c>
      <c r="I477">
        <v>26</v>
      </c>
      <c r="K477" t="s">
        <v>17</v>
      </c>
      <c r="N477" t="s">
        <v>594</v>
      </c>
    </row>
    <row r="478" spans="1:14" x14ac:dyDescent="0.3">
      <c r="A478">
        <v>2</v>
      </c>
      <c r="B478">
        <v>0</v>
      </c>
      <c r="C478" t="s">
        <v>955</v>
      </c>
      <c r="D478" t="s">
        <v>20</v>
      </c>
      <c r="E478">
        <v>30</v>
      </c>
      <c r="F478">
        <v>1</v>
      </c>
      <c r="G478">
        <v>1</v>
      </c>
      <c r="H478">
        <v>250651</v>
      </c>
      <c r="I478">
        <v>26</v>
      </c>
      <c r="K478" t="s">
        <v>17</v>
      </c>
      <c r="N478" t="s">
        <v>594</v>
      </c>
    </row>
    <row r="479" spans="1:14" x14ac:dyDescent="0.3">
      <c r="A479">
        <v>2</v>
      </c>
      <c r="B479">
        <v>0</v>
      </c>
      <c r="C479" t="s">
        <v>956</v>
      </c>
      <c r="D479" t="s">
        <v>20</v>
      </c>
      <c r="F479">
        <v>0</v>
      </c>
      <c r="G479">
        <v>0</v>
      </c>
      <c r="H479">
        <v>240261</v>
      </c>
      <c r="I479">
        <v>10.708299999999999</v>
      </c>
      <c r="K479" t="s">
        <v>463</v>
      </c>
    </row>
    <row r="480" spans="1:14" x14ac:dyDescent="0.3">
      <c r="A480">
        <v>2</v>
      </c>
      <c r="B480">
        <v>1</v>
      </c>
      <c r="C480" t="s">
        <v>957</v>
      </c>
      <c r="D480" t="s">
        <v>15</v>
      </c>
      <c r="E480">
        <v>1</v>
      </c>
      <c r="F480">
        <v>1</v>
      </c>
      <c r="G480">
        <v>2</v>
      </c>
      <c r="H480" t="s">
        <v>958</v>
      </c>
      <c r="I480">
        <v>41.5792</v>
      </c>
      <c r="K480" t="s">
        <v>41</v>
      </c>
      <c r="L480">
        <v>14</v>
      </c>
      <c r="N480" t="s">
        <v>959</v>
      </c>
    </row>
    <row r="481" spans="1:14" x14ac:dyDescent="0.3">
      <c r="A481">
        <v>2</v>
      </c>
      <c r="B481">
        <v>1</v>
      </c>
      <c r="C481" t="s">
        <v>960</v>
      </c>
      <c r="D481" t="s">
        <v>15</v>
      </c>
      <c r="E481">
        <v>3</v>
      </c>
      <c r="F481">
        <v>1</v>
      </c>
      <c r="G481">
        <v>2</v>
      </c>
      <c r="H481" t="s">
        <v>958</v>
      </c>
      <c r="I481">
        <v>41.5792</v>
      </c>
      <c r="K481" t="s">
        <v>41</v>
      </c>
      <c r="L481">
        <v>14</v>
      </c>
      <c r="N481" t="s">
        <v>959</v>
      </c>
    </row>
    <row r="482" spans="1:14" x14ac:dyDescent="0.3">
      <c r="A482">
        <v>2</v>
      </c>
      <c r="B482">
        <v>0</v>
      </c>
      <c r="C482" t="s">
        <v>961</v>
      </c>
      <c r="D482" t="s">
        <v>20</v>
      </c>
      <c r="E482">
        <v>25</v>
      </c>
      <c r="F482">
        <v>1</v>
      </c>
      <c r="G482">
        <v>2</v>
      </c>
      <c r="H482" t="s">
        <v>958</v>
      </c>
      <c r="I482">
        <v>41.5792</v>
      </c>
      <c r="K482" t="s">
        <v>41</v>
      </c>
      <c r="N482" t="s">
        <v>959</v>
      </c>
    </row>
    <row r="483" spans="1:14" x14ac:dyDescent="0.3">
      <c r="A483">
        <v>2</v>
      </c>
      <c r="B483">
        <v>1</v>
      </c>
      <c r="C483" t="s">
        <v>962</v>
      </c>
      <c r="D483" t="s">
        <v>15</v>
      </c>
      <c r="E483">
        <v>22</v>
      </c>
      <c r="F483">
        <v>1</v>
      </c>
      <c r="G483">
        <v>2</v>
      </c>
      <c r="H483" t="s">
        <v>958</v>
      </c>
      <c r="I483">
        <v>41.5792</v>
      </c>
      <c r="K483" t="s">
        <v>41</v>
      </c>
      <c r="L483">
        <v>14</v>
      </c>
      <c r="N483" t="s">
        <v>959</v>
      </c>
    </row>
    <row r="484" spans="1:14" x14ac:dyDescent="0.3">
      <c r="A484">
        <v>2</v>
      </c>
      <c r="B484">
        <v>1</v>
      </c>
      <c r="C484" t="s">
        <v>963</v>
      </c>
      <c r="D484" t="s">
        <v>15</v>
      </c>
      <c r="E484">
        <v>17</v>
      </c>
      <c r="F484">
        <v>0</v>
      </c>
      <c r="G484">
        <v>0</v>
      </c>
      <c r="H484" t="s">
        <v>964</v>
      </c>
      <c r="I484">
        <v>12</v>
      </c>
      <c r="K484" t="s">
        <v>41</v>
      </c>
      <c r="L484">
        <v>12</v>
      </c>
      <c r="N484" t="s">
        <v>965</v>
      </c>
    </row>
    <row r="485" spans="1:14" x14ac:dyDescent="0.3">
      <c r="A485">
        <v>2</v>
      </c>
      <c r="B485">
        <v>1</v>
      </c>
      <c r="C485" t="s">
        <v>966</v>
      </c>
      <c r="D485" t="s">
        <v>15</v>
      </c>
      <c r="F485">
        <v>0</v>
      </c>
      <c r="G485">
        <v>0</v>
      </c>
      <c r="H485">
        <v>248727</v>
      </c>
      <c r="I485">
        <v>33</v>
      </c>
      <c r="K485" t="s">
        <v>17</v>
      </c>
      <c r="L485">
        <v>11</v>
      </c>
      <c r="N485" t="s">
        <v>967</v>
      </c>
    </row>
    <row r="486" spans="1:14" x14ac:dyDescent="0.3">
      <c r="A486">
        <v>2</v>
      </c>
      <c r="B486">
        <v>1</v>
      </c>
      <c r="C486" t="s">
        <v>968</v>
      </c>
      <c r="D486" t="s">
        <v>15</v>
      </c>
      <c r="E486">
        <v>34</v>
      </c>
      <c r="F486">
        <v>0</v>
      </c>
      <c r="G486">
        <v>0</v>
      </c>
      <c r="H486" t="s">
        <v>969</v>
      </c>
      <c r="I486">
        <v>10.5</v>
      </c>
      <c r="J486" t="s">
        <v>743</v>
      </c>
      <c r="K486" t="s">
        <v>17</v>
      </c>
      <c r="L486">
        <v>14</v>
      </c>
      <c r="N486" t="s">
        <v>365</v>
      </c>
    </row>
    <row r="487" spans="1:14" x14ac:dyDescent="0.3">
      <c r="A487">
        <v>2</v>
      </c>
      <c r="B487">
        <v>0</v>
      </c>
      <c r="C487" t="s">
        <v>970</v>
      </c>
      <c r="D487" t="s">
        <v>20</v>
      </c>
      <c r="E487">
        <v>36</v>
      </c>
      <c r="F487">
        <v>0</v>
      </c>
      <c r="G487">
        <v>0</v>
      </c>
      <c r="H487" t="s">
        <v>971</v>
      </c>
      <c r="I487">
        <v>12.875</v>
      </c>
      <c r="J487" t="s">
        <v>37</v>
      </c>
      <c r="K487" t="s">
        <v>41</v>
      </c>
      <c r="N487" t="s">
        <v>61</v>
      </c>
    </row>
    <row r="488" spans="1:14" x14ac:dyDescent="0.3">
      <c r="A488">
        <v>2</v>
      </c>
      <c r="B488">
        <v>0</v>
      </c>
      <c r="C488" t="s">
        <v>972</v>
      </c>
      <c r="D488" t="s">
        <v>20</v>
      </c>
      <c r="E488">
        <v>24</v>
      </c>
      <c r="F488">
        <v>0</v>
      </c>
      <c r="G488">
        <v>0</v>
      </c>
      <c r="H488" t="s">
        <v>973</v>
      </c>
      <c r="I488">
        <v>10.5</v>
      </c>
      <c r="K488" t="s">
        <v>17</v>
      </c>
      <c r="M488">
        <v>108</v>
      </c>
    </row>
    <row r="489" spans="1:14" x14ac:dyDescent="0.3">
      <c r="A489">
        <v>2</v>
      </c>
      <c r="B489">
        <v>0</v>
      </c>
      <c r="C489" t="s">
        <v>974</v>
      </c>
      <c r="D489" t="s">
        <v>20</v>
      </c>
      <c r="E489">
        <v>61</v>
      </c>
      <c r="F489">
        <v>0</v>
      </c>
      <c r="G489">
        <v>0</v>
      </c>
      <c r="H489">
        <v>235509</v>
      </c>
      <c r="I489">
        <v>12.35</v>
      </c>
      <c r="K489" t="s">
        <v>463</v>
      </c>
    </row>
    <row r="490" spans="1:14" x14ac:dyDescent="0.3">
      <c r="A490">
        <v>2</v>
      </c>
      <c r="B490">
        <v>0</v>
      </c>
      <c r="C490" t="s">
        <v>975</v>
      </c>
      <c r="D490" t="s">
        <v>20</v>
      </c>
      <c r="E490">
        <v>50</v>
      </c>
      <c r="F490">
        <v>1</v>
      </c>
      <c r="G490">
        <v>0</v>
      </c>
      <c r="H490" t="s">
        <v>976</v>
      </c>
      <c r="I490">
        <v>26</v>
      </c>
      <c r="K490" t="s">
        <v>17</v>
      </c>
      <c r="M490">
        <v>121</v>
      </c>
      <c r="N490" t="s">
        <v>977</v>
      </c>
    </row>
    <row r="491" spans="1:14" x14ac:dyDescent="0.3">
      <c r="A491">
        <v>2</v>
      </c>
      <c r="B491">
        <v>1</v>
      </c>
      <c r="C491" t="s">
        <v>978</v>
      </c>
      <c r="D491" t="s">
        <v>15</v>
      </c>
      <c r="E491">
        <v>42</v>
      </c>
      <c r="F491">
        <v>1</v>
      </c>
      <c r="G491">
        <v>0</v>
      </c>
      <c r="H491" t="s">
        <v>976</v>
      </c>
      <c r="I491">
        <v>26</v>
      </c>
      <c r="K491" t="s">
        <v>17</v>
      </c>
      <c r="N491" t="s">
        <v>977</v>
      </c>
    </row>
    <row r="492" spans="1:14" x14ac:dyDescent="0.3">
      <c r="A492">
        <v>2</v>
      </c>
      <c r="B492">
        <v>0</v>
      </c>
      <c r="C492" t="s">
        <v>979</v>
      </c>
      <c r="D492" t="s">
        <v>15</v>
      </c>
      <c r="E492">
        <v>57</v>
      </c>
      <c r="F492">
        <v>0</v>
      </c>
      <c r="G492">
        <v>0</v>
      </c>
      <c r="H492" t="s">
        <v>980</v>
      </c>
      <c r="I492">
        <v>10.5</v>
      </c>
      <c r="J492" t="s">
        <v>981</v>
      </c>
      <c r="K492" t="s">
        <v>17</v>
      </c>
      <c r="M492">
        <v>52</v>
      </c>
      <c r="N492" t="s">
        <v>982</v>
      </c>
    </row>
    <row r="493" spans="1:14" x14ac:dyDescent="0.3">
      <c r="A493">
        <v>2</v>
      </c>
      <c r="B493">
        <v>0</v>
      </c>
      <c r="C493" t="s">
        <v>983</v>
      </c>
      <c r="D493" t="s">
        <v>20</v>
      </c>
      <c r="F493">
        <v>0</v>
      </c>
      <c r="G493">
        <v>0</v>
      </c>
      <c r="H493">
        <v>237735</v>
      </c>
      <c r="I493">
        <v>15.0458</v>
      </c>
      <c r="J493" t="s">
        <v>37</v>
      </c>
      <c r="K493" t="s">
        <v>41</v>
      </c>
      <c r="N493" t="s">
        <v>984</v>
      </c>
    </row>
    <row r="494" spans="1:14" x14ac:dyDescent="0.3">
      <c r="A494">
        <v>2</v>
      </c>
      <c r="B494">
        <v>1</v>
      </c>
      <c r="C494" t="s">
        <v>985</v>
      </c>
      <c r="D494" t="s">
        <v>20</v>
      </c>
      <c r="E494">
        <v>1</v>
      </c>
      <c r="F494">
        <v>0</v>
      </c>
      <c r="G494">
        <v>2</v>
      </c>
      <c r="H494" t="s">
        <v>986</v>
      </c>
      <c r="I494">
        <v>37.004199999999997</v>
      </c>
      <c r="K494" t="s">
        <v>41</v>
      </c>
      <c r="L494">
        <v>10</v>
      </c>
      <c r="N494" t="s">
        <v>987</v>
      </c>
    </row>
    <row r="495" spans="1:14" x14ac:dyDescent="0.3">
      <c r="A495">
        <v>2</v>
      </c>
      <c r="B495">
        <v>0</v>
      </c>
      <c r="C495" t="s">
        <v>988</v>
      </c>
      <c r="D495" t="s">
        <v>20</v>
      </c>
      <c r="E495">
        <v>31</v>
      </c>
      <c r="F495">
        <v>1</v>
      </c>
      <c r="G495">
        <v>1</v>
      </c>
      <c r="H495" t="s">
        <v>986</v>
      </c>
      <c r="I495">
        <v>37.004199999999997</v>
      </c>
      <c r="K495" t="s">
        <v>41</v>
      </c>
      <c r="N495" t="s">
        <v>987</v>
      </c>
    </row>
    <row r="496" spans="1:14" x14ac:dyDescent="0.3">
      <c r="A496">
        <v>2</v>
      </c>
      <c r="B496">
        <v>1</v>
      </c>
      <c r="C496" t="s">
        <v>989</v>
      </c>
      <c r="D496" t="s">
        <v>15</v>
      </c>
      <c r="E496">
        <v>24</v>
      </c>
      <c r="F496">
        <v>1</v>
      </c>
      <c r="G496">
        <v>1</v>
      </c>
      <c r="H496" t="s">
        <v>986</v>
      </c>
      <c r="I496">
        <v>37.004199999999997</v>
      </c>
      <c r="K496" t="s">
        <v>41</v>
      </c>
      <c r="L496">
        <v>10</v>
      </c>
      <c r="N496" t="s">
        <v>987</v>
      </c>
    </row>
    <row r="497" spans="1:14" x14ac:dyDescent="0.3">
      <c r="A497">
        <v>2</v>
      </c>
      <c r="B497">
        <v>0</v>
      </c>
      <c r="C497" t="s">
        <v>990</v>
      </c>
      <c r="D497" t="s">
        <v>20</v>
      </c>
      <c r="F497">
        <v>0</v>
      </c>
      <c r="G497">
        <v>0</v>
      </c>
      <c r="H497" t="s">
        <v>991</v>
      </c>
      <c r="I497">
        <v>15.5792</v>
      </c>
      <c r="K497" t="s">
        <v>41</v>
      </c>
      <c r="N497" t="s">
        <v>28</v>
      </c>
    </row>
    <row r="498" spans="1:14" x14ac:dyDescent="0.3">
      <c r="A498">
        <v>2</v>
      </c>
      <c r="B498">
        <v>0</v>
      </c>
      <c r="C498" t="s">
        <v>992</v>
      </c>
      <c r="D498" t="s">
        <v>20</v>
      </c>
      <c r="E498">
        <v>30</v>
      </c>
      <c r="F498">
        <v>0</v>
      </c>
      <c r="G498">
        <v>0</v>
      </c>
      <c r="H498">
        <v>28228</v>
      </c>
      <c r="I498">
        <v>13</v>
      </c>
      <c r="K498" t="s">
        <v>17</v>
      </c>
      <c r="N498" t="s">
        <v>993</v>
      </c>
    </row>
    <row r="499" spans="1:14" x14ac:dyDescent="0.3">
      <c r="A499">
        <v>2</v>
      </c>
      <c r="B499">
        <v>0</v>
      </c>
      <c r="C499" t="s">
        <v>994</v>
      </c>
      <c r="D499" t="s">
        <v>20</v>
      </c>
      <c r="E499">
        <v>40</v>
      </c>
      <c r="F499">
        <v>0</v>
      </c>
      <c r="G499">
        <v>0</v>
      </c>
      <c r="H499">
        <v>239059</v>
      </c>
      <c r="I499">
        <v>16</v>
      </c>
      <c r="K499" t="s">
        <v>17</v>
      </c>
      <c r="N499" t="s">
        <v>995</v>
      </c>
    </row>
    <row r="500" spans="1:14" x14ac:dyDescent="0.3">
      <c r="A500">
        <v>2</v>
      </c>
      <c r="B500">
        <v>0</v>
      </c>
      <c r="C500" t="s">
        <v>996</v>
      </c>
      <c r="D500" t="s">
        <v>20</v>
      </c>
      <c r="E500">
        <v>32</v>
      </c>
      <c r="F500">
        <v>0</v>
      </c>
      <c r="G500">
        <v>0</v>
      </c>
      <c r="H500">
        <v>237216</v>
      </c>
      <c r="I500">
        <v>13.5</v>
      </c>
      <c r="K500" t="s">
        <v>17</v>
      </c>
      <c r="M500">
        <v>209</v>
      </c>
      <c r="N500" t="s">
        <v>997</v>
      </c>
    </row>
    <row r="501" spans="1:14" x14ac:dyDescent="0.3">
      <c r="A501">
        <v>2</v>
      </c>
      <c r="B501">
        <v>0</v>
      </c>
      <c r="C501" t="s">
        <v>998</v>
      </c>
      <c r="D501" t="s">
        <v>20</v>
      </c>
      <c r="E501">
        <v>30</v>
      </c>
      <c r="F501">
        <v>0</v>
      </c>
      <c r="G501">
        <v>0</v>
      </c>
      <c r="H501">
        <v>233478</v>
      </c>
      <c r="I501">
        <v>13</v>
      </c>
      <c r="K501" t="s">
        <v>17</v>
      </c>
      <c r="N501" t="s">
        <v>999</v>
      </c>
    </row>
    <row r="502" spans="1:14" x14ac:dyDescent="0.3">
      <c r="A502">
        <v>2</v>
      </c>
      <c r="B502">
        <v>0</v>
      </c>
      <c r="C502" t="s">
        <v>1000</v>
      </c>
      <c r="D502" t="s">
        <v>20</v>
      </c>
      <c r="E502">
        <v>46</v>
      </c>
      <c r="F502">
        <v>0</v>
      </c>
      <c r="G502">
        <v>0</v>
      </c>
      <c r="H502">
        <v>28403</v>
      </c>
      <c r="I502">
        <v>26</v>
      </c>
      <c r="K502" t="s">
        <v>17</v>
      </c>
      <c r="N502" t="s">
        <v>734</v>
      </c>
    </row>
    <row r="503" spans="1:14" x14ac:dyDescent="0.3">
      <c r="A503">
        <v>2</v>
      </c>
      <c r="B503">
        <v>1</v>
      </c>
      <c r="C503" t="s">
        <v>1001</v>
      </c>
      <c r="D503" t="s">
        <v>15</v>
      </c>
      <c r="E503">
        <v>13</v>
      </c>
      <c r="F503">
        <v>0</v>
      </c>
      <c r="G503">
        <v>1</v>
      </c>
      <c r="H503">
        <v>250644</v>
      </c>
      <c r="I503">
        <v>19.5</v>
      </c>
      <c r="K503" t="s">
        <v>17</v>
      </c>
      <c r="L503">
        <v>14</v>
      </c>
      <c r="N503" t="s">
        <v>1002</v>
      </c>
    </row>
    <row r="504" spans="1:14" x14ac:dyDescent="0.3">
      <c r="A504">
        <v>2</v>
      </c>
      <c r="B504">
        <v>1</v>
      </c>
      <c r="C504" t="s">
        <v>1003</v>
      </c>
      <c r="D504" t="s">
        <v>15</v>
      </c>
      <c r="E504">
        <v>41</v>
      </c>
      <c r="F504">
        <v>0</v>
      </c>
      <c r="G504">
        <v>1</v>
      </c>
      <c r="H504">
        <v>250644</v>
      </c>
      <c r="I504">
        <v>19.5</v>
      </c>
      <c r="K504" t="s">
        <v>17</v>
      </c>
      <c r="L504">
        <v>14</v>
      </c>
      <c r="N504" t="s">
        <v>1002</v>
      </c>
    </row>
    <row r="505" spans="1:14" x14ac:dyDescent="0.3">
      <c r="A505">
        <v>2</v>
      </c>
      <c r="B505">
        <v>1</v>
      </c>
      <c r="C505" t="s">
        <v>1004</v>
      </c>
      <c r="D505" t="s">
        <v>20</v>
      </c>
      <c r="E505">
        <v>19</v>
      </c>
      <c r="F505">
        <v>0</v>
      </c>
      <c r="G505">
        <v>0</v>
      </c>
      <c r="H505" t="s">
        <v>1005</v>
      </c>
      <c r="I505">
        <v>10.5</v>
      </c>
      <c r="K505" t="s">
        <v>17</v>
      </c>
      <c r="L505" t="s">
        <v>54</v>
      </c>
      <c r="N505" t="s">
        <v>1006</v>
      </c>
    </row>
    <row r="506" spans="1:14" x14ac:dyDescent="0.3">
      <c r="A506">
        <v>2</v>
      </c>
      <c r="B506">
        <v>0</v>
      </c>
      <c r="C506" t="s">
        <v>1007</v>
      </c>
      <c r="D506" t="s">
        <v>20</v>
      </c>
      <c r="E506">
        <v>39</v>
      </c>
      <c r="F506">
        <v>0</v>
      </c>
      <c r="G506">
        <v>0</v>
      </c>
      <c r="H506">
        <v>248723</v>
      </c>
      <c r="I506">
        <v>13</v>
      </c>
      <c r="K506" t="s">
        <v>17</v>
      </c>
      <c r="N506" t="s">
        <v>1008</v>
      </c>
    </row>
    <row r="507" spans="1:14" x14ac:dyDescent="0.3">
      <c r="A507">
        <v>2</v>
      </c>
      <c r="B507">
        <v>0</v>
      </c>
      <c r="C507" t="s">
        <v>1009</v>
      </c>
      <c r="D507" t="s">
        <v>20</v>
      </c>
      <c r="E507">
        <v>48</v>
      </c>
      <c r="F507">
        <v>0</v>
      </c>
      <c r="G507">
        <v>0</v>
      </c>
      <c r="H507">
        <v>234360</v>
      </c>
      <c r="I507">
        <v>13</v>
      </c>
      <c r="K507" t="s">
        <v>17</v>
      </c>
      <c r="M507">
        <v>271</v>
      </c>
      <c r="N507" t="s">
        <v>1010</v>
      </c>
    </row>
    <row r="508" spans="1:14" x14ac:dyDescent="0.3">
      <c r="A508">
        <v>2</v>
      </c>
      <c r="B508">
        <v>0</v>
      </c>
      <c r="C508" t="s">
        <v>1011</v>
      </c>
      <c r="D508" t="s">
        <v>20</v>
      </c>
      <c r="E508">
        <v>70</v>
      </c>
      <c r="F508">
        <v>0</v>
      </c>
      <c r="G508">
        <v>0</v>
      </c>
      <c r="H508" t="s">
        <v>1012</v>
      </c>
      <c r="I508">
        <v>10.5</v>
      </c>
      <c r="K508" t="s">
        <v>17</v>
      </c>
      <c r="N508" t="s">
        <v>1013</v>
      </c>
    </row>
    <row r="509" spans="1:14" x14ac:dyDescent="0.3">
      <c r="A509">
        <v>2</v>
      </c>
      <c r="B509">
        <v>0</v>
      </c>
      <c r="C509" t="s">
        <v>1014</v>
      </c>
      <c r="D509" t="s">
        <v>20</v>
      </c>
      <c r="E509">
        <v>27</v>
      </c>
      <c r="F509">
        <v>0</v>
      </c>
      <c r="G509">
        <v>0</v>
      </c>
      <c r="H509">
        <v>211536</v>
      </c>
      <c r="I509">
        <v>13</v>
      </c>
      <c r="K509" t="s">
        <v>17</v>
      </c>
      <c r="N509" t="s">
        <v>520</v>
      </c>
    </row>
    <row r="510" spans="1:14" x14ac:dyDescent="0.3">
      <c r="A510">
        <v>2</v>
      </c>
      <c r="B510">
        <v>0</v>
      </c>
      <c r="C510" t="s">
        <v>1015</v>
      </c>
      <c r="D510" t="s">
        <v>20</v>
      </c>
      <c r="E510">
        <v>54</v>
      </c>
      <c r="F510">
        <v>0</v>
      </c>
      <c r="G510">
        <v>0</v>
      </c>
      <c r="H510">
        <v>29011</v>
      </c>
      <c r="I510">
        <v>14</v>
      </c>
      <c r="K510" t="s">
        <v>17</v>
      </c>
      <c r="N510" t="s">
        <v>1016</v>
      </c>
    </row>
    <row r="511" spans="1:14" x14ac:dyDescent="0.3">
      <c r="A511">
        <v>2</v>
      </c>
      <c r="B511">
        <v>0</v>
      </c>
      <c r="C511" t="s">
        <v>1017</v>
      </c>
      <c r="D511" t="s">
        <v>20</v>
      </c>
      <c r="E511">
        <v>39</v>
      </c>
      <c r="F511">
        <v>0</v>
      </c>
      <c r="G511">
        <v>0</v>
      </c>
      <c r="H511">
        <v>250655</v>
      </c>
      <c r="I511">
        <v>26</v>
      </c>
      <c r="K511" t="s">
        <v>17</v>
      </c>
    </row>
    <row r="512" spans="1:14" x14ac:dyDescent="0.3">
      <c r="A512">
        <v>2</v>
      </c>
      <c r="B512">
        <v>0</v>
      </c>
      <c r="C512" t="s">
        <v>1018</v>
      </c>
      <c r="D512" t="s">
        <v>20</v>
      </c>
      <c r="E512">
        <v>16</v>
      </c>
      <c r="F512">
        <v>0</v>
      </c>
      <c r="G512">
        <v>0</v>
      </c>
      <c r="H512" t="s">
        <v>980</v>
      </c>
      <c r="I512">
        <v>10.5</v>
      </c>
      <c r="K512" t="s">
        <v>17</v>
      </c>
      <c r="N512" t="s">
        <v>1019</v>
      </c>
    </row>
    <row r="513" spans="1:14" x14ac:dyDescent="0.3">
      <c r="A513">
        <v>2</v>
      </c>
      <c r="B513">
        <v>0</v>
      </c>
      <c r="C513" t="s">
        <v>1020</v>
      </c>
      <c r="D513" t="s">
        <v>20</v>
      </c>
      <c r="E513">
        <v>62</v>
      </c>
      <c r="F513">
        <v>0</v>
      </c>
      <c r="G513">
        <v>0</v>
      </c>
      <c r="H513">
        <v>240276</v>
      </c>
      <c r="I513">
        <v>9.6875</v>
      </c>
      <c r="K513" t="s">
        <v>463</v>
      </c>
      <c r="N513" t="s">
        <v>1021</v>
      </c>
    </row>
    <row r="514" spans="1:14" x14ac:dyDescent="0.3">
      <c r="A514">
        <v>2</v>
      </c>
      <c r="B514">
        <v>0</v>
      </c>
      <c r="C514" t="s">
        <v>1022</v>
      </c>
      <c r="D514" t="s">
        <v>20</v>
      </c>
      <c r="E514">
        <v>32.5</v>
      </c>
      <c r="F514">
        <v>1</v>
      </c>
      <c r="G514">
        <v>0</v>
      </c>
      <c r="H514">
        <v>237736</v>
      </c>
      <c r="I514">
        <v>30.070799999999998</v>
      </c>
      <c r="K514" t="s">
        <v>41</v>
      </c>
      <c r="M514">
        <v>43</v>
      </c>
      <c r="N514" t="s">
        <v>28</v>
      </c>
    </row>
    <row r="515" spans="1:14" x14ac:dyDescent="0.3">
      <c r="A515">
        <v>2</v>
      </c>
      <c r="B515">
        <v>1</v>
      </c>
      <c r="C515" t="s">
        <v>1023</v>
      </c>
      <c r="D515" t="s">
        <v>15</v>
      </c>
      <c r="E515">
        <v>14</v>
      </c>
      <c r="F515">
        <v>1</v>
      </c>
      <c r="G515">
        <v>0</v>
      </c>
      <c r="H515">
        <v>237736</v>
      </c>
      <c r="I515">
        <v>30.070799999999998</v>
      </c>
      <c r="K515" t="s">
        <v>41</v>
      </c>
      <c r="N515" t="s">
        <v>28</v>
      </c>
    </row>
    <row r="516" spans="1:14" x14ac:dyDescent="0.3">
      <c r="A516">
        <v>2</v>
      </c>
      <c r="B516">
        <v>1</v>
      </c>
      <c r="C516" t="s">
        <v>1024</v>
      </c>
      <c r="D516" t="s">
        <v>20</v>
      </c>
      <c r="E516">
        <v>2</v>
      </c>
      <c r="F516">
        <v>1</v>
      </c>
      <c r="G516">
        <v>1</v>
      </c>
      <c r="H516">
        <v>230080</v>
      </c>
      <c r="I516">
        <v>26</v>
      </c>
      <c r="J516" t="s">
        <v>1025</v>
      </c>
      <c r="K516" t="s">
        <v>17</v>
      </c>
      <c r="L516" t="s">
        <v>37</v>
      </c>
      <c r="N516" t="s">
        <v>1026</v>
      </c>
    </row>
    <row r="517" spans="1:14" x14ac:dyDescent="0.3">
      <c r="A517">
        <v>2</v>
      </c>
      <c r="B517">
        <v>1</v>
      </c>
      <c r="C517" t="s">
        <v>1027</v>
      </c>
      <c r="D517" t="s">
        <v>20</v>
      </c>
      <c r="E517">
        <v>3</v>
      </c>
      <c r="F517">
        <v>1</v>
      </c>
      <c r="G517">
        <v>1</v>
      </c>
      <c r="H517">
        <v>230080</v>
      </c>
      <c r="I517">
        <v>26</v>
      </c>
      <c r="J517" t="s">
        <v>1025</v>
      </c>
      <c r="K517" t="s">
        <v>17</v>
      </c>
      <c r="L517" t="s">
        <v>37</v>
      </c>
      <c r="N517" t="s">
        <v>1026</v>
      </c>
    </row>
    <row r="518" spans="1:14" x14ac:dyDescent="0.3">
      <c r="A518">
        <v>2</v>
      </c>
      <c r="B518">
        <v>0</v>
      </c>
      <c r="C518" t="s">
        <v>1028</v>
      </c>
      <c r="D518" t="s">
        <v>20</v>
      </c>
      <c r="E518">
        <v>36.5</v>
      </c>
      <c r="F518">
        <v>0</v>
      </c>
      <c r="G518">
        <v>2</v>
      </c>
      <c r="H518">
        <v>230080</v>
      </c>
      <c r="I518">
        <v>26</v>
      </c>
      <c r="J518" t="s">
        <v>1025</v>
      </c>
      <c r="K518" t="s">
        <v>17</v>
      </c>
      <c r="M518">
        <v>15</v>
      </c>
      <c r="N518" t="s">
        <v>1026</v>
      </c>
    </row>
    <row r="519" spans="1:14" x14ac:dyDescent="0.3">
      <c r="A519">
        <v>2</v>
      </c>
      <c r="B519">
        <v>0</v>
      </c>
      <c r="C519" t="s">
        <v>1029</v>
      </c>
      <c r="D519" t="s">
        <v>20</v>
      </c>
      <c r="E519">
        <v>26</v>
      </c>
      <c r="F519">
        <v>0</v>
      </c>
      <c r="G519">
        <v>0</v>
      </c>
      <c r="H519">
        <v>244368</v>
      </c>
      <c r="I519">
        <v>13</v>
      </c>
      <c r="J519" t="s">
        <v>1025</v>
      </c>
      <c r="K519" t="s">
        <v>17</v>
      </c>
      <c r="N519" t="s">
        <v>404</v>
      </c>
    </row>
    <row r="520" spans="1:14" x14ac:dyDescent="0.3">
      <c r="A520">
        <v>2</v>
      </c>
      <c r="B520">
        <v>0</v>
      </c>
      <c r="C520" t="s">
        <v>1030</v>
      </c>
      <c r="D520" t="s">
        <v>20</v>
      </c>
      <c r="E520">
        <v>19</v>
      </c>
      <c r="F520">
        <v>1</v>
      </c>
      <c r="G520">
        <v>1</v>
      </c>
      <c r="H520" t="s">
        <v>803</v>
      </c>
      <c r="I520">
        <v>36.75</v>
      </c>
      <c r="K520" t="s">
        <v>17</v>
      </c>
      <c r="M520">
        <v>101</v>
      </c>
      <c r="N520" t="s">
        <v>1031</v>
      </c>
    </row>
    <row r="521" spans="1:14" x14ac:dyDescent="0.3">
      <c r="A521">
        <v>2</v>
      </c>
      <c r="B521">
        <v>0</v>
      </c>
      <c r="C521" t="s">
        <v>1032</v>
      </c>
      <c r="D521" t="s">
        <v>20</v>
      </c>
      <c r="E521">
        <v>28</v>
      </c>
      <c r="F521">
        <v>0</v>
      </c>
      <c r="G521">
        <v>0</v>
      </c>
      <c r="H521">
        <v>218629</v>
      </c>
      <c r="I521">
        <v>13.5</v>
      </c>
      <c r="K521" t="s">
        <v>17</v>
      </c>
      <c r="M521">
        <v>287</v>
      </c>
      <c r="N521" t="s">
        <v>1033</v>
      </c>
    </row>
    <row r="522" spans="1:14" x14ac:dyDescent="0.3">
      <c r="A522">
        <v>2</v>
      </c>
      <c r="B522">
        <v>1</v>
      </c>
      <c r="C522" t="s">
        <v>1034</v>
      </c>
      <c r="D522" t="s">
        <v>20</v>
      </c>
      <c r="E522">
        <v>20</v>
      </c>
      <c r="F522">
        <v>0</v>
      </c>
      <c r="G522">
        <v>0</v>
      </c>
      <c r="H522" t="s">
        <v>1035</v>
      </c>
      <c r="I522">
        <v>13.862500000000001</v>
      </c>
      <c r="J522" t="s">
        <v>1036</v>
      </c>
      <c r="K522" t="s">
        <v>41</v>
      </c>
      <c r="L522">
        <v>7</v>
      </c>
      <c r="N522" t="s">
        <v>1037</v>
      </c>
    </row>
    <row r="523" spans="1:14" x14ac:dyDescent="0.3">
      <c r="A523">
        <v>2</v>
      </c>
      <c r="B523">
        <v>1</v>
      </c>
      <c r="C523" t="s">
        <v>1038</v>
      </c>
      <c r="D523" t="s">
        <v>15</v>
      </c>
      <c r="E523">
        <v>29</v>
      </c>
      <c r="F523">
        <v>0</v>
      </c>
      <c r="G523">
        <v>0</v>
      </c>
      <c r="H523" t="s">
        <v>1039</v>
      </c>
      <c r="I523">
        <v>10.5</v>
      </c>
      <c r="J523" t="s">
        <v>743</v>
      </c>
      <c r="K523" t="s">
        <v>17</v>
      </c>
      <c r="L523">
        <v>11</v>
      </c>
      <c r="N523" t="s">
        <v>1040</v>
      </c>
    </row>
    <row r="524" spans="1:14" x14ac:dyDescent="0.3">
      <c r="A524">
        <v>2</v>
      </c>
      <c r="B524">
        <v>0</v>
      </c>
      <c r="C524" t="s">
        <v>1041</v>
      </c>
      <c r="D524" t="s">
        <v>20</v>
      </c>
      <c r="E524">
        <v>39</v>
      </c>
      <c r="F524">
        <v>0</v>
      </c>
      <c r="G524">
        <v>0</v>
      </c>
      <c r="H524">
        <v>28213</v>
      </c>
      <c r="I524">
        <v>13</v>
      </c>
      <c r="K524" t="s">
        <v>17</v>
      </c>
      <c r="N524" t="s">
        <v>1042</v>
      </c>
    </row>
    <row r="525" spans="1:14" x14ac:dyDescent="0.3">
      <c r="A525">
        <v>2</v>
      </c>
      <c r="B525">
        <v>1</v>
      </c>
      <c r="C525" t="s">
        <v>1043</v>
      </c>
      <c r="D525" t="s">
        <v>20</v>
      </c>
      <c r="E525">
        <v>22</v>
      </c>
      <c r="F525">
        <v>0</v>
      </c>
      <c r="G525">
        <v>0</v>
      </c>
      <c r="H525" t="s">
        <v>1044</v>
      </c>
      <c r="I525">
        <v>10.5</v>
      </c>
      <c r="K525" t="s">
        <v>17</v>
      </c>
      <c r="L525">
        <v>13</v>
      </c>
      <c r="N525" t="s">
        <v>1045</v>
      </c>
    </row>
    <row r="526" spans="1:14" x14ac:dyDescent="0.3">
      <c r="A526">
        <v>2</v>
      </c>
      <c r="B526">
        <v>1</v>
      </c>
      <c r="C526" t="s">
        <v>1046</v>
      </c>
      <c r="D526" t="s">
        <v>20</v>
      </c>
      <c r="F526">
        <v>0</v>
      </c>
      <c r="G526">
        <v>0</v>
      </c>
      <c r="H526" t="s">
        <v>1047</v>
      </c>
      <c r="I526">
        <v>13.862500000000001</v>
      </c>
      <c r="K526" t="s">
        <v>41</v>
      </c>
      <c r="L526">
        <v>9</v>
      </c>
      <c r="N526" t="s">
        <v>1048</v>
      </c>
    </row>
    <row r="527" spans="1:14" x14ac:dyDescent="0.3">
      <c r="A527">
        <v>2</v>
      </c>
      <c r="B527">
        <v>0</v>
      </c>
      <c r="C527" t="s">
        <v>1049</v>
      </c>
      <c r="D527" t="s">
        <v>20</v>
      </c>
      <c r="E527">
        <v>23</v>
      </c>
      <c r="F527">
        <v>0</v>
      </c>
      <c r="G527">
        <v>0</v>
      </c>
      <c r="H527">
        <v>244278</v>
      </c>
      <c r="I527">
        <v>10.5</v>
      </c>
      <c r="K527" t="s">
        <v>17</v>
      </c>
      <c r="N527" t="s">
        <v>1050</v>
      </c>
    </row>
    <row r="528" spans="1:14" x14ac:dyDescent="0.3">
      <c r="A528">
        <v>2</v>
      </c>
      <c r="B528">
        <v>1</v>
      </c>
      <c r="C528" t="s">
        <v>1051</v>
      </c>
      <c r="D528" t="s">
        <v>20</v>
      </c>
      <c r="E528">
        <v>29</v>
      </c>
      <c r="F528">
        <v>0</v>
      </c>
      <c r="G528">
        <v>0</v>
      </c>
      <c r="H528" t="s">
        <v>1052</v>
      </c>
      <c r="I528">
        <v>13.8583</v>
      </c>
      <c r="K528" t="s">
        <v>41</v>
      </c>
      <c r="L528">
        <v>9</v>
      </c>
      <c r="N528" t="s">
        <v>1048</v>
      </c>
    </row>
    <row r="529" spans="1:14" x14ac:dyDescent="0.3">
      <c r="A529">
        <v>2</v>
      </c>
      <c r="B529">
        <v>0</v>
      </c>
      <c r="C529" t="s">
        <v>1053</v>
      </c>
      <c r="D529" t="s">
        <v>20</v>
      </c>
      <c r="E529">
        <v>28</v>
      </c>
      <c r="F529">
        <v>0</v>
      </c>
      <c r="G529">
        <v>0</v>
      </c>
      <c r="H529" t="s">
        <v>1054</v>
      </c>
      <c r="I529">
        <v>10.5</v>
      </c>
      <c r="K529" t="s">
        <v>17</v>
      </c>
      <c r="N529" t="s">
        <v>1055</v>
      </c>
    </row>
    <row r="530" spans="1:14" x14ac:dyDescent="0.3">
      <c r="A530">
        <v>2</v>
      </c>
      <c r="B530">
        <v>0</v>
      </c>
      <c r="C530" t="s">
        <v>1056</v>
      </c>
      <c r="D530" t="s">
        <v>20</v>
      </c>
      <c r="F530">
        <v>0</v>
      </c>
      <c r="G530">
        <v>0</v>
      </c>
      <c r="H530">
        <v>239853</v>
      </c>
      <c r="I530">
        <v>0</v>
      </c>
      <c r="K530" t="s">
        <v>17</v>
      </c>
      <c r="N530" t="s">
        <v>500</v>
      </c>
    </row>
    <row r="531" spans="1:14" x14ac:dyDescent="0.3">
      <c r="A531">
        <v>2</v>
      </c>
      <c r="B531">
        <v>1</v>
      </c>
      <c r="C531" t="s">
        <v>1057</v>
      </c>
      <c r="D531" t="s">
        <v>15</v>
      </c>
      <c r="E531">
        <v>50</v>
      </c>
      <c r="F531">
        <v>0</v>
      </c>
      <c r="G531">
        <v>1</v>
      </c>
      <c r="H531">
        <v>230433</v>
      </c>
      <c r="I531">
        <v>26</v>
      </c>
      <c r="K531" t="s">
        <v>17</v>
      </c>
      <c r="L531">
        <v>12</v>
      </c>
      <c r="N531" t="s">
        <v>1058</v>
      </c>
    </row>
    <row r="532" spans="1:14" x14ac:dyDescent="0.3">
      <c r="A532">
        <v>2</v>
      </c>
      <c r="B532">
        <v>0</v>
      </c>
      <c r="C532" t="s">
        <v>1059</v>
      </c>
      <c r="D532" t="s">
        <v>20</v>
      </c>
      <c r="E532">
        <v>19</v>
      </c>
      <c r="F532">
        <v>0</v>
      </c>
      <c r="G532">
        <v>0</v>
      </c>
      <c r="H532">
        <v>28665</v>
      </c>
      <c r="I532">
        <v>10.5</v>
      </c>
      <c r="K532" t="s">
        <v>17</v>
      </c>
      <c r="N532" t="s">
        <v>1060</v>
      </c>
    </row>
    <row r="533" spans="1:14" x14ac:dyDescent="0.3">
      <c r="A533">
        <v>2</v>
      </c>
      <c r="B533">
        <v>0</v>
      </c>
      <c r="C533" t="s">
        <v>1061</v>
      </c>
      <c r="D533" t="s">
        <v>20</v>
      </c>
      <c r="F533">
        <v>0</v>
      </c>
      <c r="G533">
        <v>0</v>
      </c>
      <c r="H533" t="s">
        <v>1062</v>
      </c>
      <c r="I533">
        <v>15.05</v>
      </c>
      <c r="K533" t="s">
        <v>41</v>
      </c>
    </row>
    <row r="534" spans="1:14" x14ac:dyDescent="0.3">
      <c r="A534">
        <v>2</v>
      </c>
      <c r="B534">
        <v>0</v>
      </c>
      <c r="C534" t="s">
        <v>1063</v>
      </c>
      <c r="D534" t="s">
        <v>20</v>
      </c>
      <c r="E534">
        <v>41</v>
      </c>
      <c r="F534">
        <v>0</v>
      </c>
      <c r="G534">
        <v>0</v>
      </c>
      <c r="H534">
        <v>237393</v>
      </c>
      <c r="I534">
        <v>13</v>
      </c>
      <c r="K534" t="s">
        <v>17</v>
      </c>
    </row>
    <row r="535" spans="1:14" x14ac:dyDescent="0.3">
      <c r="A535">
        <v>2</v>
      </c>
      <c r="B535">
        <v>1</v>
      </c>
      <c r="C535" t="s">
        <v>1064</v>
      </c>
      <c r="D535" t="s">
        <v>15</v>
      </c>
      <c r="E535">
        <v>21</v>
      </c>
      <c r="F535">
        <v>0</v>
      </c>
      <c r="G535">
        <v>1</v>
      </c>
      <c r="H535" t="s">
        <v>1065</v>
      </c>
      <c r="I535">
        <v>21</v>
      </c>
      <c r="K535" t="s">
        <v>17</v>
      </c>
      <c r="L535">
        <v>12</v>
      </c>
      <c r="N535" t="s">
        <v>1066</v>
      </c>
    </row>
    <row r="536" spans="1:14" x14ac:dyDescent="0.3">
      <c r="A536">
        <v>2</v>
      </c>
      <c r="B536">
        <v>1</v>
      </c>
      <c r="C536" t="s">
        <v>1067</v>
      </c>
      <c r="D536" t="s">
        <v>15</v>
      </c>
      <c r="E536">
        <v>19</v>
      </c>
      <c r="F536">
        <v>0</v>
      </c>
      <c r="G536">
        <v>0</v>
      </c>
      <c r="H536">
        <v>250655</v>
      </c>
      <c r="I536">
        <v>26</v>
      </c>
      <c r="K536" t="s">
        <v>17</v>
      </c>
      <c r="L536">
        <v>11</v>
      </c>
      <c r="N536" t="s">
        <v>1068</v>
      </c>
    </row>
    <row r="537" spans="1:14" x14ac:dyDescent="0.3">
      <c r="A537">
        <v>2</v>
      </c>
      <c r="B537">
        <v>0</v>
      </c>
      <c r="C537" t="s">
        <v>1069</v>
      </c>
      <c r="D537" t="s">
        <v>20</v>
      </c>
      <c r="E537">
        <v>43</v>
      </c>
      <c r="F537">
        <v>0</v>
      </c>
      <c r="G537">
        <v>1</v>
      </c>
      <c r="H537" t="s">
        <v>1065</v>
      </c>
      <c r="I537">
        <v>21</v>
      </c>
      <c r="K537" t="s">
        <v>17</v>
      </c>
      <c r="N537" t="s">
        <v>1066</v>
      </c>
    </row>
    <row r="538" spans="1:14" x14ac:dyDescent="0.3">
      <c r="A538">
        <v>2</v>
      </c>
      <c r="B538">
        <v>1</v>
      </c>
      <c r="C538" t="s">
        <v>1070</v>
      </c>
      <c r="D538" t="s">
        <v>15</v>
      </c>
      <c r="E538">
        <v>32</v>
      </c>
      <c r="F538">
        <v>0</v>
      </c>
      <c r="G538">
        <v>0</v>
      </c>
      <c r="H538">
        <v>234604</v>
      </c>
      <c r="I538">
        <v>13</v>
      </c>
      <c r="K538" t="s">
        <v>17</v>
      </c>
      <c r="L538">
        <v>9</v>
      </c>
      <c r="N538" t="s">
        <v>1071</v>
      </c>
    </row>
    <row r="539" spans="1:14" x14ac:dyDescent="0.3">
      <c r="A539">
        <v>2</v>
      </c>
      <c r="B539">
        <v>0</v>
      </c>
      <c r="C539" t="s">
        <v>1072</v>
      </c>
      <c r="D539" t="s">
        <v>20</v>
      </c>
      <c r="E539">
        <v>34</v>
      </c>
      <c r="F539">
        <v>0</v>
      </c>
      <c r="G539">
        <v>0</v>
      </c>
      <c r="H539">
        <v>250647</v>
      </c>
      <c r="I539">
        <v>13</v>
      </c>
      <c r="K539" t="s">
        <v>17</v>
      </c>
      <c r="N539" t="s">
        <v>1073</v>
      </c>
    </row>
    <row r="540" spans="1:14" x14ac:dyDescent="0.3">
      <c r="A540">
        <v>2</v>
      </c>
      <c r="B540">
        <v>1</v>
      </c>
      <c r="C540" t="s">
        <v>1074</v>
      </c>
      <c r="D540" t="s">
        <v>20</v>
      </c>
      <c r="E540">
        <v>30</v>
      </c>
      <c r="F540">
        <v>0</v>
      </c>
      <c r="G540">
        <v>0</v>
      </c>
      <c r="H540" t="s">
        <v>1075</v>
      </c>
      <c r="I540">
        <v>12.737500000000001</v>
      </c>
      <c r="K540" t="s">
        <v>41</v>
      </c>
      <c r="L540">
        <v>14</v>
      </c>
      <c r="N540" t="s">
        <v>1076</v>
      </c>
    </row>
    <row r="541" spans="1:14" x14ac:dyDescent="0.3">
      <c r="A541">
        <v>2</v>
      </c>
      <c r="B541">
        <v>0</v>
      </c>
      <c r="C541" t="s">
        <v>1077</v>
      </c>
      <c r="D541" t="s">
        <v>20</v>
      </c>
      <c r="E541">
        <v>27</v>
      </c>
      <c r="F541">
        <v>0</v>
      </c>
      <c r="G541">
        <v>0</v>
      </c>
      <c r="H541" t="s">
        <v>1078</v>
      </c>
      <c r="I541">
        <v>15.033300000000001</v>
      </c>
      <c r="K541" t="s">
        <v>41</v>
      </c>
      <c r="N541" t="s">
        <v>984</v>
      </c>
    </row>
    <row r="542" spans="1:14" x14ac:dyDescent="0.3">
      <c r="A542">
        <v>2</v>
      </c>
      <c r="B542">
        <v>1</v>
      </c>
      <c r="C542" t="s">
        <v>1079</v>
      </c>
      <c r="D542" t="s">
        <v>15</v>
      </c>
      <c r="E542">
        <v>2</v>
      </c>
      <c r="F542">
        <v>1</v>
      </c>
      <c r="G542">
        <v>1</v>
      </c>
      <c r="H542">
        <v>26360</v>
      </c>
      <c r="I542">
        <v>26</v>
      </c>
      <c r="K542" t="s">
        <v>17</v>
      </c>
      <c r="L542">
        <v>11</v>
      </c>
      <c r="N542" t="s">
        <v>1080</v>
      </c>
    </row>
    <row r="543" spans="1:14" x14ac:dyDescent="0.3">
      <c r="A543">
        <v>2</v>
      </c>
      <c r="B543">
        <v>1</v>
      </c>
      <c r="C543" t="s">
        <v>1081</v>
      </c>
      <c r="D543" t="s">
        <v>15</v>
      </c>
      <c r="E543">
        <v>8</v>
      </c>
      <c r="F543">
        <v>1</v>
      </c>
      <c r="G543">
        <v>1</v>
      </c>
      <c r="H543">
        <v>26360</v>
      </c>
      <c r="I543">
        <v>26</v>
      </c>
      <c r="K543" t="s">
        <v>17</v>
      </c>
      <c r="L543">
        <v>11</v>
      </c>
      <c r="N543" t="s">
        <v>1080</v>
      </c>
    </row>
    <row r="544" spans="1:14" x14ac:dyDescent="0.3">
      <c r="A544">
        <v>2</v>
      </c>
      <c r="B544">
        <v>1</v>
      </c>
      <c r="C544" t="s">
        <v>1082</v>
      </c>
      <c r="D544" t="s">
        <v>15</v>
      </c>
      <c r="E544">
        <v>33</v>
      </c>
      <c r="F544">
        <v>0</v>
      </c>
      <c r="G544">
        <v>2</v>
      </c>
      <c r="H544">
        <v>26360</v>
      </c>
      <c r="I544">
        <v>26</v>
      </c>
      <c r="K544" t="s">
        <v>17</v>
      </c>
      <c r="L544">
        <v>11</v>
      </c>
      <c r="N544" t="s">
        <v>1080</v>
      </c>
    </row>
    <row r="545" spans="1:14" x14ac:dyDescent="0.3">
      <c r="A545">
        <v>2</v>
      </c>
      <c r="B545">
        <v>0</v>
      </c>
      <c r="C545" t="s">
        <v>1083</v>
      </c>
      <c r="D545" t="s">
        <v>20</v>
      </c>
      <c r="E545">
        <v>36</v>
      </c>
      <c r="F545">
        <v>0</v>
      </c>
      <c r="G545">
        <v>0</v>
      </c>
      <c r="H545" t="s">
        <v>1084</v>
      </c>
      <c r="I545">
        <v>10.5</v>
      </c>
      <c r="K545" t="s">
        <v>17</v>
      </c>
      <c r="N545" t="s">
        <v>1085</v>
      </c>
    </row>
    <row r="546" spans="1:14" x14ac:dyDescent="0.3">
      <c r="A546">
        <v>2</v>
      </c>
      <c r="B546">
        <v>0</v>
      </c>
      <c r="C546" t="s">
        <v>1086</v>
      </c>
      <c r="D546" t="s">
        <v>20</v>
      </c>
      <c r="E546">
        <v>34</v>
      </c>
      <c r="F546">
        <v>1</v>
      </c>
      <c r="G546">
        <v>0</v>
      </c>
      <c r="H546">
        <v>31027</v>
      </c>
      <c r="I546">
        <v>21</v>
      </c>
      <c r="K546" t="s">
        <v>17</v>
      </c>
      <c r="L546">
        <v>12</v>
      </c>
      <c r="N546" t="s">
        <v>1087</v>
      </c>
    </row>
    <row r="547" spans="1:14" x14ac:dyDescent="0.3">
      <c r="A547">
        <v>2</v>
      </c>
      <c r="B547">
        <v>1</v>
      </c>
      <c r="C547" t="s">
        <v>1088</v>
      </c>
      <c r="D547" t="s">
        <v>15</v>
      </c>
      <c r="E547">
        <v>30</v>
      </c>
      <c r="F547">
        <v>3</v>
      </c>
      <c r="G547">
        <v>0</v>
      </c>
      <c r="H547">
        <v>31027</v>
      </c>
      <c r="I547">
        <v>21</v>
      </c>
      <c r="K547" t="s">
        <v>17</v>
      </c>
      <c r="N547" t="s">
        <v>1087</v>
      </c>
    </row>
    <row r="548" spans="1:14" x14ac:dyDescent="0.3">
      <c r="A548">
        <v>2</v>
      </c>
      <c r="B548">
        <v>1</v>
      </c>
      <c r="C548" t="s">
        <v>1089</v>
      </c>
      <c r="D548" t="s">
        <v>15</v>
      </c>
      <c r="E548">
        <v>28</v>
      </c>
      <c r="F548">
        <v>0</v>
      </c>
      <c r="G548">
        <v>0</v>
      </c>
      <c r="H548">
        <v>230434</v>
      </c>
      <c r="I548">
        <v>13</v>
      </c>
      <c r="K548" t="s">
        <v>17</v>
      </c>
      <c r="L548">
        <v>9</v>
      </c>
      <c r="N548" t="s">
        <v>1090</v>
      </c>
    </row>
    <row r="549" spans="1:14" x14ac:dyDescent="0.3">
      <c r="A549">
        <v>2</v>
      </c>
      <c r="B549">
        <v>0</v>
      </c>
      <c r="C549" t="s">
        <v>1091</v>
      </c>
      <c r="D549" t="s">
        <v>20</v>
      </c>
      <c r="E549">
        <v>23</v>
      </c>
      <c r="F549">
        <v>0</v>
      </c>
      <c r="G549">
        <v>0</v>
      </c>
      <c r="H549" t="s">
        <v>1092</v>
      </c>
      <c r="I549">
        <v>15.0458</v>
      </c>
      <c r="K549" t="s">
        <v>41</v>
      </c>
      <c r="N549" t="s">
        <v>987</v>
      </c>
    </row>
    <row r="550" spans="1:14" x14ac:dyDescent="0.3">
      <c r="A550">
        <v>2</v>
      </c>
      <c r="B550">
        <v>1</v>
      </c>
      <c r="C550" t="s">
        <v>1093</v>
      </c>
      <c r="D550" t="s">
        <v>20</v>
      </c>
      <c r="E550">
        <v>0.83</v>
      </c>
      <c r="F550">
        <v>1</v>
      </c>
      <c r="G550">
        <v>1</v>
      </c>
      <c r="H550">
        <v>29106</v>
      </c>
      <c r="I550">
        <v>18.75</v>
      </c>
      <c r="K550" t="s">
        <v>17</v>
      </c>
      <c r="L550">
        <v>4</v>
      </c>
      <c r="N550" t="s">
        <v>908</v>
      </c>
    </row>
    <row r="551" spans="1:14" x14ac:dyDescent="0.3">
      <c r="A551">
        <v>2</v>
      </c>
      <c r="B551">
        <v>1</v>
      </c>
      <c r="C551" t="s">
        <v>1094</v>
      </c>
      <c r="D551" t="s">
        <v>20</v>
      </c>
      <c r="E551">
        <v>3</v>
      </c>
      <c r="F551">
        <v>1</v>
      </c>
      <c r="G551">
        <v>1</v>
      </c>
      <c r="H551">
        <v>29106</v>
      </c>
      <c r="I551">
        <v>18.75</v>
      </c>
      <c r="K551" t="s">
        <v>17</v>
      </c>
      <c r="L551">
        <v>4</v>
      </c>
      <c r="N551" t="s">
        <v>908</v>
      </c>
    </row>
    <row r="552" spans="1:14" x14ac:dyDescent="0.3">
      <c r="A552">
        <v>2</v>
      </c>
      <c r="B552">
        <v>1</v>
      </c>
      <c r="C552" t="s">
        <v>1095</v>
      </c>
      <c r="D552" t="s">
        <v>15</v>
      </c>
      <c r="E552">
        <v>24</v>
      </c>
      <c r="F552">
        <v>2</v>
      </c>
      <c r="G552">
        <v>3</v>
      </c>
      <c r="H552">
        <v>29106</v>
      </c>
      <c r="I552">
        <v>18.75</v>
      </c>
      <c r="K552" t="s">
        <v>17</v>
      </c>
      <c r="L552">
        <v>4</v>
      </c>
      <c r="N552" t="s">
        <v>908</v>
      </c>
    </row>
    <row r="553" spans="1:14" x14ac:dyDescent="0.3">
      <c r="A553">
        <v>2</v>
      </c>
      <c r="B553">
        <v>1</v>
      </c>
      <c r="C553" t="s">
        <v>1096</v>
      </c>
      <c r="D553" t="s">
        <v>15</v>
      </c>
      <c r="E553">
        <v>50</v>
      </c>
      <c r="F553">
        <v>0</v>
      </c>
      <c r="G553">
        <v>0</v>
      </c>
      <c r="H553" t="s">
        <v>1097</v>
      </c>
      <c r="I553">
        <v>10.5</v>
      </c>
      <c r="K553" t="s">
        <v>17</v>
      </c>
      <c r="L553">
        <v>13</v>
      </c>
      <c r="N553" t="s">
        <v>1098</v>
      </c>
    </row>
    <row r="554" spans="1:14" x14ac:dyDescent="0.3">
      <c r="A554">
        <v>2</v>
      </c>
      <c r="B554">
        <v>0</v>
      </c>
      <c r="C554" t="s">
        <v>1099</v>
      </c>
      <c r="D554" t="s">
        <v>20</v>
      </c>
      <c r="E554">
        <v>19</v>
      </c>
      <c r="F554">
        <v>0</v>
      </c>
      <c r="G554">
        <v>0</v>
      </c>
      <c r="H554">
        <v>28004</v>
      </c>
      <c r="I554">
        <v>10.5</v>
      </c>
      <c r="K554" t="s">
        <v>17</v>
      </c>
    </row>
    <row r="555" spans="1:14" x14ac:dyDescent="0.3">
      <c r="A555">
        <v>2</v>
      </c>
      <c r="B555">
        <v>1</v>
      </c>
      <c r="C555" t="s">
        <v>1100</v>
      </c>
      <c r="D555" t="s">
        <v>15</v>
      </c>
      <c r="E555">
        <v>21</v>
      </c>
      <c r="F555">
        <v>0</v>
      </c>
      <c r="G555">
        <v>0</v>
      </c>
      <c r="H555" t="s">
        <v>1101</v>
      </c>
      <c r="I555">
        <v>10.5</v>
      </c>
      <c r="K555" t="s">
        <v>17</v>
      </c>
      <c r="L555">
        <v>12</v>
      </c>
      <c r="N555" t="s">
        <v>1102</v>
      </c>
    </row>
    <row r="556" spans="1:14" x14ac:dyDescent="0.3">
      <c r="A556">
        <v>2</v>
      </c>
      <c r="B556">
        <v>0</v>
      </c>
      <c r="C556" t="s">
        <v>1103</v>
      </c>
      <c r="D556" t="s">
        <v>20</v>
      </c>
      <c r="E556">
        <v>26</v>
      </c>
      <c r="F556">
        <v>0</v>
      </c>
      <c r="G556">
        <v>0</v>
      </c>
      <c r="H556">
        <v>248659</v>
      </c>
      <c r="I556">
        <v>13</v>
      </c>
      <c r="K556" t="s">
        <v>17</v>
      </c>
      <c r="N556" t="s">
        <v>611</v>
      </c>
    </row>
    <row r="557" spans="1:14" x14ac:dyDescent="0.3">
      <c r="A557">
        <v>2</v>
      </c>
      <c r="B557">
        <v>0</v>
      </c>
      <c r="C557" t="s">
        <v>1104</v>
      </c>
      <c r="D557" t="s">
        <v>20</v>
      </c>
      <c r="E557">
        <v>25</v>
      </c>
      <c r="F557">
        <v>0</v>
      </c>
      <c r="G557">
        <v>0</v>
      </c>
      <c r="H557">
        <v>244361</v>
      </c>
      <c r="I557">
        <v>13</v>
      </c>
      <c r="K557" t="s">
        <v>17</v>
      </c>
      <c r="N557" t="s">
        <v>387</v>
      </c>
    </row>
    <row r="558" spans="1:14" x14ac:dyDescent="0.3">
      <c r="A558">
        <v>2</v>
      </c>
      <c r="B558">
        <v>0</v>
      </c>
      <c r="C558" t="s">
        <v>1105</v>
      </c>
      <c r="D558" t="s">
        <v>20</v>
      </c>
      <c r="E558">
        <v>27</v>
      </c>
      <c r="F558">
        <v>0</v>
      </c>
      <c r="G558">
        <v>0</v>
      </c>
      <c r="H558">
        <v>244358</v>
      </c>
      <c r="I558">
        <v>26</v>
      </c>
      <c r="K558" t="s">
        <v>17</v>
      </c>
      <c r="N558" t="s">
        <v>1106</v>
      </c>
    </row>
    <row r="559" spans="1:14" x14ac:dyDescent="0.3">
      <c r="A559">
        <v>2</v>
      </c>
      <c r="B559">
        <v>1</v>
      </c>
      <c r="C559" t="s">
        <v>1107</v>
      </c>
      <c r="D559" t="s">
        <v>15</v>
      </c>
      <c r="E559">
        <v>25</v>
      </c>
      <c r="F559">
        <v>0</v>
      </c>
      <c r="G559">
        <v>1</v>
      </c>
      <c r="H559">
        <v>230433</v>
      </c>
      <c r="I559">
        <v>26</v>
      </c>
      <c r="K559" t="s">
        <v>17</v>
      </c>
      <c r="L559">
        <v>12</v>
      </c>
      <c r="N559" t="s">
        <v>1108</v>
      </c>
    </row>
    <row r="560" spans="1:14" x14ac:dyDescent="0.3">
      <c r="A560">
        <v>2</v>
      </c>
      <c r="B560">
        <v>1</v>
      </c>
      <c r="C560" t="s">
        <v>1109</v>
      </c>
      <c r="D560" t="s">
        <v>15</v>
      </c>
      <c r="E560">
        <v>18</v>
      </c>
      <c r="F560">
        <v>0</v>
      </c>
      <c r="G560">
        <v>2</v>
      </c>
      <c r="H560">
        <v>250652</v>
      </c>
      <c r="I560">
        <v>13</v>
      </c>
      <c r="K560" t="s">
        <v>17</v>
      </c>
      <c r="L560">
        <v>16</v>
      </c>
      <c r="N560" t="s">
        <v>1110</v>
      </c>
    </row>
    <row r="561" spans="1:14" x14ac:dyDescent="0.3">
      <c r="A561">
        <v>2</v>
      </c>
      <c r="B561">
        <v>1</v>
      </c>
      <c r="C561" t="s">
        <v>1111</v>
      </c>
      <c r="D561" t="s">
        <v>15</v>
      </c>
      <c r="E561">
        <v>20</v>
      </c>
      <c r="F561">
        <v>0</v>
      </c>
      <c r="G561">
        <v>0</v>
      </c>
      <c r="H561" t="s">
        <v>803</v>
      </c>
      <c r="I561">
        <v>36.75</v>
      </c>
      <c r="K561" t="s">
        <v>17</v>
      </c>
      <c r="L561">
        <v>11</v>
      </c>
      <c r="N561" t="s">
        <v>1031</v>
      </c>
    </row>
    <row r="562" spans="1:14" x14ac:dyDescent="0.3">
      <c r="A562">
        <v>2</v>
      </c>
      <c r="B562">
        <v>1</v>
      </c>
      <c r="C562" t="s">
        <v>1112</v>
      </c>
      <c r="D562" t="s">
        <v>15</v>
      </c>
      <c r="E562">
        <v>30</v>
      </c>
      <c r="F562">
        <v>0</v>
      </c>
      <c r="G562">
        <v>0</v>
      </c>
      <c r="H562">
        <v>250648</v>
      </c>
      <c r="I562">
        <v>13</v>
      </c>
      <c r="K562" t="s">
        <v>17</v>
      </c>
      <c r="L562">
        <v>10</v>
      </c>
      <c r="N562" t="s">
        <v>1113</v>
      </c>
    </row>
    <row r="563" spans="1:14" x14ac:dyDescent="0.3">
      <c r="A563">
        <v>2</v>
      </c>
      <c r="B563">
        <v>0</v>
      </c>
      <c r="C563" t="s">
        <v>1114</v>
      </c>
      <c r="D563" t="s">
        <v>20</v>
      </c>
      <c r="E563">
        <v>59</v>
      </c>
      <c r="F563">
        <v>0</v>
      </c>
      <c r="G563">
        <v>0</v>
      </c>
      <c r="H563">
        <v>237442</v>
      </c>
      <c r="I563">
        <v>13.5</v>
      </c>
      <c r="K563" t="s">
        <v>17</v>
      </c>
      <c r="N563" t="s">
        <v>1115</v>
      </c>
    </row>
    <row r="564" spans="1:14" x14ac:dyDescent="0.3">
      <c r="A564">
        <v>2</v>
      </c>
      <c r="B564">
        <v>1</v>
      </c>
      <c r="C564" t="s">
        <v>1116</v>
      </c>
      <c r="D564" t="s">
        <v>15</v>
      </c>
      <c r="E564">
        <v>30</v>
      </c>
      <c r="F564">
        <v>0</v>
      </c>
      <c r="G564">
        <v>0</v>
      </c>
      <c r="H564">
        <v>234818</v>
      </c>
      <c r="I564">
        <v>12.35</v>
      </c>
      <c r="K564" t="s">
        <v>463</v>
      </c>
      <c r="L564">
        <v>13</v>
      </c>
      <c r="N564" t="s">
        <v>688</v>
      </c>
    </row>
    <row r="565" spans="1:14" x14ac:dyDescent="0.3">
      <c r="A565">
        <v>2</v>
      </c>
      <c r="B565">
        <v>0</v>
      </c>
      <c r="C565" t="s">
        <v>1117</v>
      </c>
      <c r="D565" t="s">
        <v>20</v>
      </c>
      <c r="E565">
        <v>35</v>
      </c>
      <c r="F565">
        <v>0</v>
      </c>
      <c r="G565">
        <v>0</v>
      </c>
      <c r="H565">
        <v>28206</v>
      </c>
      <c r="I565">
        <v>10.5</v>
      </c>
      <c r="K565" t="s">
        <v>17</v>
      </c>
      <c r="N565" t="s">
        <v>863</v>
      </c>
    </row>
    <row r="566" spans="1:14" x14ac:dyDescent="0.3">
      <c r="A566">
        <v>2</v>
      </c>
      <c r="B566">
        <v>1</v>
      </c>
      <c r="C566" t="s">
        <v>1118</v>
      </c>
      <c r="D566" t="s">
        <v>15</v>
      </c>
      <c r="E566">
        <v>40</v>
      </c>
      <c r="F566">
        <v>0</v>
      </c>
      <c r="G566">
        <v>0</v>
      </c>
      <c r="H566">
        <v>31418</v>
      </c>
      <c r="I566">
        <v>13</v>
      </c>
      <c r="K566" t="s">
        <v>17</v>
      </c>
      <c r="L566">
        <v>9</v>
      </c>
    </row>
    <row r="567" spans="1:14" x14ac:dyDescent="0.3">
      <c r="A567">
        <v>2</v>
      </c>
      <c r="B567">
        <v>0</v>
      </c>
      <c r="C567" t="s">
        <v>1119</v>
      </c>
      <c r="D567" t="s">
        <v>20</v>
      </c>
      <c r="E567">
        <v>25</v>
      </c>
      <c r="F567">
        <v>0</v>
      </c>
      <c r="G567">
        <v>0</v>
      </c>
      <c r="H567" t="s">
        <v>1120</v>
      </c>
      <c r="I567">
        <v>13</v>
      </c>
      <c r="K567" t="s">
        <v>17</v>
      </c>
      <c r="N567" t="s">
        <v>848</v>
      </c>
    </row>
    <row r="568" spans="1:14" x14ac:dyDescent="0.3">
      <c r="A568">
        <v>2</v>
      </c>
      <c r="B568">
        <v>0</v>
      </c>
      <c r="C568" t="s">
        <v>1121</v>
      </c>
      <c r="D568" t="s">
        <v>20</v>
      </c>
      <c r="E568">
        <v>41</v>
      </c>
      <c r="F568">
        <v>0</v>
      </c>
      <c r="G568">
        <v>0</v>
      </c>
      <c r="H568">
        <v>237734</v>
      </c>
      <c r="I568">
        <v>15.0458</v>
      </c>
      <c r="K568" t="s">
        <v>41</v>
      </c>
      <c r="N568" t="s">
        <v>28</v>
      </c>
    </row>
    <row r="569" spans="1:14" x14ac:dyDescent="0.3">
      <c r="A569">
        <v>2</v>
      </c>
      <c r="B569">
        <v>0</v>
      </c>
      <c r="C569" t="s">
        <v>1122</v>
      </c>
      <c r="D569" t="s">
        <v>20</v>
      </c>
      <c r="E569">
        <v>25</v>
      </c>
      <c r="F569">
        <v>0</v>
      </c>
      <c r="G569">
        <v>0</v>
      </c>
      <c r="H569" t="s">
        <v>1123</v>
      </c>
      <c r="I569">
        <v>10.5</v>
      </c>
      <c r="K569" t="s">
        <v>17</v>
      </c>
      <c r="M569">
        <v>81</v>
      </c>
      <c r="N569" t="s">
        <v>1124</v>
      </c>
    </row>
    <row r="570" spans="1:14" x14ac:dyDescent="0.3">
      <c r="A570">
        <v>2</v>
      </c>
      <c r="B570">
        <v>0</v>
      </c>
      <c r="C570" t="s">
        <v>1125</v>
      </c>
      <c r="D570" t="s">
        <v>20</v>
      </c>
      <c r="E570">
        <v>18.5</v>
      </c>
      <c r="F570">
        <v>0</v>
      </c>
      <c r="G570">
        <v>0</v>
      </c>
      <c r="H570">
        <v>248734</v>
      </c>
      <c r="I570">
        <v>13</v>
      </c>
      <c r="J570" t="s">
        <v>1126</v>
      </c>
      <c r="K570" t="s">
        <v>17</v>
      </c>
      <c r="M570">
        <v>294</v>
      </c>
    </row>
    <row r="571" spans="1:14" x14ac:dyDescent="0.3">
      <c r="A571">
        <v>2</v>
      </c>
      <c r="B571">
        <v>0</v>
      </c>
      <c r="C571" t="s">
        <v>1127</v>
      </c>
      <c r="D571" t="s">
        <v>20</v>
      </c>
      <c r="E571">
        <v>14</v>
      </c>
      <c r="F571">
        <v>0</v>
      </c>
      <c r="G571">
        <v>0</v>
      </c>
      <c r="H571">
        <v>220845</v>
      </c>
      <c r="I571">
        <v>65</v>
      </c>
      <c r="K571" t="s">
        <v>17</v>
      </c>
      <c r="N571" t="s">
        <v>895</v>
      </c>
    </row>
    <row r="572" spans="1:14" x14ac:dyDescent="0.3">
      <c r="A572">
        <v>2</v>
      </c>
      <c r="B572">
        <v>1</v>
      </c>
      <c r="C572" t="s">
        <v>1128</v>
      </c>
      <c r="D572" t="s">
        <v>15</v>
      </c>
      <c r="E572">
        <v>50</v>
      </c>
      <c r="F572">
        <v>0</v>
      </c>
      <c r="G572">
        <v>0</v>
      </c>
      <c r="H572" t="s">
        <v>1129</v>
      </c>
      <c r="I572">
        <v>10.5</v>
      </c>
      <c r="K572" t="s">
        <v>17</v>
      </c>
      <c r="L572">
        <v>9</v>
      </c>
      <c r="N572" t="s">
        <v>372</v>
      </c>
    </row>
    <row r="573" spans="1:14" x14ac:dyDescent="0.3">
      <c r="A573">
        <v>2</v>
      </c>
      <c r="B573">
        <v>0</v>
      </c>
      <c r="C573" t="s">
        <v>1130</v>
      </c>
      <c r="D573" t="s">
        <v>20</v>
      </c>
      <c r="E573">
        <v>23</v>
      </c>
      <c r="F573">
        <v>0</v>
      </c>
      <c r="G573">
        <v>0</v>
      </c>
      <c r="H573">
        <v>233639</v>
      </c>
      <c r="I573">
        <v>13</v>
      </c>
      <c r="K573" t="s">
        <v>17</v>
      </c>
    </row>
    <row r="574" spans="1:14" x14ac:dyDescent="0.3">
      <c r="A574">
        <v>2</v>
      </c>
      <c r="B574">
        <v>1</v>
      </c>
      <c r="C574" t="s">
        <v>1131</v>
      </c>
      <c r="D574" t="s">
        <v>15</v>
      </c>
      <c r="E574">
        <v>28</v>
      </c>
      <c r="F574">
        <v>0</v>
      </c>
      <c r="G574">
        <v>0</v>
      </c>
      <c r="H574">
        <v>240929</v>
      </c>
      <c r="I574">
        <v>12.65</v>
      </c>
      <c r="K574" t="s">
        <v>17</v>
      </c>
      <c r="N574" t="s">
        <v>1132</v>
      </c>
    </row>
    <row r="575" spans="1:14" x14ac:dyDescent="0.3">
      <c r="A575">
        <v>2</v>
      </c>
      <c r="B575">
        <v>1</v>
      </c>
      <c r="C575" t="s">
        <v>1133</v>
      </c>
      <c r="D575" t="s">
        <v>15</v>
      </c>
      <c r="E575">
        <v>27</v>
      </c>
      <c r="F575">
        <v>0</v>
      </c>
      <c r="G575">
        <v>0</v>
      </c>
      <c r="H575">
        <v>34218</v>
      </c>
      <c r="I575">
        <v>10.5</v>
      </c>
      <c r="J575" t="s">
        <v>944</v>
      </c>
      <c r="K575" t="s">
        <v>17</v>
      </c>
      <c r="L575">
        <v>16</v>
      </c>
      <c r="N575" t="s">
        <v>1134</v>
      </c>
    </row>
    <row r="576" spans="1:14" x14ac:dyDescent="0.3">
      <c r="A576">
        <v>2</v>
      </c>
      <c r="B576">
        <v>0</v>
      </c>
      <c r="C576" t="s">
        <v>1135</v>
      </c>
      <c r="D576" t="s">
        <v>20</v>
      </c>
      <c r="E576">
        <v>29</v>
      </c>
      <c r="F576">
        <v>1</v>
      </c>
      <c r="G576">
        <v>0</v>
      </c>
      <c r="H576">
        <v>11668</v>
      </c>
      <c r="I576">
        <v>21</v>
      </c>
      <c r="K576" t="s">
        <v>17</v>
      </c>
      <c r="N576" t="s">
        <v>1136</v>
      </c>
    </row>
    <row r="577" spans="1:14" x14ac:dyDescent="0.3">
      <c r="A577">
        <v>2</v>
      </c>
      <c r="B577">
        <v>0</v>
      </c>
      <c r="C577" t="s">
        <v>1137</v>
      </c>
      <c r="D577" t="s">
        <v>15</v>
      </c>
      <c r="E577">
        <v>27</v>
      </c>
      <c r="F577">
        <v>1</v>
      </c>
      <c r="G577">
        <v>0</v>
      </c>
      <c r="H577">
        <v>11668</v>
      </c>
      <c r="I577">
        <v>21</v>
      </c>
      <c r="K577" t="s">
        <v>17</v>
      </c>
      <c r="N577" t="s">
        <v>1136</v>
      </c>
    </row>
    <row r="578" spans="1:14" x14ac:dyDescent="0.3">
      <c r="A578">
        <v>2</v>
      </c>
      <c r="B578">
        <v>0</v>
      </c>
      <c r="C578" t="s">
        <v>1138</v>
      </c>
      <c r="D578" t="s">
        <v>20</v>
      </c>
      <c r="E578">
        <v>40</v>
      </c>
      <c r="F578">
        <v>0</v>
      </c>
      <c r="G578">
        <v>0</v>
      </c>
      <c r="H578">
        <v>28221</v>
      </c>
      <c r="I578">
        <v>13</v>
      </c>
      <c r="K578" t="s">
        <v>17</v>
      </c>
      <c r="N578" t="s">
        <v>1139</v>
      </c>
    </row>
    <row r="579" spans="1:14" x14ac:dyDescent="0.3">
      <c r="A579">
        <v>2</v>
      </c>
      <c r="B579">
        <v>1</v>
      </c>
      <c r="C579" t="s">
        <v>1140</v>
      </c>
      <c r="D579" t="s">
        <v>15</v>
      </c>
      <c r="E579">
        <v>31</v>
      </c>
      <c r="F579">
        <v>0</v>
      </c>
      <c r="G579">
        <v>0</v>
      </c>
      <c r="H579" t="s">
        <v>763</v>
      </c>
      <c r="I579">
        <v>21</v>
      </c>
      <c r="K579" t="s">
        <v>17</v>
      </c>
      <c r="L579">
        <v>14</v>
      </c>
      <c r="N579" t="s">
        <v>764</v>
      </c>
    </row>
    <row r="580" spans="1:14" x14ac:dyDescent="0.3">
      <c r="A580">
        <v>2</v>
      </c>
      <c r="B580">
        <v>0</v>
      </c>
      <c r="C580" t="s">
        <v>1141</v>
      </c>
      <c r="D580" t="s">
        <v>20</v>
      </c>
      <c r="E580">
        <v>30</v>
      </c>
      <c r="F580">
        <v>1</v>
      </c>
      <c r="G580">
        <v>0</v>
      </c>
      <c r="H580" t="s">
        <v>1142</v>
      </c>
      <c r="I580">
        <v>21</v>
      </c>
      <c r="K580" t="s">
        <v>17</v>
      </c>
      <c r="N580" t="s">
        <v>1143</v>
      </c>
    </row>
    <row r="581" spans="1:14" x14ac:dyDescent="0.3">
      <c r="A581">
        <v>2</v>
      </c>
      <c r="B581">
        <v>0</v>
      </c>
      <c r="C581" t="s">
        <v>1144</v>
      </c>
      <c r="D581" t="s">
        <v>20</v>
      </c>
      <c r="E581">
        <v>23</v>
      </c>
      <c r="F581">
        <v>1</v>
      </c>
      <c r="G581">
        <v>0</v>
      </c>
      <c r="H581">
        <v>28666</v>
      </c>
      <c r="I581">
        <v>10.5</v>
      </c>
      <c r="K581" t="s">
        <v>17</v>
      </c>
    </row>
    <row r="582" spans="1:14" x14ac:dyDescent="0.3">
      <c r="A582">
        <v>2</v>
      </c>
      <c r="B582">
        <v>1</v>
      </c>
      <c r="C582" t="s">
        <v>1145</v>
      </c>
      <c r="D582" t="s">
        <v>15</v>
      </c>
      <c r="E582">
        <v>31</v>
      </c>
      <c r="F582">
        <v>0</v>
      </c>
      <c r="G582">
        <v>0</v>
      </c>
      <c r="H582" t="s">
        <v>1142</v>
      </c>
      <c r="I582">
        <v>21</v>
      </c>
      <c r="K582" t="s">
        <v>17</v>
      </c>
      <c r="L582">
        <v>10</v>
      </c>
      <c r="N582" t="s">
        <v>1143</v>
      </c>
    </row>
    <row r="583" spans="1:14" x14ac:dyDescent="0.3">
      <c r="A583">
        <v>2</v>
      </c>
      <c r="B583">
        <v>0</v>
      </c>
      <c r="C583" t="s">
        <v>1146</v>
      </c>
      <c r="D583" t="s">
        <v>20</v>
      </c>
      <c r="F583">
        <v>0</v>
      </c>
      <c r="G583">
        <v>0</v>
      </c>
      <c r="H583">
        <v>239856</v>
      </c>
      <c r="I583">
        <v>0</v>
      </c>
      <c r="K583" t="s">
        <v>17</v>
      </c>
      <c r="N583" t="s">
        <v>500</v>
      </c>
    </row>
    <row r="584" spans="1:14" x14ac:dyDescent="0.3">
      <c r="A584">
        <v>2</v>
      </c>
      <c r="B584">
        <v>1</v>
      </c>
      <c r="C584" t="s">
        <v>1147</v>
      </c>
      <c r="D584" t="s">
        <v>15</v>
      </c>
      <c r="E584">
        <v>12</v>
      </c>
      <c r="F584">
        <v>0</v>
      </c>
      <c r="G584">
        <v>0</v>
      </c>
      <c r="H584" t="s">
        <v>1148</v>
      </c>
      <c r="I584">
        <v>15.75</v>
      </c>
      <c r="K584" t="s">
        <v>17</v>
      </c>
      <c r="L584">
        <v>9</v>
      </c>
      <c r="N584" t="s">
        <v>1149</v>
      </c>
    </row>
    <row r="585" spans="1:14" x14ac:dyDescent="0.3">
      <c r="A585">
        <v>2</v>
      </c>
      <c r="B585">
        <v>1</v>
      </c>
      <c r="C585" t="s">
        <v>1150</v>
      </c>
      <c r="D585" t="s">
        <v>15</v>
      </c>
      <c r="E585">
        <v>40</v>
      </c>
      <c r="F585">
        <v>0</v>
      </c>
      <c r="G585">
        <v>0</v>
      </c>
      <c r="H585" t="s">
        <v>1148</v>
      </c>
      <c r="I585">
        <v>15.75</v>
      </c>
      <c r="K585" t="s">
        <v>17</v>
      </c>
      <c r="L585">
        <v>9</v>
      </c>
      <c r="N585" t="s">
        <v>1149</v>
      </c>
    </row>
    <row r="586" spans="1:14" x14ac:dyDescent="0.3">
      <c r="A586">
        <v>2</v>
      </c>
      <c r="B586">
        <v>1</v>
      </c>
      <c r="C586" t="s">
        <v>1151</v>
      </c>
      <c r="D586" t="s">
        <v>15</v>
      </c>
      <c r="E586">
        <v>32.5</v>
      </c>
      <c r="F586">
        <v>0</v>
      </c>
      <c r="G586">
        <v>0</v>
      </c>
      <c r="H586">
        <v>27267</v>
      </c>
      <c r="I586">
        <v>13</v>
      </c>
      <c r="J586" t="s">
        <v>944</v>
      </c>
      <c r="K586" t="s">
        <v>17</v>
      </c>
      <c r="L586">
        <v>12</v>
      </c>
      <c r="N586" t="s">
        <v>1152</v>
      </c>
    </row>
    <row r="587" spans="1:14" x14ac:dyDescent="0.3">
      <c r="A587">
        <v>2</v>
      </c>
      <c r="B587">
        <v>0</v>
      </c>
      <c r="C587" t="s">
        <v>1153</v>
      </c>
      <c r="D587" t="s">
        <v>20</v>
      </c>
      <c r="E587">
        <v>27</v>
      </c>
      <c r="F587">
        <v>1</v>
      </c>
      <c r="G587">
        <v>0</v>
      </c>
      <c r="H587">
        <v>228414</v>
      </c>
      <c r="I587">
        <v>26</v>
      </c>
      <c r="K587" t="s">
        <v>17</v>
      </c>
      <c r="M587">
        <v>293</v>
      </c>
      <c r="N587" t="s">
        <v>1154</v>
      </c>
    </row>
    <row r="588" spans="1:14" x14ac:dyDescent="0.3">
      <c r="A588">
        <v>2</v>
      </c>
      <c r="B588">
        <v>1</v>
      </c>
      <c r="C588" t="s">
        <v>1155</v>
      </c>
      <c r="D588" t="s">
        <v>15</v>
      </c>
      <c r="E588">
        <v>29</v>
      </c>
      <c r="F588">
        <v>1</v>
      </c>
      <c r="G588">
        <v>0</v>
      </c>
      <c r="H588">
        <v>228414</v>
      </c>
      <c r="I588">
        <v>26</v>
      </c>
      <c r="K588" t="s">
        <v>17</v>
      </c>
      <c r="L588">
        <v>10</v>
      </c>
      <c r="N588" t="s">
        <v>1154</v>
      </c>
    </row>
    <row r="589" spans="1:14" x14ac:dyDescent="0.3">
      <c r="A589">
        <v>2</v>
      </c>
      <c r="B589">
        <v>1</v>
      </c>
      <c r="C589" t="s">
        <v>1156</v>
      </c>
      <c r="D589" t="s">
        <v>20</v>
      </c>
      <c r="E589">
        <v>2</v>
      </c>
      <c r="F589">
        <v>1</v>
      </c>
      <c r="G589">
        <v>1</v>
      </c>
      <c r="H589">
        <v>29103</v>
      </c>
      <c r="I589">
        <v>23</v>
      </c>
      <c r="K589" t="s">
        <v>17</v>
      </c>
      <c r="L589">
        <v>14</v>
      </c>
      <c r="N589" t="s">
        <v>908</v>
      </c>
    </row>
    <row r="590" spans="1:14" x14ac:dyDescent="0.3">
      <c r="A590">
        <v>2</v>
      </c>
      <c r="B590">
        <v>1</v>
      </c>
      <c r="C590" t="s">
        <v>1157</v>
      </c>
      <c r="D590" t="s">
        <v>15</v>
      </c>
      <c r="E590">
        <v>4</v>
      </c>
      <c r="F590">
        <v>1</v>
      </c>
      <c r="G590">
        <v>1</v>
      </c>
      <c r="H590">
        <v>29103</v>
      </c>
      <c r="I590">
        <v>23</v>
      </c>
      <c r="K590" t="s">
        <v>17</v>
      </c>
      <c r="L590">
        <v>14</v>
      </c>
      <c r="N590" t="s">
        <v>908</v>
      </c>
    </row>
    <row r="591" spans="1:14" x14ac:dyDescent="0.3">
      <c r="A591">
        <v>2</v>
      </c>
      <c r="B591">
        <v>1</v>
      </c>
      <c r="C591" t="s">
        <v>1158</v>
      </c>
      <c r="D591" t="s">
        <v>15</v>
      </c>
      <c r="E591">
        <v>29</v>
      </c>
      <c r="F591">
        <v>0</v>
      </c>
      <c r="G591">
        <v>2</v>
      </c>
      <c r="H591">
        <v>29103</v>
      </c>
      <c r="I591">
        <v>23</v>
      </c>
      <c r="K591" t="s">
        <v>17</v>
      </c>
      <c r="L591">
        <v>14</v>
      </c>
      <c r="N591" t="s">
        <v>908</v>
      </c>
    </row>
    <row r="592" spans="1:14" x14ac:dyDescent="0.3">
      <c r="A592">
        <v>2</v>
      </c>
      <c r="B592">
        <v>1</v>
      </c>
      <c r="C592" t="s">
        <v>1159</v>
      </c>
      <c r="D592" t="s">
        <v>15</v>
      </c>
      <c r="E592">
        <v>0.92</v>
      </c>
      <c r="F592">
        <v>1</v>
      </c>
      <c r="G592">
        <v>2</v>
      </c>
      <c r="H592" t="s">
        <v>1160</v>
      </c>
      <c r="I592">
        <v>27.75</v>
      </c>
      <c r="K592" t="s">
        <v>17</v>
      </c>
      <c r="L592">
        <v>10</v>
      </c>
      <c r="N592" t="s">
        <v>1161</v>
      </c>
    </row>
    <row r="593" spans="1:14" x14ac:dyDescent="0.3">
      <c r="A593">
        <v>2</v>
      </c>
      <c r="B593">
        <v>1</v>
      </c>
      <c r="C593" t="s">
        <v>1162</v>
      </c>
      <c r="D593" t="s">
        <v>15</v>
      </c>
      <c r="E593">
        <v>5</v>
      </c>
      <c r="F593">
        <v>1</v>
      </c>
      <c r="G593">
        <v>2</v>
      </c>
      <c r="H593" t="s">
        <v>1160</v>
      </c>
      <c r="I593">
        <v>27.75</v>
      </c>
      <c r="K593" t="s">
        <v>17</v>
      </c>
      <c r="L593">
        <v>10</v>
      </c>
      <c r="N593" t="s">
        <v>1161</v>
      </c>
    </row>
    <row r="594" spans="1:14" x14ac:dyDescent="0.3">
      <c r="A594">
        <v>2</v>
      </c>
      <c r="B594">
        <v>0</v>
      </c>
      <c r="C594" t="s">
        <v>1163</v>
      </c>
      <c r="D594" t="s">
        <v>20</v>
      </c>
      <c r="E594">
        <v>36</v>
      </c>
      <c r="F594">
        <v>1</v>
      </c>
      <c r="G594">
        <v>2</v>
      </c>
      <c r="H594" t="s">
        <v>1160</v>
      </c>
      <c r="I594">
        <v>27.75</v>
      </c>
      <c r="K594" t="s">
        <v>17</v>
      </c>
      <c r="N594" t="s">
        <v>1161</v>
      </c>
    </row>
    <row r="595" spans="1:14" x14ac:dyDescent="0.3">
      <c r="A595">
        <v>2</v>
      </c>
      <c r="B595">
        <v>1</v>
      </c>
      <c r="C595" t="s">
        <v>1164</v>
      </c>
      <c r="D595" t="s">
        <v>15</v>
      </c>
      <c r="E595">
        <v>33</v>
      </c>
      <c r="F595">
        <v>1</v>
      </c>
      <c r="G595">
        <v>2</v>
      </c>
      <c r="H595" t="s">
        <v>1160</v>
      </c>
      <c r="I595">
        <v>27.75</v>
      </c>
      <c r="K595" t="s">
        <v>17</v>
      </c>
      <c r="L595">
        <v>10</v>
      </c>
      <c r="N595" t="s">
        <v>1161</v>
      </c>
    </row>
    <row r="596" spans="1:14" x14ac:dyDescent="0.3">
      <c r="A596">
        <v>2</v>
      </c>
      <c r="B596">
        <v>0</v>
      </c>
      <c r="C596" t="s">
        <v>1165</v>
      </c>
      <c r="D596" t="s">
        <v>20</v>
      </c>
      <c r="E596">
        <v>66</v>
      </c>
      <c r="F596">
        <v>0</v>
      </c>
      <c r="G596">
        <v>0</v>
      </c>
      <c r="H596" t="s">
        <v>1166</v>
      </c>
      <c r="I596">
        <v>10.5</v>
      </c>
      <c r="K596" t="s">
        <v>17</v>
      </c>
      <c r="N596" t="s">
        <v>1167</v>
      </c>
    </row>
    <row r="597" spans="1:14" x14ac:dyDescent="0.3">
      <c r="A597">
        <v>2</v>
      </c>
      <c r="B597">
        <v>0</v>
      </c>
      <c r="C597" t="s">
        <v>1168</v>
      </c>
      <c r="D597" t="s">
        <v>20</v>
      </c>
      <c r="F597">
        <v>0</v>
      </c>
      <c r="G597">
        <v>0</v>
      </c>
      <c r="H597" t="s">
        <v>1169</v>
      </c>
      <c r="I597">
        <v>12.875</v>
      </c>
      <c r="K597" t="s">
        <v>17</v>
      </c>
    </row>
    <row r="598" spans="1:14" x14ac:dyDescent="0.3">
      <c r="A598">
        <v>2</v>
      </c>
      <c r="B598">
        <v>1</v>
      </c>
      <c r="C598" t="s">
        <v>1170</v>
      </c>
      <c r="D598" t="s">
        <v>20</v>
      </c>
      <c r="E598">
        <v>31</v>
      </c>
      <c r="F598">
        <v>0</v>
      </c>
      <c r="G598">
        <v>0</v>
      </c>
      <c r="H598">
        <v>244270</v>
      </c>
      <c r="I598">
        <v>13</v>
      </c>
      <c r="K598" t="s">
        <v>17</v>
      </c>
      <c r="L598">
        <v>9</v>
      </c>
      <c r="N598" t="s">
        <v>175</v>
      </c>
    </row>
    <row r="599" spans="1:14" x14ac:dyDescent="0.3">
      <c r="A599">
        <v>2</v>
      </c>
      <c r="B599">
        <v>1</v>
      </c>
      <c r="C599" t="s">
        <v>1171</v>
      </c>
      <c r="D599" t="s">
        <v>20</v>
      </c>
      <c r="F599">
        <v>0</v>
      </c>
      <c r="G599">
        <v>0</v>
      </c>
      <c r="H599">
        <v>244373</v>
      </c>
      <c r="I599">
        <v>13</v>
      </c>
      <c r="K599" t="s">
        <v>17</v>
      </c>
      <c r="L599">
        <v>14</v>
      </c>
      <c r="N599" t="s">
        <v>1172</v>
      </c>
    </row>
    <row r="600" spans="1:14" x14ac:dyDescent="0.3">
      <c r="A600">
        <v>2</v>
      </c>
      <c r="B600">
        <v>1</v>
      </c>
      <c r="C600" t="s">
        <v>1173</v>
      </c>
      <c r="D600" t="s">
        <v>15</v>
      </c>
      <c r="E600">
        <v>26</v>
      </c>
      <c r="F600">
        <v>0</v>
      </c>
      <c r="G600">
        <v>0</v>
      </c>
      <c r="H600">
        <v>220844</v>
      </c>
      <c r="I600">
        <v>13.5</v>
      </c>
      <c r="K600" t="s">
        <v>17</v>
      </c>
      <c r="L600">
        <v>9</v>
      </c>
      <c r="N600" t="s">
        <v>1174</v>
      </c>
    </row>
    <row r="601" spans="1:14" x14ac:dyDescent="0.3">
      <c r="A601">
        <v>2</v>
      </c>
      <c r="B601">
        <v>0</v>
      </c>
      <c r="C601" t="s">
        <v>1175</v>
      </c>
      <c r="D601" t="s">
        <v>15</v>
      </c>
      <c r="E601">
        <v>24</v>
      </c>
      <c r="F601">
        <v>0</v>
      </c>
      <c r="G601">
        <v>0</v>
      </c>
      <c r="H601">
        <v>248747</v>
      </c>
      <c r="I601">
        <v>13</v>
      </c>
      <c r="K601" t="s">
        <v>17</v>
      </c>
      <c r="N601" t="s">
        <v>984</v>
      </c>
    </row>
    <row r="602" spans="1:14" x14ac:dyDescent="0.3">
      <c r="A602">
        <v>3</v>
      </c>
      <c r="B602">
        <v>0</v>
      </c>
      <c r="C602" t="s">
        <v>1176</v>
      </c>
      <c r="D602" t="s">
        <v>20</v>
      </c>
      <c r="E602">
        <v>42</v>
      </c>
      <c r="F602">
        <v>0</v>
      </c>
      <c r="G602">
        <v>0</v>
      </c>
      <c r="H602" t="s">
        <v>1177</v>
      </c>
      <c r="I602">
        <v>7.55</v>
      </c>
      <c r="K602" t="s">
        <v>17</v>
      </c>
    </row>
    <row r="603" spans="1:14" x14ac:dyDescent="0.3">
      <c r="A603">
        <v>3</v>
      </c>
      <c r="B603">
        <v>0</v>
      </c>
      <c r="C603" t="s">
        <v>1178</v>
      </c>
      <c r="D603" t="s">
        <v>20</v>
      </c>
      <c r="E603">
        <v>13</v>
      </c>
      <c r="F603">
        <v>0</v>
      </c>
      <c r="G603">
        <v>2</v>
      </c>
      <c r="H603" t="s">
        <v>1179</v>
      </c>
      <c r="I603">
        <v>20.25</v>
      </c>
      <c r="K603" t="s">
        <v>17</v>
      </c>
      <c r="N603" t="s">
        <v>1180</v>
      </c>
    </row>
    <row r="604" spans="1:14" x14ac:dyDescent="0.3">
      <c r="A604">
        <v>3</v>
      </c>
      <c r="B604">
        <v>0</v>
      </c>
      <c r="C604" t="s">
        <v>1181</v>
      </c>
      <c r="D604" t="s">
        <v>20</v>
      </c>
      <c r="E604">
        <v>16</v>
      </c>
      <c r="F604">
        <v>1</v>
      </c>
      <c r="G604">
        <v>1</v>
      </c>
      <c r="H604" t="s">
        <v>1179</v>
      </c>
      <c r="I604">
        <v>20.25</v>
      </c>
      <c r="K604" t="s">
        <v>17</v>
      </c>
      <c r="M604">
        <v>190</v>
      </c>
      <c r="N604" t="s">
        <v>1180</v>
      </c>
    </row>
    <row r="605" spans="1:14" x14ac:dyDescent="0.3">
      <c r="A605">
        <v>3</v>
      </c>
      <c r="B605">
        <v>1</v>
      </c>
      <c r="C605" t="s">
        <v>1182</v>
      </c>
      <c r="D605" t="s">
        <v>15</v>
      </c>
      <c r="E605">
        <v>35</v>
      </c>
      <c r="F605">
        <v>1</v>
      </c>
      <c r="G605">
        <v>1</v>
      </c>
      <c r="H605" t="s">
        <v>1179</v>
      </c>
      <c r="I605">
        <v>20.25</v>
      </c>
      <c r="K605" t="s">
        <v>17</v>
      </c>
      <c r="L605" t="s">
        <v>67</v>
      </c>
      <c r="N605" t="s">
        <v>1180</v>
      </c>
    </row>
    <row r="606" spans="1:14" x14ac:dyDescent="0.3">
      <c r="A606">
        <v>3</v>
      </c>
      <c r="B606">
        <v>1</v>
      </c>
      <c r="C606" t="s">
        <v>1183</v>
      </c>
      <c r="D606" t="s">
        <v>15</v>
      </c>
      <c r="E606">
        <v>16</v>
      </c>
      <c r="F606">
        <v>0</v>
      </c>
      <c r="G606">
        <v>0</v>
      </c>
      <c r="H606">
        <v>348125</v>
      </c>
      <c r="I606">
        <v>7.65</v>
      </c>
      <c r="K606" t="s">
        <v>17</v>
      </c>
      <c r="L606">
        <v>16</v>
      </c>
      <c r="N606" t="s">
        <v>1184</v>
      </c>
    </row>
    <row r="607" spans="1:14" x14ac:dyDescent="0.3">
      <c r="A607">
        <v>3</v>
      </c>
      <c r="B607">
        <v>1</v>
      </c>
      <c r="C607" t="s">
        <v>1185</v>
      </c>
      <c r="D607" t="s">
        <v>20</v>
      </c>
      <c r="E607">
        <v>25</v>
      </c>
      <c r="F607">
        <v>0</v>
      </c>
      <c r="G607">
        <v>0</v>
      </c>
      <c r="H607">
        <v>348122</v>
      </c>
      <c r="I607">
        <v>7.65</v>
      </c>
      <c r="J607" t="s">
        <v>1186</v>
      </c>
      <c r="K607" t="s">
        <v>17</v>
      </c>
      <c r="L607" t="s">
        <v>67</v>
      </c>
      <c r="N607" t="s">
        <v>1187</v>
      </c>
    </row>
    <row r="608" spans="1:14" x14ac:dyDescent="0.3">
      <c r="A608">
        <v>3</v>
      </c>
      <c r="B608">
        <v>1</v>
      </c>
      <c r="C608" t="s">
        <v>1188</v>
      </c>
      <c r="D608" t="s">
        <v>20</v>
      </c>
      <c r="E608">
        <v>20</v>
      </c>
      <c r="F608">
        <v>0</v>
      </c>
      <c r="G608">
        <v>0</v>
      </c>
      <c r="H608" t="s">
        <v>1189</v>
      </c>
      <c r="I608">
        <v>7.9249999999999998</v>
      </c>
      <c r="K608" t="s">
        <v>17</v>
      </c>
      <c r="L608">
        <v>15</v>
      </c>
      <c r="N608" t="s">
        <v>1190</v>
      </c>
    </row>
    <row r="609" spans="1:14" x14ac:dyDescent="0.3">
      <c r="A609">
        <v>3</v>
      </c>
      <c r="B609">
        <v>1</v>
      </c>
      <c r="C609" t="s">
        <v>1191</v>
      </c>
      <c r="D609" t="s">
        <v>15</v>
      </c>
      <c r="E609">
        <v>18</v>
      </c>
      <c r="F609">
        <v>0</v>
      </c>
      <c r="G609">
        <v>0</v>
      </c>
      <c r="H609">
        <v>2657</v>
      </c>
      <c r="I609">
        <v>7.2291999999999996</v>
      </c>
      <c r="K609" t="s">
        <v>41</v>
      </c>
      <c r="L609" t="s">
        <v>41</v>
      </c>
      <c r="N609" t="s">
        <v>1192</v>
      </c>
    </row>
    <row r="610" spans="1:14" x14ac:dyDescent="0.3">
      <c r="A610">
        <v>3</v>
      </c>
      <c r="B610">
        <v>0</v>
      </c>
      <c r="C610" t="s">
        <v>1193</v>
      </c>
      <c r="D610" t="s">
        <v>20</v>
      </c>
      <c r="E610">
        <v>30</v>
      </c>
      <c r="F610">
        <v>0</v>
      </c>
      <c r="G610">
        <v>0</v>
      </c>
      <c r="H610" t="s">
        <v>1194</v>
      </c>
      <c r="I610">
        <v>7.25</v>
      </c>
      <c r="K610" t="s">
        <v>17</v>
      </c>
      <c r="M610">
        <v>72</v>
      </c>
      <c r="N610" t="s">
        <v>1195</v>
      </c>
    </row>
    <row r="611" spans="1:14" x14ac:dyDescent="0.3">
      <c r="A611">
        <v>3</v>
      </c>
      <c r="B611">
        <v>0</v>
      </c>
      <c r="C611" t="s">
        <v>1196</v>
      </c>
      <c r="D611" t="s">
        <v>20</v>
      </c>
      <c r="E611">
        <v>26</v>
      </c>
      <c r="F611">
        <v>0</v>
      </c>
      <c r="G611">
        <v>0</v>
      </c>
      <c r="H611">
        <v>341826</v>
      </c>
      <c r="I611">
        <v>8.0500000000000007</v>
      </c>
      <c r="K611" t="s">
        <v>17</v>
      </c>
      <c r="M611">
        <v>103</v>
      </c>
      <c r="N611" t="s">
        <v>1197</v>
      </c>
    </row>
    <row r="612" spans="1:14" x14ac:dyDescent="0.3">
      <c r="A612">
        <v>3</v>
      </c>
      <c r="B612">
        <v>0</v>
      </c>
      <c r="C612" t="s">
        <v>1198</v>
      </c>
      <c r="D612" t="s">
        <v>15</v>
      </c>
      <c r="E612">
        <v>40</v>
      </c>
      <c r="F612">
        <v>1</v>
      </c>
      <c r="G612">
        <v>0</v>
      </c>
      <c r="H612">
        <v>7546</v>
      </c>
      <c r="I612">
        <v>9.4749999999999996</v>
      </c>
      <c r="K612" t="s">
        <v>17</v>
      </c>
      <c r="N612" t="s">
        <v>1199</v>
      </c>
    </row>
    <row r="613" spans="1:14" x14ac:dyDescent="0.3">
      <c r="A613">
        <v>3</v>
      </c>
      <c r="B613">
        <v>1</v>
      </c>
      <c r="C613" t="s">
        <v>1200</v>
      </c>
      <c r="D613" t="s">
        <v>20</v>
      </c>
      <c r="E613">
        <v>0.83</v>
      </c>
      <c r="F613">
        <v>0</v>
      </c>
      <c r="G613">
        <v>1</v>
      </c>
      <c r="H613">
        <v>392091</v>
      </c>
      <c r="I613">
        <v>9.35</v>
      </c>
      <c r="K613" t="s">
        <v>17</v>
      </c>
      <c r="L613">
        <v>11</v>
      </c>
      <c r="N613" t="s">
        <v>1201</v>
      </c>
    </row>
    <row r="614" spans="1:14" x14ac:dyDescent="0.3">
      <c r="A614">
        <v>3</v>
      </c>
      <c r="B614">
        <v>1</v>
      </c>
      <c r="C614" t="s">
        <v>1202</v>
      </c>
      <c r="D614" t="s">
        <v>15</v>
      </c>
      <c r="E614">
        <v>18</v>
      </c>
      <c r="F614">
        <v>0</v>
      </c>
      <c r="G614">
        <v>1</v>
      </c>
      <c r="H614">
        <v>392091</v>
      </c>
      <c r="I614">
        <v>9.35</v>
      </c>
      <c r="K614" t="s">
        <v>17</v>
      </c>
      <c r="L614">
        <v>13</v>
      </c>
      <c r="N614" t="s">
        <v>1201</v>
      </c>
    </row>
    <row r="615" spans="1:14" x14ac:dyDescent="0.3">
      <c r="A615">
        <v>3</v>
      </c>
      <c r="B615">
        <v>1</v>
      </c>
      <c r="C615" t="s">
        <v>1203</v>
      </c>
      <c r="D615" t="s">
        <v>20</v>
      </c>
      <c r="E615">
        <v>26</v>
      </c>
      <c r="F615">
        <v>0</v>
      </c>
      <c r="G615">
        <v>0</v>
      </c>
      <c r="H615">
        <v>2699</v>
      </c>
      <c r="I615">
        <v>18.787500000000001</v>
      </c>
      <c r="K615" t="s">
        <v>41</v>
      </c>
      <c r="L615">
        <v>15</v>
      </c>
      <c r="N615" t="s">
        <v>1204</v>
      </c>
    </row>
    <row r="616" spans="1:14" x14ac:dyDescent="0.3">
      <c r="A616">
        <v>3</v>
      </c>
      <c r="B616">
        <v>0</v>
      </c>
      <c r="C616" t="s">
        <v>1205</v>
      </c>
      <c r="D616" t="s">
        <v>20</v>
      </c>
      <c r="E616">
        <v>26</v>
      </c>
      <c r="F616">
        <v>0</v>
      </c>
      <c r="G616">
        <v>0</v>
      </c>
      <c r="H616">
        <v>3474</v>
      </c>
      <c r="I616">
        <v>7.8875000000000002</v>
      </c>
      <c r="K616" t="s">
        <v>17</v>
      </c>
      <c r="N616" t="s">
        <v>1206</v>
      </c>
    </row>
    <row r="617" spans="1:14" x14ac:dyDescent="0.3">
      <c r="A617">
        <v>3</v>
      </c>
      <c r="B617">
        <v>0</v>
      </c>
      <c r="C617" t="s">
        <v>1207</v>
      </c>
      <c r="D617" t="s">
        <v>20</v>
      </c>
      <c r="E617">
        <v>20</v>
      </c>
      <c r="F617">
        <v>0</v>
      </c>
      <c r="G617">
        <v>0</v>
      </c>
      <c r="H617" t="s">
        <v>1208</v>
      </c>
      <c r="I617">
        <v>7.9249999999999998</v>
      </c>
      <c r="K617" t="s">
        <v>17</v>
      </c>
      <c r="N617" t="s">
        <v>1209</v>
      </c>
    </row>
    <row r="618" spans="1:14" x14ac:dyDescent="0.3">
      <c r="A618">
        <v>3</v>
      </c>
      <c r="B618">
        <v>0</v>
      </c>
      <c r="C618" t="s">
        <v>1210</v>
      </c>
      <c r="D618" t="s">
        <v>20</v>
      </c>
      <c r="E618">
        <v>24</v>
      </c>
      <c r="F618">
        <v>0</v>
      </c>
      <c r="G618">
        <v>0</v>
      </c>
      <c r="H618" t="s">
        <v>1211</v>
      </c>
      <c r="I618">
        <v>7.05</v>
      </c>
      <c r="K618" t="s">
        <v>17</v>
      </c>
    </row>
    <row r="619" spans="1:14" x14ac:dyDescent="0.3">
      <c r="A619">
        <v>3</v>
      </c>
      <c r="B619">
        <v>0</v>
      </c>
      <c r="C619" t="s">
        <v>1212</v>
      </c>
      <c r="D619" t="s">
        <v>20</v>
      </c>
      <c r="E619">
        <v>25</v>
      </c>
      <c r="F619">
        <v>0</v>
      </c>
      <c r="G619">
        <v>0</v>
      </c>
      <c r="H619" t="s">
        <v>1213</v>
      </c>
      <c r="I619">
        <v>7.05</v>
      </c>
      <c r="K619" t="s">
        <v>17</v>
      </c>
      <c r="M619">
        <v>79</v>
      </c>
      <c r="N619" t="s">
        <v>1214</v>
      </c>
    </row>
    <row r="620" spans="1:14" x14ac:dyDescent="0.3">
      <c r="A620">
        <v>3</v>
      </c>
      <c r="B620">
        <v>0</v>
      </c>
      <c r="C620" t="s">
        <v>1215</v>
      </c>
      <c r="D620" t="s">
        <v>20</v>
      </c>
      <c r="E620">
        <v>35</v>
      </c>
      <c r="F620">
        <v>0</v>
      </c>
      <c r="G620">
        <v>0</v>
      </c>
      <c r="H620">
        <v>373450</v>
      </c>
      <c r="I620">
        <v>8.0500000000000007</v>
      </c>
      <c r="K620" t="s">
        <v>17</v>
      </c>
      <c r="N620" t="s">
        <v>1216</v>
      </c>
    </row>
    <row r="621" spans="1:14" x14ac:dyDescent="0.3">
      <c r="A621">
        <v>3</v>
      </c>
      <c r="B621">
        <v>0</v>
      </c>
      <c r="C621" t="s">
        <v>1217</v>
      </c>
      <c r="D621" t="s">
        <v>20</v>
      </c>
      <c r="E621">
        <v>18</v>
      </c>
      <c r="F621">
        <v>0</v>
      </c>
      <c r="G621">
        <v>0</v>
      </c>
      <c r="H621">
        <v>2223</v>
      </c>
      <c r="I621">
        <v>8.3000000000000007</v>
      </c>
      <c r="K621" t="s">
        <v>17</v>
      </c>
      <c r="M621">
        <v>259</v>
      </c>
      <c r="N621" t="s">
        <v>1218</v>
      </c>
    </row>
    <row r="622" spans="1:14" x14ac:dyDescent="0.3">
      <c r="A622">
        <v>3</v>
      </c>
      <c r="B622">
        <v>0</v>
      </c>
      <c r="C622" t="s">
        <v>1219</v>
      </c>
      <c r="D622" t="s">
        <v>20</v>
      </c>
      <c r="E622">
        <v>32</v>
      </c>
      <c r="F622">
        <v>0</v>
      </c>
      <c r="G622">
        <v>0</v>
      </c>
      <c r="H622" t="s">
        <v>1220</v>
      </c>
      <c r="I622">
        <v>22.524999999999999</v>
      </c>
      <c r="K622" t="s">
        <v>17</v>
      </c>
      <c r="M622">
        <v>260</v>
      </c>
      <c r="N622" t="s">
        <v>1221</v>
      </c>
    </row>
    <row r="623" spans="1:14" x14ac:dyDescent="0.3">
      <c r="A623">
        <v>3</v>
      </c>
      <c r="B623">
        <v>1</v>
      </c>
      <c r="C623" t="s">
        <v>1222</v>
      </c>
      <c r="D623" t="s">
        <v>15</v>
      </c>
      <c r="E623">
        <v>19</v>
      </c>
      <c r="F623">
        <v>1</v>
      </c>
      <c r="G623">
        <v>0</v>
      </c>
      <c r="H623">
        <v>350046</v>
      </c>
      <c r="I623">
        <v>7.8541999999999996</v>
      </c>
      <c r="K623" t="s">
        <v>17</v>
      </c>
      <c r="L623">
        <v>16</v>
      </c>
    </row>
    <row r="624" spans="1:14" x14ac:dyDescent="0.3">
      <c r="A624">
        <v>3</v>
      </c>
      <c r="B624">
        <v>0</v>
      </c>
      <c r="C624" t="s">
        <v>1223</v>
      </c>
      <c r="D624" t="s">
        <v>20</v>
      </c>
      <c r="E624">
        <v>4</v>
      </c>
      <c r="F624">
        <v>4</v>
      </c>
      <c r="G624">
        <v>2</v>
      </c>
      <c r="H624">
        <v>347082</v>
      </c>
      <c r="I624">
        <v>31.274999999999999</v>
      </c>
      <c r="K624" t="s">
        <v>17</v>
      </c>
      <c r="N624" t="s">
        <v>1224</v>
      </c>
    </row>
    <row r="625" spans="1:14" x14ac:dyDescent="0.3">
      <c r="A625">
        <v>3</v>
      </c>
      <c r="B625">
        <v>0</v>
      </c>
      <c r="C625" t="s">
        <v>1225</v>
      </c>
      <c r="D625" t="s">
        <v>15</v>
      </c>
      <c r="E625">
        <v>6</v>
      </c>
      <c r="F625">
        <v>4</v>
      </c>
      <c r="G625">
        <v>2</v>
      </c>
      <c r="H625">
        <v>347082</v>
      </c>
      <c r="I625">
        <v>31.274999999999999</v>
      </c>
      <c r="K625" t="s">
        <v>17</v>
      </c>
      <c r="N625" t="s">
        <v>1224</v>
      </c>
    </row>
    <row r="626" spans="1:14" x14ac:dyDescent="0.3">
      <c r="A626">
        <v>3</v>
      </c>
      <c r="B626">
        <v>0</v>
      </c>
      <c r="C626" t="s">
        <v>1226</v>
      </c>
      <c r="D626" t="s">
        <v>15</v>
      </c>
      <c r="E626">
        <v>2</v>
      </c>
      <c r="F626">
        <v>4</v>
      </c>
      <c r="G626">
        <v>2</v>
      </c>
      <c r="H626">
        <v>347082</v>
      </c>
      <c r="I626">
        <v>31.274999999999999</v>
      </c>
      <c r="K626" t="s">
        <v>17</v>
      </c>
      <c r="N626" t="s">
        <v>1224</v>
      </c>
    </row>
    <row r="627" spans="1:14" x14ac:dyDescent="0.3">
      <c r="A627">
        <v>3</v>
      </c>
      <c r="B627">
        <v>1</v>
      </c>
      <c r="C627" t="s">
        <v>1227</v>
      </c>
      <c r="D627" t="s">
        <v>15</v>
      </c>
      <c r="E627">
        <v>17</v>
      </c>
      <c r="F627">
        <v>4</v>
      </c>
      <c r="G627">
        <v>2</v>
      </c>
      <c r="H627">
        <v>3101281</v>
      </c>
      <c r="I627">
        <v>7.9249999999999998</v>
      </c>
      <c r="K627" t="s">
        <v>17</v>
      </c>
      <c r="L627" t="s">
        <v>37</v>
      </c>
      <c r="N627" t="s">
        <v>1228</v>
      </c>
    </row>
    <row r="628" spans="1:14" x14ac:dyDescent="0.3">
      <c r="A628">
        <v>3</v>
      </c>
      <c r="B628">
        <v>0</v>
      </c>
      <c r="C628" t="s">
        <v>1229</v>
      </c>
      <c r="D628" t="s">
        <v>15</v>
      </c>
      <c r="E628">
        <v>38</v>
      </c>
      <c r="F628">
        <v>4</v>
      </c>
      <c r="G628">
        <v>2</v>
      </c>
      <c r="H628">
        <v>347091</v>
      </c>
      <c r="I628">
        <v>7.7750000000000004</v>
      </c>
      <c r="K628" t="s">
        <v>17</v>
      </c>
      <c r="N628" t="s">
        <v>1230</v>
      </c>
    </row>
    <row r="629" spans="1:14" x14ac:dyDescent="0.3">
      <c r="A629">
        <v>3</v>
      </c>
      <c r="B629">
        <v>0</v>
      </c>
      <c r="C629" t="s">
        <v>1231</v>
      </c>
      <c r="D629" t="s">
        <v>15</v>
      </c>
      <c r="E629">
        <v>9</v>
      </c>
      <c r="F629">
        <v>4</v>
      </c>
      <c r="G629">
        <v>2</v>
      </c>
      <c r="H629">
        <v>347082</v>
      </c>
      <c r="I629">
        <v>31.274999999999999</v>
      </c>
      <c r="K629" t="s">
        <v>17</v>
      </c>
      <c r="N629" t="s">
        <v>1224</v>
      </c>
    </row>
    <row r="630" spans="1:14" x14ac:dyDescent="0.3">
      <c r="A630">
        <v>3</v>
      </c>
      <c r="B630">
        <v>0</v>
      </c>
      <c r="C630" t="s">
        <v>1232</v>
      </c>
      <c r="D630" t="s">
        <v>15</v>
      </c>
      <c r="E630">
        <v>11</v>
      </c>
      <c r="F630">
        <v>4</v>
      </c>
      <c r="G630">
        <v>2</v>
      </c>
      <c r="H630">
        <v>347082</v>
      </c>
      <c r="I630">
        <v>31.274999999999999</v>
      </c>
      <c r="K630" t="s">
        <v>17</v>
      </c>
      <c r="N630" t="s">
        <v>1224</v>
      </c>
    </row>
    <row r="631" spans="1:14" x14ac:dyDescent="0.3">
      <c r="A631">
        <v>3</v>
      </c>
      <c r="B631">
        <v>0</v>
      </c>
      <c r="C631" t="s">
        <v>1233</v>
      </c>
      <c r="D631" t="s">
        <v>20</v>
      </c>
      <c r="E631">
        <v>39</v>
      </c>
      <c r="F631">
        <v>1</v>
      </c>
      <c r="G631">
        <v>5</v>
      </c>
      <c r="H631">
        <v>347082</v>
      </c>
      <c r="I631">
        <v>31.274999999999999</v>
      </c>
      <c r="K631" t="s">
        <v>17</v>
      </c>
      <c r="N631" t="s">
        <v>1224</v>
      </c>
    </row>
    <row r="632" spans="1:14" x14ac:dyDescent="0.3">
      <c r="A632">
        <v>3</v>
      </c>
      <c r="B632">
        <v>1</v>
      </c>
      <c r="C632" t="s">
        <v>1234</v>
      </c>
      <c r="D632" t="s">
        <v>20</v>
      </c>
      <c r="E632">
        <v>27</v>
      </c>
      <c r="F632">
        <v>0</v>
      </c>
      <c r="G632">
        <v>0</v>
      </c>
      <c r="H632">
        <v>350043</v>
      </c>
      <c r="I632">
        <v>7.7957999999999998</v>
      </c>
      <c r="K632" t="s">
        <v>17</v>
      </c>
      <c r="L632" t="s">
        <v>67</v>
      </c>
    </row>
    <row r="633" spans="1:14" x14ac:dyDescent="0.3">
      <c r="A633">
        <v>3</v>
      </c>
      <c r="B633">
        <v>0</v>
      </c>
      <c r="C633" t="s">
        <v>1235</v>
      </c>
      <c r="D633" t="s">
        <v>20</v>
      </c>
      <c r="E633">
        <v>26</v>
      </c>
      <c r="F633">
        <v>0</v>
      </c>
      <c r="G633">
        <v>0</v>
      </c>
      <c r="H633">
        <v>347075</v>
      </c>
      <c r="I633">
        <v>7.7750000000000004</v>
      </c>
      <c r="K633" t="s">
        <v>17</v>
      </c>
      <c r="N633" t="s">
        <v>1236</v>
      </c>
    </row>
    <row r="634" spans="1:14" x14ac:dyDescent="0.3">
      <c r="A634">
        <v>3</v>
      </c>
      <c r="B634">
        <v>0</v>
      </c>
      <c r="C634" t="s">
        <v>1237</v>
      </c>
      <c r="D634" t="s">
        <v>15</v>
      </c>
      <c r="E634">
        <v>39</v>
      </c>
      <c r="F634">
        <v>1</v>
      </c>
      <c r="G634">
        <v>5</v>
      </c>
      <c r="H634">
        <v>347082</v>
      </c>
      <c r="I634">
        <v>31.274999999999999</v>
      </c>
      <c r="K634" t="s">
        <v>17</v>
      </c>
      <c r="N634" t="s">
        <v>1224</v>
      </c>
    </row>
    <row r="635" spans="1:14" x14ac:dyDescent="0.3">
      <c r="A635">
        <v>3</v>
      </c>
      <c r="B635">
        <v>0</v>
      </c>
      <c r="C635" t="s">
        <v>1238</v>
      </c>
      <c r="D635" t="s">
        <v>20</v>
      </c>
      <c r="E635">
        <v>20</v>
      </c>
      <c r="F635">
        <v>0</v>
      </c>
      <c r="G635">
        <v>0</v>
      </c>
      <c r="H635">
        <v>347466</v>
      </c>
      <c r="I635">
        <v>7.8541999999999996</v>
      </c>
      <c r="K635" t="s">
        <v>17</v>
      </c>
      <c r="N635" t="s">
        <v>1239</v>
      </c>
    </row>
    <row r="636" spans="1:14" x14ac:dyDescent="0.3">
      <c r="A636">
        <v>3</v>
      </c>
      <c r="B636">
        <v>0</v>
      </c>
      <c r="C636" t="s">
        <v>1240</v>
      </c>
      <c r="D636" t="s">
        <v>20</v>
      </c>
      <c r="E636">
        <v>26</v>
      </c>
      <c r="F636">
        <v>0</v>
      </c>
      <c r="G636">
        <v>0</v>
      </c>
      <c r="H636">
        <v>349202</v>
      </c>
      <c r="I636">
        <v>7.8958000000000004</v>
      </c>
      <c r="K636" t="s">
        <v>17</v>
      </c>
      <c r="N636" t="s">
        <v>1241</v>
      </c>
    </row>
    <row r="637" spans="1:14" x14ac:dyDescent="0.3">
      <c r="A637">
        <v>3</v>
      </c>
      <c r="B637">
        <v>0</v>
      </c>
      <c r="C637" t="s">
        <v>1242</v>
      </c>
      <c r="D637" t="s">
        <v>20</v>
      </c>
      <c r="E637">
        <v>25</v>
      </c>
      <c r="F637">
        <v>1</v>
      </c>
      <c r="G637">
        <v>0</v>
      </c>
      <c r="H637">
        <v>349237</v>
      </c>
      <c r="I637">
        <v>17.8</v>
      </c>
      <c r="K637" t="s">
        <v>17</v>
      </c>
      <c r="N637" t="s">
        <v>1243</v>
      </c>
    </row>
    <row r="638" spans="1:14" x14ac:dyDescent="0.3">
      <c r="A638">
        <v>3</v>
      </c>
      <c r="B638">
        <v>0</v>
      </c>
      <c r="C638" t="s">
        <v>1244</v>
      </c>
      <c r="D638" t="s">
        <v>15</v>
      </c>
      <c r="E638">
        <v>18</v>
      </c>
      <c r="F638">
        <v>1</v>
      </c>
      <c r="G638">
        <v>0</v>
      </c>
      <c r="H638">
        <v>349237</v>
      </c>
      <c r="I638">
        <v>17.8</v>
      </c>
      <c r="K638" t="s">
        <v>17</v>
      </c>
      <c r="N638" t="s">
        <v>1243</v>
      </c>
    </row>
    <row r="639" spans="1:14" x14ac:dyDescent="0.3">
      <c r="A639">
        <v>3</v>
      </c>
      <c r="B639">
        <v>0</v>
      </c>
      <c r="C639" t="s">
        <v>1245</v>
      </c>
      <c r="D639" t="s">
        <v>20</v>
      </c>
      <c r="E639">
        <v>24</v>
      </c>
      <c r="F639">
        <v>0</v>
      </c>
      <c r="G639">
        <v>0</v>
      </c>
      <c r="H639">
        <v>349911</v>
      </c>
      <c r="I639">
        <v>7.7750000000000004</v>
      </c>
      <c r="K639" t="s">
        <v>17</v>
      </c>
      <c r="N639" t="s">
        <v>1246</v>
      </c>
    </row>
    <row r="640" spans="1:14" x14ac:dyDescent="0.3">
      <c r="A640">
        <v>3</v>
      </c>
      <c r="B640">
        <v>0</v>
      </c>
      <c r="C640" t="s">
        <v>1247</v>
      </c>
      <c r="D640" t="s">
        <v>20</v>
      </c>
      <c r="E640">
        <v>35</v>
      </c>
      <c r="F640">
        <v>0</v>
      </c>
      <c r="G640">
        <v>0</v>
      </c>
      <c r="H640" t="s">
        <v>1248</v>
      </c>
      <c r="I640">
        <v>7.05</v>
      </c>
      <c r="K640" t="s">
        <v>17</v>
      </c>
    </row>
    <row r="641" spans="1:14" x14ac:dyDescent="0.3">
      <c r="A641">
        <v>3</v>
      </c>
      <c r="B641">
        <v>0</v>
      </c>
      <c r="C641" t="s">
        <v>1249</v>
      </c>
      <c r="D641" t="s">
        <v>20</v>
      </c>
      <c r="E641">
        <v>5</v>
      </c>
      <c r="F641">
        <v>4</v>
      </c>
      <c r="G641">
        <v>2</v>
      </c>
      <c r="H641">
        <v>347077</v>
      </c>
      <c r="I641">
        <v>31.387499999999999</v>
      </c>
      <c r="K641" t="s">
        <v>17</v>
      </c>
      <c r="N641" t="s">
        <v>1250</v>
      </c>
    </row>
    <row r="642" spans="1:14" x14ac:dyDescent="0.3">
      <c r="A642">
        <v>3</v>
      </c>
      <c r="B642">
        <v>0</v>
      </c>
      <c r="C642" t="s">
        <v>1251</v>
      </c>
      <c r="D642" t="s">
        <v>20</v>
      </c>
      <c r="E642">
        <v>9</v>
      </c>
      <c r="F642">
        <v>4</v>
      </c>
      <c r="G642">
        <v>2</v>
      </c>
      <c r="H642">
        <v>347077</v>
      </c>
      <c r="I642">
        <v>31.387499999999999</v>
      </c>
      <c r="K642" t="s">
        <v>17</v>
      </c>
      <c r="N642" t="s">
        <v>1252</v>
      </c>
    </row>
    <row r="643" spans="1:14" x14ac:dyDescent="0.3">
      <c r="A643">
        <v>3</v>
      </c>
      <c r="B643">
        <v>1</v>
      </c>
      <c r="C643" t="s">
        <v>1253</v>
      </c>
      <c r="D643" t="s">
        <v>20</v>
      </c>
      <c r="E643">
        <v>3</v>
      </c>
      <c r="F643">
        <v>4</v>
      </c>
      <c r="G643">
        <v>2</v>
      </c>
      <c r="H643">
        <v>347077</v>
      </c>
      <c r="I643">
        <v>31.387499999999999</v>
      </c>
      <c r="K643" t="s">
        <v>17</v>
      </c>
      <c r="L643">
        <v>15</v>
      </c>
      <c r="N643" t="s">
        <v>1252</v>
      </c>
    </row>
    <row r="644" spans="1:14" x14ac:dyDescent="0.3">
      <c r="A644">
        <v>3</v>
      </c>
      <c r="B644">
        <v>0</v>
      </c>
      <c r="C644" t="s">
        <v>1254</v>
      </c>
      <c r="D644" t="s">
        <v>20</v>
      </c>
      <c r="E644">
        <v>13</v>
      </c>
      <c r="F644">
        <v>4</v>
      </c>
      <c r="G644">
        <v>2</v>
      </c>
      <c r="H644">
        <v>347077</v>
      </c>
      <c r="I644">
        <v>31.387499999999999</v>
      </c>
      <c r="K644" t="s">
        <v>17</v>
      </c>
      <c r="N644" t="s">
        <v>1252</v>
      </c>
    </row>
    <row r="645" spans="1:14" x14ac:dyDescent="0.3">
      <c r="A645">
        <v>3</v>
      </c>
      <c r="B645">
        <v>1</v>
      </c>
      <c r="C645" t="s">
        <v>1255</v>
      </c>
      <c r="D645" t="s">
        <v>15</v>
      </c>
      <c r="E645">
        <v>5</v>
      </c>
      <c r="F645">
        <v>4</v>
      </c>
      <c r="G645">
        <v>2</v>
      </c>
      <c r="H645">
        <v>347077</v>
      </c>
      <c r="I645">
        <v>31.387499999999999</v>
      </c>
      <c r="K645" t="s">
        <v>17</v>
      </c>
      <c r="L645">
        <v>15</v>
      </c>
      <c r="N645" t="s">
        <v>1252</v>
      </c>
    </row>
    <row r="646" spans="1:14" x14ac:dyDescent="0.3">
      <c r="A646">
        <v>3</v>
      </c>
      <c r="B646">
        <v>0</v>
      </c>
      <c r="C646" t="s">
        <v>1256</v>
      </c>
      <c r="D646" t="s">
        <v>20</v>
      </c>
      <c r="E646">
        <v>40</v>
      </c>
      <c r="F646">
        <v>1</v>
      </c>
      <c r="G646">
        <v>5</v>
      </c>
      <c r="H646">
        <v>347077</v>
      </c>
      <c r="I646">
        <v>31.387499999999999</v>
      </c>
      <c r="K646" t="s">
        <v>17</v>
      </c>
      <c r="M646">
        <v>142</v>
      </c>
      <c r="N646" t="s">
        <v>1250</v>
      </c>
    </row>
    <row r="647" spans="1:14" x14ac:dyDescent="0.3">
      <c r="A647">
        <v>3</v>
      </c>
      <c r="B647">
        <v>1</v>
      </c>
      <c r="C647" t="s">
        <v>1257</v>
      </c>
      <c r="D647" t="s">
        <v>20</v>
      </c>
      <c r="E647">
        <v>23</v>
      </c>
      <c r="F647">
        <v>0</v>
      </c>
      <c r="G647">
        <v>0</v>
      </c>
      <c r="H647">
        <v>350054</v>
      </c>
      <c r="I647">
        <v>7.7957999999999998</v>
      </c>
      <c r="K647" t="s">
        <v>17</v>
      </c>
      <c r="L647">
        <v>13</v>
      </c>
      <c r="N647" t="s">
        <v>1258</v>
      </c>
    </row>
    <row r="648" spans="1:14" x14ac:dyDescent="0.3">
      <c r="A648">
        <v>3</v>
      </c>
      <c r="B648">
        <v>1</v>
      </c>
      <c r="C648" t="s">
        <v>1259</v>
      </c>
      <c r="D648" t="s">
        <v>15</v>
      </c>
      <c r="E648">
        <v>38</v>
      </c>
      <c r="F648">
        <v>1</v>
      </c>
      <c r="G648">
        <v>5</v>
      </c>
      <c r="H648">
        <v>347077</v>
      </c>
      <c r="I648">
        <v>31.387499999999999</v>
      </c>
      <c r="K648" t="s">
        <v>17</v>
      </c>
      <c r="L648">
        <v>15</v>
      </c>
      <c r="N648" t="s">
        <v>1250</v>
      </c>
    </row>
    <row r="649" spans="1:14" x14ac:dyDescent="0.3">
      <c r="A649">
        <v>3</v>
      </c>
      <c r="B649">
        <v>1</v>
      </c>
      <c r="C649" t="s">
        <v>1260</v>
      </c>
      <c r="D649" t="s">
        <v>15</v>
      </c>
      <c r="E649">
        <v>45</v>
      </c>
      <c r="F649">
        <v>0</v>
      </c>
      <c r="G649">
        <v>0</v>
      </c>
      <c r="H649">
        <v>2696</v>
      </c>
      <c r="I649">
        <v>7.2249999999999996</v>
      </c>
      <c r="K649" t="s">
        <v>41</v>
      </c>
      <c r="L649" t="s">
        <v>41</v>
      </c>
      <c r="N649" t="s">
        <v>1261</v>
      </c>
    </row>
    <row r="650" spans="1:14" x14ac:dyDescent="0.3">
      <c r="A650">
        <v>3</v>
      </c>
      <c r="B650">
        <v>0</v>
      </c>
      <c r="C650" t="s">
        <v>1262</v>
      </c>
      <c r="D650" t="s">
        <v>20</v>
      </c>
      <c r="E650">
        <v>21</v>
      </c>
      <c r="F650">
        <v>0</v>
      </c>
      <c r="G650">
        <v>0</v>
      </c>
      <c r="H650">
        <v>2692</v>
      </c>
      <c r="I650">
        <v>7.2249999999999996</v>
      </c>
      <c r="K650" t="s">
        <v>41</v>
      </c>
      <c r="N650" t="s">
        <v>1261</v>
      </c>
    </row>
    <row r="651" spans="1:14" x14ac:dyDescent="0.3">
      <c r="A651">
        <v>3</v>
      </c>
      <c r="B651">
        <v>0</v>
      </c>
      <c r="C651" t="s">
        <v>1263</v>
      </c>
      <c r="D651" t="s">
        <v>20</v>
      </c>
      <c r="E651">
        <v>23</v>
      </c>
      <c r="F651">
        <v>0</v>
      </c>
      <c r="G651">
        <v>0</v>
      </c>
      <c r="H651" t="s">
        <v>1264</v>
      </c>
      <c r="I651">
        <v>7.05</v>
      </c>
      <c r="K651" t="s">
        <v>17</v>
      </c>
    </row>
    <row r="652" spans="1:14" x14ac:dyDescent="0.3">
      <c r="A652">
        <v>3</v>
      </c>
      <c r="B652">
        <v>0</v>
      </c>
      <c r="C652" t="s">
        <v>1265</v>
      </c>
      <c r="D652" t="s">
        <v>15</v>
      </c>
      <c r="E652">
        <v>17</v>
      </c>
      <c r="F652">
        <v>0</v>
      </c>
      <c r="G652">
        <v>0</v>
      </c>
      <c r="H652">
        <v>2627</v>
      </c>
      <c r="I652">
        <v>14.458299999999999</v>
      </c>
      <c r="K652" t="s">
        <v>41</v>
      </c>
    </row>
    <row r="653" spans="1:14" x14ac:dyDescent="0.3">
      <c r="A653">
        <v>3</v>
      </c>
      <c r="B653">
        <v>0</v>
      </c>
      <c r="C653" t="s">
        <v>1266</v>
      </c>
      <c r="D653" t="s">
        <v>20</v>
      </c>
      <c r="E653">
        <v>30</v>
      </c>
      <c r="F653">
        <v>0</v>
      </c>
      <c r="G653">
        <v>0</v>
      </c>
      <c r="H653">
        <v>2694</v>
      </c>
      <c r="I653">
        <v>7.2249999999999996</v>
      </c>
      <c r="K653" t="s">
        <v>41</v>
      </c>
      <c r="N653" t="s">
        <v>1261</v>
      </c>
    </row>
    <row r="654" spans="1:14" x14ac:dyDescent="0.3">
      <c r="A654">
        <v>3</v>
      </c>
      <c r="B654">
        <v>0</v>
      </c>
      <c r="C654" t="s">
        <v>1267</v>
      </c>
      <c r="D654" t="s">
        <v>20</v>
      </c>
      <c r="E654">
        <v>23</v>
      </c>
      <c r="F654">
        <v>0</v>
      </c>
      <c r="G654">
        <v>0</v>
      </c>
      <c r="H654">
        <v>347468</v>
      </c>
      <c r="I654">
        <v>7.8541999999999996</v>
      </c>
      <c r="K654" t="s">
        <v>17</v>
      </c>
      <c r="N654" t="s">
        <v>1268</v>
      </c>
    </row>
    <row r="655" spans="1:14" x14ac:dyDescent="0.3">
      <c r="A655">
        <v>3</v>
      </c>
      <c r="B655">
        <v>1</v>
      </c>
      <c r="C655" t="s">
        <v>1269</v>
      </c>
      <c r="D655" t="s">
        <v>15</v>
      </c>
      <c r="E655">
        <v>13</v>
      </c>
      <c r="F655">
        <v>0</v>
      </c>
      <c r="G655">
        <v>0</v>
      </c>
      <c r="H655">
        <v>2687</v>
      </c>
      <c r="I655">
        <v>7.2291999999999996</v>
      </c>
      <c r="K655" t="s">
        <v>41</v>
      </c>
      <c r="L655" t="s">
        <v>41</v>
      </c>
      <c r="N655" t="s">
        <v>1270</v>
      </c>
    </row>
    <row r="656" spans="1:14" x14ac:dyDescent="0.3">
      <c r="A656">
        <v>3</v>
      </c>
      <c r="B656">
        <v>0</v>
      </c>
      <c r="C656" t="s">
        <v>1271</v>
      </c>
      <c r="D656" t="s">
        <v>20</v>
      </c>
      <c r="E656">
        <v>20</v>
      </c>
      <c r="F656">
        <v>0</v>
      </c>
      <c r="G656">
        <v>0</v>
      </c>
      <c r="H656">
        <v>2679</v>
      </c>
      <c r="I656">
        <v>7.2249999999999996</v>
      </c>
      <c r="K656" t="s">
        <v>41</v>
      </c>
    </row>
    <row r="657" spans="1:14" x14ac:dyDescent="0.3">
      <c r="A657">
        <v>3</v>
      </c>
      <c r="B657">
        <v>0</v>
      </c>
      <c r="C657" t="s">
        <v>1272</v>
      </c>
      <c r="D657" t="s">
        <v>20</v>
      </c>
      <c r="E657">
        <v>32</v>
      </c>
      <c r="F657">
        <v>1</v>
      </c>
      <c r="G657">
        <v>0</v>
      </c>
      <c r="H657">
        <v>3101278</v>
      </c>
      <c r="I657">
        <v>15.85</v>
      </c>
      <c r="K657" t="s">
        <v>17</v>
      </c>
      <c r="L657" t="s">
        <v>37</v>
      </c>
      <c r="N657" t="s">
        <v>1273</v>
      </c>
    </row>
    <row r="658" spans="1:14" x14ac:dyDescent="0.3">
      <c r="A658">
        <v>3</v>
      </c>
      <c r="B658">
        <v>1</v>
      </c>
      <c r="C658" t="s">
        <v>1274</v>
      </c>
      <c r="D658" t="s">
        <v>15</v>
      </c>
      <c r="E658">
        <v>33</v>
      </c>
      <c r="F658">
        <v>3</v>
      </c>
      <c r="G658">
        <v>0</v>
      </c>
      <c r="H658">
        <v>3101278</v>
      </c>
      <c r="I658">
        <v>15.85</v>
      </c>
      <c r="K658" t="s">
        <v>17</v>
      </c>
      <c r="N658" t="s">
        <v>1273</v>
      </c>
    </row>
    <row r="659" spans="1:14" x14ac:dyDescent="0.3">
      <c r="A659">
        <v>3</v>
      </c>
      <c r="B659">
        <v>1</v>
      </c>
      <c r="C659" t="s">
        <v>1275</v>
      </c>
      <c r="D659" t="s">
        <v>15</v>
      </c>
      <c r="E659">
        <v>0.75</v>
      </c>
      <c r="F659">
        <v>2</v>
      </c>
      <c r="G659">
        <v>1</v>
      </c>
      <c r="H659">
        <v>2666</v>
      </c>
      <c r="I659">
        <v>19.258299999999998</v>
      </c>
      <c r="K659" t="s">
        <v>41</v>
      </c>
      <c r="L659" t="s">
        <v>41</v>
      </c>
      <c r="N659" t="s">
        <v>1276</v>
      </c>
    </row>
    <row r="660" spans="1:14" x14ac:dyDescent="0.3">
      <c r="A660">
        <v>3</v>
      </c>
      <c r="B660">
        <v>1</v>
      </c>
      <c r="C660" t="s">
        <v>1277</v>
      </c>
      <c r="D660" t="s">
        <v>15</v>
      </c>
      <c r="E660">
        <v>0.75</v>
      </c>
      <c r="F660">
        <v>2</v>
      </c>
      <c r="G660">
        <v>1</v>
      </c>
      <c r="H660">
        <v>2666</v>
      </c>
      <c r="I660">
        <v>19.258299999999998</v>
      </c>
      <c r="K660" t="s">
        <v>41</v>
      </c>
      <c r="L660" t="s">
        <v>41</v>
      </c>
      <c r="N660" t="s">
        <v>1276</v>
      </c>
    </row>
    <row r="661" spans="1:14" x14ac:dyDescent="0.3">
      <c r="A661">
        <v>3</v>
      </c>
      <c r="B661">
        <v>1</v>
      </c>
      <c r="C661" t="s">
        <v>1278</v>
      </c>
      <c r="D661" t="s">
        <v>15</v>
      </c>
      <c r="E661">
        <v>5</v>
      </c>
      <c r="F661">
        <v>2</v>
      </c>
      <c r="G661">
        <v>1</v>
      </c>
      <c r="H661">
        <v>2666</v>
      </c>
      <c r="I661">
        <v>19.258299999999998</v>
      </c>
      <c r="K661" t="s">
        <v>41</v>
      </c>
      <c r="L661" t="s">
        <v>41</v>
      </c>
      <c r="N661" t="s">
        <v>1276</v>
      </c>
    </row>
    <row r="662" spans="1:14" x14ac:dyDescent="0.3">
      <c r="A662">
        <v>3</v>
      </c>
      <c r="B662">
        <v>1</v>
      </c>
      <c r="C662" t="s">
        <v>1279</v>
      </c>
      <c r="D662" t="s">
        <v>15</v>
      </c>
      <c r="E662">
        <v>24</v>
      </c>
      <c r="F662">
        <v>0</v>
      </c>
      <c r="G662">
        <v>3</v>
      </c>
      <c r="H662">
        <v>2666</v>
      </c>
      <c r="I662">
        <v>19.258299999999998</v>
      </c>
      <c r="K662" t="s">
        <v>41</v>
      </c>
      <c r="L662" t="s">
        <v>41</v>
      </c>
      <c r="N662" t="s">
        <v>1276</v>
      </c>
    </row>
    <row r="663" spans="1:14" x14ac:dyDescent="0.3">
      <c r="A663">
        <v>3</v>
      </c>
      <c r="B663">
        <v>1</v>
      </c>
      <c r="C663" t="s">
        <v>1280</v>
      </c>
      <c r="D663" t="s">
        <v>15</v>
      </c>
      <c r="E663">
        <v>18</v>
      </c>
      <c r="F663">
        <v>0</v>
      </c>
      <c r="G663">
        <v>0</v>
      </c>
      <c r="H663" t="s">
        <v>1281</v>
      </c>
      <c r="I663">
        <v>8.0500000000000007</v>
      </c>
      <c r="K663" t="s">
        <v>17</v>
      </c>
      <c r="L663" t="s">
        <v>41</v>
      </c>
      <c r="N663" t="s">
        <v>1282</v>
      </c>
    </row>
    <row r="664" spans="1:14" x14ac:dyDescent="0.3">
      <c r="A664">
        <v>3</v>
      </c>
      <c r="B664">
        <v>0</v>
      </c>
      <c r="C664" t="s">
        <v>1283</v>
      </c>
      <c r="D664" t="s">
        <v>20</v>
      </c>
      <c r="E664">
        <v>40</v>
      </c>
      <c r="F664">
        <v>0</v>
      </c>
      <c r="G664">
        <v>0</v>
      </c>
      <c r="H664">
        <v>2623</v>
      </c>
      <c r="I664">
        <v>7.2249999999999996</v>
      </c>
      <c r="K664" t="s">
        <v>41</v>
      </c>
    </row>
    <row r="665" spans="1:14" x14ac:dyDescent="0.3">
      <c r="A665">
        <v>3</v>
      </c>
      <c r="B665">
        <v>0</v>
      </c>
      <c r="C665" t="s">
        <v>1284</v>
      </c>
      <c r="D665" t="s">
        <v>20</v>
      </c>
      <c r="E665">
        <v>26</v>
      </c>
      <c r="F665">
        <v>0</v>
      </c>
      <c r="G665">
        <v>0</v>
      </c>
      <c r="H665">
        <v>349248</v>
      </c>
      <c r="I665">
        <v>7.8958000000000004</v>
      </c>
      <c r="K665" t="s">
        <v>17</v>
      </c>
    </row>
    <row r="666" spans="1:14" x14ac:dyDescent="0.3">
      <c r="A666">
        <v>3</v>
      </c>
      <c r="B666">
        <v>1</v>
      </c>
      <c r="C666" t="s">
        <v>1285</v>
      </c>
      <c r="D666" t="s">
        <v>20</v>
      </c>
      <c r="E666">
        <v>20</v>
      </c>
      <c r="F666">
        <v>0</v>
      </c>
      <c r="G666">
        <v>0</v>
      </c>
      <c r="H666">
        <v>2663</v>
      </c>
      <c r="I666">
        <v>7.2291999999999996</v>
      </c>
      <c r="K666" t="s">
        <v>41</v>
      </c>
      <c r="L666">
        <v>15</v>
      </c>
    </row>
    <row r="667" spans="1:14" x14ac:dyDescent="0.3">
      <c r="A667">
        <v>3</v>
      </c>
      <c r="B667">
        <v>0</v>
      </c>
      <c r="C667" t="s">
        <v>1286</v>
      </c>
      <c r="D667" t="s">
        <v>15</v>
      </c>
      <c r="E667">
        <v>18</v>
      </c>
      <c r="F667">
        <v>0</v>
      </c>
      <c r="G667">
        <v>1</v>
      </c>
      <c r="H667">
        <v>2691</v>
      </c>
      <c r="I667">
        <v>14.4542</v>
      </c>
      <c r="K667" t="s">
        <v>41</v>
      </c>
      <c r="N667" t="s">
        <v>1287</v>
      </c>
    </row>
    <row r="668" spans="1:14" x14ac:dyDescent="0.3">
      <c r="A668">
        <v>3</v>
      </c>
      <c r="B668">
        <v>0</v>
      </c>
      <c r="C668" t="s">
        <v>1288</v>
      </c>
      <c r="D668" t="s">
        <v>15</v>
      </c>
      <c r="E668">
        <v>45</v>
      </c>
      <c r="F668">
        <v>0</v>
      </c>
      <c r="G668">
        <v>1</v>
      </c>
      <c r="H668">
        <v>2691</v>
      </c>
      <c r="I668">
        <v>14.4542</v>
      </c>
      <c r="K668" t="s">
        <v>41</v>
      </c>
      <c r="N668" t="s">
        <v>1287</v>
      </c>
    </row>
    <row r="669" spans="1:14" x14ac:dyDescent="0.3">
      <c r="A669">
        <v>3</v>
      </c>
      <c r="B669">
        <v>0</v>
      </c>
      <c r="C669" t="s">
        <v>1289</v>
      </c>
      <c r="D669" t="s">
        <v>15</v>
      </c>
      <c r="E669">
        <v>27</v>
      </c>
      <c r="F669">
        <v>0</v>
      </c>
      <c r="G669">
        <v>0</v>
      </c>
      <c r="H669">
        <v>330844</v>
      </c>
      <c r="I669">
        <v>7.8792</v>
      </c>
      <c r="K669" t="s">
        <v>463</v>
      </c>
      <c r="N669" t="s">
        <v>28</v>
      </c>
    </row>
    <row r="670" spans="1:14" x14ac:dyDescent="0.3">
      <c r="A670">
        <v>3</v>
      </c>
      <c r="B670">
        <v>0</v>
      </c>
      <c r="C670" t="s">
        <v>1290</v>
      </c>
      <c r="D670" t="s">
        <v>20</v>
      </c>
      <c r="E670">
        <v>22</v>
      </c>
      <c r="F670">
        <v>0</v>
      </c>
      <c r="G670">
        <v>0</v>
      </c>
      <c r="H670">
        <v>324669</v>
      </c>
      <c r="I670">
        <v>8.0500000000000007</v>
      </c>
      <c r="K670" t="s">
        <v>17</v>
      </c>
      <c r="N670" t="s">
        <v>1291</v>
      </c>
    </row>
    <row r="671" spans="1:14" x14ac:dyDescent="0.3">
      <c r="A671">
        <v>3</v>
      </c>
      <c r="B671">
        <v>0</v>
      </c>
      <c r="C671" t="s">
        <v>1292</v>
      </c>
      <c r="D671" t="s">
        <v>20</v>
      </c>
      <c r="E671">
        <v>19</v>
      </c>
      <c r="F671">
        <v>0</v>
      </c>
      <c r="G671">
        <v>0</v>
      </c>
      <c r="H671">
        <v>323951</v>
      </c>
      <c r="I671">
        <v>8.0500000000000007</v>
      </c>
      <c r="K671" t="s">
        <v>17</v>
      </c>
      <c r="N671" t="s">
        <v>724</v>
      </c>
    </row>
    <row r="672" spans="1:14" x14ac:dyDescent="0.3">
      <c r="A672">
        <v>3</v>
      </c>
      <c r="B672">
        <v>0</v>
      </c>
      <c r="C672" t="s">
        <v>1293</v>
      </c>
      <c r="D672" t="s">
        <v>20</v>
      </c>
      <c r="E672">
        <v>26</v>
      </c>
      <c r="F672">
        <v>0</v>
      </c>
      <c r="G672">
        <v>0</v>
      </c>
      <c r="H672">
        <v>347068</v>
      </c>
      <c r="I672">
        <v>7.7750000000000004</v>
      </c>
      <c r="K672" t="s">
        <v>17</v>
      </c>
      <c r="N672" t="s">
        <v>1294</v>
      </c>
    </row>
    <row r="673" spans="1:14" x14ac:dyDescent="0.3">
      <c r="A673">
        <v>3</v>
      </c>
      <c r="B673">
        <v>0</v>
      </c>
      <c r="C673" t="s">
        <v>1295</v>
      </c>
      <c r="D673" t="s">
        <v>20</v>
      </c>
      <c r="E673">
        <v>22</v>
      </c>
      <c r="F673">
        <v>0</v>
      </c>
      <c r="G673">
        <v>0</v>
      </c>
      <c r="H673" t="s">
        <v>1296</v>
      </c>
      <c r="I673">
        <v>9.35</v>
      </c>
      <c r="K673" t="s">
        <v>17</v>
      </c>
      <c r="N673" t="s">
        <v>1297</v>
      </c>
    </row>
    <row r="674" spans="1:14" x14ac:dyDescent="0.3">
      <c r="A674">
        <v>3</v>
      </c>
      <c r="B674">
        <v>0</v>
      </c>
      <c r="C674" t="s">
        <v>1298</v>
      </c>
      <c r="D674" t="s">
        <v>20</v>
      </c>
      <c r="F674">
        <v>0</v>
      </c>
      <c r="G674">
        <v>0</v>
      </c>
      <c r="H674">
        <v>2622</v>
      </c>
      <c r="I674">
        <v>7.2291999999999996</v>
      </c>
      <c r="K674" t="s">
        <v>41</v>
      </c>
    </row>
    <row r="675" spans="1:14" x14ac:dyDescent="0.3">
      <c r="A675">
        <v>3</v>
      </c>
      <c r="B675">
        <v>0</v>
      </c>
      <c r="C675" t="s">
        <v>1299</v>
      </c>
      <c r="D675" t="s">
        <v>20</v>
      </c>
      <c r="E675">
        <v>20</v>
      </c>
      <c r="F675">
        <v>0</v>
      </c>
      <c r="G675">
        <v>0</v>
      </c>
      <c r="H675">
        <v>2648</v>
      </c>
      <c r="I675">
        <v>4.0125000000000002</v>
      </c>
      <c r="K675" t="s">
        <v>41</v>
      </c>
      <c r="N675" t="s">
        <v>1300</v>
      </c>
    </row>
    <row r="676" spans="1:14" x14ac:dyDescent="0.3">
      <c r="A676">
        <v>3</v>
      </c>
      <c r="B676">
        <v>1</v>
      </c>
      <c r="C676" t="s">
        <v>1301</v>
      </c>
      <c r="D676" t="s">
        <v>20</v>
      </c>
      <c r="E676">
        <v>32</v>
      </c>
      <c r="F676">
        <v>0</v>
      </c>
      <c r="G676">
        <v>0</v>
      </c>
      <c r="H676">
        <v>1601</v>
      </c>
      <c r="I676">
        <v>56.495800000000003</v>
      </c>
      <c r="K676" t="s">
        <v>17</v>
      </c>
      <c r="L676" t="s">
        <v>41</v>
      </c>
      <c r="N676" t="s">
        <v>1302</v>
      </c>
    </row>
    <row r="677" spans="1:14" x14ac:dyDescent="0.3">
      <c r="A677">
        <v>3</v>
      </c>
      <c r="B677">
        <v>0</v>
      </c>
      <c r="C677" t="s">
        <v>1303</v>
      </c>
      <c r="D677" t="s">
        <v>20</v>
      </c>
      <c r="E677">
        <v>21</v>
      </c>
      <c r="F677">
        <v>0</v>
      </c>
      <c r="G677">
        <v>0</v>
      </c>
      <c r="H677">
        <v>312992</v>
      </c>
      <c r="I677">
        <v>7.7750000000000004</v>
      </c>
      <c r="K677" t="s">
        <v>17</v>
      </c>
      <c r="N677" t="s">
        <v>1304</v>
      </c>
    </row>
    <row r="678" spans="1:14" x14ac:dyDescent="0.3">
      <c r="A678">
        <v>3</v>
      </c>
      <c r="B678">
        <v>0</v>
      </c>
      <c r="C678" t="s">
        <v>1305</v>
      </c>
      <c r="D678" t="s">
        <v>20</v>
      </c>
      <c r="E678">
        <v>18</v>
      </c>
      <c r="F678">
        <v>0</v>
      </c>
      <c r="G678">
        <v>0</v>
      </c>
      <c r="H678">
        <v>347090</v>
      </c>
      <c r="I678">
        <v>7.75</v>
      </c>
      <c r="K678" t="s">
        <v>17</v>
      </c>
      <c r="N678" t="s">
        <v>1306</v>
      </c>
    </row>
    <row r="679" spans="1:14" x14ac:dyDescent="0.3">
      <c r="A679">
        <v>3</v>
      </c>
      <c r="B679">
        <v>0</v>
      </c>
      <c r="C679" t="s">
        <v>1307</v>
      </c>
      <c r="D679" t="s">
        <v>20</v>
      </c>
      <c r="E679">
        <v>26</v>
      </c>
      <c r="F679">
        <v>0</v>
      </c>
      <c r="G679">
        <v>0</v>
      </c>
      <c r="H679">
        <v>349224</v>
      </c>
      <c r="I679">
        <v>7.8958000000000004</v>
      </c>
      <c r="K679" t="s">
        <v>17</v>
      </c>
      <c r="N679" t="s">
        <v>1241</v>
      </c>
    </row>
    <row r="680" spans="1:14" x14ac:dyDescent="0.3">
      <c r="A680">
        <v>3</v>
      </c>
      <c r="B680">
        <v>0</v>
      </c>
      <c r="C680" t="s">
        <v>1308</v>
      </c>
      <c r="D680" t="s">
        <v>20</v>
      </c>
      <c r="E680">
        <v>6</v>
      </c>
      <c r="F680">
        <v>1</v>
      </c>
      <c r="G680">
        <v>1</v>
      </c>
      <c r="H680">
        <v>2678</v>
      </c>
      <c r="I680">
        <v>15.245799999999999</v>
      </c>
      <c r="K680" t="s">
        <v>41</v>
      </c>
      <c r="N680" t="s">
        <v>1309</v>
      </c>
    </row>
    <row r="681" spans="1:14" x14ac:dyDescent="0.3">
      <c r="A681">
        <v>3</v>
      </c>
      <c r="B681">
        <v>0</v>
      </c>
      <c r="C681" t="s">
        <v>1310</v>
      </c>
      <c r="D681" t="s">
        <v>15</v>
      </c>
      <c r="E681">
        <v>9</v>
      </c>
      <c r="F681">
        <v>1</v>
      </c>
      <c r="G681">
        <v>1</v>
      </c>
      <c r="H681">
        <v>2678</v>
      </c>
      <c r="I681">
        <v>15.245799999999999</v>
      </c>
      <c r="K681" t="s">
        <v>41</v>
      </c>
      <c r="N681" t="s">
        <v>1309</v>
      </c>
    </row>
    <row r="682" spans="1:14" x14ac:dyDescent="0.3">
      <c r="A682">
        <v>3</v>
      </c>
      <c r="B682">
        <v>0</v>
      </c>
      <c r="C682" t="s">
        <v>1311</v>
      </c>
      <c r="D682" t="s">
        <v>20</v>
      </c>
      <c r="F682">
        <v>0</v>
      </c>
      <c r="G682">
        <v>0</v>
      </c>
      <c r="H682">
        <v>2664</v>
      </c>
      <c r="I682">
        <v>7.2249999999999996</v>
      </c>
      <c r="K682" t="s">
        <v>41</v>
      </c>
      <c r="N682" t="s">
        <v>1300</v>
      </c>
    </row>
    <row r="683" spans="1:14" x14ac:dyDescent="0.3">
      <c r="A683">
        <v>3</v>
      </c>
      <c r="B683">
        <v>0</v>
      </c>
      <c r="C683" t="s">
        <v>1312</v>
      </c>
      <c r="D683" t="s">
        <v>15</v>
      </c>
      <c r="F683">
        <v>0</v>
      </c>
      <c r="G683">
        <v>2</v>
      </c>
      <c r="H683">
        <v>2678</v>
      </c>
      <c r="I683">
        <v>15.245799999999999</v>
      </c>
      <c r="K683" t="s">
        <v>41</v>
      </c>
      <c r="N683" t="s">
        <v>1309</v>
      </c>
    </row>
    <row r="684" spans="1:14" x14ac:dyDescent="0.3">
      <c r="A684">
        <v>3</v>
      </c>
      <c r="B684">
        <v>0</v>
      </c>
      <c r="C684" t="s">
        <v>1313</v>
      </c>
      <c r="D684" t="s">
        <v>15</v>
      </c>
      <c r="F684">
        <v>0</v>
      </c>
      <c r="G684">
        <v>2</v>
      </c>
      <c r="H684">
        <v>364848</v>
      </c>
      <c r="I684">
        <v>7.75</v>
      </c>
      <c r="K684" t="s">
        <v>463</v>
      </c>
      <c r="N684" t="s">
        <v>1314</v>
      </c>
    </row>
    <row r="685" spans="1:14" x14ac:dyDescent="0.3">
      <c r="A685">
        <v>3</v>
      </c>
      <c r="B685">
        <v>0</v>
      </c>
      <c r="C685" t="s">
        <v>1315</v>
      </c>
      <c r="D685" t="s">
        <v>20</v>
      </c>
      <c r="E685">
        <v>40</v>
      </c>
      <c r="F685">
        <v>1</v>
      </c>
      <c r="G685">
        <v>1</v>
      </c>
      <c r="H685">
        <v>364849</v>
      </c>
      <c r="I685">
        <v>15.5</v>
      </c>
      <c r="K685" t="s">
        <v>463</v>
      </c>
      <c r="N685" t="s">
        <v>1314</v>
      </c>
    </row>
    <row r="686" spans="1:14" x14ac:dyDescent="0.3">
      <c r="A686">
        <v>3</v>
      </c>
      <c r="B686">
        <v>0</v>
      </c>
      <c r="C686" t="s">
        <v>1316</v>
      </c>
      <c r="D686" t="s">
        <v>15</v>
      </c>
      <c r="E686">
        <v>32</v>
      </c>
      <c r="F686">
        <v>1</v>
      </c>
      <c r="G686">
        <v>1</v>
      </c>
      <c r="H686">
        <v>364849</v>
      </c>
      <c r="I686">
        <v>15.5</v>
      </c>
      <c r="K686" t="s">
        <v>463</v>
      </c>
      <c r="N686" t="s">
        <v>1314</v>
      </c>
    </row>
    <row r="687" spans="1:14" x14ac:dyDescent="0.3">
      <c r="A687">
        <v>3</v>
      </c>
      <c r="B687">
        <v>0</v>
      </c>
      <c r="C687" t="s">
        <v>1317</v>
      </c>
      <c r="D687" t="s">
        <v>20</v>
      </c>
      <c r="E687">
        <v>21</v>
      </c>
      <c r="F687">
        <v>0</v>
      </c>
      <c r="G687">
        <v>0</v>
      </c>
      <c r="H687">
        <v>54636</v>
      </c>
      <c r="I687">
        <v>16.100000000000001</v>
      </c>
      <c r="K687" t="s">
        <v>17</v>
      </c>
      <c r="N687" t="s">
        <v>1318</v>
      </c>
    </row>
    <row r="688" spans="1:14" x14ac:dyDescent="0.3">
      <c r="A688">
        <v>3</v>
      </c>
      <c r="B688">
        <v>1</v>
      </c>
      <c r="C688" t="s">
        <v>1319</v>
      </c>
      <c r="D688" t="s">
        <v>15</v>
      </c>
      <c r="E688">
        <v>22</v>
      </c>
      <c r="F688">
        <v>0</v>
      </c>
      <c r="G688">
        <v>0</v>
      </c>
      <c r="H688">
        <v>334914</v>
      </c>
      <c r="I688">
        <v>7.7249999999999996</v>
      </c>
      <c r="K688" t="s">
        <v>463</v>
      </c>
      <c r="L688">
        <v>13</v>
      </c>
      <c r="N688" t="s">
        <v>1320</v>
      </c>
    </row>
    <row r="689" spans="1:14" x14ac:dyDescent="0.3">
      <c r="A689">
        <v>3</v>
      </c>
      <c r="B689">
        <v>0</v>
      </c>
      <c r="C689" t="s">
        <v>1321</v>
      </c>
      <c r="D689" t="s">
        <v>15</v>
      </c>
      <c r="E689">
        <v>20</v>
      </c>
      <c r="F689">
        <v>0</v>
      </c>
      <c r="G689">
        <v>0</v>
      </c>
      <c r="H689">
        <v>347471</v>
      </c>
      <c r="I689">
        <v>7.8541999999999996</v>
      </c>
      <c r="K689" t="s">
        <v>17</v>
      </c>
      <c r="N689" t="s">
        <v>1322</v>
      </c>
    </row>
    <row r="690" spans="1:14" x14ac:dyDescent="0.3">
      <c r="A690">
        <v>3</v>
      </c>
      <c r="B690">
        <v>0</v>
      </c>
      <c r="C690" t="s">
        <v>1323</v>
      </c>
      <c r="D690" t="s">
        <v>20</v>
      </c>
      <c r="E690">
        <v>29</v>
      </c>
      <c r="F690">
        <v>1</v>
      </c>
      <c r="G690">
        <v>0</v>
      </c>
      <c r="H690">
        <v>3460</v>
      </c>
      <c r="I690">
        <v>7.0457999999999998</v>
      </c>
      <c r="K690" t="s">
        <v>17</v>
      </c>
      <c r="N690" t="s">
        <v>1324</v>
      </c>
    </row>
    <row r="691" spans="1:14" x14ac:dyDescent="0.3">
      <c r="A691">
        <v>3</v>
      </c>
      <c r="B691">
        <v>0</v>
      </c>
      <c r="C691" t="s">
        <v>1325</v>
      </c>
      <c r="D691" t="s">
        <v>20</v>
      </c>
      <c r="E691">
        <v>22</v>
      </c>
      <c r="F691">
        <v>1</v>
      </c>
      <c r="G691">
        <v>0</v>
      </c>
      <c r="H691" t="s">
        <v>1326</v>
      </c>
      <c r="I691">
        <v>7.25</v>
      </c>
      <c r="K691" t="s">
        <v>17</v>
      </c>
      <c r="N691" t="s">
        <v>1324</v>
      </c>
    </row>
    <row r="692" spans="1:14" x14ac:dyDescent="0.3">
      <c r="A692">
        <v>3</v>
      </c>
      <c r="B692">
        <v>0</v>
      </c>
      <c r="C692" t="s">
        <v>1327</v>
      </c>
      <c r="D692" t="s">
        <v>20</v>
      </c>
      <c r="E692">
        <v>22</v>
      </c>
      <c r="F692">
        <v>0</v>
      </c>
      <c r="G692">
        <v>0</v>
      </c>
      <c r="H692">
        <v>350045</v>
      </c>
      <c r="I692">
        <v>7.7957999999999998</v>
      </c>
      <c r="K692" t="s">
        <v>17</v>
      </c>
      <c r="N692" t="s">
        <v>1252</v>
      </c>
    </row>
    <row r="693" spans="1:14" x14ac:dyDescent="0.3">
      <c r="A693">
        <v>3</v>
      </c>
      <c r="B693">
        <v>0</v>
      </c>
      <c r="C693" t="s">
        <v>1328</v>
      </c>
      <c r="D693" t="s">
        <v>20</v>
      </c>
      <c r="E693">
        <v>35</v>
      </c>
      <c r="F693">
        <v>0</v>
      </c>
      <c r="G693">
        <v>0</v>
      </c>
      <c r="H693">
        <v>364512</v>
      </c>
      <c r="I693">
        <v>8.0500000000000007</v>
      </c>
      <c r="K693" t="s">
        <v>17</v>
      </c>
      <c r="N693" t="s">
        <v>1329</v>
      </c>
    </row>
    <row r="694" spans="1:14" x14ac:dyDescent="0.3">
      <c r="A694">
        <v>3</v>
      </c>
      <c r="B694">
        <v>0</v>
      </c>
      <c r="C694" t="s">
        <v>1330</v>
      </c>
      <c r="D694" t="s">
        <v>15</v>
      </c>
      <c r="E694">
        <v>18.5</v>
      </c>
      <c r="F694">
        <v>0</v>
      </c>
      <c r="G694">
        <v>0</v>
      </c>
      <c r="H694">
        <v>329944</v>
      </c>
      <c r="I694">
        <v>7.2832999999999997</v>
      </c>
      <c r="K694" t="s">
        <v>463</v>
      </c>
      <c r="M694">
        <v>299</v>
      </c>
      <c r="N694" t="s">
        <v>1331</v>
      </c>
    </row>
    <row r="695" spans="1:14" x14ac:dyDescent="0.3">
      <c r="A695">
        <v>3</v>
      </c>
      <c r="B695">
        <v>1</v>
      </c>
      <c r="C695" t="s">
        <v>1332</v>
      </c>
      <c r="D695" t="s">
        <v>20</v>
      </c>
      <c r="E695">
        <v>21</v>
      </c>
      <c r="F695">
        <v>0</v>
      </c>
      <c r="G695">
        <v>0</v>
      </c>
      <c r="H695">
        <v>330920</v>
      </c>
      <c r="I695">
        <v>7.8208000000000002</v>
      </c>
      <c r="K695" t="s">
        <v>463</v>
      </c>
      <c r="L695">
        <v>13</v>
      </c>
      <c r="N695" t="s">
        <v>1333</v>
      </c>
    </row>
    <row r="696" spans="1:14" x14ac:dyDescent="0.3">
      <c r="A696">
        <v>3</v>
      </c>
      <c r="B696">
        <v>0</v>
      </c>
      <c r="C696" t="s">
        <v>1334</v>
      </c>
      <c r="D696" t="s">
        <v>20</v>
      </c>
      <c r="E696">
        <v>19</v>
      </c>
      <c r="F696">
        <v>0</v>
      </c>
      <c r="G696">
        <v>0</v>
      </c>
      <c r="H696">
        <v>365222</v>
      </c>
      <c r="I696">
        <v>6.75</v>
      </c>
      <c r="K696" t="s">
        <v>463</v>
      </c>
      <c r="N696" t="s">
        <v>1335</v>
      </c>
    </row>
    <row r="697" spans="1:14" x14ac:dyDescent="0.3">
      <c r="A697">
        <v>3</v>
      </c>
      <c r="B697">
        <v>0</v>
      </c>
      <c r="C697" t="s">
        <v>1336</v>
      </c>
      <c r="D697" t="s">
        <v>15</v>
      </c>
      <c r="E697">
        <v>18</v>
      </c>
      <c r="F697">
        <v>0</v>
      </c>
      <c r="G697">
        <v>0</v>
      </c>
      <c r="H697">
        <v>330963</v>
      </c>
      <c r="I697">
        <v>7.8792</v>
      </c>
      <c r="K697" t="s">
        <v>463</v>
      </c>
      <c r="N697" t="s">
        <v>1337</v>
      </c>
    </row>
    <row r="698" spans="1:14" x14ac:dyDescent="0.3">
      <c r="A698">
        <v>3</v>
      </c>
      <c r="B698">
        <v>0</v>
      </c>
      <c r="C698" t="s">
        <v>1338</v>
      </c>
      <c r="D698" t="s">
        <v>15</v>
      </c>
      <c r="E698">
        <v>21</v>
      </c>
      <c r="F698">
        <v>0</v>
      </c>
      <c r="G698">
        <v>0</v>
      </c>
      <c r="H698">
        <v>315087</v>
      </c>
      <c r="I698">
        <v>8.6624999999999996</v>
      </c>
      <c r="K698" t="s">
        <v>17</v>
      </c>
    </row>
    <row r="699" spans="1:14" x14ac:dyDescent="0.3">
      <c r="A699">
        <v>3</v>
      </c>
      <c r="B699">
        <v>0</v>
      </c>
      <c r="C699" t="s">
        <v>1339</v>
      </c>
      <c r="D699" t="s">
        <v>15</v>
      </c>
      <c r="E699">
        <v>30</v>
      </c>
      <c r="F699">
        <v>0</v>
      </c>
      <c r="G699">
        <v>0</v>
      </c>
      <c r="H699">
        <v>315084</v>
      </c>
      <c r="I699">
        <v>8.6624999999999996</v>
      </c>
      <c r="K699" t="s">
        <v>17</v>
      </c>
    </row>
    <row r="700" spans="1:14" x14ac:dyDescent="0.3">
      <c r="A700">
        <v>3</v>
      </c>
      <c r="B700">
        <v>0</v>
      </c>
      <c r="C700" t="s">
        <v>1340</v>
      </c>
      <c r="D700" t="s">
        <v>20</v>
      </c>
      <c r="E700">
        <v>18</v>
      </c>
      <c r="F700">
        <v>0</v>
      </c>
      <c r="G700">
        <v>0</v>
      </c>
      <c r="H700">
        <v>315091</v>
      </c>
      <c r="I700">
        <v>8.6624999999999996</v>
      </c>
      <c r="K700" t="s">
        <v>17</v>
      </c>
    </row>
    <row r="701" spans="1:14" x14ac:dyDescent="0.3">
      <c r="A701">
        <v>3</v>
      </c>
      <c r="B701">
        <v>0</v>
      </c>
      <c r="C701" t="s">
        <v>1341</v>
      </c>
      <c r="D701" t="s">
        <v>20</v>
      </c>
      <c r="E701">
        <v>38</v>
      </c>
      <c r="F701">
        <v>0</v>
      </c>
      <c r="G701">
        <v>0</v>
      </c>
      <c r="H701">
        <v>315089</v>
      </c>
      <c r="I701">
        <v>8.6624999999999996</v>
      </c>
      <c r="K701" t="s">
        <v>17</v>
      </c>
      <c r="N701" t="s">
        <v>1342</v>
      </c>
    </row>
    <row r="702" spans="1:14" x14ac:dyDescent="0.3">
      <c r="A702">
        <v>3</v>
      </c>
      <c r="B702">
        <v>0</v>
      </c>
      <c r="C702" t="s">
        <v>1343</v>
      </c>
      <c r="D702" t="s">
        <v>20</v>
      </c>
      <c r="E702">
        <v>17</v>
      </c>
      <c r="F702">
        <v>0</v>
      </c>
      <c r="G702">
        <v>0</v>
      </c>
      <c r="H702">
        <v>315093</v>
      </c>
      <c r="I702">
        <v>8.6624999999999996</v>
      </c>
      <c r="K702" t="s">
        <v>17</v>
      </c>
    </row>
    <row r="703" spans="1:14" x14ac:dyDescent="0.3">
      <c r="A703">
        <v>3</v>
      </c>
      <c r="B703">
        <v>0</v>
      </c>
      <c r="C703" t="s">
        <v>1344</v>
      </c>
      <c r="D703" t="s">
        <v>20</v>
      </c>
      <c r="E703">
        <v>17</v>
      </c>
      <c r="F703">
        <v>0</v>
      </c>
      <c r="G703">
        <v>0</v>
      </c>
      <c r="H703">
        <v>315086</v>
      </c>
      <c r="I703">
        <v>8.6624999999999996</v>
      </c>
      <c r="K703" t="s">
        <v>17</v>
      </c>
    </row>
    <row r="704" spans="1:14" x14ac:dyDescent="0.3">
      <c r="A704">
        <v>3</v>
      </c>
      <c r="B704">
        <v>0</v>
      </c>
      <c r="C704" t="s">
        <v>1345</v>
      </c>
      <c r="D704" t="s">
        <v>15</v>
      </c>
      <c r="E704">
        <v>21</v>
      </c>
      <c r="F704">
        <v>0</v>
      </c>
      <c r="G704">
        <v>0</v>
      </c>
      <c r="H704">
        <v>364846</v>
      </c>
      <c r="I704">
        <v>7.75</v>
      </c>
      <c r="K704" t="s">
        <v>463</v>
      </c>
    </row>
    <row r="705" spans="1:14" x14ac:dyDescent="0.3">
      <c r="A705">
        <v>3</v>
      </c>
      <c r="B705">
        <v>0</v>
      </c>
      <c r="C705" t="s">
        <v>1346</v>
      </c>
      <c r="D705" t="s">
        <v>20</v>
      </c>
      <c r="E705">
        <v>21</v>
      </c>
      <c r="F705">
        <v>0</v>
      </c>
      <c r="G705">
        <v>0</v>
      </c>
      <c r="H705">
        <v>364858</v>
      </c>
      <c r="I705">
        <v>7.75</v>
      </c>
      <c r="K705" t="s">
        <v>463</v>
      </c>
      <c r="N705" t="s">
        <v>1347</v>
      </c>
    </row>
    <row r="706" spans="1:14" x14ac:dyDescent="0.3">
      <c r="A706">
        <v>3</v>
      </c>
      <c r="B706">
        <v>0</v>
      </c>
      <c r="C706" t="s">
        <v>1348</v>
      </c>
      <c r="D706" t="s">
        <v>20</v>
      </c>
      <c r="E706">
        <v>21</v>
      </c>
      <c r="F706">
        <v>0</v>
      </c>
      <c r="G706">
        <v>0</v>
      </c>
      <c r="H706" t="s">
        <v>1349</v>
      </c>
      <c r="I706">
        <v>8.0500000000000007</v>
      </c>
      <c r="K706" t="s">
        <v>17</v>
      </c>
    </row>
    <row r="707" spans="1:14" x14ac:dyDescent="0.3">
      <c r="A707">
        <v>3</v>
      </c>
      <c r="B707">
        <v>0</v>
      </c>
      <c r="C707" t="s">
        <v>1350</v>
      </c>
      <c r="D707" t="s">
        <v>20</v>
      </c>
      <c r="F707">
        <v>1</v>
      </c>
      <c r="G707">
        <v>0</v>
      </c>
      <c r="H707">
        <v>2689</v>
      </c>
      <c r="I707">
        <v>14.458299999999999</v>
      </c>
      <c r="K707" t="s">
        <v>41</v>
      </c>
      <c r="N707" t="s">
        <v>1261</v>
      </c>
    </row>
    <row r="708" spans="1:14" x14ac:dyDescent="0.3">
      <c r="A708">
        <v>3</v>
      </c>
      <c r="B708">
        <v>0</v>
      </c>
      <c r="C708" t="s">
        <v>1351</v>
      </c>
      <c r="D708" t="s">
        <v>15</v>
      </c>
      <c r="F708">
        <v>1</v>
      </c>
      <c r="G708">
        <v>0</v>
      </c>
      <c r="H708">
        <v>2689</v>
      </c>
      <c r="I708">
        <v>14.458299999999999</v>
      </c>
      <c r="K708" t="s">
        <v>41</v>
      </c>
      <c r="N708" t="s">
        <v>1261</v>
      </c>
    </row>
    <row r="709" spans="1:14" x14ac:dyDescent="0.3">
      <c r="A709">
        <v>3</v>
      </c>
      <c r="B709">
        <v>0</v>
      </c>
      <c r="C709" t="s">
        <v>1352</v>
      </c>
      <c r="D709" t="s">
        <v>20</v>
      </c>
      <c r="E709">
        <v>28</v>
      </c>
      <c r="F709">
        <v>0</v>
      </c>
      <c r="G709">
        <v>0</v>
      </c>
      <c r="H709">
        <v>350042</v>
      </c>
      <c r="I709">
        <v>7.7957999999999998</v>
      </c>
      <c r="K709" t="s">
        <v>17</v>
      </c>
      <c r="N709" t="s">
        <v>1353</v>
      </c>
    </row>
    <row r="710" spans="1:14" x14ac:dyDescent="0.3">
      <c r="A710">
        <v>3</v>
      </c>
      <c r="B710">
        <v>0</v>
      </c>
      <c r="C710" t="s">
        <v>1354</v>
      </c>
      <c r="D710" t="s">
        <v>20</v>
      </c>
      <c r="E710">
        <v>24</v>
      </c>
      <c r="F710">
        <v>0</v>
      </c>
      <c r="G710">
        <v>0</v>
      </c>
      <c r="H710">
        <v>350409</v>
      </c>
      <c r="I710">
        <v>7.8541999999999996</v>
      </c>
      <c r="K710" t="s">
        <v>17</v>
      </c>
      <c r="N710" t="s">
        <v>1355</v>
      </c>
    </row>
    <row r="711" spans="1:14" x14ac:dyDescent="0.3">
      <c r="A711">
        <v>3</v>
      </c>
      <c r="B711">
        <v>1</v>
      </c>
      <c r="C711" t="s">
        <v>1356</v>
      </c>
      <c r="D711" t="s">
        <v>15</v>
      </c>
      <c r="E711">
        <v>16</v>
      </c>
      <c r="F711">
        <v>0</v>
      </c>
      <c r="G711">
        <v>0</v>
      </c>
      <c r="H711">
        <v>367231</v>
      </c>
      <c r="I711">
        <v>7.75</v>
      </c>
      <c r="K711" t="s">
        <v>463</v>
      </c>
      <c r="L711">
        <v>16</v>
      </c>
      <c r="N711" t="s">
        <v>1357</v>
      </c>
    </row>
    <row r="712" spans="1:14" x14ac:dyDescent="0.3">
      <c r="A712">
        <v>3</v>
      </c>
      <c r="B712">
        <v>0</v>
      </c>
      <c r="C712" t="s">
        <v>1358</v>
      </c>
      <c r="D712" t="s">
        <v>15</v>
      </c>
      <c r="E712">
        <v>37</v>
      </c>
      <c r="F712">
        <v>0</v>
      </c>
      <c r="G712">
        <v>0</v>
      </c>
      <c r="H712">
        <v>368364</v>
      </c>
      <c r="I712">
        <v>7.75</v>
      </c>
      <c r="K712" t="s">
        <v>463</v>
      </c>
      <c r="N712" t="s">
        <v>1359</v>
      </c>
    </row>
    <row r="713" spans="1:14" x14ac:dyDescent="0.3">
      <c r="A713">
        <v>3</v>
      </c>
      <c r="B713">
        <v>0</v>
      </c>
      <c r="C713" t="s">
        <v>1360</v>
      </c>
      <c r="D713" t="s">
        <v>20</v>
      </c>
      <c r="E713">
        <v>28</v>
      </c>
      <c r="F713">
        <v>0</v>
      </c>
      <c r="G713">
        <v>0</v>
      </c>
      <c r="H713">
        <v>392095</v>
      </c>
      <c r="I713">
        <v>7.25</v>
      </c>
      <c r="K713" t="s">
        <v>17</v>
      </c>
      <c r="N713" t="s">
        <v>1361</v>
      </c>
    </row>
    <row r="714" spans="1:14" x14ac:dyDescent="0.3">
      <c r="A714">
        <v>3</v>
      </c>
      <c r="B714">
        <v>0</v>
      </c>
      <c r="C714" t="s">
        <v>1362</v>
      </c>
      <c r="D714" t="s">
        <v>20</v>
      </c>
      <c r="E714">
        <v>24</v>
      </c>
      <c r="F714">
        <v>0</v>
      </c>
      <c r="G714">
        <v>0</v>
      </c>
      <c r="H714">
        <v>343275</v>
      </c>
      <c r="I714">
        <v>8.0500000000000007</v>
      </c>
      <c r="K714" t="s">
        <v>17</v>
      </c>
      <c r="N714" t="s">
        <v>392</v>
      </c>
    </row>
    <row r="715" spans="1:14" x14ac:dyDescent="0.3">
      <c r="A715">
        <v>3</v>
      </c>
      <c r="B715">
        <v>0</v>
      </c>
      <c r="C715" t="s">
        <v>1363</v>
      </c>
      <c r="D715" t="s">
        <v>20</v>
      </c>
      <c r="E715">
        <v>21</v>
      </c>
      <c r="F715">
        <v>0</v>
      </c>
      <c r="G715">
        <v>0</v>
      </c>
      <c r="H715" t="s">
        <v>1364</v>
      </c>
      <c r="I715">
        <v>7.7332999999999998</v>
      </c>
      <c r="K715" t="s">
        <v>463</v>
      </c>
      <c r="N715" t="s">
        <v>1365</v>
      </c>
    </row>
    <row r="716" spans="1:14" x14ac:dyDescent="0.3">
      <c r="A716">
        <v>3</v>
      </c>
      <c r="B716">
        <v>1</v>
      </c>
      <c r="C716" t="s">
        <v>1366</v>
      </c>
      <c r="D716" t="s">
        <v>20</v>
      </c>
      <c r="E716">
        <v>32</v>
      </c>
      <c r="F716">
        <v>0</v>
      </c>
      <c r="G716">
        <v>0</v>
      </c>
      <c r="H716">
        <v>1601</v>
      </c>
      <c r="I716">
        <v>56.495800000000003</v>
      </c>
      <c r="K716" t="s">
        <v>17</v>
      </c>
      <c r="L716" t="s">
        <v>41</v>
      </c>
      <c r="N716" t="s">
        <v>1302</v>
      </c>
    </row>
    <row r="717" spans="1:14" x14ac:dyDescent="0.3">
      <c r="A717">
        <v>3</v>
      </c>
      <c r="B717">
        <v>0</v>
      </c>
      <c r="C717" t="s">
        <v>1367</v>
      </c>
      <c r="D717" t="s">
        <v>20</v>
      </c>
      <c r="E717">
        <v>29</v>
      </c>
      <c r="F717">
        <v>0</v>
      </c>
      <c r="G717">
        <v>0</v>
      </c>
      <c r="H717">
        <v>343276</v>
      </c>
      <c r="I717">
        <v>8.0500000000000007</v>
      </c>
      <c r="K717" t="s">
        <v>17</v>
      </c>
    </row>
    <row r="718" spans="1:14" x14ac:dyDescent="0.3">
      <c r="A718">
        <v>3</v>
      </c>
      <c r="B718">
        <v>0</v>
      </c>
      <c r="C718" t="s">
        <v>1368</v>
      </c>
      <c r="D718" t="s">
        <v>20</v>
      </c>
      <c r="E718">
        <v>26</v>
      </c>
      <c r="F718">
        <v>1</v>
      </c>
      <c r="G718">
        <v>0</v>
      </c>
      <c r="H718">
        <v>2680</v>
      </c>
      <c r="I718">
        <v>14.4542</v>
      </c>
      <c r="K718" t="s">
        <v>41</v>
      </c>
      <c r="N718" t="s">
        <v>1369</v>
      </c>
    </row>
    <row r="719" spans="1:14" x14ac:dyDescent="0.3">
      <c r="A719">
        <v>3</v>
      </c>
      <c r="B719">
        <v>0</v>
      </c>
      <c r="C719" t="s">
        <v>1370</v>
      </c>
      <c r="D719" t="s">
        <v>20</v>
      </c>
      <c r="E719">
        <v>18</v>
      </c>
      <c r="F719">
        <v>1</v>
      </c>
      <c r="G719">
        <v>0</v>
      </c>
      <c r="H719">
        <v>2680</v>
      </c>
      <c r="I719">
        <v>14.4542</v>
      </c>
      <c r="K719" t="s">
        <v>41</v>
      </c>
      <c r="N719" t="s">
        <v>1369</v>
      </c>
    </row>
    <row r="720" spans="1:14" x14ac:dyDescent="0.3">
      <c r="A720">
        <v>3</v>
      </c>
      <c r="B720">
        <v>0</v>
      </c>
      <c r="C720" t="s">
        <v>1371</v>
      </c>
      <c r="D720" t="s">
        <v>20</v>
      </c>
      <c r="E720">
        <v>20</v>
      </c>
      <c r="F720">
        <v>0</v>
      </c>
      <c r="G720">
        <v>0</v>
      </c>
      <c r="H720" t="s">
        <v>1372</v>
      </c>
      <c r="I720">
        <v>7.05</v>
      </c>
      <c r="K720" t="s">
        <v>17</v>
      </c>
      <c r="N720" t="s">
        <v>1373</v>
      </c>
    </row>
    <row r="721" spans="1:14" x14ac:dyDescent="0.3">
      <c r="A721">
        <v>3</v>
      </c>
      <c r="B721">
        <v>1</v>
      </c>
      <c r="C721" t="s">
        <v>1374</v>
      </c>
      <c r="D721" t="s">
        <v>20</v>
      </c>
      <c r="E721">
        <v>18</v>
      </c>
      <c r="F721">
        <v>0</v>
      </c>
      <c r="G721">
        <v>0</v>
      </c>
      <c r="H721" t="s">
        <v>1375</v>
      </c>
      <c r="I721">
        <v>8.0500000000000007</v>
      </c>
      <c r="K721" t="s">
        <v>17</v>
      </c>
      <c r="L721">
        <v>12</v>
      </c>
      <c r="N721" t="s">
        <v>1376</v>
      </c>
    </row>
    <row r="722" spans="1:14" x14ac:dyDescent="0.3">
      <c r="A722">
        <v>3</v>
      </c>
      <c r="B722">
        <v>0</v>
      </c>
      <c r="C722" t="s">
        <v>1377</v>
      </c>
      <c r="D722" t="s">
        <v>20</v>
      </c>
      <c r="E722">
        <v>24</v>
      </c>
      <c r="F722">
        <v>0</v>
      </c>
      <c r="G722">
        <v>0</v>
      </c>
      <c r="H722">
        <v>371109</v>
      </c>
      <c r="I722">
        <v>7.25</v>
      </c>
      <c r="K722" t="s">
        <v>463</v>
      </c>
      <c r="N722" t="s">
        <v>1378</v>
      </c>
    </row>
    <row r="723" spans="1:14" x14ac:dyDescent="0.3">
      <c r="A723">
        <v>3</v>
      </c>
      <c r="B723">
        <v>0</v>
      </c>
      <c r="C723" t="s">
        <v>1379</v>
      </c>
      <c r="D723" t="s">
        <v>20</v>
      </c>
      <c r="E723">
        <v>36</v>
      </c>
      <c r="F723">
        <v>0</v>
      </c>
      <c r="G723">
        <v>0</v>
      </c>
      <c r="H723">
        <v>349210</v>
      </c>
      <c r="I723">
        <v>7.4958</v>
      </c>
      <c r="K723" t="s">
        <v>17</v>
      </c>
      <c r="N723" t="s">
        <v>1241</v>
      </c>
    </row>
    <row r="724" spans="1:14" x14ac:dyDescent="0.3">
      <c r="A724">
        <v>3</v>
      </c>
      <c r="B724">
        <v>0</v>
      </c>
      <c r="C724" t="s">
        <v>1380</v>
      </c>
      <c r="D724" t="s">
        <v>20</v>
      </c>
      <c r="E724">
        <v>24</v>
      </c>
      <c r="F724">
        <v>0</v>
      </c>
      <c r="G724">
        <v>0</v>
      </c>
      <c r="H724">
        <v>349209</v>
      </c>
      <c r="I724">
        <v>7.4958</v>
      </c>
      <c r="K724" t="s">
        <v>17</v>
      </c>
    </row>
    <row r="725" spans="1:14" x14ac:dyDescent="0.3">
      <c r="A725">
        <v>3</v>
      </c>
      <c r="B725">
        <v>0</v>
      </c>
      <c r="C725" t="s">
        <v>1381</v>
      </c>
      <c r="D725" t="s">
        <v>20</v>
      </c>
      <c r="E725">
        <v>31</v>
      </c>
      <c r="F725">
        <v>0</v>
      </c>
      <c r="G725">
        <v>0</v>
      </c>
      <c r="H725">
        <v>21332</v>
      </c>
      <c r="I725">
        <v>7.7332999999999998</v>
      </c>
      <c r="K725" t="s">
        <v>463</v>
      </c>
      <c r="N725" t="s">
        <v>121</v>
      </c>
    </row>
    <row r="726" spans="1:14" x14ac:dyDescent="0.3">
      <c r="A726">
        <v>3</v>
      </c>
      <c r="B726">
        <v>0</v>
      </c>
      <c r="C726" t="s">
        <v>1382</v>
      </c>
      <c r="D726" t="s">
        <v>20</v>
      </c>
      <c r="E726">
        <v>31</v>
      </c>
      <c r="F726">
        <v>0</v>
      </c>
      <c r="G726">
        <v>0</v>
      </c>
      <c r="H726">
        <v>335097</v>
      </c>
      <c r="I726">
        <v>7.75</v>
      </c>
      <c r="K726" t="s">
        <v>463</v>
      </c>
      <c r="N726" t="s">
        <v>1383</v>
      </c>
    </row>
    <row r="727" spans="1:14" x14ac:dyDescent="0.3">
      <c r="A727">
        <v>3</v>
      </c>
      <c r="B727">
        <v>1</v>
      </c>
      <c r="C727" t="s">
        <v>1384</v>
      </c>
      <c r="D727" t="s">
        <v>15</v>
      </c>
      <c r="E727">
        <v>22</v>
      </c>
      <c r="F727">
        <v>0</v>
      </c>
      <c r="G727">
        <v>0</v>
      </c>
      <c r="H727">
        <v>370373</v>
      </c>
      <c r="I727">
        <v>7.75</v>
      </c>
      <c r="K727" t="s">
        <v>463</v>
      </c>
      <c r="L727">
        <v>13</v>
      </c>
      <c r="N727" t="s">
        <v>1385</v>
      </c>
    </row>
    <row r="728" spans="1:14" x14ac:dyDescent="0.3">
      <c r="A728">
        <v>3</v>
      </c>
      <c r="B728">
        <v>0</v>
      </c>
      <c r="C728" t="s">
        <v>1384</v>
      </c>
      <c r="D728" t="s">
        <v>15</v>
      </c>
      <c r="E728">
        <v>30</v>
      </c>
      <c r="F728">
        <v>0</v>
      </c>
      <c r="G728">
        <v>0</v>
      </c>
      <c r="H728">
        <v>330972</v>
      </c>
      <c r="I728">
        <v>7.6292</v>
      </c>
      <c r="K728" t="s">
        <v>463</v>
      </c>
      <c r="N728" t="s">
        <v>1385</v>
      </c>
    </row>
    <row r="729" spans="1:14" x14ac:dyDescent="0.3">
      <c r="A729">
        <v>3</v>
      </c>
      <c r="B729">
        <v>0</v>
      </c>
      <c r="C729" t="s">
        <v>1386</v>
      </c>
      <c r="D729" t="s">
        <v>20</v>
      </c>
      <c r="E729">
        <v>70.5</v>
      </c>
      <c r="F729">
        <v>0</v>
      </c>
      <c r="G729">
        <v>0</v>
      </c>
      <c r="H729">
        <v>370369</v>
      </c>
      <c r="I729">
        <v>7.75</v>
      </c>
      <c r="K729" t="s">
        <v>463</v>
      </c>
      <c r="M729">
        <v>171</v>
      </c>
    </row>
    <row r="730" spans="1:14" x14ac:dyDescent="0.3">
      <c r="A730">
        <v>3</v>
      </c>
      <c r="B730">
        <v>0</v>
      </c>
      <c r="C730" t="s">
        <v>1387</v>
      </c>
      <c r="D730" t="s">
        <v>20</v>
      </c>
      <c r="E730">
        <v>43</v>
      </c>
      <c r="F730">
        <v>0</v>
      </c>
      <c r="G730">
        <v>0</v>
      </c>
      <c r="H730" t="s">
        <v>1388</v>
      </c>
      <c r="I730">
        <v>8.0500000000000007</v>
      </c>
      <c r="K730" t="s">
        <v>17</v>
      </c>
    </row>
    <row r="731" spans="1:14" x14ac:dyDescent="0.3">
      <c r="A731">
        <v>3</v>
      </c>
      <c r="B731">
        <v>0</v>
      </c>
      <c r="C731" t="s">
        <v>1389</v>
      </c>
      <c r="D731" t="s">
        <v>20</v>
      </c>
      <c r="E731">
        <v>35</v>
      </c>
      <c r="F731">
        <v>0</v>
      </c>
      <c r="G731">
        <v>0</v>
      </c>
      <c r="H731">
        <v>349230</v>
      </c>
      <c r="I731">
        <v>7.8958000000000004</v>
      </c>
      <c r="K731" t="s">
        <v>17</v>
      </c>
      <c r="N731" t="s">
        <v>1390</v>
      </c>
    </row>
    <row r="732" spans="1:14" x14ac:dyDescent="0.3">
      <c r="A732">
        <v>3</v>
      </c>
      <c r="B732">
        <v>0</v>
      </c>
      <c r="C732" t="s">
        <v>1391</v>
      </c>
      <c r="D732" t="s">
        <v>20</v>
      </c>
      <c r="E732">
        <v>27</v>
      </c>
      <c r="F732">
        <v>0</v>
      </c>
      <c r="G732">
        <v>0</v>
      </c>
      <c r="H732">
        <v>349229</v>
      </c>
      <c r="I732">
        <v>7.8958000000000004</v>
      </c>
      <c r="K732" t="s">
        <v>17</v>
      </c>
      <c r="N732" t="s">
        <v>1390</v>
      </c>
    </row>
    <row r="733" spans="1:14" x14ac:dyDescent="0.3">
      <c r="A733">
        <v>3</v>
      </c>
      <c r="B733">
        <v>0</v>
      </c>
      <c r="C733" t="s">
        <v>1392</v>
      </c>
      <c r="D733" t="s">
        <v>20</v>
      </c>
      <c r="E733">
        <v>19</v>
      </c>
      <c r="F733">
        <v>0</v>
      </c>
      <c r="G733">
        <v>0</v>
      </c>
      <c r="H733">
        <v>349231</v>
      </c>
      <c r="I733">
        <v>7.8958000000000004</v>
      </c>
      <c r="K733" t="s">
        <v>17</v>
      </c>
      <c r="N733" t="s">
        <v>1390</v>
      </c>
    </row>
    <row r="734" spans="1:14" x14ac:dyDescent="0.3">
      <c r="A734">
        <v>3</v>
      </c>
      <c r="B734">
        <v>0</v>
      </c>
      <c r="C734" t="s">
        <v>1393</v>
      </c>
      <c r="D734" t="s">
        <v>20</v>
      </c>
      <c r="E734">
        <v>30</v>
      </c>
      <c r="F734">
        <v>0</v>
      </c>
      <c r="G734">
        <v>0</v>
      </c>
      <c r="H734" t="s">
        <v>1394</v>
      </c>
      <c r="I734">
        <v>8.0500000000000007</v>
      </c>
      <c r="K734" t="s">
        <v>17</v>
      </c>
      <c r="N734" t="s">
        <v>392</v>
      </c>
    </row>
    <row r="735" spans="1:14" x14ac:dyDescent="0.3">
      <c r="A735">
        <v>3</v>
      </c>
      <c r="B735">
        <v>1</v>
      </c>
      <c r="C735" t="s">
        <v>1395</v>
      </c>
      <c r="D735" t="s">
        <v>20</v>
      </c>
      <c r="E735">
        <v>9</v>
      </c>
      <c r="F735">
        <v>1</v>
      </c>
      <c r="G735">
        <v>1</v>
      </c>
      <c r="H735" t="s">
        <v>1396</v>
      </c>
      <c r="I735">
        <v>15.9</v>
      </c>
      <c r="K735" t="s">
        <v>17</v>
      </c>
      <c r="L735">
        <v>2</v>
      </c>
      <c r="N735" t="s">
        <v>1397</v>
      </c>
    </row>
    <row r="736" spans="1:14" x14ac:dyDescent="0.3">
      <c r="A736">
        <v>3</v>
      </c>
      <c r="B736">
        <v>1</v>
      </c>
      <c r="C736" t="s">
        <v>1398</v>
      </c>
      <c r="D736" t="s">
        <v>20</v>
      </c>
      <c r="E736">
        <v>3</v>
      </c>
      <c r="F736">
        <v>1</v>
      </c>
      <c r="G736">
        <v>1</v>
      </c>
      <c r="H736" t="s">
        <v>1396</v>
      </c>
      <c r="I736">
        <v>15.9</v>
      </c>
      <c r="K736" t="s">
        <v>17</v>
      </c>
      <c r="L736">
        <v>2</v>
      </c>
      <c r="N736" t="s">
        <v>1397</v>
      </c>
    </row>
    <row r="737" spans="1:14" x14ac:dyDescent="0.3">
      <c r="A737">
        <v>3</v>
      </c>
      <c r="B737">
        <v>1</v>
      </c>
      <c r="C737" t="s">
        <v>1399</v>
      </c>
      <c r="D737" t="s">
        <v>15</v>
      </c>
      <c r="E737">
        <v>36</v>
      </c>
      <c r="F737">
        <v>0</v>
      </c>
      <c r="G737">
        <v>2</v>
      </c>
      <c r="H737" t="s">
        <v>1396</v>
      </c>
      <c r="I737">
        <v>15.9</v>
      </c>
      <c r="K737" t="s">
        <v>17</v>
      </c>
      <c r="L737">
        <v>2</v>
      </c>
      <c r="N737" t="s">
        <v>1397</v>
      </c>
    </row>
    <row r="738" spans="1:14" x14ac:dyDescent="0.3">
      <c r="A738">
        <v>3</v>
      </c>
      <c r="B738">
        <v>0</v>
      </c>
      <c r="C738" t="s">
        <v>1400</v>
      </c>
      <c r="D738" t="s">
        <v>20</v>
      </c>
      <c r="E738">
        <v>59</v>
      </c>
      <c r="F738">
        <v>0</v>
      </c>
      <c r="G738">
        <v>0</v>
      </c>
      <c r="H738">
        <v>364500</v>
      </c>
      <c r="I738">
        <v>7.25</v>
      </c>
      <c r="K738" t="s">
        <v>17</v>
      </c>
      <c r="N738" t="s">
        <v>1401</v>
      </c>
    </row>
    <row r="739" spans="1:14" x14ac:dyDescent="0.3">
      <c r="A739">
        <v>3</v>
      </c>
      <c r="B739">
        <v>0</v>
      </c>
      <c r="C739" t="s">
        <v>1402</v>
      </c>
      <c r="D739" t="s">
        <v>20</v>
      </c>
      <c r="E739">
        <v>19</v>
      </c>
      <c r="F739">
        <v>0</v>
      </c>
      <c r="G739">
        <v>0</v>
      </c>
      <c r="H739" t="s">
        <v>1403</v>
      </c>
      <c r="I739">
        <v>8.1583000000000006</v>
      </c>
      <c r="K739" t="s">
        <v>17</v>
      </c>
      <c r="N739" t="s">
        <v>1404</v>
      </c>
    </row>
    <row r="740" spans="1:14" x14ac:dyDescent="0.3">
      <c r="A740">
        <v>3</v>
      </c>
      <c r="B740">
        <v>1</v>
      </c>
      <c r="C740" t="s">
        <v>1405</v>
      </c>
      <c r="D740" t="s">
        <v>15</v>
      </c>
      <c r="E740">
        <v>17</v>
      </c>
      <c r="F740">
        <v>0</v>
      </c>
      <c r="G740">
        <v>1</v>
      </c>
      <c r="H740">
        <v>371362</v>
      </c>
      <c r="I740">
        <v>16.100000000000001</v>
      </c>
      <c r="K740" t="s">
        <v>17</v>
      </c>
      <c r="L740">
        <v>12</v>
      </c>
      <c r="N740" t="s">
        <v>1406</v>
      </c>
    </row>
    <row r="741" spans="1:14" x14ac:dyDescent="0.3">
      <c r="A741">
        <v>3</v>
      </c>
      <c r="B741">
        <v>0</v>
      </c>
      <c r="C741" t="s">
        <v>1407</v>
      </c>
      <c r="D741" t="s">
        <v>20</v>
      </c>
      <c r="E741">
        <v>44</v>
      </c>
      <c r="F741">
        <v>0</v>
      </c>
      <c r="G741">
        <v>1</v>
      </c>
      <c r="H741">
        <v>371362</v>
      </c>
      <c r="I741">
        <v>16.100000000000001</v>
      </c>
      <c r="K741" t="s">
        <v>17</v>
      </c>
      <c r="N741" t="s">
        <v>1406</v>
      </c>
    </row>
    <row r="742" spans="1:14" x14ac:dyDescent="0.3">
      <c r="A742">
        <v>3</v>
      </c>
      <c r="B742">
        <v>0</v>
      </c>
      <c r="C742" t="s">
        <v>1408</v>
      </c>
      <c r="D742" t="s">
        <v>20</v>
      </c>
      <c r="E742">
        <v>17</v>
      </c>
      <c r="F742">
        <v>0</v>
      </c>
      <c r="G742">
        <v>0</v>
      </c>
      <c r="H742">
        <v>315090</v>
      </c>
      <c r="I742">
        <v>8.6624999999999996</v>
      </c>
      <c r="K742" t="s">
        <v>17</v>
      </c>
      <c r="N742" t="s">
        <v>1409</v>
      </c>
    </row>
    <row r="743" spans="1:14" x14ac:dyDescent="0.3">
      <c r="A743">
        <v>3</v>
      </c>
      <c r="B743">
        <v>0</v>
      </c>
      <c r="C743" t="s">
        <v>1410</v>
      </c>
      <c r="D743" t="s">
        <v>20</v>
      </c>
      <c r="E743">
        <v>22.5</v>
      </c>
      <c r="F743">
        <v>0</v>
      </c>
      <c r="G743">
        <v>0</v>
      </c>
      <c r="H743">
        <v>2698</v>
      </c>
      <c r="I743">
        <v>7.2249999999999996</v>
      </c>
      <c r="K743" t="s">
        <v>41</v>
      </c>
      <c r="M743">
        <v>9</v>
      </c>
    </row>
    <row r="744" spans="1:14" x14ac:dyDescent="0.3">
      <c r="A744">
        <v>3</v>
      </c>
      <c r="B744">
        <v>1</v>
      </c>
      <c r="C744" t="s">
        <v>1411</v>
      </c>
      <c r="D744" t="s">
        <v>20</v>
      </c>
      <c r="E744">
        <v>45</v>
      </c>
      <c r="F744">
        <v>0</v>
      </c>
      <c r="G744">
        <v>0</v>
      </c>
      <c r="H744">
        <v>7598</v>
      </c>
      <c r="I744">
        <v>8.0500000000000007</v>
      </c>
      <c r="K744" t="s">
        <v>17</v>
      </c>
      <c r="L744">
        <v>15</v>
      </c>
      <c r="N744" t="s">
        <v>1412</v>
      </c>
    </row>
    <row r="745" spans="1:14" x14ac:dyDescent="0.3">
      <c r="A745">
        <v>3</v>
      </c>
      <c r="B745">
        <v>0</v>
      </c>
      <c r="C745" t="s">
        <v>1413</v>
      </c>
      <c r="D745" t="s">
        <v>15</v>
      </c>
      <c r="E745">
        <v>22</v>
      </c>
      <c r="F745">
        <v>0</v>
      </c>
      <c r="G745">
        <v>0</v>
      </c>
      <c r="H745">
        <v>7552</v>
      </c>
      <c r="I745">
        <v>10.5167</v>
      </c>
      <c r="K745" t="s">
        <v>17</v>
      </c>
      <c r="N745" t="s">
        <v>1414</v>
      </c>
    </row>
    <row r="746" spans="1:14" x14ac:dyDescent="0.3">
      <c r="A746">
        <v>3</v>
      </c>
      <c r="B746">
        <v>0</v>
      </c>
      <c r="C746" t="s">
        <v>1415</v>
      </c>
      <c r="D746" t="s">
        <v>20</v>
      </c>
      <c r="E746">
        <v>19</v>
      </c>
      <c r="F746">
        <v>0</v>
      </c>
      <c r="G746">
        <v>0</v>
      </c>
      <c r="H746">
        <v>349228</v>
      </c>
      <c r="I746">
        <v>10.1708</v>
      </c>
      <c r="K746" t="s">
        <v>17</v>
      </c>
      <c r="N746" t="s">
        <v>1390</v>
      </c>
    </row>
    <row r="747" spans="1:14" x14ac:dyDescent="0.3">
      <c r="A747">
        <v>3</v>
      </c>
      <c r="B747">
        <v>1</v>
      </c>
      <c r="C747" t="s">
        <v>1416</v>
      </c>
      <c r="D747" t="s">
        <v>15</v>
      </c>
      <c r="E747">
        <v>30</v>
      </c>
      <c r="F747">
        <v>0</v>
      </c>
      <c r="G747">
        <v>0</v>
      </c>
      <c r="H747">
        <v>382650</v>
      </c>
      <c r="I747">
        <v>6.95</v>
      </c>
      <c r="K747" t="s">
        <v>463</v>
      </c>
      <c r="L747">
        <v>15</v>
      </c>
      <c r="N747" t="s">
        <v>1417</v>
      </c>
    </row>
    <row r="748" spans="1:14" x14ac:dyDescent="0.3">
      <c r="A748">
        <v>3</v>
      </c>
      <c r="B748">
        <v>1</v>
      </c>
      <c r="C748" t="s">
        <v>1418</v>
      </c>
      <c r="D748" t="s">
        <v>20</v>
      </c>
      <c r="E748">
        <v>29</v>
      </c>
      <c r="F748">
        <v>0</v>
      </c>
      <c r="G748">
        <v>0</v>
      </c>
      <c r="H748">
        <v>382651</v>
      </c>
      <c r="I748">
        <v>7.75</v>
      </c>
      <c r="K748" t="s">
        <v>463</v>
      </c>
      <c r="L748" t="s">
        <v>1419</v>
      </c>
      <c r="N748" t="s">
        <v>1417</v>
      </c>
    </row>
    <row r="749" spans="1:14" x14ac:dyDescent="0.3">
      <c r="A749">
        <v>3</v>
      </c>
      <c r="B749">
        <v>0</v>
      </c>
      <c r="C749" t="s">
        <v>1420</v>
      </c>
      <c r="D749" t="s">
        <v>20</v>
      </c>
      <c r="E749">
        <v>0.33</v>
      </c>
      <c r="F749">
        <v>0</v>
      </c>
      <c r="G749">
        <v>2</v>
      </c>
      <c r="H749">
        <v>347080</v>
      </c>
      <c r="I749">
        <v>14.4</v>
      </c>
      <c r="K749" t="s">
        <v>17</v>
      </c>
      <c r="N749" t="s">
        <v>1421</v>
      </c>
    </row>
    <row r="750" spans="1:14" x14ac:dyDescent="0.3">
      <c r="A750">
        <v>3</v>
      </c>
      <c r="B750">
        <v>0</v>
      </c>
      <c r="C750" t="s">
        <v>1422</v>
      </c>
      <c r="D750" t="s">
        <v>20</v>
      </c>
      <c r="E750">
        <v>34</v>
      </c>
      <c r="F750">
        <v>1</v>
      </c>
      <c r="G750">
        <v>1</v>
      </c>
      <c r="H750">
        <v>347080</v>
      </c>
      <c r="I750">
        <v>14.4</v>
      </c>
      <c r="K750" t="s">
        <v>17</v>
      </c>
      <c r="M750">
        <v>197</v>
      </c>
      <c r="N750" t="s">
        <v>1421</v>
      </c>
    </row>
    <row r="751" spans="1:14" x14ac:dyDescent="0.3">
      <c r="A751">
        <v>3</v>
      </c>
      <c r="B751">
        <v>0</v>
      </c>
      <c r="C751" t="s">
        <v>1423</v>
      </c>
      <c r="D751" t="s">
        <v>15</v>
      </c>
      <c r="E751">
        <v>28</v>
      </c>
      <c r="F751">
        <v>1</v>
      </c>
      <c r="G751">
        <v>1</v>
      </c>
      <c r="H751">
        <v>347080</v>
      </c>
      <c r="I751">
        <v>14.4</v>
      </c>
      <c r="K751" t="s">
        <v>17</v>
      </c>
      <c r="N751" t="s">
        <v>1421</v>
      </c>
    </row>
    <row r="752" spans="1:14" x14ac:dyDescent="0.3">
      <c r="A752">
        <v>3</v>
      </c>
      <c r="B752">
        <v>0</v>
      </c>
      <c r="C752" t="s">
        <v>1424</v>
      </c>
      <c r="D752" t="s">
        <v>20</v>
      </c>
      <c r="E752">
        <v>27</v>
      </c>
      <c r="F752">
        <v>0</v>
      </c>
      <c r="G752">
        <v>0</v>
      </c>
      <c r="H752">
        <v>349219</v>
      </c>
      <c r="I752">
        <v>7.8958000000000004</v>
      </c>
      <c r="K752" t="s">
        <v>17</v>
      </c>
      <c r="N752" t="s">
        <v>1241</v>
      </c>
    </row>
    <row r="753" spans="1:14" x14ac:dyDescent="0.3">
      <c r="A753">
        <v>3</v>
      </c>
      <c r="B753">
        <v>0</v>
      </c>
      <c r="C753" t="s">
        <v>1425</v>
      </c>
      <c r="D753" t="s">
        <v>20</v>
      </c>
      <c r="E753">
        <v>25</v>
      </c>
      <c r="F753">
        <v>0</v>
      </c>
      <c r="G753">
        <v>0</v>
      </c>
      <c r="H753">
        <v>349203</v>
      </c>
      <c r="I753">
        <v>7.8958000000000004</v>
      </c>
      <c r="K753" t="s">
        <v>17</v>
      </c>
      <c r="N753" t="s">
        <v>1241</v>
      </c>
    </row>
    <row r="754" spans="1:14" x14ac:dyDescent="0.3">
      <c r="A754">
        <v>3</v>
      </c>
      <c r="B754">
        <v>0</v>
      </c>
      <c r="C754" t="s">
        <v>1426</v>
      </c>
      <c r="D754" t="s">
        <v>20</v>
      </c>
      <c r="E754">
        <v>24</v>
      </c>
      <c r="F754">
        <v>2</v>
      </c>
      <c r="G754">
        <v>0</v>
      </c>
      <c r="H754" t="s">
        <v>1427</v>
      </c>
      <c r="I754">
        <v>24.15</v>
      </c>
      <c r="K754" t="s">
        <v>17</v>
      </c>
      <c r="N754" t="s">
        <v>1428</v>
      </c>
    </row>
    <row r="755" spans="1:14" x14ac:dyDescent="0.3">
      <c r="A755">
        <v>3</v>
      </c>
      <c r="B755">
        <v>0</v>
      </c>
      <c r="C755" t="s">
        <v>1429</v>
      </c>
      <c r="D755" t="s">
        <v>20</v>
      </c>
      <c r="E755">
        <v>22</v>
      </c>
      <c r="F755">
        <v>0</v>
      </c>
      <c r="G755">
        <v>0</v>
      </c>
      <c r="H755" t="s">
        <v>1430</v>
      </c>
      <c r="I755">
        <v>8.0500000000000007</v>
      </c>
      <c r="K755" t="s">
        <v>17</v>
      </c>
    </row>
    <row r="756" spans="1:14" x14ac:dyDescent="0.3">
      <c r="A756">
        <v>3</v>
      </c>
      <c r="B756">
        <v>0</v>
      </c>
      <c r="C756" t="s">
        <v>1431</v>
      </c>
      <c r="D756" t="s">
        <v>20</v>
      </c>
      <c r="E756">
        <v>21</v>
      </c>
      <c r="F756">
        <v>2</v>
      </c>
      <c r="G756">
        <v>0</v>
      </c>
      <c r="H756" t="s">
        <v>1427</v>
      </c>
      <c r="I756">
        <v>24.15</v>
      </c>
      <c r="K756" t="s">
        <v>17</v>
      </c>
      <c r="N756" t="s">
        <v>1428</v>
      </c>
    </row>
    <row r="757" spans="1:14" x14ac:dyDescent="0.3">
      <c r="A757">
        <v>3</v>
      </c>
      <c r="B757">
        <v>0</v>
      </c>
      <c r="C757" t="s">
        <v>1432</v>
      </c>
      <c r="D757" t="s">
        <v>20</v>
      </c>
      <c r="E757">
        <v>17</v>
      </c>
      <c r="F757">
        <v>2</v>
      </c>
      <c r="G757">
        <v>0</v>
      </c>
      <c r="H757" t="s">
        <v>1433</v>
      </c>
      <c r="I757">
        <v>8.0500000000000007</v>
      </c>
      <c r="K757" t="s">
        <v>17</v>
      </c>
      <c r="N757" t="s">
        <v>1428</v>
      </c>
    </row>
    <row r="758" spans="1:14" x14ac:dyDescent="0.3">
      <c r="A758">
        <v>3</v>
      </c>
      <c r="B758">
        <v>0</v>
      </c>
      <c r="C758" t="s">
        <v>1434</v>
      </c>
      <c r="D758" t="s">
        <v>20</v>
      </c>
      <c r="F758">
        <v>1</v>
      </c>
      <c r="G758">
        <v>0</v>
      </c>
      <c r="H758">
        <v>386525</v>
      </c>
      <c r="I758">
        <v>16.100000000000001</v>
      </c>
      <c r="K758" t="s">
        <v>17</v>
      </c>
      <c r="N758" t="s">
        <v>1435</v>
      </c>
    </row>
    <row r="759" spans="1:14" x14ac:dyDescent="0.3">
      <c r="A759">
        <v>3</v>
      </c>
      <c r="B759">
        <v>1</v>
      </c>
      <c r="C759" t="s">
        <v>1436</v>
      </c>
      <c r="D759" t="s">
        <v>15</v>
      </c>
      <c r="F759">
        <v>1</v>
      </c>
      <c r="G759">
        <v>0</v>
      </c>
      <c r="H759">
        <v>386525</v>
      </c>
      <c r="I759">
        <v>16.100000000000001</v>
      </c>
      <c r="K759" t="s">
        <v>17</v>
      </c>
      <c r="L759">
        <v>16</v>
      </c>
      <c r="N759" t="s">
        <v>1435</v>
      </c>
    </row>
    <row r="760" spans="1:14" x14ac:dyDescent="0.3">
      <c r="A760">
        <v>3</v>
      </c>
      <c r="B760">
        <v>1</v>
      </c>
      <c r="C760" t="s">
        <v>1437</v>
      </c>
      <c r="D760" t="s">
        <v>20</v>
      </c>
      <c r="E760">
        <v>36.5</v>
      </c>
      <c r="F760">
        <v>1</v>
      </c>
      <c r="G760">
        <v>0</v>
      </c>
      <c r="H760">
        <v>345572</v>
      </c>
      <c r="I760">
        <v>17.399999999999999</v>
      </c>
      <c r="K760" t="s">
        <v>17</v>
      </c>
      <c r="L760">
        <v>15</v>
      </c>
      <c r="N760" t="s">
        <v>1438</v>
      </c>
    </row>
    <row r="761" spans="1:14" x14ac:dyDescent="0.3">
      <c r="A761">
        <v>3</v>
      </c>
      <c r="B761">
        <v>1</v>
      </c>
      <c r="C761" t="s">
        <v>1439</v>
      </c>
      <c r="D761" t="s">
        <v>15</v>
      </c>
      <c r="E761">
        <v>36</v>
      </c>
      <c r="F761">
        <v>1</v>
      </c>
      <c r="G761">
        <v>0</v>
      </c>
      <c r="H761">
        <v>345572</v>
      </c>
      <c r="I761">
        <v>17.399999999999999</v>
      </c>
      <c r="K761" t="s">
        <v>17</v>
      </c>
      <c r="L761">
        <v>13</v>
      </c>
      <c r="N761" t="s">
        <v>1438</v>
      </c>
    </row>
    <row r="762" spans="1:14" x14ac:dyDescent="0.3">
      <c r="A762">
        <v>3</v>
      </c>
      <c r="B762">
        <v>1</v>
      </c>
      <c r="C762" t="s">
        <v>1440</v>
      </c>
      <c r="D762" t="s">
        <v>20</v>
      </c>
      <c r="E762">
        <v>30</v>
      </c>
      <c r="F762">
        <v>0</v>
      </c>
      <c r="G762">
        <v>0</v>
      </c>
      <c r="H762">
        <v>345774</v>
      </c>
      <c r="I762">
        <v>9.5</v>
      </c>
      <c r="K762" t="s">
        <v>17</v>
      </c>
      <c r="L762">
        <v>11</v>
      </c>
      <c r="N762" t="s">
        <v>1441</v>
      </c>
    </row>
    <row r="763" spans="1:14" x14ac:dyDescent="0.3">
      <c r="A763">
        <v>3</v>
      </c>
      <c r="B763">
        <v>0</v>
      </c>
      <c r="C763" t="s">
        <v>1442</v>
      </c>
      <c r="D763" t="s">
        <v>20</v>
      </c>
      <c r="E763">
        <v>16</v>
      </c>
      <c r="F763">
        <v>0</v>
      </c>
      <c r="G763">
        <v>0</v>
      </c>
      <c r="H763">
        <v>345778</v>
      </c>
      <c r="I763">
        <v>9.5</v>
      </c>
      <c r="K763" t="s">
        <v>17</v>
      </c>
    </row>
    <row r="764" spans="1:14" x14ac:dyDescent="0.3">
      <c r="A764">
        <v>3</v>
      </c>
      <c r="B764">
        <v>1</v>
      </c>
      <c r="C764" t="s">
        <v>1443</v>
      </c>
      <c r="D764" t="s">
        <v>20</v>
      </c>
      <c r="E764">
        <v>1</v>
      </c>
      <c r="F764">
        <v>1</v>
      </c>
      <c r="G764">
        <v>2</v>
      </c>
      <c r="H764" t="s">
        <v>1444</v>
      </c>
      <c r="I764">
        <v>20.574999999999999</v>
      </c>
      <c r="K764" t="s">
        <v>17</v>
      </c>
      <c r="L764">
        <v>10</v>
      </c>
      <c r="N764" t="s">
        <v>1445</v>
      </c>
    </row>
    <row r="765" spans="1:14" x14ac:dyDescent="0.3">
      <c r="A765">
        <v>3</v>
      </c>
      <c r="B765">
        <v>1</v>
      </c>
      <c r="C765" t="s">
        <v>1446</v>
      </c>
      <c r="D765" t="s">
        <v>15</v>
      </c>
      <c r="E765">
        <v>0.17</v>
      </c>
      <c r="F765">
        <v>1</v>
      </c>
      <c r="G765">
        <v>2</v>
      </c>
      <c r="H765" t="s">
        <v>1444</v>
      </c>
      <c r="I765">
        <v>20.574999999999999</v>
      </c>
      <c r="K765" t="s">
        <v>17</v>
      </c>
      <c r="L765">
        <v>10</v>
      </c>
      <c r="N765" t="s">
        <v>1445</v>
      </c>
    </row>
    <row r="766" spans="1:14" x14ac:dyDescent="0.3">
      <c r="A766">
        <v>3</v>
      </c>
      <c r="B766">
        <v>0</v>
      </c>
      <c r="C766" t="s">
        <v>1447</v>
      </c>
      <c r="D766" t="s">
        <v>20</v>
      </c>
      <c r="E766">
        <v>26</v>
      </c>
      <c r="F766">
        <v>1</v>
      </c>
      <c r="G766">
        <v>2</v>
      </c>
      <c r="H766" t="s">
        <v>1444</v>
      </c>
      <c r="I766">
        <v>20.574999999999999</v>
      </c>
      <c r="K766" t="s">
        <v>17</v>
      </c>
      <c r="N766" t="s">
        <v>1445</v>
      </c>
    </row>
    <row r="767" spans="1:14" x14ac:dyDescent="0.3">
      <c r="A767">
        <v>3</v>
      </c>
      <c r="B767">
        <v>1</v>
      </c>
      <c r="C767" t="s">
        <v>1448</v>
      </c>
      <c r="D767" t="s">
        <v>15</v>
      </c>
      <c r="E767">
        <v>33</v>
      </c>
      <c r="F767">
        <v>1</v>
      </c>
      <c r="G767">
        <v>2</v>
      </c>
      <c r="H767" t="s">
        <v>1444</v>
      </c>
      <c r="I767">
        <v>20.574999999999999</v>
      </c>
      <c r="K767" t="s">
        <v>17</v>
      </c>
      <c r="L767">
        <v>10</v>
      </c>
      <c r="N767" t="s">
        <v>1445</v>
      </c>
    </row>
    <row r="768" spans="1:14" x14ac:dyDescent="0.3">
      <c r="A768">
        <v>3</v>
      </c>
      <c r="B768">
        <v>0</v>
      </c>
      <c r="C768" t="s">
        <v>1449</v>
      </c>
      <c r="D768" t="s">
        <v>20</v>
      </c>
      <c r="E768">
        <v>25</v>
      </c>
      <c r="F768">
        <v>0</v>
      </c>
      <c r="G768">
        <v>0</v>
      </c>
      <c r="H768">
        <v>349250</v>
      </c>
      <c r="I768">
        <v>7.8958000000000004</v>
      </c>
      <c r="K768" t="s">
        <v>17</v>
      </c>
    </row>
    <row r="769" spans="1:14" x14ac:dyDescent="0.3">
      <c r="A769">
        <v>3</v>
      </c>
      <c r="B769">
        <v>0</v>
      </c>
      <c r="C769" t="s">
        <v>1450</v>
      </c>
      <c r="D769" t="s">
        <v>20</v>
      </c>
      <c r="F769">
        <v>0</v>
      </c>
      <c r="G769">
        <v>0</v>
      </c>
      <c r="H769">
        <v>349238</v>
      </c>
      <c r="I769">
        <v>7.8958000000000004</v>
      </c>
      <c r="K769" t="s">
        <v>17</v>
      </c>
    </row>
    <row r="770" spans="1:14" x14ac:dyDescent="0.3">
      <c r="A770">
        <v>3</v>
      </c>
      <c r="B770">
        <v>0</v>
      </c>
      <c r="C770" t="s">
        <v>1451</v>
      </c>
      <c r="D770" t="s">
        <v>20</v>
      </c>
      <c r="F770">
        <v>0</v>
      </c>
      <c r="G770">
        <v>0</v>
      </c>
      <c r="H770">
        <v>349225</v>
      </c>
      <c r="I770">
        <v>7.8958000000000004</v>
      </c>
      <c r="K770" t="s">
        <v>17</v>
      </c>
      <c r="N770" t="s">
        <v>1452</v>
      </c>
    </row>
    <row r="771" spans="1:14" x14ac:dyDescent="0.3">
      <c r="A771">
        <v>3</v>
      </c>
      <c r="B771">
        <v>0</v>
      </c>
      <c r="C771" t="s">
        <v>1453</v>
      </c>
      <c r="D771" t="s">
        <v>20</v>
      </c>
      <c r="E771">
        <v>22</v>
      </c>
      <c r="F771">
        <v>0</v>
      </c>
      <c r="G771">
        <v>0</v>
      </c>
      <c r="H771" t="s">
        <v>1454</v>
      </c>
      <c r="I771">
        <v>7.25</v>
      </c>
      <c r="K771" t="s">
        <v>17</v>
      </c>
    </row>
    <row r="772" spans="1:14" x14ac:dyDescent="0.3">
      <c r="A772">
        <v>3</v>
      </c>
      <c r="B772">
        <v>0</v>
      </c>
      <c r="C772" t="s">
        <v>1455</v>
      </c>
      <c r="D772" t="s">
        <v>20</v>
      </c>
      <c r="E772">
        <v>36</v>
      </c>
      <c r="F772">
        <v>0</v>
      </c>
      <c r="G772">
        <v>0</v>
      </c>
      <c r="H772" t="s">
        <v>1456</v>
      </c>
      <c r="I772">
        <v>7.25</v>
      </c>
      <c r="K772" t="s">
        <v>17</v>
      </c>
    </row>
    <row r="773" spans="1:14" x14ac:dyDescent="0.3">
      <c r="A773">
        <v>3</v>
      </c>
      <c r="B773">
        <v>1</v>
      </c>
      <c r="C773" t="s">
        <v>1457</v>
      </c>
      <c r="D773" t="s">
        <v>15</v>
      </c>
      <c r="E773">
        <v>19</v>
      </c>
      <c r="F773">
        <v>0</v>
      </c>
      <c r="G773">
        <v>0</v>
      </c>
      <c r="H773">
        <v>330958</v>
      </c>
      <c r="I773">
        <v>7.8792</v>
      </c>
      <c r="K773" t="s">
        <v>463</v>
      </c>
      <c r="L773" t="s">
        <v>41</v>
      </c>
      <c r="N773" t="s">
        <v>1458</v>
      </c>
    </row>
    <row r="774" spans="1:14" x14ac:dyDescent="0.3">
      <c r="A774">
        <v>3</v>
      </c>
      <c r="B774">
        <v>0</v>
      </c>
      <c r="C774" t="s">
        <v>1459</v>
      </c>
      <c r="D774" t="s">
        <v>20</v>
      </c>
      <c r="E774">
        <v>17</v>
      </c>
      <c r="F774">
        <v>0</v>
      </c>
      <c r="G774">
        <v>0</v>
      </c>
      <c r="H774">
        <v>349232</v>
      </c>
      <c r="I774">
        <v>7.8958000000000004</v>
      </c>
      <c r="K774" t="s">
        <v>17</v>
      </c>
    </row>
    <row r="775" spans="1:14" x14ac:dyDescent="0.3">
      <c r="A775">
        <v>3</v>
      </c>
      <c r="B775">
        <v>0</v>
      </c>
      <c r="C775" t="s">
        <v>1460</v>
      </c>
      <c r="D775" t="s">
        <v>20</v>
      </c>
      <c r="E775">
        <v>42</v>
      </c>
      <c r="F775">
        <v>0</v>
      </c>
      <c r="G775">
        <v>0</v>
      </c>
      <c r="H775">
        <v>315088</v>
      </c>
      <c r="I775">
        <v>8.6624999999999996</v>
      </c>
      <c r="K775" t="s">
        <v>17</v>
      </c>
    </row>
    <row r="776" spans="1:14" x14ac:dyDescent="0.3">
      <c r="A776">
        <v>3</v>
      </c>
      <c r="B776">
        <v>0</v>
      </c>
      <c r="C776" t="s">
        <v>1461</v>
      </c>
      <c r="D776" t="s">
        <v>20</v>
      </c>
      <c r="E776">
        <v>43</v>
      </c>
      <c r="F776">
        <v>0</v>
      </c>
      <c r="G776">
        <v>0</v>
      </c>
      <c r="H776">
        <v>349226</v>
      </c>
      <c r="I776">
        <v>7.8958000000000004</v>
      </c>
      <c r="K776" t="s">
        <v>17</v>
      </c>
    </row>
    <row r="777" spans="1:14" x14ac:dyDescent="0.3">
      <c r="A777">
        <v>3</v>
      </c>
      <c r="B777">
        <v>0</v>
      </c>
      <c r="C777" t="s">
        <v>1462</v>
      </c>
      <c r="D777" t="s">
        <v>20</v>
      </c>
      <c r="F777">
        <v>0</v>
      </c>
      <c r="G777">
        <v>0</v>
      </c>
      <c r="H777">
        <v>2686</v>
      </c>
      <c r="I777">
        <v>7.2291999999999996</v>
      </c>
      <c r="K777" t="s">
        <v>41</v>
      </c>
    </row>
    <row r="778" spans="1:14" x14ac:dyDescent="0.3">
      <c r="A778">
        <v>3</v>
      </c>
      <c r="B778">
        <v>0</v>
      </c>
      <c r="C778" t="s">
        <v>1463</v>
      </c>
      <c r="D778" t="s">
        <v>20</v>
      </c>
      <c r="E778">
        <v>32</v>
      </c>
      <c r="F778">
        <v>0</v>
      </c>
      <c r="G778">
        <v>0</v>
      </c>
      <c r="H778">
        <v>370376</v>
      </c>
      <c r="I778">
        <v>7.75</v>
      </c>
      <c r="K778" t="s">
        <v>463</v>
      </c>
      <c r="N778" t="s">
        <v>1365</v>
      </c>
    </row>
    <row r="779" spans="1:14" x14ac:dyDescent="0.3">
      <c r="A779">
        <v>3</v>
      </c>
      <c r="B779">
        <v>1</v>
      </c>
      <c r="C779" t="s">
        <v>1464</v>
      </c>
      <c r="D779" t="s">
        <v>20</v>
      </c>
      <c r="E779">
        <v>19</v>
      </c>
      <c r="F779">
        <v>0</v>
      </c>
      <c r="G779">
        <v>0</v>
      </c>
      <c r="H779" t="s">
        <v>1465</v>
      </c>
      <c r="I779">
        <v>8.0500000000000007</v>
      </c>
      <c r="K779" t="s">
        <v>17</v>
      </c>
      <c r="L779" t="s">
        <v>54</v>
      </c>
      <c r="N779" t="s">
        <v>1466</v>
      </c>
    </row>
    <row r="780" spans="1:14" x14ac:dyDescent="0.3">
      <c r="A780">
        <v>3</v>
      </c>
      <c r="B780">
        <v>1</v>
      </c>
      <c r="C780" t="s">
        <v>1467</v>
      </c>
      <c r="D780" t="s">
        <v>15</v>
      </c>
      <c r="E780">
        <v>30</v>
      </c>
      <c r="F780">
        <v>0</v>
      </c>
      <c r="G780">
        <v>0</v>
      </c>
      <c r="H780">
        <v>364516</v>
      </c>
      <c r="I780">
        <v>12.475</v>
      </c>
      <c r="K780" t="s">
        <v>17</v>
      </c>
      <c r="L780">
        <v>13</v>
      </c>
      <c r="N780" t="s">
        <v>1468</v>
      </c>
    </row>
    <row r="781" spans="1:14" x14ac:dyDescent="0.3">
      <c r="A781">
        <v>3</v>
      </c>
      <c r="B781">
        <v>0</v>
      </c>
      <c r="C781" t="s">
        <v>1469</v>
      </c>
      <c r="D781" t="s">
        <v>15</v>
      </c>
      <c r="E781">
        <v>24</v>
      </c>
      <c r="F781">
        <v>0</v>
      </c>
      <c r="G781">
        <v>0</v>
      </c>
      <c r="H781">
        <v>368702</v>
      </c>
      <c r="I781">
        <v>7.75</v>
      </c>
      <c r="K781" t="s">
        <v>463</v>
      </c>
      <c r="N781" t="s">
        <v>1365</v>
      </c>
    </row>
    <row r="782" spans="1:14" x14ac:dyDescent="0.3">
      <c r="A782">
        <v>3</v>
      </c>
      <c r="B782">
        <v>1</v>
      </c>
      <c r="C782" t="s">
        <v>1470</v>
      </c>
      <c r="D782" t="s">
        <v>15</v>
      </c>
      <c r="E782">
        <v>23</v>
      </c>
      <c r="F782">
        <v>0</v>
      </c>
      <c r="G782">
        <v>0</v>
      </c>
      <c r="H782" t="s">
        <v>1471</v>
      </c>
      <c r="I782">
        <v>8.0500000000000007</v>
      </c>
      <c r="K782" t="s">
        <v>17</v>
      </c>
      <c r="N782" t="s">
        <v>1472</v>
      </c>
    </row>
    <row r="783" spans="1:14" x14ac:dyDescent="0.3">
      <c r="A783">
        <v>3</v>
      </c>
      <c r="B783">
        <v>0</v>
      </c>
      <c r="C783" t="s">
        <v>1473</v>
      </c>
      <c r="D783" t="s">
        <v>20</v>
      </c>
      <c r="E783">
        <v>33</v>
      </c>
      <c r="F783">
        <v>0</v>
      </c>
      <c r="G783">
        <v>0</v>
      </c>
      <c r="H783">
        <v>349241</v>
      </c>
      <c r="I783">
        <v>7.8958000000000004</v>
      </c>
      <c r="K783" t="s">
        <v>41</v>
      </c>
      <c r="M783">
        <v>51</v>
      </c>
      <c r="N783" t="s">
        <v>1474</v>
      </c>
    </row>
    <row r="784" spans="1:14" x14ac:dyDescent="0.3">
      <c r="A784">
        <v>3</v>
      </c>
      <c r="B784">
        <v>0</v>
      </c>
      <c r="C784" t="s">
        <v>1475</v>
      </c>
      <c r="D784" t="s">
        <v>20</v>
      </c>
      <c r="E784">
        <v>65</v>
      </c>
      <c r="F784">
        <v>0</v>
      </c>
      <c r="G784">
        <v>0</v>
      </c>
      <c r="H784">
        <v>336439</v>
      </c>
      <c r="I784">
        <v>7.75</v>
      </c>
      <c r="K784" t="s">
        <v>463</v>
      </c>
    </row>
    <row r="785" spans="1:14" x14ac:dyDescent="0.3">
      <c r="A785">
        <v>3</v>
      </c>
      <c r="B785">
        <v>1</v>
      </c>
      <c r="C785" t="s">
        <v>1476</v>
      </c>
      <c r="D785" t="s">
        <v>20</v>
      </c>
      <c r="E785">
        <v>24</v>
      </c>
      <c r="F785">
        <v>0</v>
      </c>
      <c r="G785">
        <v>0</v>
      </c>
      <c r="H785" t="s">
        <v>1477</v>
      </c>
      <c r="I785">
        <v>7.55</v>
      </c>
      <c r="K785" t="s">
        <v>17</v>
      </c>
      <c r="L785" t="s">
        <v>37</v>
      </c>
      <c r="N785" t="s">
        <v>1206</v>
      </c>
    </row>
    <row r="786" spans="1:14" x14ac:dyDescent="0.3">
      <c r="A786">
        <v>3</v>
      </c>
      <c r="B786">
        <v>0</v>
      </c>
      <c r="C786" t="s">
        <v>1478</v>
      </c>
      <c r="D786" t="s">
        <v>20</v>
      </c>
      <c r="E786">
        <v>23</v>
      </c>
      <c r="F786">
        <v>1</v>
      </c>
      <c r="G786">
        <v>0</v>
      </c>
      <c r="H786">
        <v>347072</v>
      </c>
      <c r="I786">
        <v>13.9</v>
      </c>
      <c r="K786" t="s">
        <v>17</v>
      </c>
      <c r="N786" t="s">
        <v>1479</v>
      </c>
    </row>
    <row r="787" spans="1:14" x14ac:dyDescent="0.3">
      <c r="A787">
        <v>3</v>
      </c>
      <c r="B787">
        <v>1</v>
      </c>
      <c r="C787" t="s">
        <v>1480</v>
      </c>
      <c r="D787" t="s">
        <v>15</v>
      </c>
      <c r="E787">
        <v>22</v>
      </c>
      <c r="F787">
        <v>1</v>
      </c>
      <c r="G787">
        <v>0</v>
      </c>
      <c r="H787">
        <v>347072</v>
      </c>
      <c r="I787">
        <v>13.9</v>
      </c>
      <c r="K787" t="s">
        <v>17</v>
      </c>
      <c r="L787">
        <v>16</v>
      </c>
      <c r="N787" t="s">
        <v>1479</v>
      </c>
    </row>
    <row r="788" spans="1:14" x14ac:dyDescent="0.3">
      <c r="A788">
        <v>3</v>
      </c>
      <c r="B788">
        <v>0</v>
      </c>
      <c r="C788" t="s">
        <v>1481</v>
      </c>
      <c r="D788" t="s">
        <v>20</v>
      </c>
      <c r="E788">
        <v>18</v>
      </c>
      <c r="F788">
        <v>0</v>
      </c>
      <c r="G788">
        <v>0</v>
      </c>
      <c r="H788">
        <v>349912</v>
      </c>
      <c r="I788">
        <v>7.7750000000000004</v>
      </c>
      <c r="K788" t="s">
        <v>17</v>
      </c>
      <c r="N788" t="s">
        <v>1482</v>
      </c>
    </row>
    <row r="789" spans="1:14" x14ac:dyDescent="0.3">
      <c r="A789">
        <v>3</v>
      </c>
      <c r="B789">
        <v>0</v>
      </c>
      <c r="C789" t="s">
        <v>1483</v>
      </c>
      <c r="D789" t="s">
        <v>20</v>
      </c>
      <c r="E789">
        <v>16</v>
      </c>
      <c r="F789">
        <v>0</v>
      </c>
      <c r="G789">
        <v>0</v>
      </c>
      <c r="H789">
        <v>347074</v>
      </c>
      <c r="I789">
        <v>7.7750000000000004</v>
      </c>
      <c r="K789" t="s">
        <v>17</v>
      </c>
      <c r="N789" t="s">
        <v>1484</v>
      </c>
    </row>
    <row r="790" spans="1:14" x14ac:dyDescent="0.3">
      <c r="A790">
        <v>3</v>
      </c>
      <c r="B790">
        <v>0</v>
      </c>
      <c r="C790" t="s">
        <v>1485</v>
      </c>
      <c r="D790" t="s">
        <v>20</v>
      </c>
      <c r="E790">
        <v>45</v>
      </c>
      <c r="F790">
        <v>0</v>
      </c>
      <c r="G790">
        <v>0</v>
      </c>
      <c r="H790">
        <v>347061</v>
      </c>
      <c r="I790">
        <v>6.9749999999999996</v>
      </c>
      <c r="K790" t="s">
        <v>17</v>
      </c>
      <c r="N790" t="s">
        <v>1486</v>
      </c>
    </row>
    <row r="791" spans="1:14" x14ac:dyDescent="0.3">
      <c r="A791">
        <v>3</v>
      </c>
      <c r="B791">
        <v>0</v>
      </c>
      <c r="C791" t="s">
        <v>1487</v>
      </c>
      <c r="D791" t="s">
        <v>20</v>
      </c>
      <c r="F791">
        <v>0</v>
      </c>
      <c r="G791">
        <v>0</v>
      </c>
      <c r="H791">
        <v>2674</v>
      </c>
      <c r="I791">
        <v>7.2249999999999996</v>
      </c>
      <c r="K791" t="s">
        <v>41</v>
      </c>
    </row>
    <row r="792" spans="1:14" x14ac:dyDescent="0.3">
      <c r="A792">
        <v>3</v>
      </c>
      <c r="B792">
        <v>0</v>
      </c>
      <c r="C792" t="s">
        <v>1488</v>
      </c>
      <c r="D792" t="s">
        <v>20</v>
      </c>
      <c r="E792">
        <v>39</v>
      </c>
      <c r="F792">
        <v>0</v>
      </c>
      <c r="G792">
        <v>2</v>
      </c>
      <c r="H792">
        <v>2675</v>
      </c>
      <c r="I792">
        <v>7.2291999999999996</v>
      </c>
      <c r="K792" t="s">
        <v>41</v>
      </c>
      <c r="N792" t="s">
        <v>1287</v>
      </c>
    </row>
    <row r="793" spans="1:14" x14ac:dyDescent="0.3">
      <c r="A793">
        <v>3</v>
      </c>
      <c r="B793">
        <v>0</v>
      </c>
      <c r="C793" t="s">
        <v>1489</v>
      </c>
      <c r="D793" t="s">
        <v>20</v>
      </c>
      <c r="E793">
        <v>17</v>
      </c>
      <c r="F793">
        <v>1</v>
      </c>
      <c r="G793">
        <v>1</v>
      </c>
      <c r="H793">
        <v>2690</v>
      </c>
      <c r="I793">
        <v>7.2291999999999996</v>
      </c>
      <c r="K793" t="s">
        <v>41</v>
      </c>
    </row>
    <row r="794" spans="1:14" x14ac:dyDescent="0.3">
      <c r="A794">
        <v>3</v>
      </c>
      <c r="B794">
        <v>0</v>
      </c>
      <c r="C794" t="s">
        <v>1490</v>
      </c>
      <c r="D794" t="s">
        <v>20</v>
      </c>
      <c r="E794">
        <v>15</v>
      </c>
      <c r="F794">
        <v>1</v>
      </c>
      <c r="G794">
        <v>1</v>
      </c>
      <c r="H794">
        <v>2695</v>
      </c>
      <c r="I794">
        <v>7.2291999999999996</v>
      </c>
      <c r="K794" t="s">
        <v>41</v>
      </c>
      <c r="N794" t="s">
        <v>1300</v>
      </c>
    </row>
    <row r="795" spans="1:14" x14ac:dyDescent="0.3">
      <c r="A795">
        <v>3</v>
      </c>
      <c r="B795">
        <v>0</v>
      </c>
      <c r="C795" t="s">
        <v>1491</v>
      </c>
      <c r="D795" t="s">
        <v>20</v>
      </c>
      <c r="E795">
        <v>47</v>
      </c>
      <c r="F795">
        <v>0</v>
      </c>
      <c r="G795">
        <v>0</v>
      </c>
      <c r="H795" t="s">
        <v>1492</v>
      </c>
      <c r="I795">
        <v>7.25</v>
      </c>
      <c r="K795" t="s">
        <v>17</v>
      </c>
      <c r="N795" t="s">
        <v>1493</v>
      </c>
    </row>
    <row r="796" spans="1:14" x14ac:dyDescent="0.3">
      <c r="A796">
        <v>3</v>
      </c>
      <c r="B796">
        <v>1</v>
      </c>
      <c r="C796" t="s">
        <v>1494</v>
      </c>
      <c r="D796" t="s">
        <v>15</v>
      </c>
      <c r="E796">
        <v>5</v>
      </c>
      <c r="F796">
        <v>0</v>
      </c>
      <c r="G796">
        <v>0</v>
      </c>
      <c r="H796">
        <v>364516</v>
      </c>
      <c r="I796">
        <v>12.475</v>
      </c>
      <c r="K796" t="s">
        <v>17</v>
      </c>
      <c r="L796">
        <v>13</v>
      </c>
      <c r="N796" t="s">
        <v>28</v>
      </c>
    </row>
    <row r="797" spans="1:14" x14ac:dyDescent="0.3">
      <c r="A797">
        <v>3</v>
      </c>
      <c r="B797">
        <v>0</v>
      </c>
      <c r="C797" t="s">
        <v>1495</v>
      </c>
      <c r="D797" t="s">
        <v>20</v>
      </c>
      <c r="F797">
        <v>0</v>
      </c>
      <c r="G797">
        <v>0</v>
      </c>
      <c r="H797">
        <v>2631</v>
      </c>
      <c r="I797">
        <v>7.2249999999999996</v>
      </c>
      <c r="K797" t="s">
        <v>41</v>
      </c>
    </row>
    <row r="798" spans="1:14" x14ac:dyDescent="0.3">
      <c r="A798">
        <v>3</v>
      </c>
      <c r="B798">
        <v>0</v>
      </c>
      <c r="C798" t="s">
        <v>1496</v>
      </c>
      <c r="D798" t="s">
        <v>20</v>
      </c>
      <c r="E798">
        <v>40.5</v>
      </c>
      <c r="F798">
        <v>0</v>
      </c>
      <c r="G798">
        <v>0</v>
      </c>
      <c r="H798" t="s">
        <v>1497</v>
      </c>
      <c r="I798">
        <v>15.1</v>
      </c>
      <c r="K798" t="s">
        <v>17</v>
      </c>
      <c r="M798">
        <v>187</v>
      </c>
    </row>
    <row r="799" spans="1:14" x14ac:dyDescent="0.3">
      <c r="A799">
        <v>3</v>
      </c>
      <c r="B799">
        <v>0</v>
      </c>
      <c r="C799" t="s">
        <v>1498</v>
      </c>
      <c r="D799" t="s">
        <v>20</v>
      </c>
      <c r="E799">
        <v>40.5</v>
      </c>
      <c r="F799">
        <v>0</v>
      </c>
      <c r="G799">
        <v>0</v>
      </c>
      <c r="H799">
        <v>367232</v>
      </c>
      <c r="I799">
        <v>7.75</v>
      </c>
      <c r="K799" t="s">
        <v>463</v>
      </c>
      <c r="M799">
        <v>68</v>
      </c>
      <c r="N799" t="s">
        <v>1499</v>
      </c>
    </row>
    <row r="800" spans="1:14" x14ac:dyDescent="0.3">
      <c r="A800">
        <v>3</v>
      </c>
      <c r="B800">
        <v>1</v>
      </c>
      <c r="C800" t="s">
        <v>1500</v>
      </c>
      <c r="D800" t="s">
        <v>20</v>
      </c>
      <c r="F800">
        <v>0</v>
      </c>
      <c r="G800">
        <v>0</v>
      </c>
      <c r="H800" t="s">
        <v>1501</v>
      </c>
      <c r="I800">
        <v>7.05</v>
      </c>
      <c r="K800" t="s">
        <v>17</v>
      </c>
      <c r="L800">
        <v>15</v>
      </c>
      <c r="N800" t="s">
        <v>1502</v>
      </c>
    </row>
    <row r="801" spans="1:14" x14ac:dyDescent="0.3">
      <c r="A801">
        <v>3</v>
      </c>
      <c r="B801">
        <v>0</v>
      </c>
      <c r="C801" t="s">
        <v>1503</v>
      </c>
      <c r="D801" t="s">
        <v>20</v>
      </c>
      <c r="E801">
        <v>18</v>
      </c>
      <c r="F801">
        <v>0</v>
      </c>
      <c r="G801">
        <v>0</v>
      </c>
      <c r="H801">
        <v>350036</v>
      </c>
      <c r="I801">
        <v>7.7957999999999998</v>
      </c>
      <c r="K801" t="s">
        <v>17</v>
      </c>
    </row>
    <row r="802" spans="1:14" x14ac:dyDescent="0.3">
      <c r="A802">
        <v>3</v>
      </c>
      <c r="B802">
        <v>0</v>
      </c>
      <c r="C802" t="s">
        <v>1504</v>
      </c>
      <c r="D802" t="s">
        <v>15</v>
      </c>
      <c r="F802">
        <v>0</v>
      </c>
      <c r="G802">
        <v>0</v>
      </c>
      <c r="H802">
        <v>364859</v>
      </c>
      <c r="I802">
        <v>7.75</v>
      </c>
      <c r="K802" t="s">
        <v>463</v>
      </c>
    </row>
    <row r="803" spans="1:14" x14ac:dyDescent="0.3">
      <c r="A803">
        <v>3</v>
      </c>
      <c r="B803">
        <v>0</v>
      </c>
      <c r="C803" t="s">
        <v>1505</v>
      </c>
      <c r="D803" t="s">
        <v>20</v>
      </c>
      <c r="F803">
        <v>0</v>
      </c>
      <c r="G803">
        <v>0</v>
      </c>
      <c r="H803">
        <v>364851</v>
      </c>
      <c r="I803">
        <v>7.75</v>
      </c>
      <c r="K803" t="s">
        <v>463</v>
      </c>
    </row>
    <row r="804" spans="1:14" x14ac:dyDescent="0.3">
      <c r="A804">
        <v>3</v>
      </c>
      <c r="B804">
        <v>0</v>
      </c>
      <c r="C804" t="s">
        <v>1506</v>
      </c>
      <c r="D804" t="s">
        <v>20</v>
      </c>
      <c r="F804">
        <v>0</v>
      </c>
      <c r="G804">
        <v>0</v>
      </c>
      <c r="H804">
        <v>368323</v>
      </c>
      <c r="I804">
        <v>6.95</v>
      </c>
      <c r="K804" t="s">
        <v>463</v>
      </c>
    </row>
    <row r="805" spans="1:14" x14ac:dyDescent="0.3">
      <c r="A805">
        <v>3</v>
      </c>
      <c r="B805">
        <v>0</v>
      </c>
      <c r="C805" t="s">
        <v>1507</v>
      </c>
      <c r="D805" t="s">
        <v>20</v>
      </c>
      <c r="E805">
        <v>26</v>
      </c>
      <c r="F805">
        <v>0</v>
      </c>
      <c r="G805">
        <v>0</v>
      </c>
      <c r="H805">
        <v>330910</v>
      </c>
      <c r="I805">
        <v>7.8792</v>
      </c>
      <c r="K805" t="s">
        <v>463</v>
      </c>
      <c r="N805" t="s">
        <v>1314</v>
      </c>
    </row>
    <row r="806" spans="1:14" x14ac:dyDescent="0.3">
      <c r="A806">
        <v>3</v>
      </c>
      <c r="B806">
        <v>0</v>
      </c>
      <c r="C806" t="s">
        <v>1508</v>
      </c>
      <c r="D806" t="s">
        <v>20</v>
      </c>
      <c r="F806">
        <v>0</v>
      </c>
      <c r="G806">
        <v>0</v>
      </c>
      <c r="H806">
        <v>365235</v>
      </c>
      <c r="I806">
        <v>7.75</v>
      </c>
      <c r="K806" t="s">
        <v>463</v>
      </c>
      <c r="N806" t="s">
        <v>1385</v>
      </c>
    </row>
    <row r="807" spans="1:14" x14ac:dyDescent="0.3">
      <c r="A807">
        <v>3</v>
      </c>
      <c r="B807">
        <v>1</v>
      </c>
      <c r="C807" t="s">
        <v>1509</v>
      </c>
      <c r="D807" t="s">
        <v>20</v>
      </c>
      <c r="F807">
        <v>0</v>
      </c>
      <c r="G807">
        <v>0</v>
      </c>
      <c r="H807">
        <v>1601</v>
      </c>
      <c r="I807">
        <v>56.495800000000003</v>
      </c>
      <c r="K807" t="s">
        <v>17</v>
      </c>
      <c r="L807">
        <v>13</v>
      </c>
      <c r="N807" t="s">
        <v>1302</v>
      </c>
    </row>
    <row r="808" spans="1:14" x14ac:dyDescent="0.3">
      <c r="A808">
        <v>3</v>
      </c>
      <c r="B808">
        <v>0</v>
      </c>
      <c r="C808" t="s">
        <v>1510</v>
      </c>
      <c r="D808" t="s">
        <v>15</v>
      </c>
      <c r="E808">
        <v>21</v>
      </c>
      <c r="F808">
        <v>2</v>
      </c>
      <c r="G808">
        <v>2</v>
      </c>
      <c r="H808" t="s">
        <v>1511</v>
      </c>
      <c r="I808">
        <v>34.375</v>
      </c>
      <c r="K808" t="s">
        <v>17</v>
      </c>
      <c r="N808" t="s">
        <v>1512</v>
      </c>
    </row>
    <row r="809" spans="1:14" x14ac:dyDescent="0.3">
      <c r="A809">
        <v>3</v>
      </c>
      <c r="B809">
        <v>0</v>
      </c>
      <c r="C809" t="s">
        <v>1513</v>
      </c>
      <c r="D809" t="s">
        <v>15</v>
      </c>
      <c r="E809">
        <v>9</v>
      </c>
      <c r="F809">
        <v>2</v>
      </c>
      <c r="G809">
        <v>2</v>
      </c>
      <c r="H809" t="s">
        <v>1511</v>
      </c>
      <c r="I809">
        <v>34.375</v>
      </c>
      <c r="K809" t="s">
        <v>17</v>
      </c>
      <c r="N809" t="s">
        <v>1512</v>
      </c>
    </row>
    <row r="810" spans="1:14" x14ac:dyDescent="0.3">
      <c r="A810">
        <v>3</v>
      </c>
      <c r="B810">
        <v>0</v>
      </c>
      <c r="C810" t="s">
        <v>1514</v>
      </c>
      <c r="D810" t="s">
        <v>20</v>
      </c>
      <c r="F810">
        <v>0</v>
      </c>
      <c r="G810">
        <v>0</v>
      </c>
      <c r="H810" t="s">
        <v>1515</v>
      </c>
      <c r="I810">
        <v>8.0500000000000007</v>
      </c>
      <c r="K810" t="s">
        <v>17</v>
      </c>
      <c r="N810" t="s">
        <v>1516</v>
      </c>
    </row>
    <row r="811" spans="1:14" x14ac:dyDescent="0.3">
      <c r="A811">
        <v>3</v>
      </c>
      <c r="B811">
        <v>0</v>
      </c>
      <c r="C811" t="s">
        <v>1517</v>
      </c>
      <c r="D811" t="s">
        <v>20</v>
      </c>
      <c r="E811">
        <v>18</v>
      </c>
      <c r="F811">
        <v>2</v>
      </c>
      <c r="G811">
        <v>2</v>
      </c>
      <c r="H811" t="s">
        <v>1511</v>
      </c>
      <c r="I811">
        <v>34.375</v>
      </c>
      <c r="K811" t="s">
        <v>17</v>
      </c>
      <c r="N811" t="s">
        <v>1512</v>
      </c>
    </row>
    <row r="812" spans="1:14" x14ac:dyDescent="0.3">
      <c r="A812">
        <v>3</v>
      </c>
      <c r="B812">
        <v>0</v>
      </c>
      <c r="C812" t="s">
        <v>1518</v>
      </c>
      <c r="D812" t="s">
        <v>20</v>
      </c>
      <c r="E812">
        <v>16</v>
      </c>
      <c r="F812">
        <v>1</v>
      </c>
      <c r="G812">
        <v>3</v>
      </c>
      <c r="H812" t="s">
        <v>1511</v>
      </c>
      <c r="I812">
        <v>34.375</v>
      </c>
      <c r="K812" t="s">
        <v>17</v>
      </c>
      <c r="N812" t="s">
        <v>1512</v>
      </c>
    </row>
    <row r="813" spans="1:14" x14ac:dyDescent="0.3">
      <c r="A813">
        <v>3</v>
      </c>
      <c r="B813">
        <v>0</v>
      </c>
      <c r="C813" t="s">
        <v>1519</v>
      </c>
      <c r="D813" t="s">
        <v>15</v>
      </c>
      <c r="E813">
        <v>48</v>
      </c>
      <c r="F813">
        <v>1</v>
      </c>
      <c r="G813">
        <v>3</v>
      </c>
      <c r="H813" t="s">
        <v>1511</v>
      </c>
      <c r="I813">
        <v>34.375</v>
      </c>
      <c r="K813" t="s">
        <v>17</v>
      </c>
      <c r="N813" t="s">
        <v>1512</v>
      </c>
    </row>
    <row r="814" spans="1:14" x14ac:dyDescent="0.3">
      <c r="A814">
        <v>3</v>
      </c>
      <c r="B814">
        <v>0</v>
      </c>
      <c r="C814" t="s">
        <v>1520</v>
      </c>
      <c r="D814" t="s">
        <v>20</v>
      </c>
      <c r="F814">
        <v>0</v>
      </c>
      <c r="G814">
        <v>0</v>
      </c>
      <c r="H814">
        <v>368573</v>
      </c>
      <c r="I814">
        <v>7.75</v>
      </c>
      <c r="K814" t="s">
        <v>463</v>
      </c>
      <c r="N814" t="s">
        <v>1365</v>
      </c>
    </row>
    <row r="815" spans="1:14" x14ac:dyDescent="0.3">
      <c r="A815">
        <v>3</v>
      </c>
      <c r="B815">
        <v>0</v>
      </c>
      <c r="C815" t="s">
        <v>1521</v>
      </c>
      <c r="D815" t="s">
        <v>20</v>
      </c>
      <c r="F815">
        <v>0</v>
      </c>
      <c r="G815">
        <v>0</v>
      </c>
      <c r="H815" t="s">
        <v>1522</v>
      </c>
      <c r="I815">
        <v>7.25</v>
      </c>
      <c r="K815" t="s">
        <v>17</v>
      </c>
    </row>
    <row r="816" spans="1:14" x14ac:dyDescent="0.3">
      <c r="A816">
        <v>3</v>
      </c>
      <c r="B816">
        <v>0</v>
      </c>
      <c r="C816" t="s">
        <v>1523</v>
      </c>
      <c r="D816" t="s">
        <v>20</v>
      </c>
      <c r="E816">
        <v>25</v>
      </c>
      <c r="F816">
        <v>0</v>
      </c>
      <c r="G816">
        <v>0</v>
      </c>
      <c r="H816">
        <v>36864</v>
      </c>
      <c r="I816">
        <v>7.7416999999999998</v>
      </c>
      <c r="K816" t="s">
        <v>463</v>
      </c>
      <c r="N816" t="s">
        <v>28</v>
      </c>
    </row>
    <row r="817" spans="1:14" x14ac:dyDescent="0.3">
      <c r="A817">
        <v>3</v>
      </c>
      <c r="B817">
        <v>0</v>
      </c>
      <c r="C817" t="s">
        <v>1524</v>
      </c>
      <c r="D817" t="s">
        <v>20</v>
      </c>
      <c r="F817">
        <v>0</v>
      </c>
      <c r="G817">
        <v>0</v>
      </c>
      <c r="H817">
        <v>358585</v>
      </c>
      <c r="I817">
        <v>14.5</v>
      </c>
      <c r="K817" t="s">
        <v>17</v>
      </c>
    </row>
    <row r="818" spans="1:14" x14ac:dyDescent="0.3">
      <c r="A818">
        <v>3</v>
      </c>
      <c r="B818">
        <v>0</v>
      </c>
      <c r="C818" t="s">
        <v>1525</v>
      </c>
      <c r="D818" t="s">
        <v>20</v>
      </c>
      <c r="F818">
        <v>0</v>
      </c>
      <c r="G818">
        <v>0</v>
      </c>
      <c r="H818">
        <v>349254</v>
      </c>
      <c r="I818">
        <v>7.8958000000000004</v>
      </c>
      <c r="K818" t="s">
        <v>41</v>
      </c>
    </row>
    <row r="819" spans="1:14" x14ac:dyDescent="0.3">
      <c r="A819">
        <v>3</v>
      </c>
      <c r="B819">
        <v>0</v>
      </c>
      <c r="C819" t="s">
        <v>1526</v>
      </c>
      <c r="D819" t="s">
        <v>20</v>
      </c>
      <c r="E819">
        <v>22</v>
      </c>
      <c r="F819">
        <v>0</v>
      </c>
      <c r="G819">
        <v>0</v>
      </c>
      <c r="H819">
        <v>14973</v>
      </c>
      <c r="I819">
        <v>8.0500000000000007</v>
      </c>
      <c r="K819" t="s">
        <v>17</v>
      </c>
      <c r="M819">
        <v>47</v>
      </c>
    </row>
    <row r="820" spans="1:14" x14ac:dyDescent="0.3">
      <c r="A820">
        <v>3</v>
      </c>
      <c r="B820">
        <v>1</v>
      </c>
      <c r="C820" t="s">
        <v>1527</v>
      </c>
      <c r="D820" t="s">
        <v>15</v>
      </c>
      <c r="E820">
        <v>16</v>
      </c>
      <c r="F820">
        <v>0</v>
      </c>
      <c r="G820">
        <v>0</v>
      </c>
      <c r="H820">
        <v>35851</v>
      </c>
      <c r="I820">
        <v>7.7332999999999998</v>
      </c>
      <c r="K820" t="s">
        <v>463</v>
      </c>
      <c r="L820">
        <v>16</v>
      </c>
      <c r="N820" t="s">
        <v>1357</v>
      </c>
    </row>
    <row r="821" spans="1:14" x14ac:dyDescent="0.3">
      <c r="A821">
        <v>3</v>
      </c>
      <c r="B821">
        <v>1</v>
      </c>
      <c r="C821" t="s">
        <v>1528</v>
      </c>
      <c r="D821" t="s">
        <v>15</v>
      </c>
      <c r="F821">
        <v>0</v>
      </c>
      <c r="G821">
        <v>0</v>
      </c>
      <c r="H821">
        <v>335677</v>
      </c>
      <c r="I821">
        <v>7.75</v>
      </c>
      <c r="K821" t="s">
        <v>463</v>
      </c>
      <c r="L821">
        <v>13</v>
      </c>
      <c r="N821" t="s">
        <v>1529</v>
      </c>
    </row>
    <row r="822" spans="1:14" x14ac:dyDescent="0.3">
      <c r="A822">
        <v>3</v>
      </c>
      <c r="B822">
        <v>1</v>
      </c>
      <c r="C822" t="s">
        <v>1530</v>
      </c>
      <c r="D822" t="s">
        <v>20</v>
      </c>
      <c r="E822">
        <v>9</v>
      </c>
      <c r="F822">
        <v>0</v>
      </c>
      <c r="G822">
        <v>2</v>
      </c>
      <c r="H822">
        <v>363291</v>
      </c>
      <c r="I822">
        <v>20.524999999999999</v>
      </c>
      <c r="K822" t="s">
        <v>17</v>
      </c>
      <c r="L822" t="s">
        <v>1531</v>
      </c>
      <c r="N822" t="s">
        <v>1532</v>
      </c>
    </row>
    <row r="823" spans="1:14" x14ac:dyDescent="0.3">
      <c r="A823">
        <v>3</v>
      </c>
      <c r="B823">
        <v>0</v>
      </c>
      <c r="C823" t="s">
        <v>1533</v>
      </c>
      <c r="D823" t="s">
        <v>20</v>
      </c>
      <c r="E823">
        <v>33</v>
      </c>
      <c r="F823">
        <v>1</v>
      </c>
      <c r="G823">
        <v>1</v>
      </c>
      <c r="H823">
        <v>363291</v>
      </c>
      <c r="I823">
        <v>20.524999999999999</v>
      </c>
      <c r="K823" t="s">
        <v>17</v>
      </c>
      <c r="N823" t="s">
        <v>1532</v>
      </c>
    </row>
    <row r="824" spans="1:14" x14ac:dyDescent="0.3">
      <c r="A824">
        <v>3</v>
      </c>
      <c r="B824">
        <v>0</v>
      </c>
      <c r="C824" t="s">
        <v>1534</v>
      </c>
      <c r="D824" t="s">
        <v>20</v>
      </c>
      <c r="E824">
        <v>41</v>
      </c>
      <c r="F824">
        <v>0</v>
      </c>
      <c r="G824">
        <v>0</v>
      </c>
      <c r="H824" t="s">
        <v>1535</v>
      </c>
      <c r="I824">
        <v>7.85</v>
      </c>
      <c r="K824" t="s">
        <v>17</v>
      </c>
      <c r="N824" t="s">
        <v>121</v>
      </c>
    </row>
    <row r="825" spans="1:14" x14ac:dyDescent="0.3">
      <c r="A825">
        <v>3</v>
      </c>
      <c r="B825">
        <v>1</v>
      </c>
      <c r="C825" t="s">
        <v>1536</v>
      </c>
      <c r="D825" t="s">
        <v>15</v>
      </c>
      <c r="E825">
        <v>31</v>
      </c>
      <c r="F825">
        <v>1</v>
      </c>
      <c r="G825">
        <v>1</v>
      </c>
      <c r="H825">
        <v>363291</v>
      </c>
      <c r="I825">
        <v>20.524999999999999</v>
      </c>
      <c r="K825" t="s">
        <v>17</v>
      </c>
      <c r="L825" t="s">
        <v>1531</v>
      </c>
      <c r="N825" t="s">
        <v>1532</v>
      </c>
    </row>
    <row r="826" spans="1:14" x14ac:dyDescent="0.3">
      <c r="A826">
        <v>3</v>
      </c>
      <c r="B826">
        <v>0</v>
      </c>
      <c r="C826" t="s">
        <v>1537</v>
      </c>
      <c r="D826" t="s">
        <v>20</v>
      </c>
      <c r="E826">
        <v>38</v>
      </c>
      <c r="F826">
        <v>0</v>
      </c>
      <c r="G826">
        <v>0</v>
      </c>
      <c r="H826" t="s">
        <v>1538</v>
      </c>
      <c r="I826">
        <v>7.05</v>
      </c>
      <c r="K826" t="s">
        <v>17</v>
      </c>
      <c r="N826" t="s">
        <v>1373</v>
      </c>
    </row>
    <row r="827" spans="1:14" x14ac:dyDescent="0.3">
      <c r="A827">
        <v>3</v>
      </c>
      <c r="B827">
        <v>0</v>
      </c>
      <c r="C827" t="s">
        <v>1539</v>
      </c>
      <c r="D827" t="s">
        <v>20</v>
      </c>
      <c r="E827">
        <v>9</v>
      </c>
      <c r="F827">
        <v>5</v>
      </c>
      <c r="G827">
        <v>2</v>
      </c>
      <c r="H827" t="s">
        <v>1540</v>
      </c>
      <c r="I827">
        <v>46.9</v>
      </c>
      <c r="K827" t="s">
        <v>17</v>
      </c>
      <c r="N827" t="s">
        <v>1541</v>
      </c>
    </row>
    <row r="828" spans="1:14" x14ac:dyDescent="0.3">
      <c r="A828">
        <v>3</v>
      </c>
      <c r="B828">
        <v>0</v>
      </c>
      <c r="C828" t="s">
        <v>1542</v>
      </c>
      <c r="D828" t="s">
        <v>20</v>
      </c>
      <c r="E828">
        <v>1</v>
      </c>
      <c r="F828">
        <v>5</v>
      </c>
      <c r="G828">
        <v>2</v>
      </c>
      <c r="H828" t="s">
        <v>1540</v>
      </c>
      <c r="I828">
        <v>46.9</v>
      </c>
      <c r="K828" t="s">
        <v>17</v>
      </c>
      <c r="N828" t="s">
        <v>1541</v>
      </c>
    </row>
    <row r="829" spans="1:14" x14ac:dyDescent="0.3">
      <c r="A829">
        <v>3</v>
      </c>
      <c r="B829">
        <v>0</v>
      </c>
      <c r="C829" t="s">
        <v>1543</v>
      </c>
      <c r="D829" t="s">
        <v>20</v>
      </c>
      <c r="E829">
        <v>11</v>
      </c>
      <c r="F829">
        <v>5</v>
      </c>
      <c r="G829">
        <v>2</v>
      </c>
      <c r="H829" t="s">
        <v>1540</v>
      </c>
      <c r="I829">
        <v>46.9</v>
      </c>
      <c r="K829" t="s">
        <v>17</v>
      </c>
      <c r="N829" t="s">
        <v>1541</v>
      </c>
    </row>
    <row r="830" spans="1:14" x14ac:dyDescent="0.3">
      <c r="A830">
        <v>3</v>
      </c>
      <c r="B830">
        <v>0</v>
      </c>
      <c r="C830" t="s">
        <v>1544</v>
      </c>
      <c r="D830" t="s">
        <v>15</v>
      </c>
      <c r="E830">
        <v>10</v>
      </c>
      <c r="F830">
        <v>5</v>
      </c>
      <c r="G830">
        <v>2</v>
      </c>
      <c r="H830" t="s">
        <v>1540</v>
      </c>
      <c r="I830">
        <v>46.9</v>
      </c>
      <c r="K830" t="s">
        <v>17</v>
      </c>
      <c r="N830" t="s">
        <v>1541</v>
      </c>
    </row>
    <row r="831" spans="1:14" x14ac:dyDescent="0.3">
      <c r="A831">
        <v>3</v>
      </c>
      <c r="B831">
        <v>0</v>
      </c>
      <c r="C831" t="s">
        <v>1545</v>
      </c>
      <c r="D831" t="s">
        <v>15</v>
      </c>
      <c r="E831">
        <v>16</v>
      </c>
      <c r="F831">
        <v>5</v>
      </c>
      <c r="G831">
        <v>2</v>
      </c>
      <c r="H831" t="s">
        <v>1540</v>
      </c>
      <c r="I831">
        <v>46.9</v>
      </c>
      <c r="K831" t="s">
        <v>17</v>
      </c>
      <c r="N831" t="s">
        <v>1541</v>
      </c>
    </row>
    <row r="832" spans="1:14" x14ac:dyDescent="0.3">
      <c r="A832">
        <v>3</v>
      </c>
      <c r="B832">
        <v>0</v>
      </c>
      <c r="C832" t="s">
        <v>1546</v>
      </c>
      <c r="D832" t="s">
        <v>20</v>
      </c>
      <c r="E832">
        <v>14</v>
      </c>
      <c r="F832">
        <v>5</v>
      </c>
      <c r="G832">
        <v>2</v>
      </c>
      <c r="H832" t="s">
        <v>1540</v>
      </c>
      <c r="I832">
        <v>46.9</v>
      </c>
      <c r="K832" t="s">
        <v>17</v>
      </c>
      <c r="N832" t="s">
        <v>1541</v>
      </c>
    </row>
    <row r="833" spans="1:14" x14ac:dyDescent="0.3">
      <c r="A833">
        <v>3</v>
      </c>
      <c r="B833">
        <v>0</v>
      </c>
      <c r="C833" t="s">
        <v>1547</v>
      </c>
      <c r="D833" t="s">
        <v>20</v>
      </c>
      <c r="E833">
        <v>40</v>
      </c>
      <c r="F833">
        <v>1</v>
      </c>
      <c r="G833">
        <v>6</v>
      </c>
      <c r="H833" t="s">
        <v>1540</v>
      </c>
      <c r="I833">
        <v>46.9</v>
      </c>
      <c r="K833" t="s">
        <v>17</v>
      </c>
      <c r="N833" t="s">
        <v>1541</v>
      </c>
    </row>
    <row r="834" spans="1:14" x14ac:dyDescent="0.3">
      <c r="A834">
        <v>3</v>
      </c>
      <c r="B834">
        <v>0</v>
      </c>
      <c r="C834" t="s">
        <v>1548</v>
      </c>
      <c r="D834" t="s">
        <v>15</v>
      </c>
      <c r="E834">
        <v>43</v>
      </c>
      <c r="F834">
        <v>1</v>
      </c>
      <c r="G834">
        <v>6</v>
      </c>
      <c r="H834" t="s">
        <v>1540</v>
      </c>
      <c r="I834">
        <v>46.9</v>
      </c>
      <c r="K834" t="s">
        <v>17</v>
      </c>
      <c r="N834" t="s">
        <v>1541</v>
      </c>
    </row>
    <row r="835" spans="1:14" x14ac:dyDescent="0.3">
      <c r="A835">
        <v>3</v>
      </c>
      <c r="B835">
        <v>0</v>
      </c>
      <c r="C835" t="s">
        <v>1549</v>
      </c>
      <c r="D835" t="s">
        <v>20</v>
      </c>
      <c r="E835">
        <v>51</v>
      </c>
      <c r="F835">
        <v>0</v>
      </c>
      <c r="G835">
        <v>0</v>
      </c>
      <c r="H835">
        <v>21440</v>
      </c>
      <c r="I835">
        <v>8.0500000000000007</v>
      </c>
      <c r="K835" t="s">
        <v>17</v>
      </c>
      <c r="N835" t="s">
        <v>1550</v>
      </c>
    </row>
    <row r="836" spans="1:14" x14ac:dyDescent="0.3">
      <c r="A836">
        <v>3</v>
      </c>
      <c r="B836">
        <v>0</v>
      </c>
      <c r="C836" t="s">
        <v>1551</v>
      </c>
      <c r="D836" t="s">
        <v>20</v>
      </c>
      <c r="E836">
        <v>32</v>
      </c>
      <c r="F836">
        <v>0</v>
      </c>
      <c r="G836">
        <v>0</v>
      </c>
      <c r="H836">
        <v>8471</v>
      </c>
      <c r="I836">
        <v>8.3625000000000007</v>
      </c>
      <c r="K836" t="s">
        <v>17</v>
      </c>
      <c r="N836" t="s">
        <v>1552</v>
      </c>
    </row>
    <row r="837" spans="1:14" x14ac:dyDescent="0.3">
      <c r="A837">
        <v>3</v>
      </c>
      <c r="B837">
        <v>0</v>
      </c>
      <c r="C837" t="s">
        <v>1553</v>
      </c>
      <c r="D837" t="s">
        <v>20</v>
      </c>
      <c r="F837">
        <v>0</v>
      </c>
      <c r="G837">
        <v>0</v>
      </c>
      <c r="H837">
        <v>376563</v>
      </c>
      <c r="I837">
        <v>8.0500000000000007</v>
      </c>
      <c r="K837" t="s">
        <v>17</v>
      </c>
    </row>
    <row r="838" spans="1:14" x14ac:dyDescent="0.3">
      <c r="A838">
        <v>3</v>
      </c>
      <c r="B838">
        <v>0</v>
      </c>
      <c r="C838" t="s">
        <v>1554</v>
      </c>
      <c r="D838" t="s">
        <v>20</v>
      </c>
      <c r="E838">
        <v>20</v>
      </c>
      <c r="F838">
        <v>0</v>
      </c>
      <c r="G838">
        <v>0</v>
      </c>
      <c r="H838">
        <v>7534</v>
      </c>
      <c r="I838">
        <v>9.8458000000000006</v>
      </c>
      <c r="K838" t="s">
        <v>17</v>
      </c>
      <c r="N838" t="s">
        <v>1555</v>
      </c>
    </row>
    <row r="839" spans="1:14" x14ac:dyDescent="0.3">
      <c r="A839">
        <v>3</v>
      </c>
      <c r="B839">
        <v>0</v>
      </c>
      <c r="C839" t="s">
        <v>1556</v>
      </c>
      <c r="D839" t="s">
        <v>20</v>
      </c>
      <c r="E839">
        <v>37</v>
      </c>
      <c r="F839">
        <v>2</v>
      </c>
      <c r="G839">
        <v>0</v>
      </c>
      <c r="H839">
        <v>3101276</v>
      </c>
      <c r="I839">
        <v>7.9249999999999998</v>
      </c>
      <c r="K839" t="s">
        <v>17</v>
      </c>
      <c r="M839">
        <v>98</v>
      </c>
      <c r="N839" t="s">
        <v>1273</v>
      </c>
    </row>
    <row r="840" spans="1:14" x14ac:dyDescent="0.3">
      <c r="A840">
        <v>3</v>
      </c>
      <c r="B840">
        <v>0</v>
      </c>
      <c r="C840" t="s">
        <v>1557</v>
      </c>
      <c r="D840" t="s">
        <v>20</v>
      </c>
      <c r="E840">
        <v>28</v>
      </c>
      <c r="F840">
        <v>2</v>
      </c>
      <c r="G840">
        <v>0</v>
      </c>
      <c r="H840">
        <v>3101277</v>
      </c>
      <c r="I840">
        <v>7.9249999999999998</v>
      </c>
      <c r="K840" t="s">
        <v>17</v>
      </c>
      <c r="N840" t="s">
        <v>1273</v>
      </c>
    </row>
    <row r="841" spans="1:14" x14ac:dyDescent="0.3">
      <c r="A841">
        <v>3</v>
      </c>
      <c r="B841">
        <v>0</v>
      </c>
      <c r="C841" t="s">
        <v>1558</v>
      </c>
      <c r="D841" t="s">
        <v>20</v>
      </c>
      <c r="E841">
        <v>19</v>
      </c>
      <c r="F841">
        <v>0</v>
      </c>
      <c r="G841">
        <v>0</v>
      </c>
      <c r="H841">
        <v>347069</v>
      </c>
      <c r="I841">
        <v>7.7750000000000004</v>
      </c>
      <c r="K841" t="s">
        <v>17</v>
      </c>
      <c r="N841" t="s">
        <v>1559</v>
      </c>
    </row>
    <row r="842" spans="1:14" x14ac:dyDescent="0.3">
      <c r="A842">
        <v>3</v>
      </c>
      <c r="B842">
        <v>0</v>
      </c>
      <c r="C842" t="s">
        <v>1560</v>
      </c>
      <c r="D842" t="s">
        <v>15</v>
      </c>
      <c r="E842">
        <v>24</v>
      </c>
      <c r="F842">
        <v>0</v>
      </c>
      <c r="G842">
        <v>0</v>
      </c>
      <c r="H842">
        <v>349236</v>
      </c>
      <c r="I842">
        <v>8.85</v>
      </c>
      <c r="K842" t="s">
        <v>17</v>
      </c>
    </row>
    <row r="843" spans="1:14" x14ac:dyDescent="0.3">
      <c r="A843">
        <v>3</v>
      </c>
      <c r="B843">
        <v>0</v>
      </c>
      <c r="C843" t="s">
        <v>1561</v>
      </c>
      <c r="D843" t="s">
        <v>15</v>
      </c>
      <c r="E843">
        <v>17</v>
      </c>
      <c r="F843">
        <v>0</v>
      </c>
      <c r="G843">
        <v>0</v>
      </c>
      <c r="H843" t="s">
        <v>1562</v>
      </c>
      <c r="I843">
        <v>7.7332999999999998</v>
      </c>
      <c r="K843" t="s">
        <v>463</v>
      </c>
    </row>
    <row r="844" spans="1:14" x14ac:dyDescent="0.3">
      <c r="A844">
        <v>3</v>
      </c>
      <c r="B844">
        <v>0</v>
      </c>
      <c r="C844" t="s">
        <v>1563</v>
      </c>
      <c r="D844" t="s">
        <v>20</v>
      </c>
      <c r="F844">
        <v>1</v>
      </c>
      <c r="G844">
        <v>0</v>
      </c>
      <c r="H844">
        <v>65303</v>
      </c>
      <c r="I844">
        <v>19.966699999999999</v>
      </c>
      <c r="K844" t="s">
        <v>17</v>
      </c>
    </row>
    <row r="845" spans="1:14" x14ac:dyDescent="0.3">
      <c r="A845">
        <v>3</v>
      </c>
      <c r="B845">
        <v>0</v>
      </c>
      <c r="C845" t="s">
        <v>1564</v>
      </c>
      <c r="D845" t="s">
        <v>20</v>
      </c>
      <c r="F845">
        <v>1</v>
      </c>
      <c r="G845">
        <v>0</v>
      </c>
      <c r="H845">
        <v>65304</v>
      </c>
      <c r="I845">
        <v>19.966699999999999</v>
      </c>
      <c r="K845" t="s">
        <v>17</v>
      </c>
    </row>
    <row r="846" spans="1:14" x14ac:dyDescent="0.3">
      <c r="A846">
        <v>3</v>
      </c>
      <c r="B846">
        <v>0</v>
      </c>
      <c r="C846" t="s">
        <v>1565</v>
      </c>
      <c r="D846" t="s">
        <v>20</v>
      </c>
      <c r="E846">
        <v>28</v>
      </c>
      <c r="F846">
        <v>1</v>
      </c>
      <c r="G846">
        <v>0</v>
      </c>
      <c r="H846" t="s">
        <v>1566</v>
      </c>
      <c r="I846">
        <v>15.85</v>
      </c>
      <c r="K846" t="s">
        <v>17</v>
      </c>
    </row>
    <row r="847" spans="1:14" x14ac:dyDescent="0.3">
      <c r="A847">
        <v>3</v>
      </c>
      <c r="B847">
        <v>1</v>
      </c>
      <c r="C847" t="s">
        <v>1567</v>
      </c>
      <c r="D847" t="s">
        <v>15</v>
      </c>
      <c r="E847">
        <v>24</v>
      </c>
      <c r="F847">
        <v>1</v>
      </c>
      <c r="G847">
        <v>0</v>
      </c>
      <c r="H847" t="s">
        <v>1566</v>
      </c>
      <c r="I847">
        <v>15.85</v>
      </c>
      <c r="K847" t="s">
        <v>17</v>
      </c>
      <c r="L847">
        <v>15</v>
      </c>
    </row>
    <row r="848" spans="1:14" x14ac:dyDescent="0.3">
      <c r="A848">
        <v>3</v>
      </c>
      <c r="B848">
        <v>0</v>
      </c>
      <c r="C848" t="s">
        <v>1568</v>
      </c>
      <c r="D848" t="s">
        <v>20</v>
      </c>
      <c r="E848">
        <v>20</v>
      </c>
      <c r="F848">
        <v>0</v>
      </c>
      <c r="G848">
        <v>0</v>
      </c>
      <c r="H848">
        <v>345769</v>
      </c>
      <c r="I848">
        <v>9.5</v>
      </c>
      <c r="K848" t="s">
        <v>17</v>
      </c>
    </row>
    <row r="849" spans="1:13" x14ac:dyDescent="0.3">
      <c r="A849">
        <v>3</v>
      </c>
      <c r="B849">
        <v>0</v>
      </c>
      <c r="C849" t="s">
        <v>1569</v>
      </c>
      <c r="D849" t="s">
        <v>20</v>
      </c>
      <c r="E849">
        <v>23.5</v>
      </c>
      <c r="F849">
        <v>0</v>
      </c>
      <c r="G849">
        <v>0</v>
      </c>
      <c r="H849">
        <v>2693</v>
      </c>
      <c r="I849">
        <v>7.2291999999999996</v>
      </c>
      <c r="K849" t="s">
        <v>41</v>
      </c>
      <c r="M849">
        <v>188</v>
      </c>
    </row>
    <row r="850" spans="1:13" x14ac:dyDescent="0.3">
      <c r="A850">
        <v>3</v>
      </c>
      <c r="B850">
        <v>0</v>
      </c>
      <c r="C850" t="s">
        <v>1570</v>
      </c>
      <c r="D850" t="s">
        <v>20</v>
      </c>
      <c r="E850">
        <v>41</v>
      </c>
      <c r="F850">
        <v>2</v>
      </c>
      <c r="G850">
        <v>0</v>
      </c>
      <c r="H850">
        <v>350026</v>
      </c>
      <c r="I850">
        <v>14.1083</v>
      </c>
      <c r="K850" t="s">
        <v>17</v>
      </c>
    </row>
    <row r="851" spans="1:13" x14ac:dyDescent="0.3">
      <c r="A851">
        <v>3</v>
      </c>
      <c r="B851">
        <v>0</v>
      </c>
      <c r="C851" t="s">
        <v>1571</v>
      </c>
      <c r="D851" t="s">
        <v>20</v>
      </c>
      <c r="E851">
        <v>26</v>
      </c>
      <c r="F851">
        <v>1</v>
      </c>
      <c r="G851">
        <v>0</v>
      </c>
      <c r="H851">
        <v>350025</v>
      </c>
      <c r="I851">
        <v>7.8541999999999996</v>
      </c>
      <c r="K851" t="s">
        <v>17</v>
      </c>
    </row>
    <row r="852" spans="1:13" x14ac:dyDescent="0.3">
      <c r="A852">
        <v>3</v>
      </c>
      <c r="B852">
        <v>0</v>
      </c>
      <c r="C852" t="s">
        <v>1572</v>
      </c>
      <c r="D852" t="s">
        <v>20</v>
      </c>
      <c r="E852">
        <v>21</v>
      </c>
      <c r="F852">
        <v>0</v>
      </c>
      <c r="G852">
        <v>0</v>
      </c>
      <c r="H852">
        <v>350029</v>
      </c>
      <c r="I852">
        <v>7.8541999999999996</v>
      </c>
      <c r="K852" t="s">
        <v>17</v>
      </c>
      <c r="M852">
        <v>69</v>
      </c>
    </row>
    <row r="853" spans="1:13" x14ac:dyDescent="0.3">
      <c r="A853">
        <v>3</v>
      </c>
      <c r="B853">
        <v>1</v>
      </c>
      <c r="C853" t="s">
        <v>1573</v>
      </c>
      <c r="D853" t="s">
        <v>15</v>
      </c>
      <c r="E853">
        <v>45</v>
      </c>
      <c r="F853">
        <v>1</v>
      </c>
      <c r="G853">
        <v>0</v>
      </c>
      <c r="H853">
        <v>350026</v>
      </c>
      <c r="I853">
        <v>14.1083</v>
      </c>
      <c r="K853" t="s">
        <v>17</v>
      </c>
      <c r="L853">
        <v>11</v>
      </c>
    </row>
    <row r="854" spans="1:13" x14ac:dyDescent="0.3">
      <c r="A854">
        <v>3</v>
      </c>
      <c r="B854">
        <v>0</v>
      </c>
      <c r="C854" t="s">
        <v>1574</v>
      </c>
      <c r="D854" t="s">
        <v>15</v>
      </c>
      <c r="F854">
        <v>0</v>
      </c>
      <c r="G854">
        <v>0</v>
      </c>
      <c r="H854" t="s">
        <v>1575</v>
      </c>
      <c r="I854">
        <v>7.55</v>
      </c>
      <c r="K854" t="s">
        <v>17</v>
      </c>
    </row>
    <row r="855" spans="1:13" x14ac:dyDescent="0.3">
      <c r="A855">
        <v>3</v>
      </c>
      <c r="B855">
        <v>0</v>
      </c>
      <c r="C855" t="s">
        <v>1576</v>
      </c>
      <c r="D855" t="s">
        <v>20</v>
      </c>
      <c r="E855">
        <v>25</v>
      </c>
      <c r="F855">
        <v>0</v>
      </c>
      <c r="G855">
        <v>0</v>
      </c>
      <c r="H855">
        <v>374887</v>
      </c>
      <c r="I855">
        <v>7.25</v>
      </c>
      <c r="K855" t="s">
        <v>17</v>
      </c>
      <c r="L855" t="s">
        <v>54</v>
      </c>
    </row>
    <row r="856" spans="1:13" x14ac:dyDescent="0.3">
      <c r="A856">
        <v>3</v>
      </c>
      <c r="B856">
        <v>0</v>
      </c>
      <c r="C856" t="s">
        <v>1577</v>
      </c>
      <c r="D856" t="s">
        <v>20</v>
      </c>
      <c r="F856">
        <v>0</v>
      </c>
      <c r="G856">
        <v>0</v>
      </c>
      <c r="H856">
        <v>394140</v>
      </c>
      <c r="I856">
        <v>6.8582999999999998</v>
      </c>
      <c r="K856" t="s">
        <v>463</v>
      </c>
    </row>
    <row r="857" spans="1:13" x14ac:dyDescent="0.3">
      <c r="A857">
        <v>3</v>
      </c>
      <c r="B857">
        <v>0</v>
      </c>
      <c r="C857" t="s">
        <v>1578</v>
      </c>
      <c r="D857" t="s">
        <v>20</v>
      </c>
      <c r="E857">
        <v>11</v>
      </c>
      <c r="F857">
        <v>0</v>
      </c>
      <c r="G857">
        <v>0</v>
      </c>
      <c r="H857">
        <v>2699</v>
      </c>
      <c r="I857">
        <v>18.787500000000001</v>
      </c>
      <c r="K857" t="s">
        <v>41</v>
      </c>
    </row>
    <row r="858" spans="1:13" x14ac:dyDescent="0.3">
      <c r="A858">
        <v>3</v>
      </c>
      <c r="B858">
        <v>1</v>
      </c>
      <c r="C858" t="s">
        <v>1579</v>
      </c>
      <c r="D858" t="s">
        <v>15</v>
      </c>
      <c r="F858">
        <v>0</v>
      </c>
      <c r="G858">
        <v>0</v>
      </c>
      <c r="H858">
        <v>370375</v>
      </c>
      <c r="I858">
        <v>7.75</v>
      </c>
      <c r="K858" t="s">
        <v>463</v>
      </c>
      <c r="L858">
        <v>16</v>
      </c>
    </row>
    <row r="859" spans="1:13" x14ac:dyDescent="0.3">
      <c r="A859">
        <v>3</v>
      </c>
      <c r="B859">
        <v>1</v>
      </c>
      <c r="C859" t="s">
        <v>1580</v>
      </c>
      <c r="D859" t="s">
        <v>20</v>
      </c>
      <c r="E859">
        <v>27</v>
      </c>
      <c r="F859">
        <v>0</v>
      </c>
      <c r="G859">
        <v>0</v>
      </c>
      <c r="H859">
        <v>347089</v>
      </c>
      <c r="I859">
        <v>6.9749999999999996</v>
      </c>
      <c r="K859" t="s">
        <v>17</v>
      </c>
      <c r="L859">
        <v>15</v>
      </c>
    </row>
    <row r="860" spans="1:13" x14ac:dyDescent="0.3">
      <c r="A860">
        <v>3</v>
      </c>
      <c r="B860">
        <v>1</v>
      </c>
      <c r="C860" t="s">
        <v>1581</v>
      </c>
      <c r="D860" t="s">
        <v>20</v>
      </c>
      <c r="F860">
        <v>0</v>
      </c>
      <c r="G860">
        <v>0</v>
      </c>
      <c r="H860">
        <v>1601</v>
      </c>
      <c r="I860">
        <v>56.495800000000003</v>
      </c>
      <c r="K860" t="s">
        <v>17</v>
      </c>
      <c r="L860" t="s">
        <v>41</v>
      </c>
    </row>
    <row r="861" spans="1:13" x14ac:dyDescent="0.3">
      <c r="A861">
        <v>3</v>
      </c>
      <c r="B861">
        <v>0</v>
      </c>
      <c r="C861" t="s">
        <v>1582</v>
      </c>
      <c r="D861" t="s">
        <v>15</v>
      </c>
      <c r="E861">
        <v>18</v>
      </c>
      <c r="F861">
        <v>0</v>
      </c>
      <c r="G861">
        <v>0</v>
      </c>
      <c r="H861">
        <v>365226</v>
      </c>
      <c r="I861">
        <v>6.75</v>
      </c>
      <c r="K861" t="s">
        <v>463</v>
      </c>
    </row>
    <row r="862" spans="1:13" x14ac:dyDescent="0.3">
      <c r="A862">
        <v>3</v>
      </c>
      <c r="B862">
        <v>1</v>
      </c>
      <c r="C862" t="s">
        <v>1583</v>
      </c>
      <c r="D862" t="s">
        <v>15</v>
      </c>
      <c r="E862">
        <v>26</v>
      </c>
      <c r="F862">
        <v>0</v>
      </c>
      <c r="G862">
        <v>0</v>
      </c>
      <c r="H862" t="s">
        <v>1584</v>
      </c>
      <c r="I862">
        <v>7.9249999999999998</v>
      </c>
      <c r="K862" t="s">
        <v>17</v>
      </c>
    </row>
    <row r="863" spans="1:13" x14ac:dyDescent="0.3">
      <c r="A863">
        <v>3</v>
      </c>
      <c r="B863">
        <v>0</v>
      </c>
      <c r="C863" t="s">
        <v>1585</v>
      </c>
      <c r="D863" t="s">
        <v>15</v>
      </c>
      <c r="E863">
        <v>23</v>
      </c>
      <c r="F863">
        <v>0</v>
      </c>
      <c r="G863">
        <v>0</v>
      </c>
      <c r="H863" t="s">
        <v>1586</v>
      </c>
      <c r="I863">
        <v>7.9249999999999998</v>
      </c>
      <c r="K863" t="s">
        <v>17</v>
      </c>
    </row>
    <row r="864" spans="1:13" x14ac:dyDescent="0.3">
      <c r="A864">
        <v>3</v>
      </c>
      <c r="B864">
        <v>1</v>
      </c>
      <c r="C864" t="s">
        <v>1587</v>
      </c>
      <c r="D864" t="s">
        <v>15</v>
      </c>
      <c r="E864">
        <v>22</v>
      </c>
      <c r="F864">
        <v>0</v>
      </c>
      <c r="G864">
        <v>0</v>
      </c>
      <c r="H864">
        <v>7548</v>
      </c>
      <c r="I864">
        <v>8.9625000000000004</v>
      </c>
      <c r="K864" t="s">
        <v>17</v>
      </c>
      <c r="L864" t="s">
        <v>41</v>
      </c>
    </row>
    <row r="865" spans="1:13" x14ac:dyDescent="0.3">
      <c r="A865">
        <v>3</v>
      </c>
      <c r="B865">
        <v>0</v>
      </c>
      <c r="C865" t="s">
        <v>1588</v>
      </c>
      <c r="D865" t="s">
        <v>20</v>
      </c>
      <c r="E865">
        <v>28</v>
      </c>
      <c r="F865">
        <v>0</v>
      </c>
      <c r="G865">
        <v>0</v>
      </c>
      <c r="H865">
        <v>349243</v>
      </c>
      <c r="I865">
        <v>7.8958000000000004</v>
      </c>
      <c r="K865" t="s">
        <v>17</v>
      </c>
      <c r="M865">
        <v>306</v>
      </c>
    </row>
    <row r="866" spans="1:13" x14ac:dyDescent="0.3">
      <c r="A866">
        <v>3</v>
      </c>
      <c r="B866">
        <v>0</v>
      </c>
      <c r="C866" t="s">
        <v>1589</v>
      </c>
      <c r="D866" t="s">
        <v>15</v>
      </c>
      <c r="E866">
        <v>28</v>
      </c>
      <c r="F866">
        <v>0</v>
      </c>
      <c r="G866">
        <v>0</v>
      </c>
      <c r="H866">
        <v>347086</v>
      </c>
      <c r="I866">
        <v>7.7750000000000004</v>
      </c>
      <c r="K866" t="s">
        <v>17</v>
      </c>
    </row>
    <row r="867" spans="1:13" x14ac:dyDescent="0.3">
      <c r="A867">
        <v>3</v>
      </c>
      <c r="B867">
        <v>0</v>
      </c>
      <c r="C867" t="s">
        <v>1590</v>
      </c>
      <c r="D867" t="s">
        <v>15</v>
      </c>
      <c r="F867">
        <v>0</v>
      </c>
      <c r="G867">
        <v>0</v>
      </c>
      <c r="H867">
        <v>382649</v>
      </c>
      <c r="I867">
        <v>7.75</v>
      </c>
      <c r="K867" t="s">
        <v>463</v>
      </c>
    </row>
    <row r="868" spans="1:13" x14ac:dyDescent="0.3">
      <c r="A868">
        <v>3</v>
      </c>
      <c r="B868">
        <v>1</v>
      </c>
      <c r="C868" t="s">
        <v>1591</v>
      </c>
      <c r="D868" t="s">
        <v>15</v>
      </c>
      <c r="E868">
        <v>2</v>
      </c>
      <c r="F868">
        <v>0</v>
      </c>
      <c r="G868">
        <v>1</v>
      </c>
      <c r="H868">
        <v>3101298</v>
      </c>
      <c r="I868">
        <v>12.2875</v>
      </c>
      <c r="K868" t="s">
        <v>17</v>
      </c>
      <c r="L868">
        <v>15</v>
      </c>
    </row>
    <row r="869" spans="1:13" x14ac:dyDescent="0.3">
      <c r="A869">
        <v>3</v>
      </c>
      <c r="B869">
        <v>1</v>
      </c>
      <c r="C869" t="s">
        <v>1592</v>
      </c>
      <c r="D869" t="s">
        <v>15</v>
      </c>
      <c r="E869">
        <v>22</v>
      </c>
      <c r="F869">
        <v>1</v>
      </c>
      <c r="G869">
        <v>1</v>
      </c>
      <c r="H869">
        <v>3101298</v>
      </c>
      <c r="I869">
        <v>12.2875</v>
      </c>
      <c r="K869" t="s">
        <v>17</v>
      </c>
      <c r="L869">
        <v>15</v>
      </c>
    </row>
    <row r="870" spans="1:13" x14ac:dyDescent="0.3">
      <c r="A870">
        <v>3</v>
      </c>
      <c r="B870">
        <v>0</v>
      </c>
      <c r="C870" t="s">
        <v>1593</v>
      </c>
      <c r="D870" t="s">
        <v>20</v>
      </c>
      <c r="E870">
        <v>43</v>
      </c>
      <c r="F870">
        <v>0</v>
      </c>
      <c r="G870">
        <v>0</v>
      </c>
      <c r="H870" t="s">
        <v>1594</v>
      </c>
      <c r="I870">
        <v>6.45</v>
      </c>
      <c r="K870" t="s">
        <v>17</v>
      </c>
    </row>
    <row r="871" spans="1:13" x14ac:dyDescent="0.3">
      <c r="A871">
        <v>3</v>
      </c>
      <c r="B871">
        <v>0</v>
      </c>
      <c r="C871" t="s">
        <v>1595</v>
      </c>
      <c r="D871" t="s">
        <v>20</v>
      </c>
      <c r="E871">
        <v>28</v>
      </c>
      <c r="F871">
        <v>0</v>
      </c>
      <c r="G871">
        <v>0</v>
      </c>
      <c r="H871" t="s">
        <v>1220</v>
      </c>
      <c r="I871">
        <v>22.524999999999999</v>
      </c>
      <c r="K871" t="s">
        <v>17</v>
      </c>
    </row>
    <row r="872" spans="1:13" x14ac:dyDescent="0.3">
      <c r="A872">
        <v>3</v>
      </c>
      <c r="B872">
        <v>1</v>
      </c>
      <c r="C872" t="s">
        <v>1596</v>
      </c>
      <c r="D872" t="s">
        <v>15</v>
      </c>
      <c r="E872">
        <v>27</v>
      </c>
      <c r="F872">
        <v>0</v>
      </c>
      <c r="G872">
        <v>0</v>
      </c>
      <c r="H872" t="s">
        <v>1597</v>
      </c>
      <c r="I872">
        <v>7.9249999999999998</v>
      </c>
      <c r="K872" t="s">
        <v>17</v>
      </c>
    </row>
    <row r="873" spans="1:13" x14ac:dyDescent="0.3">
      <c r="A873">
        <v>3</v>
      </c>
      <c r="B873">
        <v>0</v>
      </c>
      <c r="C873" t="s">
        <v>1598</v>
      </c>
      <c r="D873" t="s">
        <v>20</v>
      </c>
      <c r="F873">
        <v>0</v>
      </c>
      <c r="G873">
        <v>0</v>
      </c>
      <c r="H873">
        <v>370377</v>
      </c>
      <c r="I873">
        <v>7.75</v>
      </c>
      <c r="K873" t="s">
        <v>463</v>
      </c>
    </row>
    <row r="874" spans="1:13" x14ac:dyDescent="0.3">
      <c r="A874">
        <v>3</v>
      </c>
      <c r="B874">
        <v>1</v>
      </c>
      <c r="C874" t="s">
        <v>1599</v>
      </c>
      <c r="D874" t="s">
        <v>15</v>
      </c>
      <c r="F874">
        <v>0</v>
      </c>
      <c r="G874">
        <v>0</v>
      </c>
      <c r="H874" t="s">
        <v>1600</v>
      </c>
      <c r="I874">
        <v>8.0500000000000007</v>
      </c>
      <c r="K874" t="s">
        <v>17</v>
      </c>
      <c r="L874" t="s">
        <v>41</v>
      </c>
    </row>
    <row r="875" spans="1:13" x14ac:dyDescent="0.3">
      <c r="A875">
        <v>3</v>
      </c>
      <c r="B875">
        <v>0</v>
      </c>
      <c r="C875" t="s">
        <v>1601</v>
      </c>
      <c r="D875" t="s">
        <v>20</v>
      </c>
      <c r="E875">
        <v>42</v>
      </c>
      <c r="F875">
        <v>0</v>
      </c>
      <c r="G875">
        <v>0</v>
      </c>
      <c r="H875">
        <v>348121</v>
      </c>
      <c r="I875">
        <v>7.65</v>
      </c>
      <c r="J875" t="s">
        <v>1186</v>
      </c>
      <c r="K875" t="s">
        <v>17</v>
      </c>
      <c r="M875">
        <v>120</v>
      </c>
    </row>
    <row r="876" spans="1:13" x14ac:dyDescent="0.3">
      <c r="A876">
        <v>3</v>
      </c>
      <c r="B876">
        <v>1</v>
      </c>
      <c r="C876" t="s">
        <v>1602</v>
      </c>
      <c r="D876" t="s">
        <v>20</v>
      </c>
      <c r="F876">
        <v>0</v>
      </c>
      <c r="G876">
        <v>0</v>
      </c>
      <c r="H876">
        <v>3470</v>
      </c>
      <c r="I876">
        <v>7.8875000000000002</v>
      </c>
      <c r="K876" t="s">
        <v>17</v>
      </c>
      <c r="L876" t="s">
        <v>41</v>
      </c>
    </row>
    <row r="877" spans="1:13" x14ac:dyDescent="0.3">
      <c r="A877">
        <v>3</v>
      </c>
      <c r="B877">
        <v>0</v>
      </c>
      <c r="C877" t="s">
        <v>1603</v>
      </c>
      <c r="D877" t="s">
        <v>20</v>
      </c>
      <c r="E877">
        <v>30</v>
      </c>
      <c r="F877">
        <v>0</v>
      </c>
      <c r="G877">
        <v>0</v>
      </c>
      <c r="H877">
        <v>2685</v>
      </c>
      <c r="I877">
        <v>7.2291999999999996</v>
      </c>
      <c r="K877" t="s">
        <v>41</v>
      </c>
    </row>
    <row r="878" spans="1:13" x14ac:dyDescent="0.3">
      <c r="A878">
        <v>3</v>
      </c>
      <c r="B878">
        <v>0</v>
      </c>
      <c r="C878" t="s">
        <v>1604</v>
      </c>
      <c r="D878" t="s">
        <v>20</v>
      </c>
      <c r="F878">
        <v>0</v>
      </c>
      <c r="G878">
        <v>0</v>
      </c>
      <c r="H878">
        <v>349220</v>
      </c>
      <c r="I878">
        <v>7.8958000000000004</v>
      </c>
      <c r="K878" t="s">
        <v>17</v>
      </c>
    </row>
    <row r="879" spans="1:13" x14ac:dyDescent="0.3">
      <c r="A879">
        <v>3</v>
      </c>
      <c r="B879">
        <v>0</v>
      </c>
      <c r="C879" t="s">
        <v>1605</v>
      </c>
      <c r="D879" t="s">
        <v>15</v>
      </c>
      <c r="E879">
        <v>27</v>
      </c>
      <c r="F879">
        <v>1</v>
      </c>
      <c r="G879">
        <v>0</v>
      </c>
      <c r="H879" t="s">
        <v>1606</v>
      </c>
      <c r="I879">
        <v>7.9249999999999998</v>
      </c>
      <c r="K879" t="s">
        <v>17</v>
      </c>
    </row>
    <row r="880" spans="1:13" x14ac:dyDescent="0.3">
      <c r="A880">
        <v>3</v>
      </c>
      <c r="B880">
        <v>0</v>
      </c>
      <c r="C880" t="s">
        <v>1607</v>
      </c>
      <c r="D880" t="s">
        <v>15</v>
      </c>
      <c r="E880">
        <v>25</v>
      </c>
      <c r="F880">
        <v>1</v>
      </c>
      <c r="G880">
        <v>0</v>
      </c>
      <c r="H880" t="s">
        <v>1608</v>
      </c>
      <c r="I880">
        <v>7.9249999999999998</v>
      </c>
      <c r="K880" t="s">
        <v>17</v>
      </c>
    </row>
    <row r="881" spans="1:13" x14ac:dyDescent="0.3">
      <c r="A881">
        <v>3</v>
      </c>
      <c r="B881">
        <v>0</v>
      </c>
      <c r="C881" t="s">
        <v>1609</v>
      </c>
      <c r="D881" t="s">
        <v>20</v>
      </c>
      <c r="F881">
        <v>0</v>
      </c>
      <c r="G881">
        <v>0</v>
      </c>
      <c r="H881">
        <v>349201</v>
      </c>
      <c r="I881">
        <v>7.8958000000000004</v>
      </c>
      <c r="K881" t="s">
        <v>17</v>
      </c>
    </row>
    <row r="882" spans="1:13" x14ac:dyDescent="0.3">
      <c r="A882">
        <v>3</v>
      </c>
      <c r="B882">
        <v>1</v>
      </c>
      <c r="C882" t="s">
        <v>1610</v>
      </c>
      <c r="D882" t="s">
        <v>20</v>
      </c>
      <c r="E882">
        <v>29</v>
      </c>
      <c r="F882">
        <v>0</v>
      </c>
      <c r="G882">
        <v>0</v>
      </c>
      <c r="H882">
        <v>349240</v>
      </c>
      <c r="I882">
        <v>7.8958000000000004</v>
      </c>
      <c r="K882" t="s">
        <v>41</v>
      </c>
      <c r="L882">
        <v>15</v>
      </c>
    </row>
    <row r="883" spans="1:13" x14ac:dyDescent="0.3">
      <c r="A883">
        <v>3</v>
      </c>
      <c r="B883">
        <v>1</v>
      </c>
      <c r="C883" t="s">
        <v>1611</v>
      </c>
      <c r="D883" t="s">
        <v>20</v>
      </c>
      <c r="E883">
        <v>21</v>
      </c>
      <c r="F883">
        <v>0</v>
      </c>
      <c r="G883">
        <v>0</v>
      </c>
      <c r="H883">
        <v>350034</v>
      </c>
      <c r="I883">
        <v>7.7957999999999998</v>
      </c>
      <c r="K883" t="s">
        <v>17</v>
      </c>
      <c r="L883" t="s">
        <v>67</v>
      </c>
    </row>
    <row r="884" spans="1:13" x14ac:dyDescent="0.3">
      <c r="A884">
        <v>3</v>
      </c>
      <c r="B884">
        <v>0</v>
      </c>
      <c r="C884" t="s">
        <v>1612</v>
      </c>
      <c r="D884" t="s">
        <v>20</v>
      </c>
      <c r="F884">
        <v>0</v>
      </c>
      <c r="G884">
        <v>0</v>
      </c>
      <c r="H884" t="s">
        <v>1613</v>
      </c>
      <c r="I884">
        <v>7.05</v>
      </c>
      <c r="K884" t="s">
        <v>17</v>
      </c>
    </row>
    <row r="885" spans="1:13" x14ac:dyDescent="0.3">
      <c r="A885">
        <v>3</v>
      </c>
      <c r="B885">
        <v>0</v>
      </c>
      <c r="C885" t="s">
        <v>1614</v>
      </c>
      <c r="D885" t="s">
        <v>20</v>
      </c>
      <c r="E885">
        <v>20</v>
      </c>
      <c r="F885">
        <v>0</v>
      </c>
      <c r="G885">
        <v>0</v>
      </c>
      <c r="H885">
        <v>350050</v>
      </c>
      <c r="I885">
        <v>7.8541999999999996</v>
      </c>
      <c r="K885" t="s">
        <v>17</v>
      </c>
    </row>
    <row r="886" spans="1:13" x14ac:dyDescent="0.3">
      <c r="A886">
        <v>3</v>
      </c>
      <c r="B886">
        <v>0</v>
      </c>
      <c r="C886" t="s">
        <v>1615</v>
      </c>
      <c r="D886" t="s">
        <v>20</v>
      </c>
      <c r="E886">
        <v>48</v>
      </c>
      <c r="F886">
        <v>0</v>
      </c>
      <c r="G886">
        <v>0</v>
      </c>
      <c r="H886">
        <v>350047</v>
      </c>
      <c r="I886">
        <v>7.8541999999999996</v>
      </c>
      <c r="K886" t="s">
        <v>17</v>
      </c>
    </row>
    <row r="887" spans="1:13" x14ac:dyDescent="0.3">
      <c r="A887">
        <v>3</v>
      </c>
      <c r="B887">
        <v>0</v>
      </c>
      <c r="C887" t="s">
        <v>1616</v>
      </c>
      <c r="D887" t="s">
        <v>20</v>
      </c>
      <c r="E887">
        <v>17</v>
      </c>
      <c r="F887">
        <v>1</v>
      </c>
      <c r="G887">
        <v>0</v>
      </c>
      <c r="H887">
        <v>350048</v>
      </c>
      <c r="I887">
        <v>7.0541999999999998</v>
      </c>
      <c r="K887" t="s">
        <v>17</v>
      </c>
    </row>
    <row r="888" spans="1:13" x14ac:dyDescent="0.3">
      <c r="A888">
        <v>3</v>
      </c>
      <c r="B888">
        <v>1</v>
      </c>
      <c r="C888" t="s">
        <v>1617</v>
      </c>
      <c r="D888" t="s">
        <v>15</v>
      </c>
      <c r="F888">
        <v>0</v>
      </c>
      <c r="G888">
        <v>0</v>
      </c>
      <c r="H888">
        <v>14313</v>
      </c>
      <c r="I888">
        <v>7.75</v>
      </c>
      <c r="K888" t="s">
        <v>463</v>
      </c>
      <c r="L888" t="s">
        <v>37</v>
      </c>
    </row>
    <row r="889" spans="1:13" x14ac:dyDescent="0.3">
      <c r="A889">
        <v>3</v>
      </c>
      <c r="B889">
        <v>1</v>
      </c>
      <c r="C889" t="s">
        <v>1618</v>
      </c>
      <c r="D889" t="s">
        <v>20</v>
      </c>
      <c r="F889">
        <v>0</v>
      </c>
      <c r="G889">
        <v>0</v>
      </c>
      <c r="H889">
        <v>65306</v>
      </c>
      <c r="I889">
        <v>8.1125000000000007</v>
      </c>
      <c r="K889" t="s">
        <v>17</v>
      </c>
      <c r="L889">
        <v>13</v>
      </c>
    </row>
    <row r="890" spans="1:13" x14ac:dyDescent="0.3">
      <c r="A890">
        <v>3</v>
      </c>
      <c r="B890">
        <v>0</v>
      </c>
      <c r="C890" t="s">
        <v>1619</v>
      </c>
      <c r="D890" t="s">
        <v>20</v>
      </c>
      <c r="E890">
        <v>34</v>
      </c>
      <c r="F890">
        <v>0</v>
      </c>
      <c r="G890">
        <v>0</v>
      </c>
      <c r="H890">
        <v>3101264</v>
      </c>
      <c r="I890">
        <v>6.4958</v>
      </c>
      <c r="K890" t="s">
        <v>17</v>
      </c>
      <c r="M890">
        <v>143</v>
      </c>
    </row>
    <row r="891" spans="1:13" x14ac:dyDescent="0.3">
      <c r="A891">
        <v>3</v>
      </c>
      <c r="B891">
        <v>1</v>
      </c>
      <c r="C891" t="s">
        <v>1620</v>
      </c>
      <c r="D891" t="s">
        <v>20</v>
      </c>
      <c r="E891">
        <v>26</v>
      </c>
      <c r="F891">
        <v>0</v>
      </c>
      <c r="G891">
        <v>0</v>
      </c>
      <c r="H891">
        <v>347070</v>
      </c>
      <c r="I891">
        <v>7.7750000000000004</v>
      </c>
      <c r="K891" t="s">
        <v>17</v>
      </c>
      <c r="L891">
        <v>15</v>
      </c>
    </row>
    <row r="892" spans="1:13" x14ac:dyDescent="0.3">
      <c r="A892">
        <v>3</v>
      </c>
      <c r="B892">
        <v>0</v>
      </c>
      <c r="C892" t="s">
        <v>1621</v>
      </c>
      <c r="D892" t="s">
        <v>20</v>
      </c>
      <c r="E892">
        <v>22</v>
      </c>
      <c r="F892">
        <v>0</v>
      </c>
      <c r="G892">
        <v>0</v>
      </c>
      <c r="H892">
        <v>350052</v>
      </c>
      <c r="I892">
        <v>7.7957999999999998</v>
      </c>
      <c r="K892" t="s">
        <v>17</v>
      </c>
      <c r="M892">
        <v>156</v>
      </c>
    </row>
    <row r="893" spans="1:13" x14ac:dyDescent="0.3">
      <c r="A893">
        <v>3</v>
      </c>
      <c r="B893">
        <v>0</v>
      </c>
      <c r="C893" t="s">
        <v>1622</v>
      </c>
      <c r="D893" t="s">
        <v>20</v>
      </c>
      <c r="E893">
        <v>33</v>
      </c>
      <c r="F893">
        <v>0</v>
      </c>
      <c r="G893">
        <v>0</v>
      </c>
      <c r="H893">
        <v>7540</v>
      </c>
      <c r="I893">
        <v>8.6541999999999994</v>
      </c>
      <c r="K893" t="s">
        <v>17</v>
      </c>
      <c r="M893">
        <v>285</v>
      </c>
    </row>
    <row r="894" spans="1:13" x14ac:dyDescent="0.3">
      <c r="A894">
        <v>3</v>
      </c>
      <c r="B894">
        <v>0</v>
      </c>
      <c r="C894" t="s">
        <v>1623</v>
      </c>
      <c r="D894" t="s">
        <v>20</v>
      </c>
      <c r="E894">
        <v>31</v>
      </c>
      <c r="F894">
        <v>0</v>
      </c>
      <c r="G894">
        <v>0</v>
      </c>
      <c r="H894">
        <v>347063</v>
      </c>
      <c r="I894">
        <v>7.7750000000000004</v>
      </c>
      <c r="K894" t="s">
        <v>17</v>
      </c>
    </row>
    <row r="895" spans="1:13" x14ac:dyDescent="0.3">
      <c r="A895">
        <v>3</v>
      </c>
      <c r="B895">
        <v>0</v>
      </c>
      <c r="C895" t="s">
        <v>1624</v>
      </c>
      <c r="D895" t="s">
        <v>20</v>
      </c>
      <c r="E895">
        <v>29</v>
      </c>
      <c r="F895">
        <v>0</v>
      </c>
      <c r="G895">
        <v>0</v>
      </c>
      <c r="H895">
        <v>347467</v>
      </c>
      <c r="I895">
        <v>7.8541999999999996</v>
      </c>
      <c r="K895" t="s">
        <v>17</v>
      </c>
    </row>
    <row r="896" spans="1:13" x14ac:dyDescent="0.3">
      <c r="A896">
        <v>3</v>
      </c>
      <c r="B896">
        <v>1</v>
      </c>
      <c r="C896" t="s">
        <v>1625</v>
      </c>
      <c r="D896" t="s">
        <v>20</v>
      </c>
      <c r="E896">
        <v>4</v>
      </c>
      <c r="F896">
        <v>1</v>
      </c>
      <c r="G896">
        <v>1</v>
      </c>
      <c r="H896">
        <v>347742</v>
      </c>
      <c r="I896">
        <v>11.1333</v>
      </c>
      <c r="K896" t="s">
        <v>17</v>
      </c>
      <c r="L896">
        <v>15</v>
      </c>
    </row>
    <row r="897" spans="1:13" x14ac:dyDescent="0.3">
      <c r="A897">
        <v>3</v>
      </c>
      <c r="B897">
        <v>1</v>
      </c>
      <c r="C897" t="s">
        <v>1626</v>
      </c>
      <c r="D897" t="s">
        <v>15</v>
      </c>
      <c r="E897">
        <v>1</v>
      </c>
      <c r="F897">
        <v>1</v>
      </c>
      <c r="G897">
        <v>1</v>
      </c>
      <c r="H897">
        <v>347742</v>
      </c>
      <c r="I897">
        <v>11.1333</v>
      </c>
      <c r="K897" t="s">
        <v>17</v>
      </c>
      <c r="L897">
        <v>15</v>
      </c>
    </row>
    <row r="898" spans="1:13" x14ac:dyDescent="0.3">
      <c r="A898">
        <v>3</v>
      </c>
      <c r="B898">
        <v>0</v>
      </c>
      <c r="C898" t="s">
        <v>1627</v>
      </c>
      <c r="D898" t="s">
        <v>20</v>
      </c>
      <c r="E898">
        <v>49</v>
      </c>
      <c r="F898">
        <v>0</v>
      </c>
      <c r="G898">
        <v>0</v>
      </c>
      <c r="H898" t="s">
        <v>1628</v>
      </c>
      <c r="I898">
        <v>0</v>
      </c>
      <c r="K898" t="s">
        <v>17</v>
      </c>
    </row>
    <row r="899" spans="1:13" x14ac:dyDescent="0.3">
      <c r="A899">
        <v>3</v>
      </c>
      <c r="B899">
        <v>0</v>
      </c>
      <c r="C899" t="s">
        <v>1629</v>
      </c>
      <c r="D899" t="s">
        <v>20</v>
      </c>
      <c r="E899">
        <v>33</v>
      </c>
      <c r="F899">
        <v>0</v>
      </c>
      <c r="G899">
        <v>0</v>
      </c>
      <c r="H899">
        <v>347062</v>
      </c>
      <c r="I899">
        <v>7.7750000000000004</v>
      </c>
      <c r="K899" t="s">
        <v>17</v>
      </c>
      <c r="M899">
        <v>37</v>
      </c>
    </row>
    <row r="900" spans="1:13" x14ac:dyDescent="0.3">
      <c r="A900">
        <v>3</v>
      </c>
      <c r="B900">
        <v>0</v>
      </c>
      <c r="C900" t="s">
        <v>1630</v>
      </c>
      <c r="D900" t="s">
        <v>20</v>
      </c>
      <c r="E900">
        <v>19</v>
      </c>
      <c r="F900">
        <v>0</v>
      </c>
      <c r="G900">
        <v>0</v>
      </c>
      <c r="H900" t="s">
        <v>1628</v>
      </c>
      <c r="I900">
        <v>0</v>
      </c>
      <c r="K900" t="s">
        <v>17</v>
      </c>
    </row>
    <row r="901" spans="1:13" x14ac:dyDescent="0.3">
      <c r="A901">
        <v>3</v>
      </c>
      <c r="B901">
        <v>1</v>
      </c>
      <c r="C901" t="s">
        <v>1631</v>
      </c>
      <c r="D901" t="s">
        <v>15</v>
      </c>
      <c r="E901">
        <v>27</v>
      </c>
      <c r="F901">
        <v>0</v>
      </c>
      <c r="G901">
        <v>2</v>
      </c>
      <c r="H901">
        <v>347742</v>
      </c>
      <c r="I901">
        <v>11.1333</v>
      </c>
      <c r="K901" t="s">
        <v>17</v>
      </c>
      <c r="L901">
        <v>15</v>
      </c>
    </row>
    <row r="902" spans="1:13" x14ac:dyDescent="0.3">
      <c r="A902">
        <v>3</v>
      </c>
      <c r="B902">
        <v>0</v>
      </c>
      <c r="C902" t="s">
        <v>1632</v>
      </c>
      <c r="D902" t="s">
        <v>20</v>
      </c>
      <c r="F902">
        <v>1</v>
      </c>
      <c r="G902">
        <v>2</v>
      </c>
      <c r="H902" t="s">
        <v>1633</v>
      </c>
      <c r="I902">
        <v>23.45</v>
      </c>
      <c r="K902" t="s">
        <v>17</v>
      </c>
    </row>
    <row r="903" spans="1:13" x14ac:dyDescent="0.3">
      <c r="A903">
        <v>3</v>
      </c>
      <c r="B903">
        <v>0</v>
      </c>
      <c r="C903" t="s">
        <v>1634</v>
      </c>
      <c r="D903" t="s">
        <v>15</v>
      </c>
      <c r="F903">
        <v>1</v>
      </c>
      <c r="G903">
        <v>2</v>
      </c>
      <c r="H903" t="s">
        <v>1633</v>
      </c>
      <c r="I903">
        <v>23.45</v>
      </c>
      <c r="K903" t="s">
        <v>17</v>
      </c>
    </row>
    <row r="904" spans="1:13" x14ac:dyDescent="0.3">
      <c r="A904">
        <v>3</v>
      </c>
      <c r="B904">
        <v>0</v>
      </c>
      <c r="C904" t="s">
        <v>1635</v>
      </c>
      <c r="D904" t="s">
        <v>20</v>
      </c>
      <c r="F904">
        <v>1</v>
      </c>
      <c r="G904">
        <v>2</v>
      </c>
      <c r="H904" t="s">
        <v>1633</v>
      </c>
      <c r="I904">
        <v>23.45</v>
      </c>
      <c r="K904" t="s">
        <v>17</v>
      </c>
    </row>
    <row r="905" spans="1:13" x14ac:dyDescent="0.3">
      <c r="A905">
        <v>3</v>
      </c>
      <c r="B905">
        <v>0</v>
      </c>
      <c r="C905" t="s">
        <v>1636</v>
      </c>
      <c r="D905" t="s">
        <v>15</v>
      </c>
      <c r="F905">
        <v>1</v>
      </c>
      <c r="G905">
        <v>2</v>
      </c>
      <c r="H905" t="s">
        <v>1633</v>
      </c>
      <c r="I905">
        <v>23.45</v>
      </c>
      <c r="K905" t="s">
        <v>17</v>
      </c>
    </row>
    <row r="906" spans="1:13" x14ac:dyDescent="0.3">
      <c r="A906">
        <v>3</v>
      </c>
      <c r="B906">
        <v>0</v>
      </c>
      <c r="C906" t="s">
        <v>1637</v>
      </c>
      <c r="D906" t="s">
        <v>20</v>
      </c>
      <c r="E906">
        <v>23</v>
      </c>
      <c r="F906">
        <v>0</v>
      </c>
      <c r="G906">
        <v>0</v>
      </c>
      <c r="H906">
        <v>349204</v>
      </c>
      <c r="I906">
        <v>7.8958000000000004</v>
      </c>
      <c r="K906" t="s">
        <v>17</v>
      </c>
    </row>
    <row r="907" spans="1:13" x14ac:dyDescent="0.3">
      <c r="A907">
        <v>3</v>
      </c>
      <c r="B907">
        <v>1</v>
      </c>
      <c r="C907" t="s">
        <v>1638</v>
      </c>
      <c r="D907" t="s">
        <v>20</v>
      </c>
      <c r="E907">
        <v>32</v>
      </c>
      <c r="F907">
        <v>0</v>
      </c>
      <c r="G907">
        <v>0</v>
      </c>
      <c r="H907">
        <v>350417</v>
      </c>
      <c r="I907">
        <v>7.8541999999999996</v>
      </c>
      <c r="K907" t="s">
        <v>17</v>
      </c>
      <c r="L907">
        <v>15</v>
      </c>
    </row>
    <row r="908" spans="1:13" x14ac:dyDescent="0.3">
      <c r="A908">
        <v>3</v>
      </c>
      <c r="B908">
        <v>0</v>
      </c>
      <c r="C908" t="s">
        <v>1639</v>
      </c>
      <c r="D908" t="s">
        <v>20</v>
      </c>
      <c r="E908">
        <v>27</v>
      </c>
      <c r="F908">
        <v>0</v>
      </c>
      <c r="G908">
        <v>0</v>
      </c>
      <c r="H908">
        <v>350408</v>
      </c>
      <c r="I908">
        <v>7.8541999999999996</v>
      </c>
      <c r="K908" t="s">
        <v>17</v>
      </c>
    </row>
    <row r="909" spans="1:13" x14ac:dyDescent="0.3">
      <c r="A909">
        <v>3</v>
      </c>
      <c r="B909">
        <v>0</v>
      </c>
      <c r="C909" t="s">
        <v>1640</v>
      </c>
      <c r="D909" t="s">
        <v>15</v>
      </c>
      <c r="E909">
        <v>20</v>
      </c>
      <c r="F909">
        <v>1</v>
      </c>
      <c r="G909">
        <v>0</v>
      </c>
      <c r="H909">
        <v>4136</v>
      </c>
      <c r="I909">
        <v>9.8249999999999993</v>
      </c>
      <c r="K909" t="s">
        <v>17</v>
      </c>
    </row>
    <row r="910" spans="1:13" x14ac:dyDescent="0.3">
      <c r="A910">
        <v>3</v>
      </c>
      <c r="B910">
        <v>0</v>
      </c>
      <c r="C910" t="s">
        <v>1641</v>
      </c>
      <c r="D910" t="s">
        <v>15</v>
      </c>
      <c r="E910">
        <v>21</v>
      </c>
      <c r="F910">
        <v>1</v>
      </c>
      <c r="G910">
        <v>0</v>
      </c>
      <c r="H910">
        <v>4137</v>
      </c>
      <c r="I910">
        <v>9.8249999999999993</v>
      </c>
      <c r="K910" t="s">
        <v>17</v>
      </c>
    </row>
    <row r="911" spans="1:13" x14ac:dyDescent="0.3">
      <c r="A911">
        <v>3</v>
      </c>
      <c r="B911">
        <v>1</v>
      </c>
      <c r="C911" t="s">
        <v>1642</v>
      </c>
      <c r="D911" t="s">
        <v>20</v>
      </c>
      <c r="E911">
        <v>32</v>
      </c>
      <c r="F911">
        <v>0</v>
      </c>
      <c r="G911">
        <v>0</v>
      </c>
      <c r="H911" t="s">
        <v>1643</v>
      </c>
      <c r="I911">
        <v>7.9249999999999998</v>
      </c>
      <c r="K911" t="s">
        <v>17</v>
      </c>
      <c r="L911">
        <v>15</v>
      </c>
    </row>
    <row r="912" spans="1:13" x14ac:dyDescent="0.3">
      <c r="A912">
        <v>3</v>
      </c>
      <c r="B912">
        <v>0</v>
      </c>
      <c r="C912" t="s">
        <v>1644</v>
      </c>
      <c r="D912" t="s">
        <v>20</v>
      </c>
      <c r="E912">
        <v>17</v>
      </c>
      <c r="F912">
        <v>0</v>
      </c>
      <c r="G912">
        <v>0</v>
      </c>
      <c r="H912" t="s">
        <v>1645</v>
      </c>
      <c r="I912">
        <v>7.125</v>
      </c>
      <c r="K912" t="s">
        <v>17</v>
      </c>
    </row>
    <row r="913" spans="1:13" x14ac:dyDescent="0.3">
      <c r="A913">
        <v>3</v>
      </c>
      <c r="B913">
        <v>0</v>
      </c>
      <c r="C913" t="s">
        <v>1646</v>
      </c>
      <c r="D913" t="s">
        <v>20</v>
      </c>
      <c r="E913">
        <v>21</v>
      </c>
      <c r="F913">
        <v>0</v>
      </c>
      <c r="G913">
        <v>0</v>
      </c>
      <c r="H913">
        <v>8475</v>
      </c>
      <c r="I913">
        <v>8.4332999999999991</v>
      </c>
      <c r="K913" t="s">
        <v>17</v>
      </c>
    </row>
    <row r="914" spans="1:13" x14ac:dyDescent="0.3">
      <c r="A914">
        <v>3</v>
      </c>
      <c r="B914">
        <v>0</v>
      </c>
      <c r="C914" t="s">
        <v>1647</v>
      </c>
      <c r="D914" t="s">
        <v>20</v>
      </c>
      <c r="E914">
        <v>30</v>
      </c>
      <c r="F914">
        <v>0</v>
      </c>
      <c r="G914">
        <v>0</v>
      </c>
      <c r="H914">
        <v>349246</v>
      </c>
      <c r="I914">
        <v>7.8958000000000004</v>
      </c>
      <c r="K914" t="s">
        <v>17</v>
      </c>
    </row>
    <row r="915" spans="1:13" x14ac:dyDescent="0.3">
      <c r="A915">
        <v>3</v>
      </c>
      <c r="B915">
        <v>1</v>
      </c>
      <c r="C915" t="s">
        <v>1648</v>
      </c>
      <c r="D915" t="s">
        <v>20</v>
      </c>
      <c r="E915">
        <v>21</v>
      </c>
      <c r="F915">
        <v>0</v>
      </c>
      <c r="G915">
        <v>0</v>
      </c>
      <c r="H915">
        <v>350053</v>
      </c>
      <c r="I915">
        <v>7.7957999999999998</v>
      </c>
      <c r="K915" t="s">
        <v>17</v>
      </c>
      <c r="L915">
        <v>13</v>
      </c>
    </row>
    <row r="916" spans="1:13" x14ac:dyDescent="0.3">
      <c r="A916">
        <v>3</v>
      </c>
      <c r="B916">
        <v>0</v>
      </c>
      <c r="C916" t="s">
        <v>1649</v>
      </c>
      <c r="D916" t="s">
        <v>20</v>
      </c>
      <c r="E916">
        <v>33</v>
      </c>
      <c r="F916">
        <v>0</v>
      </c>
      <c r="G916">
        <v>0</v>
      </c>
      <c r="H916">
        <v>347465</v>
      </c>
      <c r="I916">
        <v>7.8541999999999996</v>
      </c>
      <c r="K916" t="s">
        <v>17</v>
      </c>
    </row>
    <row r="917" spans="1:13" x14ac:dyDescent="0.3">
      <c r="A917">
        <v>3</v>
      </c>
      <c r="B917">
        <v>0</v>
      </c>
      <c r="C917" t="s">
        <v>1650</v>
      </c>
      <c r="D917" t="s">
        <v>20</v>
      </c>
      <c r="E917">
        <v>22</v>
      </c>
      <c r="F917">
        <v>0</v>
      </c>
      <c r="G917">
        <v>0</v>
      </c>
      <c r="H917">
        <v>350060</v>
      </c>
      <c r="I917">
        <v>7.5208000000000004</v>
      </c>
      <c r="K917" t="s">
        <v>17</v>
      </c>
    </row>
    <row r="918" spans="1:13" x14ac:dyDescent="0.3">
      <c r="A918">
        <v>3</v>
      </c>
      <c r="B918">
        <v>1</v>
      </c>
      <c r="C918" t="s">
        <v>1651</v>
      </c>
      <c r="D918" t="s">
        <v>15</v>
      </c>
      <c r="E918">
        <v>4</v>
      </c>
      <c r="F918">
        <v>0</v>
      </c>
      <c r="G918">
        <v>1</v>
      </c>
      <c r="H918">
        <v>349256</v>
      </c>
      <c r="I918">
        <v>13.416700000000001</v>
      </c>
      <c r="K918" t="s">
        <v>41</v>
      </c>
      <c r="L918">
        <v>15</v>
      </c>
    </row>
    <row r="919" spans="1:13" x14ac:dyDescent="0.3">
      <c r="A919">
        <v>3</v>
      </c>
      <c r="B919">
        <v>1</v>
      </c>
      <c r="C919" t="s">
        <v>1652</v>
      </c>
      <c r="D919" t="s">
        <v>20</v>
      </c>
      <c r="E919">
        <v>39</v>
      </c>
      <c r="F919">
        <v>0</v>
      </c>
      <c r="G919">
        <v>1</v>
      </c>
      <c r="H919">
        <v>349256</v>
      </c>
      <c r="I919">
        <v>13.416700000000001</v>
      </c>
      <c r="K919" t="s">
        <v>41</v>
      </c>
      <c r="L919">
        <v>15</v>
      </c>
    </row>
    <row r="920" spans="1:13" x14ac:dyDescent="0.3">
      <c r="A920">
        <v>3</v>
      </c>
      <c r="B920">
        <v>0</v>
      </c>
      <c r="C920" t="s">
        <v>1653</v>
      </c>
      <c r="D920" t="s">
        <v>20</v>
      </c>
      <c r="F920">
        <v>0</v>
      </c>
      <c r="G920">
        <v>0</v>
      </c>
      <c r="H920">
        <v>2700</v>
      </c>
      <c r="I920">
        <v>7.2291999999999996</v>
      </c>
      <c r="K920" t="s">
        <v>41</v>
      </c>
    </row>
    <row r="921" spans="1:13" x14ac:dyDescent="0.3">
      <c r="A921">
        <v>3</v>
      </c>
      <c r="B921">
        <v>0</v>
      </c>
      <c r="C921" t="s">
        <v>1654</v>
      </c>
      <c r="D921" t="s">
        <v>20</v>
      </c>
      <c r="E921">
        <v>18.5</v>
      </c>
      <c r="F921">
        <v>0</v>
      </c>
      <c r="G921">
        <v>0</v>
      </c>
      <c r="H921">
        <v>2682</v>
      </c>
      <c r="I921">
        <v>7.2291999999999996</v>
      </c>
      <c r="K921" t="s">
        <v>41</v>
      </c>
      <c r="M921">
        <v>58</v>
      </c>
    </row>
    <row r="922" spans="1:13" x14ac:dyDescent="0.3">
      <c r="A922">
        <v>3</v>
      </c>
      <c r="B922">
        <v>0</v>
      </c>
      <c r="C922" t="s">
        <v>1655</v>
      </c>
      <c r="D922" t="s">
        <v>20</v>
      </c>
      <c r="F922">
        <v>0</v>
      </c>
      <c r="G922">
        <v>0</v>
      </c>
      <c r="H922">
        <v>12460</v>
      </c>
      <c r="I922">
        <v>7.75</v>
      </c>
      <c r="K922" t="s">
        <v>463</v>
      </c>
    </row>
    <row r="923" spans="1:13" x14ac:dyDescent="0.3">
      <c r="A923">
        <v>3</v>
      </c>
      <c r="B923">
        <v>0</v>
      </c>
      <c r="C923" t="s">
        <v>1656</v>
      </c>
      <c r="D923" t="s">
        <v>20</v>
      </c>
      <c r="F923">
        <v>0</v>
      </c>
      <c r="G923">
        <v>0</v>
      </c>
      <c r="H923">
        <v>323592</v>
      </c>
      <c r="I923">
        <v>7.25</v>
      </c>
      <c r="K923" t="s">
        <v>17</v>
      </c>
      <c r="L923" t="s">
        <v>67</v>
      </c>
    </row>
    <row r="924" spans="1:13" x14ac:dyDescent="0.3">
      <c r="A924">
        <v>3</v>
      </c>
      <c r="B924">
        <v>1</v>
      </c>
      <c r="C924" t="s">
        <v>1657</v>
      </c>
      <c r="D924" t="s">
        <v>15</v>
      </c>
      <c r="F924">
        <v>0</v>
      </c>
      <c r="G924">
        <v>0</v>
      </c>
      <c r="H924">
        <v>9234</v>
      </c>
      <c r="I924">
        <v>7.75</v>
      </c>
      <c r="K924" t="s">
        <v>463</v>
      </c>
      <c r="L924">
        <v>16</v>
      </c>
    </row>
    <row r="925" spans="1:13" x14ac:dyDescent="0.3">
      <c r="A925">
        <v>3</v>
      </c>
      <c r="B925">
        <v>1</v>
      </c>
      <c r="C925" t="s">
        <v>1658</v>
      </c>
      <c r="D925" t="s">
        <v>15</v>
      </c>
      <c r="F925">
        <v>0</v>
      </c>
      <c r="G925">
        <v>0</v>
      </c>
      <c r="H925">
        <v>14312</v>
      </c>
      <c r="I925">
        <v>7.75</v>
      </c>
      <c r="K925" t="s">
        <v>463</v>
      </c>
      <c r="L925" t="s">
        <v>37</v>
      </c>
    </row>
    <row r="926" spans="1:13" x14ac:dyDescent="0.3">
      <c r="A926">
        <v>3</v>
      </c>
      <c r="B926">
        <v>0</v>
      </c>
      <c r="C926" t="s">
        <v>1659</v>
      </c>
      <c r="D926" t="s">
        <v>20</v>
      </c>
      <c r="E926">
        <v>34.5</v>
      </c>
      <c r="F926">
        <v>0</v>
      </c>
      <c r="G926">
        <v>0</v>
      </c>
      <c r="H926">
        <v>330911</v>
      </c>
      <c r="I926">
        <v>7.8292000000000002</v>
      </c>
      <c r="K926" t="s">
        <v>463</v>
      </c>
      <c r="M926">
        <v>70</v>
      </c>
    </row>
    <row r="927" spans="1:13" x14ac:dyDescent="0.3">
      <c r="A927">
        <v>3</v>
      </c>
      <c r="B927">
        <v>0</v>
      </c>
      <c r="C927" t="s">
        <v>1659</v>
      </c>
      <c r="D927" t="s">
        <v>20</v>
      </c>
      <c r="E927">
        <v>44</v>
      </c>
      <c r="F927">
        <v>0</v>
      </c>
      <c r="G927">
        <v>0</v>
      </c>
      <c r="H927">
        <v>363592</v>
      </c>
      <c r="I927">
        <v>8.0500000000000007</v>
      </c>
      <c r="K927" t="s">
        <v>17</v>
      </c>
    </row>
    <row r="928" spans="1:13" x14ac:dyDescent="0.3">
      <c r="A928">
        <v>3</v>
      </c>
      <c r="B928">
        <v>1</v>
      </c>
      <c r="C928" t="s">
        <v>1660</v>
      </c>
      <c r="D928" t="s">
        <v>20</v>
      </c>
      <c r="F928">
        <v>0</v>
      </c>
      <c r="G928">
        <v>0</v>
      </c>
      <c r="H928">
        <v>368783</v>
      </c>
      <c r="I928">
        <v>7.75</v>
      </c>
      <c r="K928" t="s">
        <v>463</v>
      </c>
    </row>
    <row r="929" spans="1:12" x14ac:dyDescent="0.3">
      <c r="A929">
        <v>3</v>
      </c>
      <c r="B929">
        <v>0</v>
      </c>
      <c r="C929" t="s">
        <v>1661</v>
      </c>
      <c r="D929" t="s">
        <v>20</v>
      </c>
      <c r="F929">
        <v>1</v>
      </c>
      <c r="G929">
        <v>0</v>
      </c>
      <c r="H929">
        <v>2660</v>
      </c>
      <c r="I929">
        <v>14.4542</v>
      </c>
      <c r="K929" t="s">
        <v>41</v>
      </c>
    </row>
    <row r="930" spans="1:12" x14ac:dyDescent="0.3">
      <c r="A930">
        <v>3</v>
      </c>
      <c r="B930">
        <v>0</v>
      </c>
      <c r="C930" t="s">
        <v>1662</v>
      </c>
      <c r="D930" t="s">
        <v>15</v>
      </c>
      <c r="F930">
        <v>1</v>
      </c>
      <c r="G930">
        <v>0</v>
      </c>
      <c r="H930">
        <v>2660</v>
      </c>
      <c r="I930">
        <v>14.4542</v>
      </c>
      <c r="K930" t="s">
        <v>41</v>
      </c>
    </row>
    <row r="931" spans="1:12" x14ac:dyDescent="0.3">
      <c r="A931">
        <v>3</v>
      </c>
      <c r="B931">
        <v>0</v>
      </c>
      <c r="C931" t="s">
        <v>1663</v>
      </c>
      <c r="D931" t="s">
        <v>20</v>
      </c>
      <c r="F931">
        <v>1</v>
      </c>
      <c r="G931">
        <v>0</v>
      </c>
      <c r="H931">
        <v>367227</v>
      </c>
      <c r="I931">
        <v>7.75</v>
      </c>
      <c r="K931" t="s">
        <v>463</v>
      </c>
    </row>
    <row r="932" spans="1:12" x14ac:dyDescent="0.3">
      <c r="A932">
        <v>3</v>
      </c>
      <c r="B932">
        <v>0</v>
      </c>
      <c r="C932" t="s">
        <v>1664</v>
      </c>
      <c r="D932" t="s">
        <v>20</v>
      </c>
      <c r="F932">
        <v>1</v>
      </c>
      <c r="G932">
        <v>0</v>
      </c>
      <c r="H932">
        <v>367229</v>
      </c>
      <c r="I932">
        <v>7.75</v>
      </c>
      <c r="K932" t="s">
        <v>463</v>
      </c>
    </row>
    <row r="933" spans="1:12" x14ac:dyDescent="0.3">
      <c r="A933">
        <v>3</v>
      </c>
      <c r="B933">
        <v>0</v>
      </c>
      <c r="C933" t="s">
        <v>1665</v>
      </c>
      <c r="D933" t="s">
        <v>20</v>
      </c>
      <c r="F933">
        <v>0</v>
      </c>
      <c r="G933">
        <v>0</v>
      </c>
      <c r="H933">
        <v>36865</v>
      </c>
      <c r="I933">
        <v>7.7374999999999998</v>
      </c>
      <c r="K933" t="s">
        <v>463</v>
      </c>
    </row>
    <row r="934" spans="1:12" x14ac:dyDescent="0.3">
      <c r="A934">
        <v>3</v>
      </c>
      <c r="B934">
        <v>0</v>
      </c>
      <c r="C934" t="s">
        <v>1666</v>
      </c>
      <c r="D934" t="s">
        <v>15</v>
      </c>
      <c r="E934">
        <v>22</v>
      </c>
      <c r="F934">
        <v>2</v>
      </c>
      <c r="G934">
        <v>0</v>
      </c>
      <c r="H934">
        <v>315152</v>
      </c>
      <c r="I934">
        <v>8.6624999999999996</v>
      </c>
      <c r="K934" t="s">
        <v>17</v>
      </c>
    </row>
    <row r="935" spans="1:12" x14ac:dyDescent="0.3">
      <c r="A935">
        <v>3</v>
      </c>
      <c r="B935">
        <v>0</v>
      </c>
      <c r="C935" t="s">
        <v>1667</v>
      </c>
      <c r="D935" t="s">
        <v>20</v>
      </c>
      <c r="E935">
        <v>26</v>
      </c>
      <c r="F935">
        <v>2</v>
      </c>
      <c r="G935">
        <v>0</v>
      </c>
      <c r="H935">
        <v>315151</v>
      </c>
      <c r="I935">
        <v>8.6624999999999996</v>
      </c>
      <c r="K935" t="s">
        <v>17</v>
      </c>
    </row>
    <row r="936" spans="1:12" x14ac:dyDescent="0.3">
      <c r="A936">
        <v>3</v>
      </c>
      <c r="B936">
        <v>1</v>
      </c>
      <c r="C936" t="s">
        <v>1668</v>
      </c>
      <c r="D936" t="s">
        <v>15</v>
      </c>
      <c r="E936">
        <v>4</v>
      </c>
      <c r="F936">
        <v>0</v>
      </c>
      <c r="G936">
        <v>2</v>
      </c>
      <c r="H936">
        <v>315153</v>
      </c>
      <c r="I936">
        <v>22.024999999999999</v>
      </c>
      <c r="K936" t="s">
        <v>17</v>
      </c>
      <c r="L936">
        <v>2</v>
      </c>
    </row>
    <row r="937" spans="1:12" x14ac:dyDescent="0.3">
      <c r="A937">
        <v>3</v>
      </c>
      <c r="B937">
        <v>1</v>
      </c>
      <c r="C937" t="s">
        <v>1669</v>
      </c>
      <c r="D937" t="s">
        <v>20</v>
      </c>
      <c r="E937">
        <v>29</v>
      </c>
      <c r="F937">
        <v>3</v>
      </c>
      <c r="G937">
        <v>1</v>
      </c>
      <c r="H937">
        <v>315153</v>
      </c>
      <c r="I937">
        <v>22.024999999999999</v>
      </c>
      <c r="K937" t="s">
        <v>17</v>
      </c>
      <c r="L937">
        <v>2</v>
      </c>
    </row>
    <row r="938" spans="1:12" x14ac:dyDescent="0.3">
      <c r="A938">
        <v>3</v>
      </c>
      <c r="B938">
        <v>1</v>
      </c>
      <c r="C938" t="s">
        <v>1670</v>
      </c>
      <c r="D938" t="s">
        <v>15</v>
      </c>
      <c r="E938">
        <v>26</v>
      </c>
      <c r="F938">
        <v>1</v>
      </c>
      <c r="G938">
        <v>1</v>
      </c>
      <c r="H938">
        <v>315153</v>
      </c>
      <c r="I938">
        <v>22.024999999999999</v>
      </c>
      <c r="K938" t="s">
        <v>17</v>
      </c>
      <c r="L938">
        <v>2</v>
      </c>
    </row>
    <row r="939" spans="1:12" x14ac:dyDescent="0.3">
      <c r="A939">
        <v>3</v>
      </c>
      <c r="B939">
        <v>0</v>
      </c>
      <c r="C939" t="s">
        <v>1671</v>
      </c>
      <c r="D939" t="s">
        <v>15</v>
      </c>
      <c r="E939">
        <v>1</v>
      </c>
      <c r="F939">
        <v>1</v>
      </c>
      <c r="G939">
        <v>1</v>
      </c>
      <c r="H939">
        <v>350405</v>
      </c>
      <c r="I939">
        <v>12.183299999999999</v>
      </c>
      <c r="K939" t="s">
        <v>17</v>
      </c>
    </row>
    <row r="940" spans="1:12" x14ac:dyDescent="0.3">
      <c r="A940">
        <v>3</v>
      </c>
      <c r="B940">
        <v>0</v>
      </c>
      <c r="C940" t="s">
        <v>1672</v>
      </c>
      <c r="D940" t="s">
        <v>20</v>
      </c>
      <c r="E940">
        <v>18</v>
      </c>
      <c r="F940">
        <v>1</v>
      </c>
      <c r="G940">
        <v>1</v>
      </c>
      <c r="H940">
        <v>350404</v>
      </c>
      <c r="I940">
        <v>7.8541999999999996</v>
      </c>
      <c r="K940" t="s">
        <v>17</v>
      </c>
    </row>
    <row r="941" spans="1:12" x14ac:dyDescent="0.3">
      <c r="A941">
        <v>3</v>
      </c>
      <c r="B941">
        <v>0</v>
      </c>
      <c r="C941" t="s">
        <v>1673</v>
      </c>
      <c r="D941" t="s">
        <v>15</v>
      </c>
      <c r="E941">
        <v>36</v>
      </c>
      <c r="F941">
        <v>0</v>
      </c>
      <c r="G941">
        <v>2</v>
      </c>
      <c r="H941">
        <v>350405</v>
      </c>
      <c r="I941">
        <v>12.183299999999999</v>
      </c>
      <c r="K941" t="s">
        <v>17</v>
      </c>
    </row>
    <row r="942" spans="1:12" x14ac:dyDescent="0.3">
      <c r="A942">
        <v>3</v>
      </c>
      <c r="B942">
        <v>0</v>
      </c>
      <c r="C942" t="s">
        <v>1674</v>
      </c>
      <c r="D942" t="s">
        <v>20</v>
      </c>
      <c r="F942">
        <v>0</v>
      </c>
      <c r="G942">
        <v>0</v>
      </c>
      <c r="H942">
        <v>349253</v>
      </c>
      <c r="I942">
        <v>7.8958000000000004</v>
      </c>
      <c r="K942" t="s">
        <v>41</v>
      </c>
    </row>
    <row r="943" spans="1:12" x14ac:dyDescent="0.3">
      <c r="A943">
        <v>3</v>
      </c>
      <c r="B943">
        <v>1</v>
      </c>
      <c r="C943" t="s">
        <v>1675</v>
      </c>
      <c r="D943" t="s">
        <v>20</v>
      </c>
      <c r="E943">
        <v>25</v>
      </c>
      <c r="F943">
        <v>0</v>
      </c>
      <c r="G943">
        <v>0</v>
      </c>
      <c r="H943">
        <v>2654</v>
      </c>
      <c r="I943">
        <v>7.2291999999999996</v>
      </c>
      <c r="J943" t="s">
        <v>1676</v>
      </c>
      <c r="K943" t="s">
        <v>41</v>
      </c>
      <c r="L943">
        <v>10</v>
      </c>
    </row>
    <row r="944" spans="1:12" x14ac:dyDescent="0.3">
      <c r="A944">
        <v>3</v>
      </c>
      <c r="B944">
        <v>0</v>
      </c>
      <c r="C944" t="s">
        <v>1677</v>
      </c>
      <c r="D944" t="s">
        <v>20</v>
      </c>
      <c r="F944">
        <v>0</v>
      </c>
      <c r="G944">
        <v>0</v>
      </c>
      <c r="H944">
        <v>2624</v>
      </c>
      <c r="I944">
        <v>7.2249999999999996</v>
      </c>
      <c r="K944" t="s">
        <v>41</v>
      </c>
    </row>
    <row r="945" spans="1:12" x14ac:dyDescent="0.3">
      <c r="A945">
        <v>3</v>
      </c>
      <c r="B945">
        <v>0</v>
      </c>
      <c r="C945" t="s">
        <v>1678</v>
      </c>
      <c r="D945" t="s">
        <v>15</v>
      </c>
      <c r="E945">
        <v>37</v>
      </c>
      <c r="F945">
        <v>0</v>
      </c>
      <c r="G945">
        <v>0</v>
      </c>
      <c r="H945">
        <v>4135</v>
      </c>
      <c r="I945">
        <v>9.5875000000000004</v>
      </c>
      <c r="K945" t="s">
        <v>17</v>
      </c>
    </row>
    <row r="946" spans="1:12" x14ac:dyDescent="0.3">
      <c r="A946">
        <v>3</v>
      </c>
      <c r="B946">
        <v>0</v>
      </c>
      <c r="C946" t="s">
        <v>1679</v>
      </c>
      <c r="D946" t="s">
        <v>20</v>
      </c>
      <c r="F946">
        <v>0</v>
      </c>
      <c r="G946">
        <v>0</v>
      </c>
      <c r="H946">
        <v>349217</v>
      </c>
      <c r="I946">
        <v>7.8958000000000004</v>
      </c>
      <c r="K946" t="s">
        <v>17</v>
      </c>
    </row>
    <row r="947" spans="1:12" x14ac:dyDescent="0.3">
      <c r="A947">
        <v>3</v>
      </c>
      <c r="B947">
        <v>1</v>
      </c>
      <c r="C947" t="s">
        <v>1680</v>
      </c>
      <c r="D947" t="s">
        <v>20</v>
      </c>
      <c r="F947">
        <v>0</v>
      </c>
      <c r="G947">
        <v>0</v>
      </c>
      <c r="H947">
        <v>1601</v>
      </c>
      <c r="I947">
        <v>56.495800000000003</v>
      </c>
      <c r="K947" t="s">
        <v>17</v>
      </c>
      <c r="L947" t="s">
        <v>41</v>
      </c>
    </row>
    <row r="948" spans="1:12" x14ac:dyDescent="0.3">
      <c r="A948">
        <v>3</v>
      </c>
      <c r="B948">
        <v>0</v>
      </c>
      <c r="C948" t="s">
        <v>1681</v>
      </c>
      <c r="D948" t="s">
        <v>20</v>
      </c>
      <c r="F948">
        <v>0</v>
      </c>
      <c r="G948">
        <v>0</v>
      </c>
      <c r="H948">
        <v>1601</v>
      </c>
      <c r="I948">
        <v>56.495800000000003</v>
      </c>
      <c r="K948" t="s">
        <v>17</v>
      </c>
    </row>
    <row r="949" spans="1:12" x14ac:dyDescent="0.3">
      <c r="A949">
        <v>3</v>
      </c>
      <c r="B949">
        <v>1</v>
      </c>
      <c r="C949" t="s">
        <v>1682</v>
      </c>
      <c r="D949" t="s">
        <v>15</v>
      </c>
      <c r="E949">
        <v>22</v>
      </c>
      <c r="F949">
        <v>0</v>
      </c>
      <c r="G949">
        <v>0</v>
      </c>
      <c r="H949" t="s">
        <v>1683</v>
      </c>
      <c r="I949">
        <v>7.25</v>
      </c>
      <c r="K949" t="s">
        <v>17</v>
      </c>
      <c r="L949">
        <v>13</v>
      </c>
    </row>
    <row r="950" spans="1:12" x14ac:dyDescent="0.3">
      <c r="A950">
        <v>3</v>
      </c>
      <c r="B950">
        <v>0</v>
      </c>
      <c r="C950" t="s">
        <v>1684</v>
      </c>
      <c r="D950" t="s">
        <v>20</v>
      </c>
      <c r="F950">
        <v>0</v>
      </c>
      <c r="G950">
        <v>0</v>
      </c>
      <c r="H950">
        <v>7935</v>
      </c>
      <c r="I950">
        <v>7.75</v>
      </c>
      <c r="K950" t="s">
        <v>463</v>
      </c>
    </row>
    <row r="951" spans="1:12" x14ac:dyDescent="0.3">
      <c r="A951">
        <v>3</v>
      </c>
      <c r="B951">
        <v>1</v>
      </c>
      <c r="C951" t="s">
        <v>1685</v>
      </c>
      <c r="D951" t="s">
        <v>20</v>
      </c>
      <c r="E951">
        <v>26</v>
      </c>
      <c r="F951">
        <v>0</v>
      </c>
      <c r="G951">
        <v>0</v>
      </c>
      <c r="H951">
        <v>1601</v>
      </c>
      <c r="I951">
        <v>56.495800000000003</v>
      </c>
      <c r="K951" t="s">
        <v>17</v>
      </c>
      <c r="L951">
        <v>14</v>
      </c>
    </row>
    <row r="952" spans="1:12" x14ac:dyDescent="0.3">
      <c r="A952">
        <v>3</v>
      </c>
      <c r="B952">
        <v>0</v>
      </c>
      <c r="C952" t="s">
        <v>1686</v>
      </c>
      <c r="D952" t="s">
        <v>20</v>
      </c>
      <c r="E952">
        <v>29</v>
      </c>
      <c r="F952">
        <v>0</v>
      </c>
      <c r="G952">
        <v>0</v>
      </c>
      <c r="H952">
        <v>7545</v>
      </c>
      <c r="I952">
        <v>9.4832999999999998</v>
      </c>
      <c r="K952" t="s">
        <v>17</v>
      </c>
    </row>
    <row r="953" spans="1:12" x14ac:dyDescent="0.3">
      <c r="A953">
        <v>3</v>
      </c>
      <c r="B953">
        <v>0</v>
      </c>
      <c r="C953" t="s">
        <v>1687</v>
      </c>
      <c r="D953" t="s">
        <v>20</v>
      </c>
      <c r="E953">
        <v>29</v>
      </c>
      <c r="F953">
        <v>0</v>
      </c>
      <c r="G953">
        <v>0</v>
      </c>
      <c r="H953">
        <v>347067</v>
      </c>
      <c r="I953">
        <v>7.7750000000000004</v>
      </c>
      <c r="K953" t="s">
        <v>17</v>
      </c>
    </row>
    <row r="954" spans="1:12" x14ac:dyDescent="0.3">
      <c r="A954">
        <v>3</v>
      </c>
      <c r="B954">
        <v>0</v>
      </c>
      <c r="C954" t="s">
        <v>1688</v>
      </c>
      <c r="D954" t="s">
        <v>20</v>
      </c>
      <c r="E954">
        <v>22</v>
      </c>
      <c r="F954">
        <v>0</v>
      </c>
      <c r="G954">
        <v>0</v>
      </c>
      <c r="H954">
        <v>347065</v>
      </c>
      <c r="I954">
        <v>7.7750000000000004</v>
      </c>
      <c r="K954" t="s">
        <v>17</v>
      </c>
    </row>
    <row r="955" spans="1:12" x14ac:dyDescent="0.3">
      <c r="A955">
        <v>3</v>
      </c>
      <c r="B955">
        <v>1</v>
      </c>
      <c r="C955" t="s">
        <v>1689</v>
      </c>
      <c r="D955" t="s">
        <v>20</v>
      </c>
      <c r="E955">
        <v>22</v>
      </c>
      <c r="F955">
        <v>0</v>
      </c>
      <c r="G955">
        <v>0</v>
      </c>
      <c r="H955">
        <v>2620</v>
      </c>
      <c r="I955">
        <v>7.2249999999999996</v>
      </c>
      <c r="K955" t="s">
        <v>41</v>
      </c>
      <c r="L955">
        <v>6</v>
      </c>
    </row>
    <row r="956" spans="1:12" x14ac:dyDescent="0.3">
      <c r="A956">
        <v>3</v>
      </c>
      <c r="B956">
        <v>0</v>
      </c>
      <c r="C956" t="s">
        <v>1690</v>
      </c>
      <c r="D956" t="s">
        <v>20</v>
      </c>
      <c r="F956">
        <v>3</v>
      </c>
      <c r="G956">
        <v>1</v>
      </c>
      <c r="H956">
        <v>4133</v>
      </c>
      <c r="I956">
        <v>25.466699999999999</v>
      </c>
      <c r="K956" t="s">
        <v>17</v>
      </c>
    </row>
    <row r="957" spans="1:12" x14ac:dyDescent="0.3">
      <c r="A957">
        <v>3</v>
      </c>
      <c r="B957">
        <v>0</v>
      </c>
      <c r="C957" t="s">
        <v>1691</v>
      </c>
      <c r="D957" t="s">
        <v>15</v>
      </c>
      <c r="F957">
        <v>3</v>
      </c>
      <c r="G957">
        <v>1</v>
      </c>
      <c r="H957">
        <v>4133</v>
      </c>
      <c r="I957">
        <v>25.466699999999999</v>
      </c>
      <c r="K957" t="s">
        <v>17</v>
      </c>
    </row>
    <row r="958" spans="1:12" x14ac:dyDescent="0.3">
      <c r="A958">
        <v>3</v>
      </c>
      <c r="B958">
        <v>0</v>
      </c>
      <c r="C958" t="s">
        <v>1692</v>
      </c>
      <c r="D958" t="s">
        <v>15</v>
      </c>
      <c r="F958">
        <v>3</v>
      </c>
      <c r="G958">
        <v>1</v>
      </c>
      <c r="H958">
        <v>4133</v>
      </c>
      <c r="I958">
        <v>25.466699999999999</v>
      </c>
      <c r="K958" t="s">
        <v>17</v>
      </c>
    </row>
    <row r="959" spans="1:12" x14ac:dyDescent="0.3">
      <c r="A959">
        <v>3</v>
      </c>
      <c r="B959">
        <v>0</v>
      </c>
      <c r="C959" t="s">
        <v>1693</v>
      </c>
      <c r="D959" t="s">
        <v>15</v>
      </c>
      <c r="F959">
        <v>3</v>
      </c>
      <c r="G959">
        <v>1</v>
      </c>
      <c r="H959">
        <v>4133</v>
      </c>
      <c r="I959">
        <v>25.466699999999999</v>
      </c>
      <c r="K959" t="s">
        <v>17</v>
      </c>
    </row>
    <row r="960" spans="1:12" x14ac:dyDescent="0.3">
      <c r="A960">
        <v>3</v>
      </c>
      <c r="B960">
        <v>0</v>
      </c>
      <c r="C960" t="s">
        <v>1694</v>
      </c>
      <c r="D960" t="s">
        <v>15</v>
      </c>
      <c r="F960">
        <v>0</v>
      </c>
      <c r="G960">
        <v>4</v>
      </c>
      <c r="H960">
        <v>4133</v>
      </c>
      <c r="I960">
        <v>25.466699999999999</v>
      </c>
      <c r="K960" t="s">
        <v>17</v>
      </c>
    </row>
    <row r="961" spans="1:13" x14ac:dyDescent="0.3">
      <c r="A961">
        <v>3</v>
      </c>
      <c r="B961">
        <v>0</v>
      </c>
      <c r="C961" t="s">
        <v>1695</v>
      </c>
      <c r="D961" t="s">
        <v>20</v>
      </c>
      <c r="E961">
        <v>32</v>
      </c>
      <c r="F961">
        <v>0</v>
      </c>
      <c r="G961">
        <v>0</v>
      </c>
      <c r="H961" t="s">
        <v>1696</v>
      </c>
      <c r="I961">
        <v>7.9249999999999998</v>
      </c>
      <c r="K961" t="s">
        <v>17</v>
      </c>
    </row>
    <row r="962" spans="1:13" x14ac:dyDescent="0.3">
      <c r="A962">
        <v>3</v>
      </c>
      <c r="B962">
        <v>0</v>
      </c>
      <c r="C962" t="s">
        <v>1697</v>
      </c>
      <c r="D962" t="s">
        <v>20</v>
      </c>
      <c r="E962">
        <v>34.5</v>
      </c>
      <c r="F962">
        <v>0</v>
      </c>
      <c r="G962">
        <v>0</v>
      </c>
      <c r="H962">
        <v>2683</v>
      </c>
      <c r="I962">
        <v>6.4375</v>
      </c>
      <c r="K962" t="s">
        <v>41</v>
      </c>
      <c r="M962">
        <v>196</v>
      </c>
    </row>
    <row r="963" spans="1:13" x14ac:dyDescent="0.3">
      <c r="A963">
        <v>3</v>
      </c>
      <c r="B963">
        <v>0</v>
      </c>
      <c r="C963" t="s">
        <v>1698</v>
      </c>
      <c r="D963" t="s">
        <v>15</v>
      </c>
      <c r="F963">
        <v>1</v>
      </c>
      <c r="G963">
        <v>0</v>
      </c>
      <c r="H963">
        <v>370371</v>
      </c>
      <c r="I963">
        <v>15.5</v>
      </c>
      <c r="K963" t="s">
        <v>463</v>
      </c>
    </row>
    <row r="964" spans="1:13" x14ac:dyDescent="0.3">
      <c r="A964">
        <v>3</v>
      </c>
      <c r="B964">
        <v>0</v>
      </c>
      <c r="C964" t="s">
        <v>1699</v>
      </c>
      <c r="D964" t="s">
        <v>20</v>
      </c>
      <c r="F964">
        <v>1</v>
      </c>
      <c r="G964">
        <v>0</v>
      </c>
      <c r="H964">
        <v>370371</v>
      </c>
      <c r="I964">
        <v>15.5</v>
      </c>
      <c r="K964" t="s">
        <v>463</v>
      </c>
    </row>
    <row r="965" spans="1:13" x14ac:dyDescent="0.3">
      <c r="A965">
        <v>3</v>
      </c>
      <c r="B965">
        <v>0</v>
      </c>
      <c r="C965" t="s">
        <v>1700</v>
      </c>
      <c r="D965" t="s">
        <v>20</v>
      </c>
      <c r="E965">
        <v>36</v>
      </c>
      <c r="F965">
        <v>0</v>
      </c>
      <c r="G965">
        <v>0</v>
      </c>
      <c r="H965" t="s">
        <v>1628</v>
      </c>
      <c r="I965">
        <v>0</v>
      </c>
      <c r="K965" t="s">
        <v>17</v>
      </c>
    </row>
    <row r="966" spans="1:13" x14ac:dyDescent="0.3">
      <c r="A966">
        <v>3</v>
      </c>
      <c r="B966">
        <v>0</v>
      </c>
      <c r="C966" t="s">
        <v>1701</v>
      </c>
      <c r="D966" t="s">
        <v>20</v>
      </c>
      <c r="E966">
        <v>39</v>
      </c>
      <c r="F966">
        <v>0</v>
      </c>
      <c r="G966">
        <v>0</v>
      </c>
      <c r="H966" t="s">
        <v>1427</v>
      </c>
      <c r="I966">
        <v>24.15</v>
      </c>
      <c r="K966" t="s">
        <v>17</v>
      </c>
    </row>
    <row r="967" spans="1:13" x14ac:dyDescent="0.3">
      <c r="A967">
        <v>3</v>
      </c>
      <c r="B967">
        <v>0</v>
      </c>
      <c r="C967" t="s">
        <v>1702</v>
      </c>
      <c r="D967" t="s">
        <v>20</v>
      </c>
      <c r="E967">
        <v>24</v>
      </c>
      <c r="F967">
        <v>0</v>
      </c>
      <c r="G967">
        <v>0</v>
      </c>
      <c r="H967">
        <v>345781</v>
      </c>
      <c r="I967">
        <v>9.5</v>
      </c>
      <c r="K967" t="s">
        <v>17</v>
      </c>
    </row>
    <row r="968" spans="1:13" x14ac:dyDescent="0.3">
      <c r="A968">
        <v>3</v>
      </c>
      <c r="B968">
        <v>0</v>
      </c>
      <c r="C968" t="s">
        <v>1703</v>
      </c>
      <c r="D968" t="s">
        <v>15</v>
      </c>
      <c r="E968">
        <v>25</v>
      </c>
      <c r="F968">
        <v>0</v>
      </c>
      <c r="G968">
        <v>0</v>
      </c>
      <c r="H968">
        <v>347071</v>
      </c>
      <c r="I968">
        <v>7.7750000000000004</v>
      </c>
      <c r="K968" t="s">
        <v>17</v>
      </c>
    </row>
    <row r="969" spans="1:13" x14ac:dyDescent="0.3">
      <c r="A969">
        <v>3</v>
      </c>
      <c r="B969">
        <v>0</v>
      </c>
      <c r="C969" t="s">
        <v>1704</v>
      </c>
      <c r="D969" t="s">
        <v>15</v>
      </c>
      <c r="E969">
        <v>45</v>
      </c>
      <c r="F969">
        <v>0</v>
      </c>
      <c r="G969">
        <v>0</v>
      </c>
      <c r="H969">
        <v>347073</v>
      </c>
      <c r="I969">
        <v>7.75</v>
      </c>
      <c r="K969" t="s">
        <v>17</v>
      </c>
    </row>
    <row r="970" spans="1:13" x14ac:dyDescent="0.3">
      <c r="A970">
        <v>3</v>
      </c>
      <c r="B970">
        <v>0</v>
      </c>
      <c r="C970" t="s">
        <v>1705</v>
      </c>
      <c r="D970" t="s">
        <v>20</v>
      </c>
      <c r="E970">
        <v>36</v>
      </c>
      <c r="F970">
        <v>1</v>
      </c>
      <c r="G970">
        <v>0</v>
      </c>
      <c r="H970">
        <v>349910</v>
      </c>
      <c r="I970">
        <v>15.55</v>
      </c>
      <c r="K970" t="s">
        <v>17</v>
      </c>
      <c r="L970" t="s">
        <v>67</v>
      </c>
    </row>
    <row r="971" spans="1:13" x14ac:dyDescent="0.3">
      <c r="A971">
        <v>3</v>
      </c>
      <c r="B971">
        <v>0</v>
      </c>
      <c r="C971" t="s">
        <v>1706</v>
      </c>
      <c r="D971" t="s">
        <v>15</v>
      </c>
      <c r="E971">
        <v>30</v>
      </c>
      <c r="F971">
        <v>1</v>
      </c>
      <c r="G971">
        <v>0</v>
      </c>
      <c r="H971">
        <v>349910</v>
      </c>
      <c r="I971">
        <v>15.55</v>
      </c>
      <c r="K971" t="s">
        <v>17</v>
      </c>
      <c r="L971" t="s">
        <v>67</v>
      </c>
    </row>
    <row r="972" spans="1:13" x14ac:dyDescent="0.3">
      <c r="A972">
        <v>3</v>
      </c>
      <c r="B972">
        <v>1</v>
      </c>
      <c r="C972" t="s">
        <v>1707</v>
      </c>
      <c r="D972" t="s">
        <v>20</v>
      </c>
      <c r="E972">
        <v>20</v>
      </c>
      <c r="F972">
        <v>1</v>
      </c>
      <c r="G972">
        <v>0</v>
      </c>
      <c r="H972" t="s">
        <v>1708</v>
      </c>
      <c r="I972">
        <v>7.9249999999999998</v>
      </c>
      <c r="K972" t="s">
        <v>17</v>
      </c>
      <c r="L972">
        <v>15</v>
      </c>
    </row>
    <row r="973" spans="1:13" x14ac:dyDescent="0.3">
      <c r="A973">
        <v>3</v>
      </c>
      <c r="B973">
        <v>0</v>
      </c>
      <c r="C973" t="s">
        <v>1709</v>
      </c>
      <c r="D973" t="s">
        <v>20</v>
      </c>
      <c r="F973">
        <v>0</v>
      </c>
      <c r="G973">
        <v>0</v>
      </c>
      <c r="H973">
        <v>330971</v>
      </c>
      <c r="I973">
        <v>7.8792</v>
      </c>
      <c r="K973" t="s">
        <v>463</v>
      </c>
    </row>
    <row r="974" spans="1:13" x14ac:dyDescent="0.3">
      <c r="A974">
        <v>3</v>
      </c>
      <c r="B974">
        <v>0</v>
      </c>
      <c r="C974" t="s">
        <v>1710</v>
      </c>
      <c r="D974" t="s">
        <v>20</v>
      </c>
      <c r="E974">
        <v>28</v>
      </c>
      <c r="F974">
        <v>0</v>
      </c>
      <c r="G974">
        <v>0</v>
      </c>
      <c r="H974">
        <v>1601</v>
      </c>
      <c r="I974">
        <v>56.495800000000003</v>
      </c>
      <c r="K974" t="s">
        <v>17</v>
      </c>
    </row>
    <row r="975" spans="1:13" x14ac:dyDescent="0.3">
      <c r="A975">
        <v>3</v>
      </c>
      <c r="B975">
        <v>0</v>
      </c>
      <c r="C975" t="s">
        <v>1711</v>
      </c>
      <c r="D975" t="s">
        <v>20</v>
      </c>
      <c r="F975">
        <v>0</v>
      </c>
      <c r="G975">
        <v>0</v>
      </c>
      <c r="H975" t="s">
        <v>1712</v>
      </c>
      <c r="I975">
        <v>7.55</v>
      </c>
      <c r="K975" t="s">
        <v>17</v>
      </c>
    </row>
    <row r="976" spans="1:13" x14ac:dyDescent="0.3">
      <c r="A976">
        <v>3</v>
      </c>
      <c r="B976">
        <v>0</v>
      </c>
      <c r="C976" t="s">
        <v>1713</v>
      </c>
      <c r="D976" t="s">
        <v>20</v>
      </c>
      <c r="E976">
        <v>30</v>
      </c>
      <c r="F976">
        <v>1</v>
      </c>
      <c r="G976">
        <v>0</v>
      </c>
      <c r="H976" t="s">
        <v>1714</v>
      </c>
      <c r="I976">
        <v>16.100000000000001</v>
      </c>
      <c r="K976" t="s">
        <v>17</v>
      </c>
    </row>
    <row r="977" spans="1:13" x14ac:dyDescent="0.3">
      <c r="A977">
        <v>3</v>
      </c>
      <c r="B977">
        <v>0</v>
      </c>
      <c r="C977" t="s">
        <v>1715</v>
      </c>
      <c r="D977" t="s">
        <v>15</v>
      </c>
      <c r="E977">
        <v>26</v>
      </c>
      <c r="F977">
        <v>1</v>
      </c>
      <c r="G977">
        <v>0</v>
      </c>
      <c r="H977" t="s">
        <v>1714</v>
      </c>
      <c r="I977">
        <v>16.100000000000001</v>
      </c>
      <c r="K977" t="s">
        <v>17</v>
      </c>
    </row>
    <row r="978" spans="1:13" x14ac:dyDescent="0.3">
      <c r="A978">
        <v>3</v>
      </c>
      <c r="B978">
        <v>0</v>
      </c>
      <c r="C978" t="s">
        <v>1716</v>
      </c>
      <c r="D978" t="s">
        <v>20</v>
      </c>
      <c r="F978">
        <v>0</v>
      </c>
      <c r="G978">
        <v>0</v>
      </c>
      <c r="H978">
        <v>1222</v>
      </c>
      <c r="I978">
        <v>7.8792</v>
      </c>
      <c r="K978" t="s">
        <v>17</v>
      </c>
      <c r="M978">
        <v>153</v>
      </c>
    </row>
    <row r="979" spans="1:13" x14ac:dyDescent="0.3">
      <c r="A979">
        <v>3</v>
      </c>
      <c r="B979">
        <v>0</v>
      </c>
      <c r="C979" t="s">
        <v>1717</v>
      </c>
      <c r="D979" t="s">
        <v>20</v>
      </c>
      <c r="E979">
        <v>20.5</v>
      </c>
      <c r="F979">
        <v>0</v>
      </c>
      <c r="G979">
        <v>0</v>
      </c>
      <c r="H979" t="s">
        <v>1718</v>
      </c>
      <c r="I979">
        <v>7.25</v>
      </c>
      <c r="K979" t="s">
        <v>17</v>
      </c>
    </row>
    <row r="980" spans="1:13" x14ac:dyDescent="0.3">
      <c r="A980">
        <v>3</v>
      </c>
      <c r="B980">
        <v>1</v>
      </c>
      <c r="C980" t="s">
        <v>1719</v>
      </c>
      <c r="D980" t="s">
        <v>20</v>
      </c>
      <c r="E980">
        <v>27</v>
      </c>
      <c r="F980">
        <v>0</v>
      </c>
      <c r="G980">
        <v>0</v>
      </c>
      <c r="H980">
        <v>315098</v>
      </c>
      <c r="I980">
        <v>8.6624999999999996</v>
      </c>
      <c r="K980" t="s">
        <v>17</v>
      </c>
      <c r="L980">
        <v>15</v>
      </c>
    </row>
    <row r="981" spans="1:13" x14ac:dyDescent="0.3">
      <c r="A981">
        <v>3</v>
      </c>
      <c r="B981">
        <v>0</v>
      </c>
      <c r="C981" t="s">
        <v>1720</v>
      </c>
      <c r="D981" t="s">
        <v>20</v>
      </c>
      <c r="E981">
        <v>51</v>
      </c>
      <c r="F981">
        <v>0</v>
      </c>
      <c r="G981">
        <v>0</v>
      </c>
      <c r="H981">
        <v>347743</v>
      </c>
      <c r="I981">
        <v>7.0541999999999998</v>
      </c>
      <c r="K981" t="s">
        <v>17</v>
      </c>
    </row>
    <row r="982" spans="1:13" x14ac:dyDescent="0.3">
      <c r="A982">
        <v>3</v>
      </c>
      <c r="B982">
        <v>1</v>
      </c>
      <c r="C982" t="s">
        <v>1721</v>
      </c>
      <c r="D982" t="s">
        <v>15</v>
      </c>
      <c r="E982">
        <v>23</v>
      </c>
      <c r="F982">
        <v>0</v>
      </c>
      <c r="G982">
        <v>0</v>
      </c>
      <c r="H982">
        <v>347469</v>
      </c>
      <c r="I982">
        <v>7.8541999999999996</v>
      </c>
      <c r="K982" t="s">
        <v>17</v>
      </c>
      <c r="L982">
        <v>10</v>
      </c>
    </row>
    <row r="983" spans="1:13" x14ac:dyDescent="0.3">
      <c r="A983">
        <v>3</v>
      </c>
      <c r="B983">
        <v>1</v>
      </c>
      <c r="C983" t="s">
        <v>1722</v>
      </c>
      <c r="D983" t="s">
        <v>20</v>
      </c>
      <c r="E983">
        <v>32</v>
      </c>
      <c r="F983">
        <v>0</v>
      </c>
      <c r="G983">
        <v>0</v>
      </c>
      <c r="H983">
        <v>350403</v>
      </c>
      <c r="I983">
        <v>7.5792000000000002</v>
      </c>
      <c r="K983" t="s">
        <v>17</v>
      </c>
      <c r="L983">
        <v>15</v>
      </c>
    </row>
    <row r="984" spans="1:13" x14ac:dyDescent="0.3">
      <c r="A984">
        <v>3</v>
      </c>
      <c r="B984">
        <v>0</v>
      </c>
      <c r="C984" t="s">
        <v>1723</v>
      </c>
      <c r="D984" t="s">
        <v>20</v>
      </c>
      <c r="F984">
        <v>0</v>
      </c>
      <c r="G984">
        <v>0</v>
      </c>
      <c r="H984">
        <v>349235</v>
      </c>
      <c r="I984">
        <v>7.8958000000000004</v>
      </c>
      <c r="K984" t="s">
        <v>17</v>
      </c>
    </row>
    <row r="985" spans="1:13" x14ac:dyDescent="0.3">
      <c r="A985">
        <v>3</v>
      </c>
      <c r="B985">
        <v>0</v>
      </c>
      <c r="C985" t="s">
        <v>1724</v>
      </c>
      <c r="D985" t="s">
        <v>20</v>
      </c>
      <c r="F985">
        <v>0</v>
      </c>
      <c r="G985">
        <v>0</v>
      </c>
      <c r="H985" t="s">
        <v>1725</v>
      </c>
      <c r="I985">
        <v>7.55</v>
      </c>
      <c r="K985" t="s">
        <v>17</v>
      </c>
    </row>
    <row r="986" spans="1:13" x14ac:dyDescent="0.3">
      <c r="A986">
        <v>3</v>
      </c>
      <c r="B986">
        <v>1</v>
      </c>
      <c r="C986" t="s">
        <v>1726</v>
      </c>
      <c r="D986" t="s">
        <v>15</v>
      </c>
      <c r="F986">
        <v>0</v>
      </c>
      <c r="G986">
        <v>0</v>
      </c>
      <c r="H986">
        <v>370370</v>
      </c>
      <c r="I986">
        <v>7.75</v>
      </c>
      <c r="K986" t="s">
        <v>463</v>
      </c>
      <c r="L986">
        <v>15</v>
      </c>
    </row>
    <row r="987" spans="1:13" x14ac:dyDescent="0.3">
      <c r="A987">
        <v>3</v>
      </c>
      <c r="B987">
        <v>1</v>
      </c>
      <c r="C987" t="s">
        <v>1727</v>
      </c>
      <c r="D987" t="s">
        <v>20</v>
      </c>
      <c r="E987">
        <v>24</v>
      </c>
      <c r="F987">
        <v>0</v>
      </c>
      <c r="G987">
        <v>0</v>
      </c>
      <c r="H987" t="s">
        <v>1728</v>
      </c>
      <c r="I987">
        <v>7.1417000000000002</v>
      </c>
      <c r="K987" t="s">
        <v>17</v>
      </c>
      <c r="L987">
        <v>13</v>
      </c>
    </row>
    <row r="988" spans="1:13" x14ac:dyDescent="0.3">
      <c r="A988">
        <v>3</v>
      </c>
      <c r="B988">
        <v>0</v>
      </c>
      <c r="C988" t="s">
        <v>1729</v>
      </c>
      <c r="D988" t="s">
        <v>20</v>
      </c>
      <c r="E988">
        <v>22</v>
      </c>
      <c r="F988">
        <v>0</v>
      </c>
      <c r="G988">
        <v>0</v>
      </c>
      <c r="H988" t="s">
        <v>1730</v>
      </c>
      <c r="I988">
        <v>7.125</v>
      </c>
      <c r="K988" t="s">
        <v>17</v>
      </c>
    </row>
    <row r="989" spans="1:13" x14ac:dyDescent="0.3">
      <c r="A989">
        <v>3</v>
      </c>
      <c r="B989">
        <v>0</v>
      </c>
      <c r="C989" t="s">
        <v>1731</v>
      </c>
      <c r="D989" t="s">
        <v>15</v>
      </c>
      <c r="F989">
        <v>0</v>
      </c>
      <c r="G989">
        <v>0</v>
      </c>
      <c r="H989">
        <v>330924</v>
      </c>
      <c r="I989">
        <v>7.8792</v>
      </c>
      <c r="K989" t="s">
        <v>463</v>
      </c>
    </row>
    <row r="990" spans="1:13" x14ac:dyDescent="0.3">
      <c r="A990">
        <v>3</v>
      </c>
      <c r="B990">
        <v>0</v>
      </c>
      <c r="C990" t="s">
        <v>1732</v>
      </c>
      <c r="D990" t="s">
        <v>20</v>
      </c>
      <c r="F990">
        <v>0</v>
      </c>
      <c r="G990">
        <v>0</v>
      </c>
      <c r="H990" t="s">
        <v>1733</v>
      </c>
      <c r="I990">
        <v>7.75</v>
      </c>
      <c r="K990" t="s">
        <v>463</v>
      </c>
    </row>
    <row r="991" spans="1:13" x14ac:dyDescent="0.3">
      <c r="A991">
        <v>3</v>
      </c>
      <c r="B991">
        <v>0</v>
      </c>
      <c r="C991" t="s">
        <v>1734</v>
      </c>
      <c r="D991" t="s">
        <v>20</v>
      </c>
      <c r="F991">
        <v>0</v>
      </c>
      <c r="G991">
        <v>0</v>
      </c>
      <c r="H991" t="s">
        <v>1735</v>
      </c>
      <c r="I991">
        <v>8.0500000000000007</v>
      </c>
      <c r="K991" t="s">
        <v>17</v>
      </c>
    </row>
    <row r="992" spans="1:13" x14ac:dyDescent="0.3">
      <c r="A992">
        <v>3</v>
      </c>
      <c r="B992">
        <v>0</v>
      </c>
      <c r="C992" t="s">
        <v>1736</v>
      </c>
      <c r="D992" t="s">
        <v>20</v>
      </c>
      <c r="E992">
        <v>29</v>
      </c>
      <c r="F992">
        <v>0</v>
      </c>
      <c r="G992">
        <v>0</v>
      </c>
      <c r="H992" t="s">
        <v>1737</v>
      </c>
      <c r="I992">
        <v>7.9249999999999998</v>
      </c>
      <c r="K992" t="s">
        <v>17</v>
      </c>
    </row>
    <row r="993" spans="1:13" x14ac:dyDescent="0.3">
      <c r="A993">
        <v>3</v>
      </c>
      <c r="B993">
        <v>1</v>
      </c>
      <c r="C993" t="s">
        <v>1738</v>
      </c>
      <c r="D993" t="s">
        <v>20</v>
      </c>
      <c r="F993">
        <v>0</v>
      </c>
      <c r="G993">
        <v>0</v>
      </c>
      <c r="H993">
        <v>2677</v>
      </c>
      <c r="I993">
        <v>7.2291999999999996</v>
      </c>
      <c r="K993" t="s">
        <v>41</v>
      </c>
      <c r="L993">
        <v>15</v>
      </c>
    </row>
    <row r="994" spans="1:13" x14ac:dyDescent="0.3">
      <c r="A994">
        <v>3</v>
      </c>
      <c r="B994">
        <v>0</v>
      </c>
      <c r="C994" t="s">
        <v>1739</v>
      </c>
      <c r="D994" t="s">
        <v>15</v>
      </c>
      <c r="E994">
        <v>30.5</v>
      </c>
      <c r="F994">
        <v>0</v>
      </c>
      <c r="G994">
        <v>0</v>
      </c>
      <c r="H994">
        <v>364850</v>
      </c>
      <c r="I994">
        <v>7.75</v>
      </c>
      <c r="K994" t="s">
        <v>463</v>
      </c>
      <c r="M994">
        <v>61</v>
      </c>
    </row>
    <row r="995" spans="1:13" x14ac:dyDescent="0.3">
      <c r="A995">
        <v>3</v>
      </c>
      <c r="B995">
        <v>1</v>
      </c>
      <c r="C995" t="s">
        <v>1740</v>
      </c>
      <c r="D995" t="s">
        <v>15</v>
      </c>
      <c r="F995">
        <v>0</v>
      </c>
      <c r="G995">
        <v>0</v>
      </c>
      <c r="H995">
        <v>36866</v>
      </c>
      <c r="I995">
        <v>7.7374999999999998</v>
      </c>
      <c r="K995" t="s">
        <v>463</v>
      </c>
      <c r="L995">
        <v>16</v>
      </c>
    </row>
    <row r="996" spans="1:13" x14ac:dyDescent="0.3">
      <c r="A996">
        <v>3</v>
      </c>
      <c r="B996">
        <v>0</v>
      </c>
      <c r="C996" t="s">
        <v>1741</v>
      </c>
      <c r="D996" t="s">
        <v>20</v>
      </c>
      <c r="F996">
        <v>0</v>
      </c>
      <c r="G996">
        <v>0</v>
      </c>
      <c r="H996">
        <v>2655</v>
      </c>
      <c r="I996">
        <v>7.2291999999999996</v>
      </c>
      <c r="J996" t="s">
        <v>1742</v>
      </c>
      <c r="K996" t="s">
        <v>41</v>
      </c>
    </row>
    <row r="997" spans="1:13" x14ac:dyDescent="0.3">
      <c r="A997">
        <v>3</v>
      </c>
      <c r="B997">
        <v>0</v>
      </c>
      <c r="C997" t="s">
        <v>1743</v>
      </c>
      <c r="D997" t="s">
        <v>20</v>
      </c>
      <c r="E997">
        <v>35</v>
      </c>
      <c r="F997">
        <v>0</v>
      </c>
      <c r="G997">
        <v>0</v>
      </c>
      <c r="H997">
        <v>349213</v>
      </c>
      <c r="I997">
        <v>7.8958000000000004</v>
      </c>
      <c r="K997" t="s">
        <v>41</v>
      </c>
    </row>
    <row r="998" spans="1:13" x14ac:dyDescent="0.3">
      <c r="A998">
        <v>3</v>
      </c>
      <c r="B998">
        <v>0</v>
      </c>
      <c r="C998" t="s">
        <v>1744</v>
      </c>
      <c r="D998" t="s">
        <v>20</v>
      </c>
      <c r="E998">
        <v>33</v>
      </c>
      <c r="F998">
        <v>0</v>
      </c>
      <c r="G998">
        <v>0</v>
      </c>
      <c r="H998">
        <v>349257</v>
      </c>
      <c r="I998">
        <v>7.8958000000000004</v>
      </c>
      <c r="K998" t="s">
        <v>17</v>
      </c>
    </row>
    <row r="999" spans="1:13" x14ac:dyDescent="0.3">
      <c r="A999">
        <v>3</v>
      </c>
      <c r="B999">
        <v>1</v>
      </c>
      <c r="C999" t="s">
        <v>1745</v>
      </c>
      <c r="D999" t="s">
        <v>15</v>
      </c>
      <c r="F999">
        <v>0</v>
      </c>
      <c r="G999">
        <v>0</v>
      </c>
      <c r="H999">
        <v>2649</v>
      </c>
      <c r="I999">
        <v>7.2249999999999996</v>
      </c>
      <c r="K999" t="s">
        <v>41</v>
      </c>
      <c r="L999" t="s">
        <v>41</v>
      </c>
    </row>
    <row r="1000" spans="1:13" x14ac:dyDescent="0.3">
      <c r="A1000">
        <v>3</v>
      </c>
      <c r="B1000">
        <v>0</v>
      </c>
      <c r="C1000" t="s">
        <v>1746</v>
      </c>
      <c r="D1000" t="s">
        <v>20</v>
      </c>
      <c r="F1000">
        <v>0</v>
      </c>
      <c r="G1000">
        <v>0</v>
      </c>
      <c r="H1000">
        <v>349255</v>
      </c>
      <c r="I1000">
        <v>7.8958000000000004</v>
      </c>
      <c r="K1000" t="s">
        <v>41</v>
      </c>
    </row>
    <row r="1001" spans="1:13" x14ac:dyDescent="0.3">
      <c r="A1001">
        <v>3</v>
      </c>
      <c r="B1001">
        <v>1</v>
      </c>
      <c r="C1001" t="s">
        <v>1747</v>
      </c>
      <c r="D1001" t="s">
        <v>15</v>
      </c>
      <c r="F1001">
        <v>0</v>
      </c>
      <c r="G1001">
        <v>0</v>
      </c>
      <c r="H1001">
        <v>383123</v>
      </c>
      <c r="I1001">
        <v>7.75</v>
      </c>
      <c r="K1001" t="s">
        <v>463</v>
      </c>
      <c r="L1001" t="s">
        <v>1748</v>
      </c>
    </row>
    <row r="1002" spans="1:13" x14ac:dyDescent="0.3">
      <c r="A1002">
        <v>3</v>
      </c>
      <c r="B1002">
        <v>1</v>
      </c>
      <c r="C1002" t="s">
        <v>1749</v>
      </c>
      <c r="D1002" t="s">
        <v>20</v>
      </c>
      <c r="F1002">
        <v>0</v>
      </c>
      <c r="G1002">
        <v>0</v>
      </c>
      <c r="H1002">
        <v>367228</v>
      </c>
      <c r="I1002">
        <v>7.75</v>
      </c>
      <c r="K1002" t="s">
        <v>463</v>
      </c>
    </row>
    <row r="1003" spans="1:13" x14ac:dyDescent="0.3">
      <c r="A1003">
        <v>3</v>
      </c>
      <c r="B1003">
        <v>1</v>
      </c>
      <c r="C1003" t="s">
        <v>1750</v>
      </c>
      <c r="D1003" t="s">
        <v>15</v>
      </c>
      <c r="F1003">
        <v>2</v>
      </c>
      <c r="G1003">
        <v>0</v>
      </c>
      <c r="H1003">
        <v>367226</v>
      </c>
      <c r="I1003">
        <v>23.25</v>
      </c>
      <c r="K1003" t="s">
        <v>463</v>
      </c>
      <c r="L1003">
        <v>16</v>
      </c>
    </row>
    <row r="1004" spans="1:13" x14ac:dyDescent="0.3">
      <c r="A1004">
        <v>3</v>
      </c>
      <c r="B1004">
        <v>1</v>
      </c>
      <c r="C1004" t="s">
        <v>1751</v>
      </c>
      <c r="D1004" t="s">
        <v>15</v>
      </c>
      <c r="F1004">
        <v>2</v>
      </c>
      <c r="G1004">
        <v>0</v>
      </c>
      <c r="H1004">
        <v>367226</v>
      </c>
      <c r="I1004">
        <v>23.25</v>
      </c>
      <c r="K1004" t="s">
        <v>463</v>
      </c>
      <c r="L1004">
        <v>16</v>
      </c>
    </row>
    <row r="1005" spans="1:13" x14ac:dyDescent="0.3">
      <c r="A1005">
        <v>3</v>
      </c>
      <c r="B1005">
        <v>1</v>
      </c>
      <c r="C1005" t="s">
        <v>1752</v>
      </c>
      <c r="D1005" t="s">
        <v>20</v>
      </c>
      <c r="F1005">
        <v>2</v>
      </c>
      <c r="G1005">
        <v>0</v>
      </c>
      <c r="H1005">
        <v>367226</v>
      </c>
      <c r="I1005">
        <v>23.25</v>
      </c>
      <c r="K1005" t="s">
        <v>463</v>
      </c>
      <c r="L1005">
        <v>16</v>
      </c>
    </row>
    <row r="1006" spans="1:13" x14ac:dyDescent="0.3">
      <c r="A1006">
        <v>3</v>
      </c>
      <c r="B1006">
        <v>1</v>
      </c>
      <c r="C1006" t="s">
        <v>1753</v>
      </c>
      <c r="D1006" t="s">
        <v>15</v>
      </c>
      <c r="F1006">
        <v>0</v>
      </c>
      <c r="G1006">
        <v>0</v>
      </c>
      <c r="H1006">
        <v>330932</v>
      </c>
      <c r="I1006">
        <v>7.7874999999999996</v>
      </c>
      <c r="K1006" t="s">
        <v>463</v>
      </c>
      <c r="L1006">
        <v>13</v>
      </c>
    </row>
    <row r="1007" spans="1:13" x14ac:dyDescent="0.3">
      <c r="A1007">
        <v>3</v>
      </c>
      <c r="B1007">
        <v>0</v>
      </c>
      <c r="C1007" t="s">
        <v>1754</v>
      </c>
      <c r="D1007" t="s">
        <v>20</v>
      </c>
      <c r="F1007">
        <v>0</v>
      </c>
      <c r="G1007">
        <v>0</v>
      </c>
      <c r="H1007">
        <v>36568</v>
      </c>
      <c r="I1007">
        <v>15.5</v>
      </c>
      <c r="K1007" t="s">
        <v>463</v>
      </c>
    </row>
    <row r="1008" spans="1:13" x14ac:dyDescent="0.3">
      <c r="A1008">
        <v>3</v>
      </c>
      <c r="B1008">
        <v>1</v>
      </c>
      <c r="C1008" t="s">
        <v>1755</v>
      </c>
      <c r="D1008" t="s">
        <v>15</v>
      </c>
      <c r="F1008">
        <v>0</v>
      </c>
      <c r="G1008">
        <v>0</v>
      </c>
      <c r="H1008">
        <v>330931</v>
      </c>
      <c r="I1008">
        <v>7.8792</v>
      </c>
      <c r="K1008" t="s">
        <v>463</v>
      </c>
      <c r="L1008">
        <v>13</v>
      </c>
    </row>
    <row r="1009" spans="1:13" x14ac:dyDescent="0.3">
      <c r="A1009">
        <v>3</v>
      </c>
      <c r="B1009">
        <v>1</v>
      </c>
      <c r="C1009" t="s">
        <v>1756</v>
      </c>
      <c r="D1009" t="s">
        <v>15</v>
      </c>
      <c r="E1009">
        <v>15</v>
      </c>
      <c r="F1009">
        <v>0</v>
      </c>
      <c r="G1009">
        <v>0</v>
      </c>
      <c r="H1009">
        <v>330923</v>
      </c>
      <c r="I1009">
        <v>8.0291999999999994</v>
      </c>
      <c r="K1009" t="s">
        <v>463</v>
      </c>
    </row>
    <row r="1010" spans="1:13" x14ac:dyDescent="0.3">
      <c r="A1010">
        <v>3</v>
      </c>
      <c r="B1010">
        <v>0</v>
      </c>
      <c r="C1010" t="s">
        <v>1757</v>
      </c>
      <c r="D1010" t="s">
        <v>15</v>
      </c>
      <c r="E1010">
        <v>35</v>
      </c>
      <c r="F1010">
        <v>0</v>
      </c>
      <c r="G1010">
        <v>0</v>
      </c>
      <c r="H1010">
        <v>9232</v>
      </c>
      <c r="I1010">
        <v>7.75</v>
      </c>
      <c r="K1010" t="s">
        <v>463</v>
      </c>
    </row>
    <row r="1011" spans="1:13" x14ac:dyDescent="0.3">
      <c r="A1011">
        <v>3</v>
      </c>
      <c r="B1011">
        <v>0</v>
      </c>
      <c r="C1011" t="s">
        <v>1758</v>
      </c>
      <c r="D1011" t="s">
        <v>20</v>
      </c>
      <c r="F1011">
        <v>0</v>
      </c>
      <c r="G1011">
        <v>0</v>
      </c>
      <c r="H1011">
        <v>370372</v>
      </c>
      <c r="I1011">
        <v>7.75</v>
      </c>
      <c r="K1011" t="s">
        <v>463</v>
      </c>
    </row>
    <row r="1012" spans="1:13" x14ac:dyDescent="0.3">
      <c r="A1012">
        <v>3</v>
      </c>
      <c r="B1012">
        <v>0</v>
      </c>
      <c r="C1012" t="s">
        <v>1759</v>
      </c>
      <c r="D1012" t="s">
        <v>20</v>
      </c>
      <c r="E1012">
        <v>24</v>
      </c>
      <c r="F1012">
        <v>1</v>
      </c>
      <c r="G1012">
        <v>0</v>
      </c>
      <c r="H1012">
        <v>376566</v>
      </c>
      <c r="I1012">
        <v>16.100000000000001</v>
      </c>
      <c r="K1012" t="s">
        <v>17</v>
      </c>
    </row>
    <row r="1013" spans="1:13" x14ac:dyDescent="0.3">
      <c r="A1013">
        <v>3</v>
      </c>
      <c r="B1013">
        <v>0</v>
      </c>
      <c r="C1013" t="s">
        <v>1760</v>
      </c>
      <c r="D1013" t="s">
        <v>15</v>
      </c>
      <c r="E1013">
        <v>19</v>
      </c>
      <c r="F1013">
        <v>1</v>
      </c>
      <c r="G1013">
        <v>0</v>
      </c>
      <c r="H1013">
        <v>376566</v>
      </c>
      <c r="I1013">
        <v>16.100000000000001</v>
      </c>
      <c r="K1013" t="s">
        <v>17</v>
      </c>
      <c r="M1013">
        <v>53</v>
      </c>
    </row>
    <row r="1014" spans="1:13" x14ac:dyDescent="0.3">
      <c r="A1014">
        <v>3</v>
      </c>
      <c r="B1014">
        <v>0</v>
      </c>
      <c r="C1014" t="s">
        <v>1761</v>
      </c>
      <c r="D1014" t="s">
        <v>15</v>
      </c>
      <c r="F1014">
        <v>0</v>
      </c>
      <c r="G1014">
        <v>0</v>
      </c>
      <c r="H1014">
        <v>370368</v>
      </c>
      <c r="I1014">
        <v>7.75</v>
      </c>
      <c r="K1014" t="s">
        <v>463</v>
      </c>
    </row>
    <row r="1015" spans="1:13" x14ac:dyDescent="0.3">
      <c r="A1015">
        <v>3</v>
      </c>
      <c r="B1015">
        <v>0</v>
      </c>
      <c r="C1015" t="s">
        <v>1762</v>
      </c>
      <c r="D1015" t="s">
        <v>15</v>
      </c>
      <c r="F1015">
        <v>0</v>
      </c>
      <c r="G1015">
        <v>0</v>
      </c>
      <c r="H1015" t="s">
        <v>1763</v>
      </c>
      <c r="I1015">
        <v>8.0500000000000007</v>
      </c>
      <c r="K1015" t="s">
        <v>17</v>
      </c>
    </row>
    <row r="1016" spans="1:13" x14ac:dyDescent="0.3">
      <c r="A1016">
        <v>3</v>
      </c>
      <c r="B1016">
        <v>0</v>
      </c>
      <c r="C1016" t="s">
        <v>1764</v>
      </c>
      <c r="D1016" t="s">
        <v>15</v>
      </c>
      <c r="F1016">
        <v>0</v>
      </c>
      <c r="G1016">
        <v>0</v>
      </c>
      <c r="H1016">
        <v>343095</v>
      </c>
      <c r="I1016">
        <v>8.0500000000000007</v>
      </c>
      <c r="K1016" t="s">
        <v>17</v>
      </c>
    </row>
    <row r="1017" spans="1:13" x14ac:dyDescent="0.3">
      <c r="A1017">
        <v>3</v>
      </c>
      <c r="B1017">
        <v>0</v>
      </c>
      <c r="C1017" t="s">
        <v>1765</v>
      </c>
      <c r="D1017" t="s">
        <v>20</v>
      </c>
      <c r="E1017">
        <v>55.5</v>
      </c>
      <c r="F1017">
        <v>0</v>
      </c>
      <c r="G1017">
        <v>0</v>
      </c>
      <c r="H1017" t="s">
        <v>1766</v>
      </c>
      <c r="I1017">
        <v>8.0500000000000007</v>
      </c>
      <c r="K1017" t="s">
        <v>17</v>
      </c>
      <c r="M1017">
        <v>201</v>
      </c>
    </row>
    <row r="1018" spans="1:13" x14ac:dyDescent="0.3">
      <c r="A1018">
        <v>3</v>
      </c>
      <c r="B1018">
        <v>0</v>
      </c>
      <c r="C1018" t="s">
        <v>1767</v>
      </c>
      <c r="D1018" t="s">
        <v>20</v>
      </c>
      <c r="F1018">
        <v>0</v>
      </c>
      <c r="G1018">
        <v>0</v>
      </c>
      <c r="H1018">
        <v>368703</v>
      </c>
      <c r="I1018">
        <v>7.75</v>
      </c>
      <c r="K1018" t="s">
        <v>463</v>
      </c>
    </row>
    <row r="1019" spans="1:13" x14ac:dyDescent="0.3">
      <c r="A1019">
        <v>3</v>
      </c>
      <c r="B1019">
        <v>1</v>
      </c>
      <c r="C1019" t="s">
        <v>1768</v>
      </c>
      <c r="D1019" t="s">
        <v>20</v>
      </c>
      <c r="E1019">
        <v>21</v>
      </c>
      <c r="F1019">
        <v>0</v>
      </c>
      <c r="G1019">
        <v>0</v>
      </c>
      <c r="H1019">
        <v>345501</v>
      </c>
      <c r="I1019">
        <v>7.7750000000000004</v>
      </c>
      <c r="K1019" t="s">
        <v>17</v>
      </c>
      <c r="L1019">
        <v>15</v>
      </c>
    </row>
    <row r="1020" spans="1:13" x14ac:dyDescent="0.3">
      <c r="A1020">
        <v>3</v>
      </c>
      <c r="B1020">
        <v>0</v>
      </c>
      <c r="C1020" t="s">
        <v>1769</v>
      </c>
      <c r="D1020" t="s">
        <v>20</v>
      </c>
      <c r="F1020">
        <v>0</v>
      </c>
      <c r="G1020">
        <v>0</v>
      </c>
      <c r="H1020">
        <v>359306</v>
      </c>
      <c r="I1020">
        <v>8.0500000000000007</v>
      </c>
      <c r="K1020" t="s">
        <v>17</v>
      </c>
    </row>
    <row r="1021" spans="1:13" x14ac:dyDescent="0.3">
      <c r="A1021">
        <v>3</v>
      </c>
      <c r="B1021">
        <v>0</v>
      </c>
      <c r="C1021" t="s">
        <v>1770</v>
      </c>
      <c r="D1021" t="s">
        <v>20</v>
      </c>
      <c r="E1021">
        <v>24</v>
      </c>
      <c r="F1021">
        <v>0</v>
      </c>
      <c r="G1021">
        <v>0</v>
      </c>
      <c r="H1021">
        <v>349233</v>
      </c>
      <c r="I1021">
        <v>7.8958000000000004</v>
      </c>
      <c r="K1021" t="s">
        <v>17</v>
      </c>
    </row>
    <row r="1022" spans="1:13" x14ac:dyDescent="0.3">
      <c r="A1022">
        <v>3</v>
      </c>
      <c r="B1022">
        <v>0</v>
      </c>
      <c r="C1022" t="s">
        <v>1771</v>
      </c>
      <c r="D1022" t="s">
        <v>20</v>
      </c>
      <c r="E1022">
        <v>21</v>
      </c>
      <c r="F1022">
        <v>0</v>
      </c>
      <c r="G1022">
        <v>0</v>
      </c>
      <c r="H1022">
        <v>349211</v>
      </c>
      <c r="I1022">
        <v>7.8958000000000004</v>
      </c>
      <c r="K1022" t="s">
        <v>17</v>
      </c>
    </row>
    <row r="1023" spans="1:13" x14ac:dyDescent="0.3">
      <c r="A1023">
        <v>3</v>
      </c>
      <c r="B1023">
        <v>0</v>
      </c>
      <c r="C1023" t="s">
        <v>1772</v>
      </c>
      <c r="D1023" t="s">
        <v>20</v>
      </c>
      <c r="E1023">
        <v>28</v>
      </c>
      <c r="F1023">
        <v>0</v>
      </c>
      <c r="G1023">
        <v>0</v>
      </c>
      <c r="H1023">
        <v>349207</v>
      </c>
      <c r="I1023">
        <v>7.8958000000000004</v>
      </c>
      <c r="K1023" t="s">
        <v>17</v>
      </c>
    </row>
    <row r="1024" spans="1:13" x14ac:dyDescent="0.3">
      <c r="A1024">
        <v>3</v>
      </c>
      <c r="B1024">
        <v>0</v>
      </c>
      <c r="C1024" t="s">
        <v>1773</v>
      </c>
      <c r="D1024" t="s">
        <v>20</v>
      </c>
      <c r="F1024">
        <v>0</v>
      </c>
      <c r="G1024">
        <v>0</v>
      </c>
      <c r="H1024">
        <v>349221</v>
      </c>
      <c r="I1024">
        <v>7.8958000000000004</v>
      </c>
      <c r="K1024" t="s">
        <v>17</v>
      </c>
    </row>
    <row r="1025" spans="1:13" x14ac:dyDescent="0.3">
      <c r="A1025">
        <v>3</v>
      </c>
      <c r="B1025">
        <v>1</v>
      </c>
      <c r="C1025" t="s">
        <v>1774</v>
      </c>
      <c r="D1025" t="s">
        <v>15</v>
      </c>
      <c r="F1025">
        <v>0</v>
      </c>
      <c r="G1025">
        <v>0</v>
      </c>
      <c r="H1025">
        <v>330980</v>
      </c>
      <c r="I1025">
        <v>7.8792</v>
      </c>
      <c r="K1025" t="s">
        <v>463</v>
      </c>
      <c r="L1025">
        <v>16</v>
      </c>
    </row>
    <row r="1026" spans="1:13" x14ac:dyDescent="0.3">
      <c r="A1026">
        <v>3</v>
      </c>
      <c r="B1026">
        <v>0</v>
      </c>
      <c r="C1026" t="s">
        <v>1775</v>
      </c>
      <c r="D1026" t="s">
        <v>20</v>
      </c>
      <c r="E1026">
        <v>25</v>
      </c>
      <c r="F1026">
        <v>0</v>
      </c>
      <c r="G1026">
        <v>0</v>
      </c>
      <c r="H1026">
        <v>348123</v>
      </c>
      <c r="I1026">
        <v>7.65</v>
      </c>
      <c r="J1026" t="s">
        <v>1776</v>
      </c>
      <c r="K1026" t="s">
        <v>17</v>
      </c>
      <c r="M1026">
        <v>309</v>
      </c>
    </row>
    <row r="1027" spans="1:13" x14ac:dyDescent="0.3">
      <c r="A1027">
        <v>3</v>
      </c>
      <c r="B1027">
        <v>1</v>
      </c>
      <c r="C1027" t="s">
        <v>1777</v>
      </c>
      <c r="D1027" t="s">
        <v>20</v>
      </c>
      <c r="E1027">
        <v>6</v>
      </c>
      <c r="F1027">
        <v>0</v>
      </c>
      <c r="G1027">
        <v>1</v>
      </c>
      <c r="H1027">
        <v>392096</v>
      </c>
      <c r="I1027">
        <v>12.475</v>
      </c>
      <c r="J1027" t="s">
        <v>1778</v>
      </c>
      <c r="K1027" t="s">
        <v>17</v>
      </c>
      <c r="L1027">
        <v>14</v>
      </c>
    </row>
    <row r="1028" spans="1:13" x14ac:dyDescent="0.3">
      <c r="A1028">
        <v>3</v>
      </c>
      <c r="B1028">
        <v>1</v>
      </c>
      <c r="C1028" t="s">
        <v>1779</v>
      </c>
      <c r="D1028" t="s">
        <v>15</v>
      </c>
      <c r="E1028">
        <v>27</v>
      </c>
      <c r="F1028">
        <v>0</v>
      </c>
      <c r="G1028">
        <v>1</v>
      </c>
      <c r="H1028">
        <v>392096</v>
      </c>
      <c r="I1028">
        <v>12.475</v>
      </c>
      <c r="J1028" t="s">
        <v>1778</v>
      </c>
      <c r="K1028" t="s">
        <v>17</v>
      </c>
      <c r="L1028">
        <v>14</v>
      </c>
    </row>
    <row r="1029" spans="1:13" x14ac:dyDescent="0.3">
      <c r="A1029">
        <v>3</v>
      </c>
      <c r="B1029">
        <v>0</v>
      </c>
      <c r="C1029" t="s">
        <v>1780</v>
      </c>
      <c r="D1029" t="s">
        <v>20</v>
      </c>
      <c r="F1029">
        <v>0</v>
      </c>
      <c r="G1029">
        <v>0</v>
      </c>
      <c r="H1029" t="s">
        <v>1781</v>
      </c>
      <c r="I1029">
        <v>8.0500000000000007</v>
      </c>
      <c r="K1029" t="s">
        <v>17</v>
      </c>
    </row>
    <row r="1030" spans="1:13" x14ac:dyDescent="0.3">
      <c r="A1030">
        <v>3</v>
      </c>
      <c r="B1030">
        <v>1</v>
      </c>
      <c r="C1030" t="s">
        <v>1782</v>
      </c>
      <c r="D1030" t="s">
        <v>15</v>
      </c>
      <c r="F1030">
        <v>1</v>
      </c>
      <c r="G1030">
        <v>0</v>
      </c>
      <c r="H1030">
        <v>371110</v>
      </c>
      <c r="I1030">
        <v>24.15</v>
      </c>
      <c r="K1030" t="s">
        <v>463</v>
      </c>
      <c r="L1030">
        <v>16</v>
      </c>
    </row>
    <row r="1031" spans="1:13" x14ac:dyDescent="0.3">
      <c r="A1031">
        <v>3</v>
      </c>
      <c r="B1031">
        <v>0</v>
      </c>
      <c r="C1031" t="s">
        <v>1783</v>
      </c>
      <c r="D1031" t="s">
        <v>20</v>
      </c>
      <c r="F1031">
        <v>1</v>
      </c>
      <c r="G1031">
        <v>0</v>
      </c>
      <c r="H1031">
        <v>371110</v>
      </c>
      <c r="I1031">
        <v>24.15</v>
      </c>
      <c r="K1031" t="s">
        <v>463</v>
      </c>
    </row>
    <row r="1032" spans="1:13" x14ac:dyDescent="0.3">
      <c r="A1032">
        <v>3</v>
      </c>
      <c r="B1032">
        <v>0</v>
      </c>
      <c r="C1032" t="s">
        <v>1784</v>
      </c>
      <c r="D1032" t="s">
        <v>20</v>
      </c>
      <c r="F1032">
        <v>0</v>
      </c>
      <c r="G1032">
        <v>0</v>
      </c>
      <c r="H1032">
        <v>330877</v>
      </c>
      <c r="I1032">
        <v>8.4582999999999995</v>
      </c>
      <c r="K1032" t="s">
        <v>463</v>
      </c>
    </row>
    <row r="1033" spans="1:13" x14ac:dyDescent="0.3">
      <c r="A1033">
        <v>3</v>
      </c>
      <c r="B1033">
        <v>0</v>
      </c>
      <c r="C1033" t="s">
        <v>1785</v>
      </c>
      <c r="D1033" t="s">
        <v>20</v>
      </c>
      <c r="E1033">
        <v>34</v>
      </c>
      <c r="F1033">
        <v>0</v>
      </c>
      <c r="G1033">
        <v>0</v>
      </c>
      <c r="H1033">
        <v>364506</v>
      </c>
      <c r="I1033">
        <v>8.0500000000000007</v>
      </c>
      <c r="K1033" t="s">
        <v>17</v>
      </c>
    </row>
    <row r="1034" spans="1:13" x14ac:dyDescent="0.3">
      <c r="A1034">
        <v>3</v>
      </c>
      <c r="B1034">
        <v>0</v>
      </c>
      <c r="C1034" t="s">
        <v>1786</v>
      </c>
      <c r="D1034" t="s">
        <v>20</v>
      </c>
      <c r="F1034">
        <v>0</v>
      </c>
      <c r="G1034">
        <v>0</v>
      </c>
      <c r="H1034">
        <v>372622</v>
      </c>
      <c r="I1034">
        <v>7.75</v>
      </c>
      <c r="K1034" t="s">
        <v>463</v>
      </c>
    </row>
    <row r="1035" spans="1:13" x14ac:dyDescent="0.3">
      <c r="A1035">
        <v>3</v>
      </c>
      <c r="B1035">
        <v>1</v>
      </c>
      <c r="C1035" t="s">
        <v>1787</v>
      </c>
      <c r="D1035" t="s">
        <v>20</v>
      </c>
      <c r="F1035">
        <v>0</v>
      </c>
      <c r="G1035">
        <v>0</v>
      </c>
      <c r="H1035">
        <v>312991</v>
      </c>
      <c r="I1035">
        <v>7.7750000000000004</v>
      </c>
      <c r="K1035" t="s">
        <v>17</v>
      </c>
      <c r="L1035" t="s">
        <v>54</v>
      </c>
    </row>
    <row r="1036" spans="1:13" x14ac:dyDescent="0.3">
      <c r="A1036">
        <v>3</v>
      </c>
      <c r="B1036">
        <v>1</v>
      </c>
      <c r="C1036" t="s">
        <v>1788</v>
      </c>
      <c r="D1036" t="s">
        <v>20</v>
      </c>
      <c r="F1036">
        <v>1</v>
      </c>
      <c r="G1036">
        <v>1</v>
      </c>
      <c r="H1036">
        <v>2661</v>
      </c>
      <c r="I1036">
        <v>15.245799999999999</v>
      </c>
      <c r="K1036" t="s">
        <v>41</v>
      </c>
      <c r="L1036" t="s">
        <v>41</v>
      </c>
    </row>
    <row r="1037" spans="1:13" x14ac:dyDescent="0.3">
      <c r="A1037">
        <v>3</v>
      </c>
      <c r="B1037">
        <v>1</v>
      </c>
      <c r="C1037" t="s">
        <v>1789</v>
      </c>
      <c r="D1037" t="s">
        <v>20</v>
      </c>
      <c r="F1037">
        <v>1</v>
      </c>
      <c r="G1037">
        <v>1</v>
      </c>
      <c r="H1037">
        <v>2661</v>
      </c>
      <c r="I1037">
        <v>15.245799999999999</v>
      </c>
      <c r="K1037" t="s">
        <v>41</v>
      </c>
      <c r="L1037" t="s">
        <v>41</v>
      </c>
    </row>
    <row r="1038" spans="1:13" x14ac:dyDescent="0.3">
      <c r="A1038">
        <v>3</v>
      </c>
      <c r="B1038">
        <v>1</v>
      </c>
      <c r="C1038" t="s">
        <v>1790</v>
      </c>
      <c r="D1038" t="s">
        <v>15</v>
      </c>
      <c r="F1038">
        <v>0</v>
      </c>
      <c r="G1038">
        <v>2</v>
      </c>
      <c r="H1038">
        <v>2661</v>
      </c>
      <c r="I1038">
        <v>15.245799999999999</v>
      </c>
      <c r="K1038" t="s">
        <v>41</v>
      </c>
      <c r="L1038" t="s">
        <v>41</v>
      </c>
    </row>
    <row r="1039" spans="1:13" x14ac:dyDescent="0.3">
      <c r="A1039">
        <v>3</v>
      </c>
      <c r="B1039">
        <v>1</v>
      </c>
      <c r="C1039" t="s">
        <v>1791</v>
      </c>
      <c r="D1039" t="s">
        <v>15</v>
      </c>
      <c r="F1039">
        <v>0</v>
      </c>
      <c r="G1039">
        <v>0</v>
      </c>
      <c r="H1039">
        <v>2626</v>
      </c>
      <c r="I1039">
        <v>7.2291999999999996</v>
      </c>
      <c r="K1039" t="s">
        <v>41</v>
      </c>
    </row>
    <row r="1040" spans="1:13" x14ac:dyDescent="0.3">
      <c r="A1040">
        <v>3</v>
      </c>
      <c r="B1040">
        <v>0</v>
      </c>
      <c r="C1040" t="s">
        <v>1792</v>
      </c>
      <c r="D1040" t="s">
        <v>20</v>
      </c>
      <c r="F1040">
        <v>0</v>
      </c>
      <c r="G1040">
        <v>0</v>
      </c>
      <c r="H1040">
        <v>374746</v>
      </c>
      <c r="I1040">
        <v>8.0500000000000007</v>
      </c>
      <c r="K1040" t="s">
        <v>17</v>
      </c>
    </row>
    <row r="1041" spans="1:12" x14ac:dyDescent="0.3">
      <c r="A1041">
        <v>3</v>
      </c>
      <c r="B1041">
        <v>1</v>
      </c>
      <c r="C1041" t="s">
        <v>1793</v>
      </c>
      <c r="D1041" t="s">
        <v>15</v>
      </c>
      <c r="F1041">
        <v>0</v>
      </c>
      <c r="G1041">
        <v>0</v>
      </c>
      <c r="H1041">
        <v>35852</v>
      </c>
      <c r="I1041">
        <v>7.7332999999999998</v>
      </c>
      <c r="K1041" t="s">
        <v>463</v>
      </c>
      <c r="L1041">
        <v>16</v>
      </c>
    </row>
    <row r="1042" spans="1:12" x14ac:dyDescent="0.3">
      <c r="A1042">
        <v>3</v>
      </c>
      <c r="B1042">
        <v>1</v>
      </c>
      <c r="C1042" t="s">
        <v>1794</v>
      </c>
      <c r="D1042" t="s">
        <v>15</v>
      </c>
      <c r="E1042">
        <v>24</v>
      </c>
      <c r="F1042">
        <v>0</v>
      </c>
      <c r="G1042">
        <v>0</v>
      </c>
      <c r="H1042">
        <v>382653</v>
      </c>
      <c r="I1042">
        <v>7.75</v>
      </c>
      <c r="K1042" t="s">
        <v>463</v>
      </c>
      <c r="L1042">
        <v>15</v>
      </c>
    </row>
    <row r="1043" spans="1:12" x14ac:dyDescent="0.3">
      <c r="A1043">
        <v>3</v>
      </c>
      <c r="B1043">
        <v>0</v>
      </c>
      <c r="C1043" t="s">
        <v>1795</v>
      </c>
      <c r="D1043" t="s">
        <v>20</v>
      </c>
      <c r="F1043">
        <v>0</v>
      </c>
      <c r="G1043">
        <v>0</v>
      </c>
      <c r="H1043" t="s">
        <v>1796</v>
      </c>
      <c r="I1043">
        <v>8.0500000000000007</v>
      </c>
      <c r="K1043" t="s">
        <v>17</v>
      </c>
    </row>
    <row r="1044" spans="1:12" x14ac:dyDescent="0.3">
      <c r="A1044">
        <v>3</v>
      </c>
      <c r="B1044">
        <v>1</v>
      </c>
      <c r="C1044" t="s">
        <v>1797</v>
      </c>
      <c r="D1044" t="s">
        <v>15</v>
      </c>
      <c r="F1044">
        <v>1</v>
      </c>
      <c r="G1044">
        <v>0</v>
      </c>
      <c r="H1044">
        <v>367230</v>
      </c>
      <c r="I1044">
        <v>15.5</v>
      </c>
      <c r="K1044" t="s">
        <v>463</v>
      </c>
      <c r="L1044">
        <v>16</v>
      </c>
    </row>
    <row r="1045" spans="1:12" x14ac:dyDescent="0.3">
      <c r="A1045">
        <v>3</v>
      </c>
      <c r="B1045">
        <v>1</v>
      </c>
      <c r="C1045" t="s">
        <v>1798</v>
      </c>
      <c r="D1045" t="s">
        <v>15</v>
      </c>
      <c r="F1045">
        <v>1</v>
      </c>
      <c r="G1045">
        <v>0</v>
      </c>
      <c r="H1045">
        <v>367230</v>
      </c>
      <c r="I1045">
        <v>15.5</v>
      </c>
      <c r="K1045" t="s">
        <v>463</v>
      </c>
      <c r="L1045">
        <v>16</v>
      </c>
    </row>
    <row r="1046" spans="1:12" x14ac:dyDescent="0.3">
      <c r="A1046">
        <v>3</v>
      </c>
      <c r="B1046">
        <v>1</v>
      </c>
      <c r="C1046" t="s">
        <v>1799</v>
      </c>
      <c r="D1046" t="s">
        <v>15</v>
      </c>
      <c r="F1046">
        <v>0</v>
      </c>
      <c r="G1046">
        <v>0</v>
      </c>
      <c r="H1046">
        <v>36568</v>
      </c>
      <c r="I1046">
        <v>15.5</v>
      </c>
      <c r="K1046" t="s">
        <v>463</v>
      </c>
      <c r="L1046">
        <v>16</v>
      </c>
    </row>
    <row r="1047" spans="1:12" x14ac:dyDescent="0.3">
      <c r="A1047">
        <v>3</v>
      </c>
      <c r="B1047">
        <v>0</v>
      </c>
      <c r="C1047" t="s">
        <v>1800</v>
      </c>
      <c r="D1047" t="s">
        <v>20</v>
      </c>
      <c r="E1047">
        <v>18</v>
      </c>
      <c r="F1047">
        <v>0</v>
      </c>
      <c r="G1047">
        <v>0</v>
      </c>
      <c r="H1047">
        <v>347078</v>
      </c>
      <c r="I1047">
        <v>7.75</v>
      </c>
      <c r="K1047" t="s">
        <v>17</v>
      </c>
    </row>
    <row r="1048" spans="1:12" x14ac:dyDescent="0.3">
      <c r="A1048">
        <v>3</v>
      </c>
      <c r="B1048">
        <v>0</v>
      </c>
      <c r="C1048" t="s">
        <v>1801</v>
      </c>
      <c r="D1048" t="s">
        <v>20</v>
      </c>
      <c r="E1048">
        <v>22</v>
      </c>
      <c r="F1048">
        <v>0</v>
      </c>
      <c r="G1048">
        <v>0</v>
      </c>
      <c r="H1048">
        <v>349206</v>
      </c>
      <c r="I1048">
        <v>7.8958000000000004</v>
      </c>
      <c r="K1048" t="s">
        <v>17</v>
      </c>
    </row>
    <row r="1049" spans="1:12" x14ac:dyDescent="0.3">
      <c r="A1049">
        <v>3</v>
      </c>
      <c r="B1049">
        <v>1</v>
      </c>
      <c r="C1049" t="s">
        <v>1802</v>
      </c>
      <c r="D1049" t="s">
        <v>15</v>
      </c>
      <c r="E1049">
        <v>15</v>
      </c>
      <c r="F1049">
        <v>0</v>
      </c>
      <c r="G1049">
        <v>0</v>
      </c>
      <c r="H1049">
        <v>2667</v>
      </c>
      <c r="I1049">
        <v>7.2249999999999996</v>
      </c>
      <c r="K1049" t="s">
        <v>41</v>
      </c>
      <c r="L1049" t="s">
        <v>41</v>
      </c>
    </row>
    <row r="1050" spans="1:12" x14ac:dyDescent="0.3">
      <c r="A1050">
        <v>3</v>
      </c>
      <c r="B1050">
        <v>1</v>
      </c>
      <c r="C1050" t="s">
        <v>1803</v>
      </c>
      <c r="D1050" t="s">
        <v>15</v>
      </c>
      <c r="E1050">
        <v>1</v>
      </c>
      <c r="F1050">
        <v>0</v>
      </c>
      <c r="G1050">
        <v>2</v>
      </c>
      <c r="H1050">
        <v>2653</v>
      </c>
      <c r="I1050">
        <v>15.7417</v>
      </c>
      <c r="K1050" t="s">
        <v>41</v>
      </c>
      <c r="L1050" t="s">
        <v>41</v>
      </c>
    </row>
    <row r="1051" spans="1:12" x14ac:dyDescent="0.3">
      <c r="A1051">
        <v>3</v>
      </c>
      <c r="B1051">
        <v>1</v>
      </c>
      <c r="C1051" t="s">
        <v>1804</v>
      </c>
      <c r="D1051" t="s">
        <v>20</v>
      </c>
      <c r="E1051">
        <v>20</v>
      </c>
      <c r="F1051">
        <v>1</v>
      </c>
      <c r="G1051">
        <v>1</v>
      </c>
      <c r="H1051">
        <v>2653</v>
      </c>
      <c r="I1051">
        <v>15.7417</v>
      </c>
      <c r="K1051" t="s">
        <v>41</v>
      </c>
      <c r="L1051" t="s">
        <v>41</v>
      </c>
    </row>
    <row r="1052" spans="1:12" x14ac:dyDescent="0.3">
      <c r="A1052">
        <v>3</v>
      </c>
      <c r="B1052">
        <v>1</v>
      </c>
      <c r="C1052" t="s">
        <v>1805</v>
      </c>
      <c r="D1052" t="s">
        <v>15</v>
      </c>
      <c r="E1052">
        <v>19</v>
      </c>
      <c r="F1052">
        <v>1</v>
      </c>
      <c r="G1052">
        <v>1</v>
      </c>
      <c r="H1052">
        <v>2653</v>
      </c>
      <c r="I1052">
        <v>15.7417</v>
      </c>
      <c r="K1052" t="s">
        <v>41</v>
      </c>
      <c r="L1052" t="s">
        <v>41</v>
      </c>
    </row>
    <row r="1053" spans="1:12" x14ac:dyDescent="0.3">
      <c r="A1053">
        <v>3</v>
      </c>
      <c r="B1053">
        <v>0</v>
      </c>
      <c r="C1053" t="s">
        <v>1806</v>
      </c>
      <c r="D1053" t="s">
        <v>20</v>
      </c>
      <c r="E1053">
        <v>33</v>
      </c>
      <c r="F1053">
        <v>0</v>
      </c>
      <c r="G1053">
        <v>0</v>
      </c>
      <c r="H1053" t="s">
        <v>1807</v>
      </c>
      <c r="I1053">
        <v>8.0500000000000007</v>
      </c>
      <c r="K1053" t="s">
        <v>17</v>
      </c>
    </row>
    <row r="1054" spans="1:12" x14ac:dyDescent="0.3">
      <c r="A1054">
        <v>3</v>
      </c>
      <c r="B1054">
        <v>0</v>
      </c>
      <c r="C1054" t="s">
        <v>1808</v>
      </c>
      <c r="D1054" t="s">
        <v>20</v>
      </c>
      <c r="F1054">
        <v>0</v>
      </c>
      <c r="G1054">
        <v>0</v>
      </c>
      <c r="H1054">
        <v>349218</v>
      </c>
      <c r="I1054">
        <v>7.8958000000000004</v>
      </c>
      <c r="K1054" t="s">
        <v>17</v>
      </c>
    </row>
    <row r="1055" spans="1:12" x14ac:dyDescent="0.3">
      <c r="A1055">
        <v>3</v>
      </c>
      <c r="B1055">
        <v>0</v>
      </c>
      <c r="C1055" t="s">
        <v>1809</v>
      </c>
      <c r="D1055" t="s">
        <v>20</v>
      </c>
      <c r="F1055">
        <v>0</v>
      </c>
      <c r="G1055">
        <v>0</v>
      </c>
      <c r="H1055">
        <v>2652</v>
      </c>
      <c r="I1055">
        <v>7.2291999999999996</v>
      </c>
      <c r="K1055" t="s">
        <v>41</v>
      </c>
    </row>
    <row r="1056" spans="1:12" x14ac:dyDescent="0.3">
      <c r="A1056">
        <v>3</v>
      </c>
      <c r="B1056">
        <v>0</v>
      </c>
      <c r="C1056" t="s">
        <v>1810</v>
      </c>
      <c r="D1056" t="s">
        <v>15</v>
      </c>
      <c r="F1056">
        <v>0</v>
      </c>
      <c r="G1056">
        <v>0</v>
      </c>
      <c r="H1056">
        <v>365237</v>
      </c>
      <c r="I1056">
        <v>7.75</v>
      </c>
      <c r="K1056" t="s">
        <v>463</v>
      </c>
    </row>
    <row r="1057" spans="1:14" x14ac:dyDescent="0.3">
      <c r="A1057">
        <v>3</v>
      </c>
      <c r="B1057">
        <v>0</v>
      </c>
      <c r="C1057" t="s">
        <v>1811</v>
      </c>
      <c r="D1057" t="s">
        <v>20</v>
      </c>
      <c r="F1057">
        <v>0</v>
      </c>
      <c r="G1057">
        <v>0</v>
      </c>
      <c r="H1057">
        <v>349234</v>
      </c>
      <c r="I1057">
        <v>7.8958000000000004</v>
      </c>
      <c r="K1057" t="s">
        <v>17</v>
      </c>
    </row>
    <row r="1058" spans="1:14" x14ac:dyDescent="0.3">
      <c r="A1058">
        <v>3</v>
      </c>
      <c r="B1058">
        <v>1</v>
      </c>
      <c r="C1058" t="s">
        <v>1812</v>
      </c>
      <c r="D1058" t="s">
        <v>20</v>
      </c>
      <c r="E1058">
        <v>12</v>
      </c>
      <c r="F1058">
        <v>1</v>
      </c>
      <c r="G1058">
        <v>0</v>
      </c>
      <c r="H1058">
        <v>2651</v>
      </c>
      <c r="I1058">
        <v>11.2417</v>
      </c>
      <c r="K1058" t="s">
        <v>41</v>
      </c>
      <c r="L1058" t="s">
        <v>41</v>
      </c>
    </row>
    <row r="1059" spans="1:14" x14ac:dyDescent="0.3">
      <c r="A1059">
        <v>3</v>
      </c>
      <c r="B1059">
        <v>1</v>
      </c>
      <c r="C1059" t="s">
        <v>1813</v>
      </c>
      <c r="D1059" t="s">
        <v>15</v>
      </c>
      <c r="E1059">
        <v>14</v>
      </c>
      <c r="F1059">
        <v>1</v>
      </c>
      <c r="G1059">
        <v>0</v>
      </c>
      <c r="H1059">
        <v>2651</v>
      </c>
      <c r="I1059">
        <v>11.2417</v>
      </c>
      <c r="K1059" t="s">
        <v>41</v>
      </c>
      <c r="L1059" t="s">
        <v>41</v>
      </c>
    </row>
    <row r="1060" spans="1:14" x14ac:dyDescent="0.3">
      <c r="A1060">
        <v>3</v>
      </c>
      <c r="B1060">
        <v>0</v>
      </c>
      <c r="C1060" t="s">
        <v>1814</v>
      </c>
      <c r="D1060" t="s">
        <v>15</v>
      </c>
      <c r="E1060">
        <v>29</v>
      </c>
      <c r="F1060">
        <v>0</v>
      </c>
      <c r="G1060">
        <v>0</v>
      </c>
      <c r="H1060">
        <v>3101297</v>
      </c>
      <c r="I1060">
        <v>7.9249999999999998</v>
      </c>
      <c r="K1060" t="s">
        <v>17</v>
      </c>
    </row>
    <row r="1061" spans="1:14" x14ac:dyDescent="0.3">
      <c r="A1061">
        <v>3</v>
      </c>
      <c r="B1061">
        <v>0</v>
      </c>
      <c r="C1061" t="s">
        <v>1815</v>
      </c>
      <c r="D1061" t="s">
        <v>20</v>
      </c>
      <c r="E1061">
        <v>28</v>
      </c>
      <c r="F1061">
        <v>0</v>
      </c>
      <c r="G1061">
        <v>0</v>
      </c>
      <c r="H1061">
        <v>363611</v>
      </c>
      <c r="I1061">
        <v>8.0500000000000007</v>
      </c>
      <c r="K1061" t="s">
        <v>17</v>
      </c>
    </row>
    <row r="1062" spans="1:14" x14ac:dyDescent="0.3">
      <c r="A1062">
        <v>3</v>
      </c>
      <c r="B1062">
        <v>1</v>
      </c>
      <c r="C1062" t="s">
        <v>1816</v>
      </c>
      <c r="D1062" t="s">
        <v>15</v>
      </c>
      <c r="E1062">
        <v>18</v>
      </c>
      <c r="F1062">
        <v>0</v>
      </c>
      <c r="G1062">
        <v>0</v>
      </c>
      <c r="H1062">
        <v>347066</v>
      </c>
      <c r="I1062">
        <v>7.7750000000000004</v>
      </c>
      <c r="K1062" t="s">
        <v>17</v>
      </c>
      <c r="L1062" t="s">
        <v>37</v>
      </c>
    </row>
    <row r="1063" spans="1:14" x14ac:dyDescent="0.3">
      <c r="A1063">
        <v>3</v>
      </c>
      <c r="B1063">
        <v>1</v>
      </c>
      <c r="C1063" t="s">
        <v>1817</v>
      </c>
      <c r="D1063" t="s">
        <v>15</v>
      </c>
      <c r="E1063">
        <v>26</v>
      </c>
      <c r="F1063">
        <v>0</v>
      </c>
      <c r="G1063">
        <v>0</v>
      </c>
      <c r="H1063">
        <v>347470</v>
      </c>
      <c r="I1063">
        <v>7.8541999999999996</v>
      </c>
      <c r="K1063" t="s">
        <v>17</v>
      </c>
      <c r="L1063">
        <v>13</v>
      </c>
    </row>
    <row r="1064" spans="1:14" x14ac:dyDescent="0.3">
      <c r="A1064">
        <v>3</v>
      </c>
      <c r="B1064">
        <v>0</v>
      </c>
      <c r="C1064" t="s">
        <v>1818</v>
      </c>
      <c r="D1064" t="s">
        <v>20</v>
      </c>
      <c r="E1064">
        <v>21</v>
      </c>
      <c r="F1064">
        <v>0</v>
      </c>
      <c r="G1064">
        <v>0</v>
      </c>
      <c r="H1064">
        <v>350410</v>
      </c>
      <c r="I1064">
        <v>7.8541999999999996</v>
      </c>
      <c r="K1064" t="s">
        <v>17</v>
      </c>
    </row>
    <row r="1065" spans="1:14" x14ac:dyDescent="0.3">
      <c r="A1065">
        <v>3</v>
      </c>
      <c r="B1065">
        <v>0</v>
      </c>
      <c r="C1065" t="s">
        <v>1819</v>
      </c>
      <c r="D1065" t="s">
        <v>20</v>
      </c>
      <c r="E1065">
        <v>41</v>
      </c>
      <c r="F1065">
        <v>0</v>
      </c>
      <c r="G1065">
        <v>0</v>
      </c>
      <c r="H1065" t="s">
        <v>1820</v>
      </c>
      <c r="I1065">
        <v>7.125</v>
      </c>
      <c r="K1065" t="s">
        <v>17</v>
      </c>
      <c r="N1065" t="s">
        <v>1821</v>
      </c>
    </row>
    <row r="1066" spans="1:14" x14ac:dyDescent="0.3">
      <c r="A1066">
        <v>3</v>
      </c>
      <c r="B1066">
        <v>1</v>
      </c>
      <c r="C1066" t="s">
        <v>1822</v>
      </c>
      <c r="D1066" t="s">
        <v>20</v>
      </c>
      <c r="E1066">
        <v>39</v>
      </c>
      <c r="F1066">
        <v>0</v>
      </c>
      <c r="G1066">
        <v>0</v>
      </c>
      <c r="H1066" t="s">
        <v>1823</v>
      </c>
      <c r="I1066">
        <v>7.9249999999999998</v>
      </c>
      <c r="K1066" t="s">
        <v>17</v>
      </c>
      <c r="L1066">
        <v>9</v>
      </c>
    </row>
    <row r="1067" spans="1:14" x14ac:dyDescent="0.3">
      <c r="A1067">
        <v>3</v>
      </c>
      <c r="B1067">
        <v>0</v>
      </c>
      <c r="C1067" t="s">
        <v>1824</v>
      </c>
      <c r="D1067" t="s">
        <v>20</v>
      </c>
      <c r="E1067">
        <v>21</v>
      </c>
      <c r="F1067">
        <v>0</v>
      </c>
      <c r="G1067">
        <v>0</v>
      </c>
      <c r="H1067" t="s">
        <v>1825</v>
      </c>
      <c r="I1067">
        <v>7.8</v>
      </c>
      <c r="K1067" t="s">
        <v>17</v>
      </c>
    </row>
    <row r="1068" spans="1:14" x14ac:dyDescent="0.3">
      <c r="A1068">
        <v>3</v>
      </c>
      <c r="B1068">
        <v>0</v>
      </c>
      <c r="C1068" t="s">
        <v>1826</v>
      </c>
      <c r="D1068" t="s">
        <v>20</v>
      </c>
      <c r="E1068">
        <v>28.5</v>
      </c>
      <c r="F1068">
        <v>0</v>
      </c>
      <c r="G1068">
        <v>0</v>
      </c>
      <c r="H1068">
        <v>2697</v>
      </c>
      <c r="I1068">
        <v>7.2291999999999996</v>
      </c>
      <c r="K1068" t="s">
        <v>41</v>
      </c>
      <c r="M1068">
        <v>181</v>
      </c>
    </row>
    <row r="1069" spans="1:14" x14ac:dyDescent="0.3">
      <c r="A1069">
        <v>3</v>
      </c>
      <c r="B1069">
        <v>1</v>
      </c>
      <c r="C1069" t="s">
        <v>1827</v>
      </c>
      <c r="D1069" t="s">
        <v>15</v>
      </c>
      <c r="E1069">
        <v>22</v>
      </c>
      <c r="F1069">
        <v>0</v>
      </c>
      <c r="G1069">
        <v>0</v>
      </c>
      <c r="H1069">
        <v>347081</v>
      </c>
      <c r="I1069">
        <v>7.75</v>
      </c>
      <c r="K1069" t="s">
        <v>17</v>
      </c>
      <c r="L1069">
        <v>13</v>
      </c>
    </row>
    <row r="1070" spans="1:14" x14ac:dyDescent="0.3">
      <c r="A1070">
        <v>3</v>
      </c>
      <c r="B1070">
        <v>0</v>
      </c>
      <c r="C1070" t="s">
        <v>1828</v>
      </c>
      <c r="D1070" t="s">
        <v>20</v>
      </c>
      <c r="E1070">
        <v>61</v>
      </c>
      <c r="F1070">
        <v>0</v>
      </c>
      <c r="G1070">
        <v>0</v>
      </c>
      <c r="H1070">
        <v>345364</v>
      </c>
      <c r="I1070">
        <v>6.2374999999999998</v>
      </c>
      <c r="K1070" t="s">
        <v>17</v>
      </c>
    </row>
    <row r="1071" spans="1:14" x14ac:dyDescent="0.3">
      <c r="A1071">
        <v>3</v>
      </c>
      <c r="B1071">
        <v>0</v>
      </c>
      <c r="C1071" t="s">
        <v>1829</v>
      </c>
      <c r="D1071" t="s">
        <v>20</v>
      </c>
      <c r="F1071">
        <v>1</v>
      </c>
      <c r="G1071">
        <v>0</v>
      </c>
      <c r="H1071">
        <v>370365</v>
      </c>
      <c r="I1071">
        <v>15.5</v>
      </c>
      <c r="K1071" t="s">
        <v>463</v>
      </c>
    </row>
    <row r="1072" spans="1:14" x14ac:dyDescent="0.3">
      <c r="A1072">
        <v>3</v>
      </c>
      <c r="B1072">
        <v>0</v>
      </c>
      <c r="C1072" t="s">
        <v>1830</v>
      </c>
      <c r="D1072" t="s">
        <v>20</v>
      </c>
      <c r="F1072">
        <v>0</v>
      </c>
      <c r="G1072">
        <v>0</v>
      </c>
      <c r="H1072">
        <v>330979</v>
      </c>
      <c r="I1072">
        <v>7.8292000000000002</v>
      </c>
      <c r="K1072" t="s">
        <v>463</v>
      </c>
    </row>
    <row r="1073" spans="1:13" x14ac:dyDescent="0.3">
      <c r="A1073">
        <v>3</v>
      </c>
      <c r="B1073">
        <v>1</v>
      </c>
      <c r="C1073" t="s">
        <v>1831</v>
      </c>
      <c r="D1073" t="s">
        <v>15</v>
      </c>
      <c r="F1073">
        <v>1</v>
      </c>
      <c r="G1073">
        <v>0</v>
      </c>
      <c r="H1073">
        <v>370365</v>
      </c>
      <c r="I1073">
        <v>15.5</v>
      </c>
      <c r="K1073" t="s">
        <v>463</v>
      </c>
    </row>
    <row r="1074" spans="1:13" x14ac:dyDescent="0.3">
      <c r="A1074">
        <v>3</v>
      </c>
      <c r="B1074">
        <v>0</v>
      </c>
      <c r="C1074" t="s">
        <v>1832</v>
      </c>
      <c r="D1074" t="s">
        <v>20</v>
      </c>
      <c r="F1074">
        <v>0</v>
      </c>
      <c r="G1074">
        <v>0</v>
      </c>
      <c r="H1074">
        <v>334912</v>
      </c>
      <c r="I1074">
        <v>7.7332999999999998</v>
      </c>
      <c r="K1074" t="s">
        <v>463</v>
      </c>
    </row>
    <row r="1075" spans="1:13" x14ac:dyDescent="0.3">
      <c r="A1075">
        <v>3</v>
      </c>
      <c r="B1075">
        <v>0</v>
      </c>
      <c r="C1075" t="s">
        <v>1833</v>
      </c>
      <c r="D1075" t="s">
        <v>20</v>
      </c>
      <c r="F1075">
        <v>0</v>
      </c>
      <c r="G1075">
        <v>0</v>
      </c>
      <c r="H1075">
        <v>371060</v>
      </c>
      <c r="I1075">
        <v>7.75</v>
      </c>
      <c r="K1075" t="s">
        <v>463</v>
      </c>
    </row>
    <row r="1076" spans="1:13" x14ac:dyDescent="0.3">
      <c r="A1076">
        <v>3</v>
      </c>
      <c r="B1076">
        <v>0</v>
      </c>
      <c r="C1076" t="s">
        <v>1834</v>
      </c>
      <c r="D1076" t="s">
        <v>20</v>
      </c>
      <c r="F1076">
        <v>0</v>
      </c>
      <c r="G1076">
        <v>0</v>
      </c>
      <c r="H1076">
        <v>366713</v>
      </c>
      <c r="I1076">
        <v>7.75</v>
      </c>
      <c r="K1076" t="s">
        <v>463</v>
      </c>
    </row>
    <row r="1077" spans="1:13" x14ac:dyDescent="0.3">
      <c r="A1077">
        <v>3</v>
      </c>
      <c r="B1077">
        <v>0</v>
      </c>
      <c r="C1077" t="s">
        <v>1835</v>
      </c>
      <c r="D1077" t="s">
        <v>20</v>
      </c>
      <c r="E1077">
        <v>23</v>
      </c>
      <c r="F1077">
        <v>0</v>
      </c>
      <c r="G1077">
        <v>0</v>
      </c>
      <c r="H1077">
        <v>7267</v>
      </c>
      <c r="I1077">
        <v>9.2249999999999996</v>
      </c>
      <c r="K1077" t="s">
        <v>17</v>
      </c>
    </row>
    <row r="1078" spans="1:13" x14ac:dyDescent="0.3">
      <c r="A1078">
        <v>3</v>
      </c>
      <c r="B1078">
        <v>0</v>
      </c>
      <c r="C1078" t="s">
        <v>1836</v>
      </c>
      <c r="D1078" t="s">
        <v>15</v>
      </c>
      <c r="F1078">
        <v>0</v>
      </c>
      <c r="G1078">
        <v>0</v>
      </c>
      <c r="H1078">
        <v>364856</v>
      </c>
      <c r="I1078">
        <v>7.75</v>
      </c>
      <c r="K1078" t="s">
        <v>463</v>
      </c>
    </row>
    <row r="1079" spans="1:13" x14ac:dyDescent="0.3">
      <c r="A1079">
        <v>3</v>
      </c>
      <c r="B1079">
        <v>1</v>
      </c>
      <c r="C1079" t="s">
        <v>1837</v>
      </c>
      <c r="D1079" t="s">
        <v>15</v>
      </c>
      <c r="F1079">
        <v>0</v>
      </c>
      <c r="G1079">
        <v>0</v>
      </c>
      <c r="H1079">
        <v>14311</v>
      </c>
      <c r="I1079">
        <v>7.75</v>
      </c>
      <c r="K1079" t="s">
        <v>463</v>
      </c>
      <c r="L1079" t="s">
        <v>37</v>
      </c>
    </row>
    <row r="1080" spans="1:13" x14ac:dyDescent="0.3">
      <c r="A1080">
        <v>3</v>
      </c>
      <c r="B1080">
        <v>1</v>
      </c>
      <c r="C1080" t="s">
        <v>1838</v>
      </c>
      <c r="D1080" t="s">
        <v>15</v>
      </c>
      <c r="F1080">
        <v>0</v>
      </c>
      <c r="G1080">
        <v>0</v>
      </c>
      <c r="H1080">
        <v>330959</v>
      </c>
      <c r="I1080">
        <v>7.8792</v>
      </c>
      <c r="K1080" t="s">
        <v>463</v>
      </c>
    </row>
    <row r="1081" spans="1:13" x14ac:dyDescent="0.3">
      <c r="A1081">
        <v>3</v>
      </c>
      <c r="B1081">
        <v>1</v>
      </c>
      <c r="C1081" t="s">
        <v>1839</v>
      </c>
      <c r="D1081" t="s">
        <v>15</v>
      </c>
      <c r="E1081">
        <v>22</v>
      </c>
      <c r="F1081">
        <v>0</v>
      </c>
      <c r="G1081">
        <v>0</v>
      </c>
      <c r="H1081">
        <v>347085</v>
      </c>
      <c r="I1081">
        <v>7.7750000000000004</v>
      </c>
      <c r="K1081" t="s">
        <v>17</v>
      </c>
      <c r="L1081" t="s">
        <v>41</v>
      </c>
    </row>
    <row r="1082" spans="1:13" x14ac:dyDescent="0.3">
      <c r="A1082">
        <v>3</v>
      </c>
      <c r="B1082">
        <v>1</v>
      </c>
      <c r="C1082" t="s">
        <v>1840</v>
      </c>
      <c r="D1082" t="s">
        <v>20</v>
      </c>
      <c r="F1082">
        <v>0</v>
      </c>
      <c r="G1082">
        <v>0</v>
      </c>
      <c r="H1082">
        <v>368402</v>
      </c>
      <c r="I1082">
        <v>7.75</v>
      </c>
      <c r="K1082" t="s">
        <v>463</v>
      </c>
      <c r="L1082" t="s">
        <v>54</v>
      </c>
    </row>
    <row r="1083" spans="1:13" x14ac:dyDescent="0.3">
      <c r="A1083">
        <v>3</v>
      </c>
      <c r="B1083">
        <v>1</v>
      </c>
      <c r="C1083" t="s">
        <v>1841</v>
      </c>
      <c r="D1083" t="s">
        <v>15</v>
      </c>
      <c r="F1083">
        <v>0</v>
      </c>
      <c r="G1083">
        <v>0</v>
      </c>
      <c r="H1083">
        <v>330919</v>
      </c>
      <c r="I1083">
        <v>7.8292000000000002</v>
      </c>
      <c r="K1083" t="s">
        <v>463</v>
      </c>
      <c r="L1083">
        <v>13</v>
      </c>
    </row>
    <row r="1084" spans="1:13" x14ac:dyDescent="0.3">
      <c r="A1084">
        <v>3</v>
      </c>
      <c r="B1084">
        <v>1</v>
      </c>
      <c r="C1084" t="s">
        <v>1842</v>
      </c>
      <c r="D1084" t="s">
        <v>20</v>
      </c>
      <c r="E1084">
        <v>9</v>
      </c>
      <c r="F1084">
        <v>0</v>
      </c>
      <c r="G1084">
        <v>1</v>
      </c>
      <c r="H1084" t="s">
        <v>1843</v>
      </c>
      <c r="I1084">
        <v>3.1707999999999998</v>
      </c>
      <c r="K1084" t="s">
        <v>17</v>
      </c>
      <c r="L1084">
        <v>13</v>
      </c>
    </row>
    <row r="1085" spans="1:13" x14ac:dyDescent="0.3">
      <c r="A1085">
        <v>3</v>
      </c>
      <c r="B1085">
        <v>0</v>
      </c>
      <c r="C1085" t="s">
        <v>1844</v>
      </c>
      <c r="D1085" t="s">
        <v>20</v>
      </c>
      <c r="E1085">
        <v>28</v>
      </c>
      <c r="F1085">
        <v>0</v>
      </c>
      <c r="G1085">
        <v>0</v>
      </c>
      <c r="H1085" t="s">
        <v>1220</v>
      </c>
      <c r="I1085">
        <v>22.524999999999999</v>
      </c>
      <c r="K1085" t="s">
        <v>17</v>
      </c>
      <c r="M1085">
        <v>173</v>
      </c>
    </row>
    <row r="1086" spans="1:13" x14ac:dyDescent="0.3">
      <c r="A1086">
        <v>3</v>
      </c>
      <c r="B1086">
        <v>0</v>
      </c>
      <c r="C1086" t="s">
        <v>1845</v>
      </c>
      <c r="D1086" t="s">
        <v>20</v>
      </c>
      <c r="E1086">
        <v>42</v>
      </c>
      <c r="F1086">
        <v>0</v>
      </c>
      <c r="G1086">
        <v>1</v>
      </c>
      <c r="H1086">
        <v>4579</v>
      </c>
      <c r="I1086">
        <v>8.4041999999999994</v>
      </c>
      <c r="K1086" t="s">
        <v>17</v>
      </c>
    </row>
    <row r="1087" spans="1:13" x14ac:dyDescent="0.3">
      <c r="A1087">
        <v>3</v>
      </c>
      <c r="B1087">
        <v>0</v>
      </c>
      <c r="C1087" t="s">
        <v>1846</v>
      </c>
      <c r="D1087" t="s">
        <v>20</v>
      </c>
      <c r="F1087">
        <v>0</v>
      </c>
      <c r="G1087">
        <v>0</v>
      </c>
      <c r="H1087" t="s">
        <v>1847</v>
      </c>
      <c r="I1087">
        <v>7.3125</v>
      </c>
      <c r="K1087" t="s">
        <v>17</v>
      </c>
    </row>
    <row r="1088" spans="1:13" x14ac:dyDescent="0.3">
      <c r="A1088">
        <v>3</v>
      </c>
      <c r="B1088">
        <v>0</v>
      </c>
      <c r="C1088" t="s">
        <v>1848</v>
      </c>
      <c r="D1088" t="s">
        <v>15</v>
      </c>
      <c r="E1088">
        <v>31</v>
      </c>
      <c r="F1088">
        <v>0</v>
      </c>
      <c r="G1088">
        <v>0</v>
      </c>
      <c r="H1088">
        <v>350407</v>
      </c>
      <c r="I1088">
        <v>7.8541999999999996</v>
      </c>
      <c r="K1088" t="s">
        <v>17</v>
      </c>
    </row>
    <row r="1089" spans="1:14" x14ac:dyDescent="0.3">
      <c r="A1089">
        <v>3</v>
      </c>
      <c r="B1089">
        <v>0</v>
      </c>
      <c r="C1089" t="s">
        <v>1849</v>
      </c>
      <c r="D1089" t="s">
        <v>20</v>
      </c>
      <c r="E1089">
        <v>28</v>
      </c>
      <c r="F1089">
        <v>0</v>
      </c>
      <c r="G1089">
        <v>0</v>
      </c>
      <c r="H1089">
        <v>347464</v>
      </c>
      <c r="I1089">
        <v>7.8541999999999996</v>
      </c>
      <c r="K1089" t="s">
        <v>17</v>
      </c>
    </row>
    <row r="1090" spans="1:14" x14ac:dyDescent="0.3">
      <c r="A1090">
        <v>3</v>
      </c>
      <c r="B1090">
        <v>1</v>
      </c>
      <c r="C1090" t="s">
        <v>1850</v>
      </c>
      <c r="D1090" t="s">
        <v>20</v>
      </c>
      <c r="E1090">
        <v>32</v>
      </c>
      <c r="F1090">
        <v>0</v>
      </c>
      <c r="G1090">
        <v>0</v>
      </c>
      <c r="H1090">
        <v>347079</v>
      </c>
      <c r="I1090">
        <v>7.7750000000000004</v>
      </c>
      <c r="K1090" t="s">
        <v>17</v>
      </c>
      <c r="L1090" t="s">
        <v>67</v>
      </c>
    </row>
    <row r="1091" spans="1:14" x14ac:dyDescent="0.3">
      <c r="A1091">
        <v>3</v>
      </c>
      <c r="B1091">
        <v>0</v>
      </c>
      <c r="C1091" t="s">
        <v>1851</v>
      </c>
      <c r="D1091" t="s">
        <v>20</v>
      </c>
      <c r="E1091">
        <v>20</v>
      </c>
      <c r="F1091">
        <v>0</v>
      </c>
      <c r="G1091">
        <v>0</v>
      </c>
      <c r="H1091">
        <v>6563</v>
      </c>
      <c r="I1091">
        <v>9.2249999999999996</v>
      </c>
      <c r="K1091" t="s">
        <v>17</v>
      </c>
      <c r="M1091">
        <v>89</v>
      </c>
      <c r="N1091" t="s">
        <v>1852</v>
      </c>
    </row>
    <row r="1092" spans="1:14" x14ac:dyDescent="0.3">
      <c r="A1092">
        <v>3</v>
      </c>
      <c r="B1092">
        <v>0</v>
      </c>
      <c r="C1092" t="s">
        <v>1853</v>
      </c>
      <c r="D1092" t="s">
        <v>15</v>
      </c>
      <c r="E1092">
        <v>23</v>
      </c>
      <c r="F1092">
        <v>0</v>
      </c>
      <c r="G1092">
        <v>0</v>
      </c>
      <c r="H1092">
        <v>315085</v>
      </c>
      <c r="I1092">
        <v>8.6624999999999996</v>
      </c>
      <c r="K1092" t="s">
        <v>17</v>
      </c>
    </row>
    <row r="1093" spans="1:14" x14ac:dyDescent="0.3">
      <c r="A1093">
        <v>3</v>
      </c>
      <c r="B1093">
        <v>0</v>
      </c>
      <c r="C1093" t="s">
        <v>1854</v>
      </c>
      <c r="D1093" t="s">
        <v>15</v>
      </c>
      <c r="E1093">
        <v>20</v>
      </c>
      <c r="F1093">
        <v>0</v>
      </c>
      <c r="G1093">
        <v>0</v>
      </c>
      <c r="H1093">
        <v>315096</v>
      </c>
      <c r="I1093">
        <v>8.6624999999999996</v>
      </c>
      <c r="K1093" t="s">
        <v>17</v>
      </c>
    </row>
    <row r="1094" spans="1:14" x14ac:dyDescent="0.3">
      <c r="A1094">
        <v>3</v>
      </c>
      <c r="B1094">
        <v>0</v>
      </c>
      <c r="C1094" t="s">
        <v>1855</v>
      </c>
      <c r="D1094" t="s">
        <v>20</v>
      </c>
      <c r="E1094">
        <v>20</v>
      </c>
      <c r="F1094">
        <v>0</v>
      </c>
      <c r="G1094">
        <v>0</v>
      </c>
      <c r="H1094">
        <v>315094</v>
      </c>
      <c r="I1094">
        <v>8.6624999999999996</v>
      </c>
      <c r="K1094" t="s">
        <v>17</v>
      </c>
    </row>
    <row r="1095" spans="1:14" x14ac:dyDescent="0.3">
      <c r="A1095">
        <v>3</v>
      </c>
      <c r="B1095">
        <v>0</v>
      </c>
      <c r="C1095" t="s">
        <v>1856</v>
      </c>
      <c r="D1095" t="s">
        <v>20</v>
      </c>
      <c r="E1095">
        <v>16</v>
      </c>
      <c r="F1095">
        <v>0</v>
      </c>
      <c r="G1095">
        <v>0</v>
      </c>
      <c r="H1095">
        <v>7534</v>
      </c>
      <c r="I1095">
        <v>9.2166999999999994</v>
      </c>
      <c r="K1095" t="s">
        <v>17</v>
      </c>
    </row>
    <row r="1096" spans="1:14" x14ac:dyDescent="0.3">
      <c r="A1096">
        <v>3</v>
      </c>
      <c r="B1096">
        <v>1</v>
      </c>
      <c r="C1096" t="s">
        <v>1857</v>
      </c>
      <c r="D1096" t="s">
        <v>15</v>
      </c>
      <c r="E1096">
        <v>31</v>
      </c>
      <c r="F1096">
        <v>0</v>
      </c>
      <c r="G1096">
        <v>0</v>
      </c>
      <c r="H1096">
        <v>349244</v>
      </c>
      <c r="I1096">
        <v>8.6832999999999991</v>
      </c>
      <c r="K1096" t="s">
        <v>17</v>
      </c>
    </row>
    <row r="1097" spans="1:14" x14ac:dyDescent="0.3">
      <c r="A1097">
        <v>3</v>
      </c>
      <c r="B1097">
        <v>0</v>
      </c>
      <c r="C1097" t="s">
        <v>1858</v>
      </c>
      <c r="D1097" t="s">
        <v>15</v>
      </c>
      <c r="F1097">
        <v>0</v>
      </c>
      <c r="G1097">
        <v>0</v>
      </c>
      <c r="H1097">
        <v>330909</v>
      </c>
      <c r="I1097">
        <v>7.6292</v>
      </c>
      <c r="K1097" t="s">
        <v>463</v>
      </c>
    </row>
    <row r="1098" spans="1:14" x14ac:dyDescent="0.3">
      <c r="A1098">
        <v>3</v>
      </c>
      <c r="B1098">
        <v>0</v>
      </c>
      <c r="C1098" t="s">
        <v>1859</v>
      </c>
      <c r="D1098" t="s">
        <v>20</v>
      </c>
      <c r="E1098">
        <v>2</v>
      </c>
      <c r="F1098">
        <v>3</v>
      </c>
      <c r="G1098">
        <v>1</v>
      </c>
      <c r="H1098">
        <v>349909</v>
      </c>
      <c r="I1098">
        <v>21.074999999999999</v>
      </c>
      <c r="K1098" t="s">
        <v>17</v>
      </c>
      <c r="M1098">
        <v>4</v>
      </c>
    </row>
    <row r="1099" spans="1:14" x14ac:dyDescent="0.3">
      <c r="A1099">
        <v>3</v>
      </c>
      <c r="B1099">
        <v>0</v>
      </c>
      <c r="C1099" t="s">
        <v>1860</v>
      </c>
      <c r="D1099" t="s">
        <v>20</v>
      </c>
      <c r="E1099">
        <v>6</v>
      </c>
      <c r="F1099">
        <v>3</v>
      </c>
      <c r="G1099">
        <v>1</v>
      </c>
      <c r="H1099">
        <v>349909</v>
      </c>
      <c r="I1099">
        <v>21.074999999999999</v>
      </c>
      <c r="K1099" t="s">
        <v>17</v>
      </c>
    </row>
    <row r="1100" spans="1:14" x14ac:dyDescent="0.3">
      <c r="A1100">
        <v>3</v>
      </c>
      <c r="B1100">
        <v>0</v>
      </c>
      <c r="C1100" t="s">
        <v>1861</v>
      </c>
      <c r="D1100" t="s">
        <v>15</v>
      </c>
      <c r="E1100">
        <v>3</v>
      </c>
      <c r="F1100">
        <v>3</v>
      </c>
      <c r="G1100">
        <v>1</v>
      </c>
      <c r="H1100">
        <v>349909</v>
      </c>
      <c r="I1100">
        <v>21.074999999999999</v>
      </c>
      <c r="K1100" t="s">
        <v>17</v>
      </c>
    </row>
    <row r="1101" spans="1:14" x14ac:dyDescent="0.3">
      <c r="A1101">
        <v>3</v>
      </c>
      <c r="B1101">
        <v>0</v>
      </c>
      <c r="C1101" t="s">
        <v>1862</v>
      </c>
      <c r="D1101" t="s">
        <v>15</v>
      </c>
      <c r="E1101">
        <v>8</v>
      </c>
      <c r="F1101">
        <v>3</v>
      </c>
      <c r="G1101">
        <v>1</v>
      </c>
      <c r="H1101">
        <v>349909</v>
      </c>
      <c r="I1101">
        <v>21.074999999999999</v>
      </c>
      <c r="K1101" t="s">
        <v>17</v>
      </c>
    </row>
    <row r="1102" spans="1:14" x14ac:dyDescent="0.3">
      <c r="A1102">
        <v>3</v>
      </c>
      <c r="B1102">
        <v>0</v>
      </c>
      <c r="C1102" t="s">
        <v>1863</v>
      </c>
      <c r="D1102" t="s">
        <v>15</v>
      </c>
      <c r="E1102">
        <v>29</v>
      </c>
      <c r="F1102">
        <v>0</v>
      </c>
      <c r="G1102">
        <v>4</v>
      </c>
      <c r="H1102">
        <v>349909</v>
      </c>
      <c r="I1102">
        <v>21.074999999999999</v>
      </c>
      <c r="K1102" t="s">
        <v>17</v>
      </c>
      <c r="M1102">
        <v>206</v>
      </c>
    </row>
    <row r="1103" spans="1:14" x14ac:dyDescent="0.3">
      <c r="A1103">
        <v>3</v>
      </c>
      <c r="B1103">
        <v>0</v>
      </c>
      <c r="C1103" t="s">
        <v>1864</v>
      </c>
      <c r="D1103" t="s">
        <v>20</v>
      </c>
      <c r="E1103">
        <v>1</v>
      </c>
      <c r="F1103">
        <v>4</v>
      </c>
      <c r="G1103">
        <v>1</v>
      </c>
      <c r="H1103">
        <v>3101295</v>
      </c>
      <c r="I1103">
        <v>39.6875</v>
      </c>
      <c r="K1103" t="s">
        <v>17</v>
      </c>
    </row>
    <row r="1104" spans="1:14" x14ac:dyDescent="0.3">
      <c r="A1104">
        <v>3</v>
      </c>
      <c r="B1104">
        <v>0</v>
      </c>
      <c r="C1104" t="s">
        <v>1865</v>
      </c>
      <c r="D1104" t="s">
        <v>20</v>
      </c>
      <c r="E1104">
        <v>7</v>
      </c>
      <c r="F1104">
        <v>4</v>
      </c>
      <c r="G1104">
        <v>1</v>
      </c>
      <c r="H1104">
        <v>3101295</v>
      </c>
      <c r="I1104">
        <v>39.6875</v>
      </c>
      <c r="K1104" t="s">
        <v>17</v>
      </c>
    </row>
    <row r="1105" spans="1:11" x14ac:dyDescent="0.3">
      <c r="A1105">
        <v>3</v>
      </c>
      <c r="B1105">
        <v>0</v>
      </c>
      <c r="C1105" t="s">
        <v>1866</v>
      </c>
      <c r="D1105" t="s">
        <v>20</v>
      </c>
      <c r="E1105">
        <v>2</v>
      </c>
      <c r="F1105">
        <v>4</v>
      </c>
      <c r="G1105">
        <v>1</v>
      </c>
      <c r="H1105">
        <v>3101295</v>
      </c>
      <c r="I1105">
        <v>39.6875</v>
      </c>
      <c r="K1105" t="s">
        <v>17</v>
      </c>
    </row>
    <row r="1106" spans="1:11" x14ac:dyDescent="0.3">
      <c r="A1106">
        <v>3</v>
      </c>
      <c r="B1106">
        <v>0</v>
      </c>
      <c r="C1106" t="s">
        <v>1867</v>
      </c>
      <c r="D1106" t="s">
        <v>20</v>
      </c>
      <c r="E1106">
        <v>16</v>
      </c>
      <c r="F1106">
        <v>4</v>
      </c>
      <c r="G1106">
        <v>1</v>
      </c>
      <c r="H1106">
        <v>3101295</v>
      </c>
      <c r="I1106">
        <v>39.6875</v>
      </c>
      <c r="K1106" t="s">
        <v>17</v>
      </c>
    </row>
    <row r="1107" spans="1:11" x14ac:dyDescent="0.3">
      <c r="A1107">
        <v>3</v>
      </c>
      <c r="B1107">
        <v>0</v>
      </c>
      <c r="C1107" t="s">
        <v>1868</v>
      </c>
      <c r="D1107" t="s">
        <v>20</v>
      </c>
      <c r="E1107">
        <v>14</v>
      </c>
      <c r="F1107">
        <v>4</v>
      </c>
      <c r="G1107">
        <v>1</v>
      </c>
      <c r="H1107">
        <v>3101295</v>
      </c>
      <c r="I1107">
        <v>39.6875</v>
      </c>
      <c r="K1107" t="s">
        <v>17</v>
      </c>
    </row>
    <row r="1108" spans="1:11" x14ac:dyDescent="0.3">
      <c r="A1108">
        <v>3</v>
      </c>
      <c r="B1108">
        <v>0</v>
      </c>
      <c r="C1108" t="s">
        <v>1869</v>
      </c>
      <c r="D1108" t="s">
        <v>15</v>
      </c>
      <c r="E1108">
        <v>41</v>
      </c>
      <c r="F1108">
        <v>0</v>
      </c>
      <c r="G1108">
        <v>5</v>
      </c>
      <c r="H1108">
        <v>3101295</v>
      </c>
      <c r="I1108">
        <v>39.6875</v>
      </c>
      <c r="K1108" t="s">
        <v>17</v>
      </c>
    </row>
    <row r="1109" spans="1:11" x14ac:dyDescent="0.3">
      <c r="A1109">
        <v>3</v>
      </c>
      <c r="B1109">
        <v>0</v>
      </c>
      <c r="C1109" t="s">
        <v>1870</v>
      </c>
      <c r="D1109" t="s">
        <v>20</v>
      </c>
      <c r="E1109">
        <v>21</v>
      </c>
      <c r="F1109">
        <v>0</v>
      </c>
      <c r="G1109">
        <v>0</v>
      </c>
      <c r="H1109">
        <v>315097</v>
      </c>
      <c r="I1109">
        <v>8.6624999999999996</v>
      </c>
      <c r="K1109" t="s">
        <v>17</v>
      </c>
    </row>
    <row r="1110" spans="1:11" x14ac:dyDescent="0.3">
      <c r="A1110">
        <v>3</v>
      </c>
      <c r="B1110">
        <v>0</v>
      </c>
      <c r="C1110" t="s">
        <v>1871</v>
      </c>
      <c r="D1110" t="s">
        <v>20</v>
      </c>
      <c r="E1110">
        <v>19</v>
      </c>
      <c r="F1110">
        <v>0</v>
      </c>
      <c r="G1110">
        <v>0</v>
      </c>
      <c r="H1110">
        <v>358585</v>
      </c>
      <c r="I1110">
        <v>14.5</v>
      </c>
      <c r="K1110" t="s">
        <v>17</v>
      </c>
    </row>
    <row r="1111" spans="1:11" x14ac:dyDescent="0.3">
      <c r="A1111">
        <v>3</v>
      </c>
      <c r="B1111">
        <v>0</v>
      </c>
      <c r="C1111" t="s">
        <v>1872</v>
      </c>
      <c r="D1111" t="s">
        <v>20</v>
      </c>
      <c r="F1111">
        <v>0</v>
      </c>
      <c r="G1111">
        <v>0</v>
      </c>
      <c r="H1111">
        <v>3411</v>
      </c>
      <c r="I1111">
        <v>8.7125000000000004</v>
      </c>
      <c r="K1111" t="s">
        <v>41</v>
      </c>
    </row>
    <row r="1112" spans="1:11" x14ac:dyDescent="0.3">
      <c r="A1112">
        <v>3</v>
      </c>
      <c r="B1112">
        <v>0</v>
      </c>
      <c r="C1112" t="s">
        <v>1873</v>
      </c>
      <c r="D1112" t="s">
        <v>20</v>
      </c>
      <c r="E1112">
        <v>32</v>
      </c>
      <c r="F1112">
        <v>0</v>
      </c>
      <c r="G1112">
        <v>0</v>
      </c>
      <c r="H1112">
        <v>349242</v>
      </c>
      <c r="I1112">
        <v>7.8958000000000004</v>
      </c>
      <c r="K1112" t="s">
        <v>17</v>
      </c>
    </row>
    <row r="1113" spans="1:11" x14ac:dyDescent="0.3">
      <c r="A1113">
        <v>3</v>
      </c>
      <c r="B1113">
        <v>0</v>
      </c>
      <c r="C1113" t="s">
        <v>1874</v>
      </c>
      <c r="D1113" t="s">
        <v>20</v>
      </c>
      <c r="E1113">
        <v>0.75</v>
      </c>
      <c r="F1113">
        <v>1</v>
      </c>
      <c r="G1113">
        <v>1</v>
      </c>
      <c r="H1113" t="s">
        <v>1875</v>
      </c>
      <c r="I1113">
        <v>13.775</v>
      </c>
      <c r="K1113" t="s">
        <v>17</v>
      </c>
    </row>
    <row r="1114" spans="1:11" x14ac:dyDescent="0.3">
      <c r="A1114">
        <v>3</v>
      </c>
      <c r="B1114">
        <v>0</v>
      </c>
      <c r="C1114" t="s">
        <v>1876</v>
      </c>
      <c r="D1114" t="s">
        <v>15</v>
      </c>
      <c r="E1114">
        <v>3</v>
      </c>
      <c r="F1114">
        <v>1</v>
      </c>
      <c r="G1114">
        <v>1</v>
      </c>
      <c r="H1114" t="s">
        <v>1875</v>
      </c>
      <c r="I1114">
        <v>13.775</v>
      </c>
      <c r="K1114" t="s">
        <v>17</v>
      </c>
    </row>
    <row r="1115" spans="1:11" x14ac:dyDescent="0.3">
      <c r="A1115">
        <v>3</v>
      </c>
      <c r="B1115">
        <v>0</v>
      </c>
      <c r="C1115" t="s">
        <v>1877</v>
      </c>
      <c r="D1115" t="s">
        <v>15</v>
      </c>
      <c r="E1115">
        <v>26</v>
      </c>
      <c r="F1115">
        <v>0</v>
      </c>
      <c r="G1115">
        <v>2</v>
      </c>
      <c r="H1115" t="s">
        <v>1875</v>
      </c>
      <c r="I1115">
        <v>13.775</v>
      </c>
      <c r="K1115" t="s">
        <v>17</v>
      </c>
    </row>
    <row r="1116" spans="1:11" x14ac:dyDescent="0.3">
      <c r="A1116">
        <v>3</v>
      </c>
      <c r="B1116">
        <v>0</v>
      </c>
      <c r="C1116" t="s">
        <v>1878</v>
      </c>
      <c r="D1116" t="s">
        <v>20</v>
      </c>
      <c r="F1116">
        <v>0</v>
      </c>
      <c r="G1116">
        <v>0</v>
      </c>
      <c r="H1116">
        <v>343271</v>
      </c>
      <c r="I1116">
        <v>7</v>
      </c>
      <c r="K1116" t="s">
        <v>17</v>
      </c>
    </row>
    <row r="1117" spans="1:11" x14ac:dyDescent="0.3">
      <c r="A1117">
        <v>3</v>
      </c>
      <c r="B1117">
        <v>0</v>
      </c>
      <c r="C1117" t="s">
        <v>1879</v>
      </c>
      <c r="D1117" t="s">
        <v>20</v>
      </c>
      <c r="F1117">
        <v>0</v>
      </c>
      <c r="G1117">
        <v>0</v>
      </c>
      <c r="H1117">
        <v>345498</v>
      </c>
      <c r="I1117">
        <v>7.7750000000000004</v>
      </c>
      <c r="K1117" t="s">
        <v>17</v>
      </c>
    </row>
    <row r="1118" spans="1:11" x14ac:dyDescent="0.3">
      <c r="A1118">
        <v>3</v>
      </c>
      <c r="B1118">
        <v>0</v>
      </c>
      <c r="C1118" t="s">
        <v>1880</v>
      </c>
      <c r="D1118" t="s">
        <v>20</v>
      </c>
      <c r="F1118">
        <v>0</v>
      </c>
      <c r="G1118">
        <v>0</v>
      </c>
      <c r="H1118" t="s">
        <v>1881</v>
      </c>
      <c r="I1118">
        <v>8.0500000000000007</v>
      </c>
      <c r="K1118" t="s">
        <v>17</v>
      </c>
    </row>
    <row r="1119" spans="1:11" x14ac:dyDescent="0.3">
      <c r="A1119">
        <v>3</v>
      </c>
      <c r="B1119">
        <v>0</v>
      </c>
      <c r="C1119" t="s">
        <v>1882</v>
      </c>
      <c r="D1119" t="s">
        <v>20</v>
      </c>
      <c r="E1119">
        <v>21</v>
      </c>
      <c r="F1119">
        <v>0</v>
      </c>
      <c r="G1119">
        <v>0</v>
      </c>
      <c r="H1119" t="s">
        <v>1883</v>
      </c>
      <c r="I1119">
        <v>7.9249999999999998</v>
      </c>
      <c r="K1119" t="s">
        <v>17</v>
      </c>
    </row>
    <row r="1120" spans="1:11" x14ac:dyDescent="0.3">
      <c r="A1120">
        <v>3</v>
      </c>
      <c r="B1120">
        <v>0</v>
      </c>
      <c r="C1120" t="s">
        <v>1884</v>
      </c>
      <c r="D1120" t="s">
        <v>20</v>
      </c>
      <c r="E1120">
        <v>25</v>
      </c>
      <c r="F1120">
        <v>0</v>
      </c>
      <c r="G1120">
        <v>0</v>
      </c>
      <c r="H1120" t="s">
        <v>1885</v>
      </c>
      <c r="I1120">
        <v>7.9249999999999998</v>
      </c>
      <c r="K1120" t="s">
        <v>17</v>
      </c>
    </row>
    <row r="1121" spans="1:12" x14ac:dyDescent="0.3">
      <c r="A1121">
        <v>3</v>
      </c>
      <c r="B1121">
        <v>0</v>
      </c>
      <c r="C1121" t="s">
        <v>1886</v>
      </c>
      <c r="D1121" t="s">
        <v>20</v>
      </c>
      <c r="E1121">
        <v>22</v>
      </c>
      <c r="F1121">
        <v>0</v>
      </c>
      <c r="G1121">
        <v>0</v>
      </c>
      <c r="H1121" t="s">
        <v>1887</v>
      </c>
      <c r="I1121">
        <v>7.25</v>
      </c>
      <c r="K1121" t="s">
        <v>17</v>
      </c>
    </row>
    <row r="1122" spans="1:12" x14ac:dyDescent="0.3">
      <c r="A1122">
        <v>3</v>
      </c>
      <c r="B1122">
        <v>1</v>
      </c>
      <c r="C1122" t="s">
        <v>1888</v>
      </c>
      <c r="D1122" t="s">
        <v>20</v>
      </c>
      <c r="E1122">
        <v>25</v>
      </c>
      <c r="F1122">
        <v>1</v>
      </c>
      <c r="G1122">
        <v>0</v>
      </c>
      <c r="H1122">
        <v>347083</v>
      </c>
      <c r="I1122">
        <v>7.7750000000000004</v>
      </c>
      <c r="K1122" t="s">
        <v>17</v>
      </c>
      <c r="L1122">
        <v>15</v>
      </c>
    </row>
    <row r="1123" spans="1:12" x14ac:dyDescent="0.3">
      <c r="A1123">
        <v>3</v>
      </c>
      <c r="B1123">
        <v>1</v>
      </c>
      <c r="C1123" t="s">
        <v>1889</v>
      </c>
      <c r="D1123" t="s">
        <v>20</v>
      </c>
      <c r="F1123">
        <v>1</v>
      </c>
      <c r="G1123">
        <v>1</v>
      </c>
      <c r="H1123">
        <v>2668</v>
      </c>
      <c r="I1123">
        <v>22.3583</v>
      </c>
      <c r="K1123" t="s">
        <v>41</v>
      </c>
      <c r="L1123" t="s">
        <v>41</v>
      </c>
    </row>
    <row r="1124" spans="1:12" x14ac:dyDescent="0.3">
      <c r="A1124">
        <v>3</v>
      </c>
      <c r="B1124">
        <v>1</v>
      </c>
      <c r="C1124" t="s">
        <v>1890</v>
      </c>
      <c r="D1124" t="s">
        <v>15</v>
      </c>
      <c r="F1124">
        <v>1</v>
      </c>
      <c r="G1124">
        <v>1</v>
      </c>
      <c r="H1124">
        <v>2668</v>
      </c>
      <c r="I1124">
        <v>22.3583</v>
      </c>
      <c r="J1124" t="s">
        <v>1891</v>
      </c>
      <c r="K1124" t="s">
        <v>41</v>
      </c>
      <c r="L1124" t="s">
        <v>37</v>
      </c>
    </row>
    <row r="1125" spans="1:12" x14ac:dyDescent="0.3">
      <c r="A1125">
        <v>3</v>
      </c>
      <c r="B1125">
        <v>1</v>
      </c>
      <c r="C1125" t="s">
        <v>1892</v>
      </c>
      <c r="D1125" t="s">
        <v>15</v>
      </c>
      <c r="F1125">
        <v>0</v>
      </c>
      <c r="G1125">
        <v>2</v>
      </c>
      <c r="H1125">
        <v>2668</v>
      </c>
      <c r="I1125">
        <v>22.3583</v>
      </c>
      <c r="K1125" t="s">
        <v>41</v>
      </c>
      <c r="L1125" t="s">
        <v>37</v>
      </c>
    </row>
    <row r="1126" spans="1:12" x14ac:dyDescent="0.3">
      <c r="A1126">
        <v>3</v>
      </c>
      <c r="B1126">
        <v>0</v>
      </c>
      <c r="C1126" t="s">
        <v>1893</v>
      </c>
      <c r="D1126" t="s">
        <v>15</v>
      </c>
      <c r="F1126">
        <v>0</v>
      </c>
      <c r="G1126">
        <v>0</v>
      </c>
      <c r="H1126">
        <v>330935</v>
      </c>
      <c r="I1126">
        <v>8.1374999999999993</v>
      </c>
      <c r="K1126" t="s">
        <v>463</v>
      </c>
    </row>
    <row r="1127" spans="1:12" x14ac:dyDescent="0.3">
      <c r="A1127">
        <v>3</v>
      </c>
      <c r="B1127">
        <v>0</v>
      </c>
      <c r="C1127" t="s">
        <v>1894</v>
      </c>
      <c r="D1127" t="s">
        <v>20</v>
      </c>
      <c r="E1127">
        <v>24</v>
      </c>
      <c r="F1127">
        <v>0</v>
      </c>
      <c r="G1127">
        <v>0</v>
      </c>
      <c r="H1127">
        <v>342441</v>
      </c>
      <c r="I1127">
        <v>8.0500000000000007</v>
      </c>
      <c r="K1127" t="s">
        <v>17</v>
      </c>
    </row>
    <row r="1128" spans="1:12" x14ac:dyDescent="0.3">
      <c r="A1128">
        <v>3</v>
      </c>
      <c r="B1128">
        <v>0</v>
      </c>
      <c r="C1128" t="s">
        <v>1895</v>
      </c>
      <c r="D1128" t="s">
        <v>15</v>
      </c>
      <c r="E1128">
        <v>28</v>
      </c>
      <c r="F1128">
        <v>0</v>
      </c>
      <c r="G1128">
        <v>0</v>
      </c>
      <c r="H1128">
        <v>349245</v>
      </c>
      <c r="I1128">
        <v>7.8958000000000004</v>
      </c>
      <c r="K1128" t="s">
        <v>17</v>
      </c>
    </row>
    <row r="1129" spans="1:12" x14ac:dyDescent="0.3">
      <c r="A1129">
        <v>3</v>
      </c>
      <c r="B1129">
        <v>0</v>
      </c>
      <c r="C1129" t="s">
        <v>1896</v>
      </c>
      <c r="D1129" t="s">
        <v>20</v>
      </c>
      <c r="E1129">
        <v>19</v>
      </c>
      <c r="F1129">
        <v>0</v>
      </c>
      <c r="G1129">
        <v>0</v>
      </c>
      <c r="H1129">
        <v>349212</v>
      </c>
      <c r="I1129">
        <v>7.8958000000000004</v>
      </c>
      <c r="K1129" t="s">
        <v>17</v>
      </c>
    </row>
    <row r="1130" spans="1:12" x14ac:dyDescent="0.3">
      <c r="A1130">
        <v>3</v>
      </c>
      <c r="B1130">
        <v>0</v>
      </c>
      <c r="C1130" t="s">
        <v>1897</v>
      </c>
      <c r="D1130" t="s">
        <v>20</v>
      </c>
      <c r="F1130">
        <v>0</v>
      </c>
      <c r="G1130">
        <v>0</v>
      </c>
      <c r="H1130">
        <v>349215</v>
      </c>
      <c r="I1130">
        <v>7.8958000000000004</v>
      </c>
      <c r="K1130" t="s">
        <v>17</v>
      </c>
    </row>
    <row r="1131" spans="1:12" x14ac:dyDescent="0.3">
      <c r="A1131">
        <v>3</v>
      </c>
      <c r="B1131">
        <v>0</v>
      </c>
      <c r="C1131" t="s">
        <v>1898</v>
      </c>
      <c r="D1131" t="s">
        <v>20</v>
      </c>
      <c r="E1131">
        <v>25</v>
      </c>
      <c r="F1131">
        <v>1</v>
      </c>
      <c r="G1131">
        <v>0</v>
      </c>
      <c r="H1131">
        <v>347076</v>
      </c>
      <c r="I1131">
        <v>7.7750000000000004</v>
      </c>
      <c r="K1131" t="s">
        <v>17</v>
      </c>
    </row>
    <row r="1132" spans="1:12" x14ac:dyDescent="0.3">
      <c r="A1132">
        <v>3</v>
      </c>
      <c r="B1132">
        <v>0</v>
      </c>
      <c r="C1132" t="s">
        <v>1899</v>
      </c>
      <c r="D1132" t="s">
        <v>15</v>
      </c>
      <c r="E1132">
        <v>18</v>
      </c>
      <c r="F1132">
        <v>0</v>
      </c>
      <c r="G1132">
        <v>0</v>
      </c>
      <c r="H1132">
        <v>347087</v>
      </c>
      <c r="I1132">
        <v>7.7750000000000004</v>
      </c>
      <c r="K1132" t="s">
        <v>17</v>
      </c>
    </row>
    <row r="1133" spans="1:12" x14ac:dyDescent="0.3">
      <c r="A1133">
        <v>3</v>
      </c>
      <c r="B1133">
        <v>1</v>
      </c>
      <c r="C1133" t="s">
        <v>1900</v>
      </c>
      <c r="D1133" t="s">
        <v>20</v>
      </c>
      <c r="E1133">
        <v>32</v>
      </c>
      <c r="F1133">
        <v>0</v>
      </c>
      <c r="G1133">
        <v>0</v>
      </c>
      <c r="H1133" t="s">
        <v>1901</v>
      </c>
      <c r="I1133">
        <v>8.0500000000000007</v>
      </c>
      <c r="J1133" t="s">
        <v>1902</v>
      </c>
      <c r="K1133" t="s">
        <v>17</v>
      </c>
      <c r="L1133">
        <v>9</v>
      </c>
    </row>
    <row r="1134" spans="1:12" x14ac:dyDescent="0.3">
      <c r="A1134">
        <v>3</v>
      </c>
      <c r="B1134">
        <v>0</v>
      </c>
      <c r="C1134" t="s">
        <v>1903</v>
      </c>
      <c r="D1134" t="s">
        <v>20</v>
      </c>
      <c r="F1134">
        <v>0</v>
      </c>
      <c r="G1134">
        <v>0</v>
      </c>
      <c r="H1134">
        <v>349227</v>
      </c>
      <c r="I1134">
        <v>7.8958000000000004</v>
      </c>
      <c r="K1134" t="s">
        <v>17</v>
      </c>
    </row>
    <row r="1135" spans="1:12" x14ac:dyDescent="0.3">
      <c r="A1135">
        <v>3</v>
      </c>
      <c r="B1135">
        <v>0</v>
      </c>
      <c r="C1135" t="s">
        <v>1904</v>
      </c>
      <c r="D1135" t="s">
        <v>20</v>
      </c>
      <c r="E1135">
        <v>17</v>
      </c>
      <c r="F1135">
        <v>0</v>
      </c>
      <c r="G1135">
        <v>0</v>
      </c>
      <c r="H1135">
        <v>315095</v>
      </c>
      <c r="I1135">
        <v>8.6624999999999996</v>
      </c>
      <c r="K1135" t="s">
        <v>17</v>
      </c>
    </row>
    <row r="1136" spans="1:12" x14ac:dyDescent="0.3">
      <c r="A1136">
        <v>3</v>
      </c>
      <c r="B1136">
        <v>0</v>
      </c>
      <c r="C1136" t="s">
        <v>1905</v>
      </c>
      <c r="D1136" t="s">
        <v>20</v>
      </c>
      <c r="E1136">
        <v>24</v>
      </c>
      <c r="F1136">
        <v>0</v>
      </c>
      <c r="G1136">
        <v>0</v>
      </c>
      <c r="H1136">
        <v>315092</v>
      </c>
      <c r="I1136">
        <v>8.6624999999999996</v>
      </c>
      <c r="K1136" t="s">
        <v>17</v>
      </c>
    </row>
    <row r="1137" spans="1:13" x14ac:dyDescent="0.3">
      <c r="A1137">
        <v>3</v>
      </c>
      <c r="B1137">
        <v>0</v>
      </c>
      <c r="C1137" t="s">
        <v>1906</v>
      </c>
      <c r="D1137" t="s">
        <v>20</v>
      </c>
      <c r="F1137">
        <v>0</v>
      </c>
      <c r="G1137">
        <v>0</v>
      </c>
      <c r="H1137">
        <v>349223</v>
      </c>
      <c r="I1137">
        <v>7.8958000000000004</v>
      </c>
      <c r="K1137" t="s">
        <v>17</v>
      </c>
    </row>
    <row r="1138" spans="1:13" x14ac:dyDescent="0.3">
      <c r="A1138">
        <v>3</v>
      </c>
      <c r="B1138">
        <v>0</v>
      </c>
      <c r="C1138" t="s">
        <v>1907</v>
      </c>
      <c r="D1138" t="s">
        <v>15</v>
      </c>
      <c r="F1138">
        <v>0</v>
      </c>
      <c r="G1138">
        <v>0</v>
      </c>
      <c r="H1138">
        <v>65305</v>
      </c>
      <c r="I1138">
        <v>8.1125000000000007</v>
      </c>
      <c r="K1138" t="s">
        <v>17</v>
      </c>
    </row>
    <row r="1139" spans="1:13" x14ac:dyDescent="0.3">
      <c r="A1139">
        <v>3</v>
      </c>
      <c r="B1139">
        <v>0</v>
      </c>
      <c r="C1139" t="s">
        <v>1908</v>
      </c>
      <c r="D1139" t="s">
        <v>20</v>
      </c>
      <c r="F1139">
        <v>0</v>
      </c>
      <c r="G1139">
        <v>0</v>
      </c>
      <c r="H1139">
        <v>2629</v>
      </c>
      <c r="I1139">
        <v>7.2291999999999996</v>
      </c>
      <c r="K1139" t="s">
        <v>41</v>
      </c>
    </row>
    <row r="1140" spans="1:13" x14ac:dyDescent="0.3">
      <c r="A1140">
        <v>3</v>
      </c>
      <c r="B1140">
        <v>0</v>
      </c>
      <c r="C1140" t="s">
        <v>1909</v>
      </c>
      <c r="D1140" t="s">
        <v>20</v>
      </c>
      <c r="F1140">
        <v>0</v>
      </c>
      <c r="G1140">
        <v>0</v>
      </c>
      <c r="H1140">
        <v>362316</v>
      </c>
      <c r="I1140">
        <v>7.25</v>
      </c>
      <c r="K1140" t="s">
        <v>17</v>
      </c>
    </row>
    <row r="1141" spans="1:13" x14ac:dyDescent="0.3">
      <c r="A1141">
        <v>3</v>
      </c>
      <c r="B1141">
        <v>0</v>
      </c>
      <c r="C1141" t="s">
        <v>1910</v>
      </c>
      <c r="D1141" t="s">
        <v>20</v>
      </c>
      <c r="E1141">
        <v>38</v>
      </c>
      <c r="F1141">
        <v>0</v>
      </c>
      <c r="G1141">
        <v>0</v>
      </c>
      <c r="H1141">
        <v>349249</v>
      </c>
      <c r="I1141">
        <v>7.8958000000000004</v>
      </c>
      <c r="K1141" t="s">
        <v>17</v>
      </c>
    </row>
    <row r="1142" spans="1:13" x14ac:dyDescent="0.3">
      <c r="A1142">
        <v>3</v>
      </c>
      <c r="B1142">
        <v>0</v>
      </c>
      <c r="C1142" t="s">
        <v>1911</v>
      </c>
      <c r="D1142" t="s">
        <v>20</v>
      </c>
      <c r="E1142">
        <v>21</v>
      </c>
      <c r="F1142">
        <v>0</v>
      </c>
      <c r="G1142">
        <v>0</v>
      </c>
      <c r="H1142">
        <v>342684</v>
      </c>
      <c r="I1142">
        <v>8.0500000000000007</v>
      </c>
      <c r="K1142" t="s">
        <v>17</v>
      </c>
    </row>
    <row r="1143" spans="1:13" x14ac:dyDescent="0.3">
      <c r="A1143">
        <v>3</v>
      </c>
      <c r="B1143">
        <v>0</v>
      </c>
      <c r="C1143" t="s">
        <v>1912</v>
      </c>
      <c r="D1143" t="s">
        <v>20</v>
      </c>
      <c r="E1143">
        <v>10</v>
      </c>
      <c r="F1143">
        <v>4</v>
      </c>
      <c r="G1143">
        <v>1</v>
      </c>
      <c r="H1143">
        <v>382652</v>
      </c>
      <c r="I1143">
        <v>29.125</v>
      </c>
      <c r="K1143" t="s">
        <v>463</v>
      </c>
    </row>
    <row r="1144" spans="1:13" x14ac:dyDescent="0.3">
      <c r="A1144">
        <v>3</v>
      </c>
      <c r="B1144">
        <v>0</v>
      </c>
      <c r="C1144" t="s">
        <v>1913</v>
      </c>
      <c r="D1144" t="s">
        <v>20</v>
      </c>
      <c r="E1144">
        <v>4</v>
      </c>
      <c r="F1144">
        <v>4</v>
      </c>
      <c r="G1144">
        <v>1</v>
      </c>
      <c r="H1144">
        <v>382652</v>
      </c>
      <c r="I1144">
        <v>29.125</v>
      </c>
      <c r="K1144" t="s">
        <v>463</v>
      </c>
    </row>
    <row r="1145" spans="1:13" x14ac:dyDescent="0.3">
      <c r="A1145">
        <v>3</v>
      </c>
      <c r="B1145">
        <v>0</v>
      </c>
      <c r="C1145" t="s">
        <v>1914</v>
      </c>
      <c r="D1145" t="s">
        <v>20</v>
      </c>
      <c r="E1145">
        <v>7</v>
      </c>
      <c r="F1145">
        <v>4</v>
      </c>
      <c r="G1145">
        <v>1</v>
      </c>
      <c r="H1145">
        <v>382652</v>
      </c>
      <c r="I1145">
        <v>29.125</v>
      </c>
      <c r="K1145" t="s">
        <v>463</v>
      </c>
    </row>
    <row r="1146" spans="1:13" x14ac:dyDescent="0.3">
      <c r="A1146">
        <v>3</v>
      </c>
      <c r="B1146">
        <v>0</v>
      </c>
      <c r="C1146" t="s">
        <v>1915</v>
      </c>
      <c r="D1146" t="s">
        <v>20</v>
      </c>
      <c r="E1146">
        <v>2</v>
      </c>
      <c r="F1146">
        <v>4</v>
      </c>
      <c r="G1146">
        <v>1</v>
      </c>
      <c r="H1146">
        <v>382652</v>
      </c>
      <c r="I1146">
        <v>29.125</v>
      </c>
      <c r="K1146" t="s">
        <v>463</v>
      </c>
    </row>
    <row r="1147" spans="1:13" x14ac:dyDescent="0.3">
      <c r="A1147">
        <v>3</v>
      </c>
      <c r="B1147">
        <v>0</v>
      </c>
      <c r="C1147" t="s">
        <v>1916</v>
      </c>
      <c r="D1147" t="s">
        <v>20</v>
      </c>
      <c r="E1147">
        <v>8</v>
      </c>
      <c r="F1147">
        <v>4</v>
      </c>
      <c r="G1147">
        <v>1</v>
      </c>
      <c r="H1147">
        <v>382652</v>
      </c>
      <c r="I1147">
        <v>29.125</v>
      </c>
      <c r="K1147" t="s">
        <v>463</v>
      </c>
    </row>
    <row r="1148" spans="1:13" x14ac:dyDescent="0.3">
      <c r="A1148">
        <v>3</v>
      </c>
      <c r="B1148">
        <v>0</v>
      </c>
      <c r="C1148" t="s">
        <v>1917</v>
      </c>
      <c r="D1148" t="s">
        <v>15</v>
      </c>
      <c r="E1148">
        <v>39</v>
      </c>
      <c r="F1148">
        <v>0</v>
      </c>
      <c r="G1148">
        <v>5</v>
      </c>
      <c r="H1148">
        <v>382652</v>
      </c>
      <c r="I1148">
        <v>29.125</v>
      </c>
      <c r="K1148" t="s">
        <v>463</v>
      </c>
      <c r="M1148">
        <v>327</v>
      </c>
    </row>
    <row r="1149" spans="1:13" x14ac:dyDescent="0.3">
      <c r="A1149">
        <v>3</v>
      </c>
      <c r="B1149">
        <v>0</v>
      </c>
      <c r="C1149" t="s">
        <v>1918</v>
      </c>
      <c r="D1149" t="s">
        <v>15</v>
      </c>
      <c r="E1149">
        <v>22</v>
      </c>
      <c r="F1149">
        <v>0</v>
      </c>
      <c r="G1149">
        <v>0</v>
      </c>
      <c r="H1149">
        <v>3101295</v>
      </c>
      <c r="I1149">
        <v>39.6875</v>
      </c>
      <c r="K1149" t="s">
        <v>17</v>
      </c>
    </row>
    <row r="1150" spans="1:13" x14ac:dyDescent="0.3">
      <c r="A1150">
        <v>3</v>
      </c>
      <c r="B1150">
        <v>0</v>
      </c>
      <c r="C1150" t="s">
        <v>1919</v>
      </c>
      <c r="D1150" t="s">
        <v>20</v>
      </c>
      <c r="E1150">
        <v>35</v>
      </c>
      <c r="F1150">
        <v>0</v>
      </c>
      <c r="G1150">
        <v>0</v>
      </c>
      <c r="H1150" t="s">
        <v>1920</v>
      </c>
      <c r="I1150">
        <v>7.125</v>
      </c>
      <c r="K1150" t="s">
        <v>17</v>
      </c>
    </row>
    <row r="1151" spans="1:13" x14ac:dyDescent="0.3">
      <c r="A1151">
        <v>3</v>
      </c>
      <c r="B1151">
        <v>1</v>
      </c>
      <c r="C1151" t="s">
        <v>1921</v>
      </c>
      <c r="D1151" t="s">
        <v>15</v>
      </c>
      <c r="F1151">
        <v>0</v>
      </c>
      <c r="G1151">
        <v>0</v>
      </c>
      <c r="H1151">
        <v>334915</v>
      </c>
      <c r="I1151">
        <v>7.7207999999999997</v>
      </c>
      <c r="K1151" t="s">
        <v>463</v>
      </c>
      <c r="L1151">
        <v>13</v>
      </c>
    </row>
    <row r="1152" spans="1:13" x14ac:dyDescent="0.3">
      <c r="A1152">
        <v>3</v>
      </c>
      <c r="B1152">
        <v>0</v>
      </c>
      <c r="C1152" t="s">
        <v>1922</v>
      </c>
      <c r="D1152" t="s">
        <v>20</v>
      </c>
      <c r="F1152">
        <v>0</v>
      </c>
      <c r="G1152">
        <v>0</v>
      </c>
      <c r="H1152">
        <v>364498</v>
      </c>
      <c r="I1152">
        <v>14.5</v>
      </c>
      <c r="K1152" t="s">
        <v>17</v>
      </c>
    </row>
    <row r="1153" spans="1:13" x14ac:dyDescent="0.3">
      <c r="A1153">
        <v>3</v>
      </c>
      <c r="B1153">
        <v>0</v>
      </c>
      <c r="C1153" t="s">
        <v>1923</v>
      </c>
      <c r="D1153" t="s">
        <v>15</v>
      </c>
      <c r="F1153">
        <v>0</v>
      </c>
      <c r="G1153">
        <v>0</v>
      </c>
      <c r="H1153">
        <v>364498</v>
      </c>
      <c r="I1153">
        <v>14.5</v>
      </c>
      <c r="K1153" t="s">
        <v>17</v>
      </c>
    </row>
    <row r="1154" spans="1:13" x14ac:dyDescent="0.3">
      <c r="A1154">
        <v>3</v>
      </c>
      <c r="B1154">
        <v>0</v>
      </c>
      <c r="C1154" t="s">
        <v>1924</v>
      </c>
      <c r="D1154" t="s">
        <v>20</v>
      </c>
      <c r="E1154">
        <v>50</v>
      </c>
      <c r="F1154">
        <v>1</v>
      </c>
      <c r="G1154">
        <v>0</v>
      </c>
      <c r="H1154" t="s">
        <v>1925</v>
      </c>
      <c r="I1154">
        <v>14.5</v>
      </c>
      <c r="K1154" t="s">
        <v>17</v>
      </c>
      <c r="M1154">
        <v>119</v>
      </c>
    </row>
    <row r="1155" spans="1:13" x14ac:dyDescent="0.3">
      <c r="A1155">
        <v>3</v>
      </c>
      <c r="B1155">
        <v>0</v>
      </c>
      <c r="C1155" t="s">
        <v>1926</v>
      </c>
      <c r="D1155" t="s">
        <v>15</v>
      </c>
      <c r="E1155">
        <v>47</v>
      </c>
      <c r="F1155">
        <v>1</v>
      </c>
      <c r="G1155">
        <v>0</v>
      </c>
      <c r="H1155" t="s">
        <v>1925</v>
      </c>
      <c r="I1155">
        <v>14.5</v>
      </c>
      <c r="K1155" t="s">
        <v>17</v>
      </c>
      <c r="M1155">
        <v>7</v>
      </c>
    </row>
    <row r="1156" spans="1:13" x14ac:dyDescent="0.3">
      <c r="A1156">
        <v>3</v>
      </c>
      <c r="B1156">
        <v>0</v>
      </c>
      <c r="C1156" t="s">
        <v>1927</v>
      </c>
      <c r="D1156" t="s">
        <v>20</v>
      </c>
      <c r="F1156">
        <v>0</v>
      </c>
      <c r="G1156">
        <v>0</v>
      </c>
      <c r="H1156" t="s">
        <v>1928</v>
      </c>
      <c r="I1156">
        <v>8.0500000000000007</v>
      </c>
      <c r="K1156" t="s">
        <v>17</v>
      </c>
    </row>
    <row r="1157" spans="1:13" x14ac:dyDescent="0.3">
      <c r="A1157">
        <v>3</v>
      </c>
      <c r="B1157">
        <v>0</v>
      </c>
      <c r="C1157" t="s">
        <v>1929</v>
      </c>
      <c r="D1157" t="s">
        <v>20</v>
      </c>
      <c r="F1157">
        <v>0</v>
      </c>
      <c r="G1157">
        <v>0</v>
      </c>
      <c r="H1157">
        <v>312993</v>
      </c>
      <c r="I1157">
        <v>7.7750000000000004</v>
      </c>
      <c r="K1157" t="s">
        <v>17</v>
      </c>
    </row>
    <row r="1158" spans="1:13" x14ac:dyDescent="0.3">
      <c r="A1158">
        <v>3</v>
      </c>
      <c r="B1158">
        <v>0</v>
      </c>
      <c r="C1158" t="s">
        <v>1930</v>
      </c>
      <c r="D1158" t="s">
        <v>15</v>
      </c>
      <c r="E1158">
        <v>2</v>
      </c>
      <c r="F1158">
        <v>1</v>
      </c>
      <c r="G1158">
        <v>1</v>
      </c>
      <c r="H1158">
        <v>370129</v>
      </c>
      <c r="I1158">
        <v>20.212499999999999</v>
      </c>
      <c r="K1158" t="s">
        <v>17</v>
      </c>
    </row>
    <row r="1159" spans="1:13" x14ac:dyDescent="0.3">
      <c r="A1159">
        <v>3</v>
      </c>
      <c r="B1159">
        <v>0</v>
      </c>
      <c r="C1159" t="s">
        <v>1931</v>
      </c>
      <c r="D1159" t="s">
        <v>20</v>
      </c>
      <c r="E1159">
        <v>18</v>
      </c>
      <c r="F1159">
        <v>1</v>
      </c>
      <c r="G1159">
        <v>1</v>
      </c>
      <c r="H1159">
        <v>370129</v>
      </c>
      <c r="I1159">
        <v>20.212499999999999</v>
      </c>
      <c r="K1159" t="s">
        <v>17</v>
      </c>
    </row>
    <row r="1160" spans="1:13" x14ac:dyDescent="0.3">
      <c r="A1160">
        <v>3</v>
      </c>
      <c r="B1160">
        <v>0</v>
      </c>
      <c r="C1160" t="s">
        <v>1932</v>
      </c>
      <c r="D1160" t="s">
        <v>15</v>
      </c>
      <c r="E1160">
        <v>41</v>
      </c>
      <c r="F1160">
        <v>0</v>
      </c>
      <c r="G1160">
        <v>2</v>
      </c>
      <c r="H1160">
        <v>370129</v>
      </c>
      <c r="I1160">
        <v>20.212499999999999</v>
      </c>
      <c r="K1160" t="s">
        <v>17</v>
      </c>
    </row>
    <row r="1161" spans="1:13" x14ac:dyDescent="0.3">
      <c r="A1161">
        <v>3</v>
      </c>
      <c r="B1161">
        <v>1</v>
      </c>
      <c r="C1161" t="s">
        <v>1933</v>
      </c>
      <c r="D1161" t="s">
        <v>15</v>
      </c>
      <c r="F1161">
        <v>0</v>
      </c>
      <c r="G1161">
        <v>0</v>
      </c>
      <c r="H1161">
        <v>342712</v>
      </c>
      <c r="I1161">
        <v>8.0500000000000007</v>
      </c>
      <c r="K1161" t="s">
        <v>17</v>
      </c>
      <c r="L1161" t="s">
        <v>41</v>
      </c>
    </row>
    <row r="1162" spans="1:13" x14ac:dyDescent="0.3">
      <c r="A1162">
        <v>3</v>
      </c>
      <c r="B1162">
        <v>0</v>
      </c>
      <c r="C1162" t="s">
        <v>1934</v>
      </c>
      <c r="D1162" t="s">
        <v>20</v>
      </c>
      <c r="E1162">
        <v>50</v>
      </c>
      <c r="F1162">
        <v>0</v>
      </c>
      <c r="G1162">
        <v>0</v>
      </c>
      <c r="H1162" t="s">
        <v>1935</v>
      </c>
      <c r="I1162">
        <v>8.0500000000000007</v>
      </c>
      <c r="K1162" t="s">
        <v>17</v>
      </c>
    </row>
    <row r="1163" spans="1:13" x14ac:dyDescent="0.3">
      <c r="A1163">
        <v>3</v>
      </c>
      <c r="B1163">
        <v>0</v>
      </c>
      <c r="C1163" t="s">
        <v>1936</v>
      </c>
      <c r="D1163" t="s">
        <v>20</v>
      </c>
      <c r="E1163">
        <v>16</v>
      </c>
      <c r="F1163">
        <v>0</v>
      </c>
      <c r="G1163">
        <v>0</v>
      </c>
      <c r="H1163" t="s">
        <v>1937</v>
      </c>
      <c r="I1163">
        <v>8.0500000000000007</v>
      </c>
      <c r="K1163" t="s">
        <v>17</v>
      </c>
    </row>
    <row r="1164" spans="1:13" x14ac:dyDescent="0.3">
      <c r="A1164">
        <v>3</v>
      </c>
      <c r="B1164">
        <v>1</v>
      </c>
      <c r="C1164" t="s">
        <v>1938</v>
      </c>
      <c r="D1164" t="s">
        <v>20</v>
      </c>
      <c r="F1164">
        <v>0</v>
      </c>
      <c r="G1164">
        <v>0</v>
      </c>
      <c r="H1164">
        <v>383162</v>
      </c>
      <c r="I1164">
        <v>7.75</v>
      </c>
      <c r="K1164" t="s">
        <v>463</v>
      </c>
      <c r="L1164">
        <v>14</v>
      </c>
    </row>
    <row r="1165" spans="1:13" x14ac:dyDescent="0.3">
      <c r="A1165">
        <v>3</v>
      </c>
      <c r="B1165">
        <v>0</v>
      </c>
      <c r="C1165" t="s">
        <v>1939</v>
      </c>
      <c r="D1165" t="s">
        <v>20</v>
      </c>
      <c r="F1165">
        <v>0</v>
      </c>
      <c r="G1165">
        <v>0</v>
      </c>
      <c r="H1165">
        <v>371110</v>
      </c>
      <c r="I1165">
        <v>24.15</v>
      </c>
      <c r="K1165" t="s">
        <v>463</v>
      </c>
    </row>
    <row r="1166" spans="1:13" x14ac:dyDescent="0.3">
      <c r="A1166">
        <v>3</v>
      </c>
      <c r="B1166">
        <v>0</v>
      </c>
      <c r="C1166" t="s">
        <v>1940</v>
      </c>
      <c r="D1166" t="s">
        <v>20</v>
      </c>
      <c r="F1166">
        <v>0</v>
      </c>
      <c r="G1166">
        <v>0</v>
      </c>
      <c r="H1166">
        <v>2671</v>
      </c>
      <c r="I1166">
        <v>7.2291999999999996</v>
      </c>
      <c r="K1166" t="s">
        <v>41</v>
      </c>
    </row>
    <row r="1167" spans="1:13" x14ac:dyDescent="0.3">
      <c r="A1167">
        <v>3</v>
      </c>
      <c r="B1167">
        <v>0</v>
      </c>
      <c r="C1167" t="s">
        <v>1941</v>
      </c>
      <c r="D1167" t="s">
        <v>20</v>
      </c>
      <c r="E1167">
        <v>25</v>
      </c>
      <c r="F1167">
        <v>0</v>
      </c>
      <c r="G1167">
        <v>0</v>
      </c>
      <c r="H1167">
        <v>2672</v>
      </c>
      <c r="I1167">
        <v>7.2249999999999996</v>
      </c>
      <c r="K1167" t="s">
        <v>41</v>
      </c>
    </row>
    <row r="1168" spans="1:13" x14ac:dyDescent="0.3">
      <c r="A1168">
        <v>3</v>
      </c>
      <c r="B1168">
        <v>0</v>
      </c>
      <c r="C1168" t="s">
        <v>1942</v>
      </c>
      <c r="D1168" t="s">
        <v>20</v>
      </c>
      <c r="F1168">
        <v>0</v>
      </c>
      <c r="G1168">
        <v>0</v>
      </c>
      <c r="H1168">
        <v>2676</v>
      </c>
      <c r="I1168">
        <v>7.2249999999999996</v>
      </c>
      <c r="K1168" t="s">
        <v>41</v>
      </c>
    </row>
    <row r="1169" spans="1:13" x14ac:dyDescent="0.3">
      <c r="A1169">
        <v>3</v>
      </c>
      <c r="B1169">
        <v>0</v>
      </c>
      <c r="C1169" t="s">
        <v>1943</v>
      </c>
      <c r="D1169" t="s">
        <v>20</v>
      </c>
      <c r="F1169">
        <v>0</v>
      </c>
      <c r="G1169">
        <v>0</v>
      </c>
      <c r="H1169">
        <v>367655</v>
      </c>
      <c r="I1169">
        <v>7.7291999999999996</v>
      </c>
      <c r="K1169" t="s">
        <v>463</v>
      </c>
    </row>
    <row r="1170" spans="1:13" x14ac:dyDescent="0.3">
      <c r="A1170">
        <v>3</v>
      </c>
      <c r="B1170">
        <v>0</v>
      </c>
      <c r="C1170" t="s">
        <v>1944</v>
      </c>
      <c r="D1170" t="s">
        <v>20</v>
      </c>
      <c r="F1170">
        <v>0</v>
      </c>
      <c r="G1170">
        <v>0</v>
      </c>
      <c r="H1170" t="s">
        <v>1945</v>
      </c>
      <c r="I1170">
        <v>7.5750000000000002</v>
      </c>
      <c r="K1170" t="s">
        <v>17</v>
      </c>
    </row>
    <row r="1171" spans="1:13" x14ac:dyDescent="0.3">
      <c r="A1171">
        <v>3</v>
      </c>
      <c r="B1171">
        <v>0</v>
      </c>
      <c r="C1171" t="s">
        <v>1946</v>
      </c>
      <c r="D1171" t="s">
        <v>20</v>
      </c>
      <c r="E1171">
        <v>38.5</v>
      </c>
      <c r="F1171">
        <v>0</v>
      </c>
      <c r="G1171">
        <v>0</v>
      </c>
      <c r="H1171" t="s">
        <v>1947</v>
      </c>
      <c r="I1171">
        <v>7.25</v>
      </c>
      <c r="K1171" t="s">
        <v>17</v>
      </c>
      <c r="M1171">
        <v>32</v>
      </c>
    </row>
    <row r="1172" spans="1:13" x14ac:dyDescent="0.3">
      <c r="A1172">
        <v>3</v>
      </c>
      <c r="B1172">
        <v>0</v>
      </c>
      <c r="C1172" t="s">
        <v>1948</v>
      </c>
      <c r="D1172" t="s">
        <v>20</v>
      </c>
      <c r="F1172">
        <v>8</v>
      </c>
      <c r="G1172">
        <v>2</v>
      </c>
      <c r="H1172" t="s">
        <v>1949</v>
      </c>
      <c r="I1172">
        <v>69.55</v>
      </c>
      <c r="K1172" t="s">
        <v>17</v>
      </c>
    </row>
    <row r="1173" spans="1:13" x14ac:dyDescent="0.3">
      <c r="A1173">
        <v>3</v>
      </c>
      <c r="B1173">
        <v>0</v>
      </c>
      <c r="C1173" t="s">
        <v>1950</v>
      </c>
      <c r="D1173" t="s">
        <v>20</v>
      </c>
      <c r="E1173">
        <v>14.5</v>
      </c>
      <c r="F1173">
        <v>8</v>
      </c>
      <c r="G1173">
        <v>2</v>
      </c>
      <c r="H1173" t="s">
        <v>1949</v>
      </c>
      <c r="I1173">
        <v>69.55</v>
      </c>
      <c r="K1173" t="s">
        <v>17</v>
      </c>
      <c r="M1173">
        <v>67</v>
      </c>
    </row>
    <row r="1174" spans="1:13" x14ac:dyDescent="0.3">
      <c r="A1174">
        <v>3</v>
      </c>
      <c r="B1174">
        <v>0</v>
      </c>
      <c r="C1174" t="s">
        <v>1951</v>
      </c>
      <c r="D1174" t="s">
        <v>15</v>
      </c>
      <c r="F1174">
        <v>8</v>
      </c>
      <c r="G1174">
        <v>2</v>
      </c>
      <c r="H1174" t="s">
        <v>1949</v>
      </c>
      <c r="I1174">
        <v>69.55</v>
      </c>
      <c r="K1174" t="s">
        <v>17</v>
      </c>
    </row>
    <row r="1175" spans="1:13" x14ac:dyDescent="0.3">
      <c r="A1175">
        <v>3</v>
      </c>
      <c r="B1175">
        <v>0</v>
      </c>
      <c r="C1175" t="s">
        <v>1952</v>
      </c>
      <c r="D1175" t="s">
        <v>15</v>
      </c>
      <c r="F1175">
        <v>8</v>
      </c>
      <c r="G1175">
        <v>2</v>
      </c>
      <c r="H1175" t="s">
        <v>1949</v>
      </c>
      <c r="I1175">
        <v>69.55</v>
      </c>
      <c r="K1175" t="s">
        <v>17</v>
      </c>
    </row>
    <row r="1176" spans="1:13" x14ac:dyDescent="0.3">
      <c r="A1176">
        <v>3</v>
      </c>
      <c r="B1176">
        <v>0</v>
      </c>
      <c r="C1176" t="s">
        <v>1953</v>
      </c>
      <c r="D1176" t="s">
        <v>15</v>
      </c>
      <c r="F1176">
        <v>8</v>
      </c>
      <c r="G1176">
        <v>2</v>
      </c>
      <c r="H1176" t="s">
        <v>1949</v>
      </c>
      <c r="I1176">
        <v>69.55</v>
      </c>
      <c r="K1176" t="s">
        <v>17</v>
      </c>
    </row>
    <row r="1177" spans="1:13" x14ac:dyDescent="0.3">
      <c r="A1177">
        <v>3</v>
      </c>
      <c r="B1177">
        <v>0</v>
      </c>
      <c r="C1177" t="s">
        <v>1954</v>
      </c>
      <c r="D1177" t="s">
        <v>15</v>
      </c>
      <c r="F1177">
        <v>8</v>
      </c>
      <c r="G1177">
        <v>2</v>
      </c>
      <c r="H1177" t="s">
        <v>1949</v>
      </c>
      <c r="I1177">
        <v>69.55</v>
      </c>
      <c r="K1177" t="s">
        <v>17</v>
      </c>
    </row>
    <row r="1178" spans="1:13" x14ac:dyDescent="0.3">
      <c r="A1178">
        <v>3</v>
      </c>
      <c r="B1178">
        <v>0</v>
      </c>
      <c r="C1178" t="s">
        <v>1955</v>
      </c>
      <c r="D1178" t="s">
        <v>20</v>
      </c>
      <c r="F1178">
        <v>8</v>
      </c>
      <c r="G1178">
        <v>2</v>
      </c>
      <c r="H1178" t="s">
        <v>1949</v>
      </c>
      <c r="I1178">
        <v>69.55</v>
      </c>
      <c r="K1178" t="s">
        <v>17</v>
      </c>
    </row>
    <row r="1179" spans="1:13" x14ac:dyDescent="0.3">
      <c r="A1179">
        <v>3</v>
      </c>
      <c r="B1179">
        <v>0</v>
      </c>
      <c r="C1179" t="s">
        <v>1956</v>
      </c>
      <c r="D1179" t="s">
        <v>20</v>
      </c>
      <c r="F1179">
        <v>8</v>
      </c>
      <c r="G1179">
        <v>2</v>
      </c>
      <c r="H1179" t="s">
        <v>1949</v>
      </c>
      <c r="I1179">
        <v>69.55</v>
      </c>
      <c r="K1179" t="s">
        <v>17</v>
      </c>
    </row>
    <row r="1180" spans="1:13" x14ac:dyDescent="0.3">
      <c r="A1180">
        <v>3</v>
      </c>
      <c r="B1180">
        <v>0</v>
      </c>
      <c r="C1180" t="s">
        <v>1957</v>
      </c>
      <c r="D1180" t="s">
        <v>20</v>
      </c>
      <c r="F1180">
        <v>8</v>
      </c>
      <c r="G1180">
        <v>2</v>
      </c>
      <c r="H1180" t="s">
        <v>1949</v>
      </c>
      <c r="I1180">
        <v>69.55</v>
      </c>
      <c r="K1180" t="s">
        <v>17</v>
      </c>
    </row>
    <row r="1181" spans="1:13" x14ac:dyDescent="0.3">
      <c r="A1181">
        <v>3</v>
      </c>
      <c r="B1181">
        <v>0</v>
      </c>
      <c r="C1181" t="s">
        <v>1958</v>
      </c>
      <c r="D1181" t="s">
        <v>20</v>
      </c>
      <c r="F1181">
        <v>1</v>
      </c>
      <c r="G1181">
        <v>9</v>
      </c>
      <c r="H1181" t="s">
        <v>1949</v>
      </c>
      <c r="I1181">
        <v>69.55</v>
      </c>
      <c r="K1181" t="s">
        <v>17</v>
      </c>
    </row>
    <row r="1182" spans="1:13" x14ac:dyDescent="0.3">
      <c r="A1182">
        <v>3</v>
      </c>
      <c r="B1182">
        <v>0</v>
      </c>
      <c r="C1182" t="s">
        <v>1959</v>
      </c>
      <c r="D1182" t="s">
        <v>15</v>
      </c>
      <c r="F1182">
        <v>1</v>
      </c>
      <c r="G1182">
        <v>9</v>
      </c>
      <c r="H1182" t="s">
        <v>1949</v>
      </c>
      <c r="I1182">
        <v>69.55</v>
      </c>
      <c r="K1182" t="s">
        <v>17</v>
      </c>
    </row>
    <row r="1183" spans="1:13" x14ac:dyDescent="0.3">
      <c r="A1183">
        <v>3</v>
      </c>
      <c r="B1183">
        <v>0</v>
      </c>
      <c r="C1183" t="s">
        <v>1960</v>
      </c>
      <c r="D1183" t="s">
        <v>20</v>
      </c>
      <c r="E1183">
        <v>24</v>
      </c>
      <c r="F1183">
        <v>0</v>
      </c>
      <c r="G1183">
        <v>0</v>
      </c>
      <c r="H1183">
        <v>7266</v>
      </c>
      <c r="I1183">
        <v>9.3249999999999993</v>
      </c>
      <c r="K1183" t="s">
        <v>17</v>
      </c>
    </row>
    <row r="1184" spans="1:13" x14ac:dyDescent="0.3">
      <c r="A1184">
        <v>3</v>
      </c>
      <c r="B1184">
        <v>1</v>
      </c>
      <c r="C1184" t="s">
        <v>1961</v>
      </c>
      <c r="D1184" t="s">
        <v>15</v>
      </c>
      <c r="E1184">
        <v>21</v>
      </c>
      <c r="F1184">
        <v>0</v>
      </c>
      <c r="G1184">
        <v>0</v>
      </c>
      <c r="H1184">
        <v>343120</v>
      </c>
      <c r="I1184">
        <v>7.65</v>
      </c>
      <c r="K1184" t="s">
        <v>17</v>
      </c>
      <c r="L1184" t="s">
        <v>41</v>
      </c>
    </row>
    <row r="1185" spans="1:13" x14ac:dyDescent="0.3">
      <c r="A1185">
        <v>3</v>
      </c>
      <c r="B1185">
        <v>0</v>
      </c>
      <c r="C1185" t="s">
        <v>1962</v>
      </c>
      <c r="D1185" t="s">
        <v>20</v>
      </c>
      <c r="E1185">
        <v>39</v>
      </c>
      <c r="F1185">
        <v>0</v>
      </c>
      <c r="G1185">
        <v>0</v>
      </c>
      <c r="H1185">
        <v>3101296</v>
      </c>
      <c r="I1185">
        <v>7.9249999999999998</v>
      </c>
      <c r="K1185" t="s">
        <v>17</v>
      </c>
    </row>
    <row r="1186" spans="1:13" x14ac:dyDescent="0.3">
      <c r="A1186">
        <v>3</v>
      </c>
      <c r="B1186">
        <v>0</v>
      </c>
      <c r="C1186" t="s">
        <v>1963</v>
      </c>
      <c r="D1186" t="s">
        <v>20</v>
      </c>
      <c r="F1186">
        <v>2</v>
      </c>
      <c r="G1186">
        <v>0</v>
      </c>
      <c r="H1186">
        <v>2662</v>
      </c>
      <c r="I1186">
        <v>21.679200000000002</v>
      </c>
      <c r="K1186" t="s">
        <v>41</v>
      </c>
    </row>
    <row r="1187" spans="1:13" x14ac:dyDescent="0.3">
      <c r="A1187">
        <v>3</v>
      </c>
      <c r="B1187">
        <v>0</v>
      </c>
      <c r="C1187" t="s">
        <v>1964</v>
      </c>
      <c r="D1187" t="s">
        <v>20</v>
      </c>
      <c r="F1187">
        <v>2</v>
      </c>
      <c r="G1187">
        <v>0</v>
      </c>
      <c r="H1187">
        <v>2662</v>
      </c>
      <c r="I1187">
        <v>21.679200000000002</v>
      </c>
      <c r="K1187" t="s">
        <v>41</v>
      </c>
    </row>
    <row r="1188" spans="1:13" x14ac:dyDescent="0.3">
      <c r="A1188">
        <v>3</v>
      </c>
      <c r="B1188">
        <v>0</v>
      </c>
      <c r="C1188" t="s">
        <v>1965</v>
      </c>
      <c r="D1188" t="s">
        <v>20</v>
      </c>
      <c r="F1188">
        <v>2</v>
      </c>
      <c r="G1188">
        <v>0</v>
      </c>
      <c r="H1188">
        <v>2662</v>
      </c>
      <c r="I1188">
        <v>21.679200000000002</v>
      </c>
      <c r="K1188" t="s">
        <v>41</v>
      </c>
    </row>
    <row r="1189" spans="1:13" x14ac:dyDescent="0.3">
      <c r="A1189">
        <v>3</v>
      </c>
      <c r="B1189">
        <v>1</v>
      </c>
      <c r="C1189" t="s">
        <v>1966</v>
      </c>
      <c r="D1189" t="s">
        <v>15</v>
      </c>
      <c r="E1189">
        <v>1</v>
      </c>
      <c r="F1189">
        <v>1</v>
      </c>
      <c r="G1189">
        <v>1</v>
      </c>
      <c r="H1189" t="s">
        <v>1967</v>
      </c>
      <c r="I1189">
        <v>16.7</v>
      </c>
      <c r="J1189" t="s">
        <v>1968</v>
      </c>
      <c r="K1189" t="s">
        <v>17</v>
      </c>
      <c r="L1189">
        <v>13</v>
      </c>
    </row>
    <row r="1190" spans="1:13" x14ac:dyDescent="0.3">
      <c r="A1190">
        <v>3</v>
      </c>
      <c r="B1190">
        <v>1</v>
      </c>
      <c r="C1190" t="s">
        <v>1969</v>
      </c>
      <c r="D1190" t="s">
        <v>15</v>
      </c>
      <c r="E1190">
        <v>24</v>
      </c>
      <c r="F1190">
        <v>0</v>
      </c>
      <c r="G1190">
        <v>2</v>
      </c>
      <c r="H1190" t="s">
        <v>1967</v>
      </c>
      <c r="I1190">
        <v>16.7</v>
      </c>
      <c r="J1190" t="s">
        <v>1968</v>
      </c>
      <c r="K1190" t="s">
        <v>17</v>
      </c>
      <c r="L1190">
        <v>13</v>
      </c>
    </row>
    <row r="1191" spans="1:13" x14ac:dyDescent="0.3">
      <c r="A1191">
        <v>3</v>
      </c>
      <c r="B1191">
        <v>1</v>
      </c>
      <c r="C1191" t="s">
        <v>1970</v>
      </c>
      <c r="D1191" t="s">
        <v>15</v>
      </c>
      <c r="E1191">
        <v>4</v>
      </c>
      <c r="F1191">
        <v>1</v>
      </c>
      <c r="G1191">
        <v>1</v>
      </c>
      <c r="H1191" t="s">
        <v>1967</v>
      </c>
      <c r="I1191">
        <v>16.7</v>
      </c>
      <c r="J1191" t="s">
        <v>1968</v>
      </c>
      <c r="K1191" t="s">
        <v>17</v>
      </c>
      <c r="L1191">
        <v>13</v>
      </c>
    </row>
    <row r="1192" spans="1:13" x14ac:dyDescent="0.3">
      <c r="A1192">
        <v>3</v>
      </c>
      <c r="B1192">
        <v>1</v>
      </c>
      <c r="C1192" t="s">
        <v>1971</v>
      </c>
      <c r="D1192" t="s">
        <v>20</v>
      </c>
      <c r="E1192">
        <v>25</v>
      </c>
      <c r="F1192">
        <v>0</v>
      </c>
      <c r="G1192">
        <v>0</v>
      </c>
      <c r="H1192">
        <v>345768</v>
      </c>
      <c r="I1192">
        <v>9.5</v>
      </c>
      <c r="K1192" t="s">
        <v>17</v>
      </c>
      <c r="L1192">
        <v>11</v>
      </c>
    </row>
    <row r="1193" spans="1:13" x14ac:dyDescent="0.3">
      <c r="A1193">
        <v>3</v>
      </c>
      <c r="B1193">
        <v>0</v>
      </c>
      <c r="C1193" t="s">
        <v>1972</v>
      </c>
      <c r="D1193" t="s">
        <v>20</v>
      </c>
      <c r="E1193">
        <v>20</v>
      </c>
      <c r="F1193">
        <v>0</v>
      </c>
      <c r="G1193">
        <v>0</v>
      </c>
      <c r="H1193" t="s">
        <v>1973</v>
      </c>
      <c r="I1193">
        <v>8.0500000000000007</v>
      </c>
      <c r="K1193" t="s">
        <v>17</v>
      </c>
    </row>
    <row r="1194" spans="1:13" x14ac:dyDescent="0.3">
      <c r="A1194">
        <v>3</v>
      </c>
      <c r="B1194">
        <v>0</v>
      </c>
      <c r="C1194" t="s">
        <v>1974</v>
      </c>
      <c r="D1194" t="s">
        <v>20</v>
      </c>
      <c r="E1194">
        <v>24.5</v>
      </c>
      <c r="F1194">
        <v>0</v>
      </c>
      <c r="G1194">
        <v>0</v>
      </c>
      <c r="H1194">
        <v>342826</v>
      </c>
      <c r="I1194">
        <v>8.0500000000000007</v>
      </c>
      <c r="K1194" t="s">
        <v>17</v>
      </c>
      <c r="M1194">
        <v>284</v>
      </c>
    </row>
    <row r="1195" spans="1:13" x14ac:dyDescent="0.3">
      <c r="A1195">
        <v>3</v>
      </c>
      <c r="B1195">
        <v>0</v>
      </c>
      <c r="C1195" t="s">
        <v>1975</v>
      </c>
      <c r="D1195" t="s">
        <v>20</v>
      </c>
      <c r="F1195">
        <v>0</v>
      </c>
      <c r="G1195">
        <v>0</v>
      </c>
      <c r="H1195">
        <v>36209</v>
      </c>
      <c r="I1195">
        <v>7.7249999999999996</v>
      </c>
      <c r="K1195" t="s">
        <v>463</v>
      </c>
    </row>
    <row r="1196" spans="1:13" x14ac:dyDescent="0.3">
      <c r="A1196">
        <v>3</v>
      </c>
      <c r="B1196">
        <v>0</v>
      </c>
      <c r="C1196" t="s">
        <v>1976</v>
      </c>
      <c r="D1196" t="s">
        <v>20</v>
      </c>
      <c r="F1196">
        <v>0</v>
      </c>
      <c r="G1196">
        <v>0</v>
      </c>
      <c r="H1196">
        <v>349222</v>
      </c>
      <c r="I1196">
        <v>7.8958000000000004</v>
      </c>
      <c r="K1196" t="s">
        <v>17</v>
      </c>
    </row>
    <row r="1197" spans="1:13" x14ac:dyDescent="0.3">
      <c r="A1197">
        <v>3</v>
      </c>
      <c r="B1197">
        <v>0</v>
      </c>
      <c r="C1197" t="s">
        <v>1977</v>
      </c>
      <c r="D1197" t="s">
        <v>20</v>
      </c>
      <c r="F1197">
        <v>0</v>
      </c>
      <c r="G1197">
        <v>0</v>
      </c>
      <c r="H1197">
        <v>370374</v>
      </c>
      <c r="I1197">
        <v>7.75</v>
      </c>
      <c r="K1197" t="s">
        <v>463</v>
      </c>
    </row>
    <row r="1198" spans="1:13" x14ac:dyDescent="0.3">
      <c r="A1198">
        <v>3</v>
      </c>
      <c r="B1198">
        <v>1</v>
      </c>
      <c r="C1198" t="s">
        <v>1978</v>
      </c>
      <c r="D1198" t="s">
        <v>20</v>
      </c>
      <c r="E1198">
        <v>29</v>
      </c>
      <c r="F1198">
        <v>0</v>
      </c>
      <c r="G1198">
        <v>0</v>
      </c>
      <c r="H1198">
        <v>345779</v>
      </c>
      <c r="I1198">
        <v>9.5</v>
      </c>
      <c r="K1198" t="s">
        <v>17</v>
      </c>
      <c r="L1198">
        <v>11</v>
      </c>
    </row>
    <row r="1199" spans="1:13" x14ac:dyDescent="0.3">
      <c r="A1199">
        <v>3</v>
      </c>
      <c r="B1199">
        <v>0</v>
      </c>
      <c r="C1199" t="s">
        <v>1979</v>
      </c>
      <c r="D1199" t="s">
        <v>20</v>
      </c>
      <c r="F1199">
        <v>0</v>
      </c>
      <c r="G1199">
        <v>0</v>
      </c>
      <c r="H1199" t="s">
        <v>1497</v>
      </c>
      <c r="I1199">
        <v>15.1</v>
      </c>
      <c r="K1199" t="s">
        <v>17</v>
      </c>
    </row>
    <row r="1200" spans="1:13" x14ac:dyDescent="0.3">
      <c r="A1200">
        <v>3</v>
      </c>
      <c r="B1200">
        <v>1</v>
      </c>
      <c r="C1200" t="s">
        <v>1980</v>
      </c>
      <c r="D1200" t="s">
        <v>15</v>
      </c>
      <c r="F1200">
        <v>0</v>
      </c>
      <c r="G1200">
        <v>0</v>
      </c>
      <c r="H1200">
        <v>330968</v>
      </c>
      <c r="I1200">
        <v>7.7792000000000003</v>
      </c>
      <c r="K1200" t="s">
        <v>463</v>
      </c>
    </row>
    <row r="1201" spans="1:12" x14ac:dyDescent="0.3">
      <c r="A1201">
        <v>3</v>
      </c>
      <c r="B1201">
        <v>0</v>
      </c>
      <c r="C1201" t="s">
        <v>1981</v>
      </c>
      <c r="D1201" t="s">
        <v>20</v>
      </c>
      <c r="F1201">
        <v>0</v>
      </c>
      <c r="G1201">
        <v>0</v>
      </c>
      <c r="H1201">
        <v>374910</v>
      </c>
      <c r="I1201">
        <v>8.0500000000000007</v>
      </c>
      <c r="K1201" t="s">
        <v>17</v>
      </c>
    </row>
    <row r="1202" spans="1:12" x14ac:dyDescent="0.3">
      <c r="A1202">
        <v>3</v>
      </c>
      <c r="B1202">
        <v>0</v>
      </c>
      <c r="C1202" t="s">
        <v>1982</v>
      </c>
      <c r="D1202" t="s">
        <v>20</v>
      </c>
      <c r="F1202">
        <v>0</v>
      </c>
      <c r="G1202">
        <v>0</v>
      </c>
      <c r="H1202" t="s">
        <v>1983</v>
      </c>
      <c r="I1202">
        <v>8.0500000000000007</v>
      </c>
      <c r="K1202" t="s">
        <v>17</v>
      </c>
    </row>
    <row r="1203" spans="1:12" x14ac:dyDescent="0.3">
      <c r="A1203">
        <v>3</v>
      </c>
      <c r="B1203">
        <v>0</v>
      </c>
      <c r="C1203" t="s">
        <v>1984</v>
      </c>
      <c r="D1203" t="s">
        <v>20</v>
      </c>
      <c r="E1203">
        <v>22</v>
      </c>
      <c r="F1203">
        <v>0</v>
      </c>
      <c r="G1203">
        <v>0</v>
      </c>
      <c r="H1203">
        <v>2669</v>
      </c>
      <c r="I1203">
        <v>7.2291999999999996</v>
      </c>
      <c r="K1203" t="s">
        <v>41</v>
      </c>
    </row>
    <row r="1204" spans="1:12" x14ac:dyDescent="0.3">
      <c r="A1204">
        <v>3</v>
      </c>
      <c r="B1204">
        <v>0</v>
      </c>
      <c r="C1204" t="s">
        <v>1985</v>
      </c>
      <c r="D1204" t="s">
        <v>20</v>
      </c>
      <c r="F1204">
        <v>0</v>
      </c>
      <c r="G1204">
        <v>0</v>
      </c>
      <c r="H1204">
        <v>392092</v>
      </c>
      <c r="I1204">
        <v>8.0500000000000007</v>
      </c>
      <c r="K1204" t="s">
        <v>17</v>
      </c>
    </row>
    <row r="1205" spans="1:12" x14ac:dyDescent="0.3">
      <c r="A1205">
        <v>3</v>
      </c>
      <c r="B1205">
        <v>0</v>
      </c>
      <c r="C1205" t="s">
        <v>1986</v>
      </c>
      <c r="D1205" t="s">
        <v>20</v>
      </c>
      <c r="E1205">
        <v>40</v>
      </c>
      <c r="F1205">
        <v>0</v>
      </c>
      <c r="G1205">
        <v>0</v>
      </c>
      <c r="H1205">
        <v>349251</v>
      </c>
      <c r="I1205">
        <v>7.8958000000000004</v>
      </c>
      <c r="K1205" t="s">
        <v>17</v>
      </c>
    </row>
    <row r="1206" spans="1:12" x14ac:dyDescent="0.3">
      <c r="A1206">
        <v>3</v>
      </c>
      <c r="B1206">
        <v>0</v>
      </c>
      <c r="C1206" t="s">
        <v>1987</v>
      </c>
      <c r="D1206" t="s">
        <v>20</v>
      </c>
      <c r="E1206">
        <v>21</v>
      </c>
      <c r="F1206">
        <v>0</v>
      </c>
      <c r="G1206">
        <v>0</v>
      </c>
      <c r="H1206" t="s">
        <v>1988</v>
      </c>
      <c r="I1206">
        <v>7.9249999999999998</v>
      </c>
      <c r="K1206" t="s">
        <v>17</v>
      </c>
    </row>
    <row r="1207" spans="1:12" x14ac:dyDescent="0.3">
      <c r="A1207">
        <v>3</v>
      </c>
      <c r="B1207">
        <v>1</v>
      </c>
      <c r="C1207" t="s">
        <v>1989</v>
      </c>
      <c r="D1207" t="s">
        <v>15</v>
      </c>
      <c r="E1207">
        <v>18</v>
      </c>
      <c r="F1207">
        <v>0</v>
      </c>
      <c r="G1207">
        <v>0</v>
      </c>
      <c r="H1207">
        <v>3101265</v>
      </c>
      <c r="I1207">
        <v>7.4958</v>
      </c>
      <c r="K1207" t="s">
        <v>17</v>
      </c>
      <c r="L1207">
        <v>16</v>
      </c>
    </row>
    <row r="1208" spans="1:12" x14ac:dyDescent="0.3">
      <c r="A1208">
        <v>3</v>
      </c>
      <c r="B1208">
        <v>0</v>
      </c>
      <c r="C1208" t="s">
        <v>1990</v>
      </c>
      <c r="D1208" t="s">
        <v>20</v>
      </c>
      <c r="E1208">
        <v>4</v>
      </c>
      <c r="F1208">
        <v>3</v>
      </c>
      <c r="G1208">
        <v>2</v>
      </c>
      <c r="H1208">
        <v>347088</v>
      </c>
      <c r="I1208">
        <v>27.9</v>
      </c>
      <c r="K1208" t="s">
        <v>17</v>
      </c>
    </row>
    <row r="1209" spans="1:12" x14ac:dyDescent="0.3">
      <c r="A1209">
        <v>3</v>
      </c>
      <c r="B1209">
        <v>0</v>
      </c>
      <c r="C1209" t="s">
        <v>1991</v>
      </c>
      <c r="D1209" t="s">
        <v>20</v>
      </c>
      <c r="E1209">
        <v>10</v>
      </c>
      <c r="F1209">
        <v>3</v>
      </c>
      <c r="G1209">
        <v>2</v>
      </c>
      <c r="H1209">
        <v>347088</v>
      </c>
      <c r="I1209">
        <v>27.9</v>
      </c>
      <c r="K1209" t="s">
        <v>17</v>
      </c>
    </row>
    <row r="1210" spans="1:12" x14ac:dyDescent="0.3">
      <c r="A1210">
        <v>3</v>
      </c>
      <c r="B1210">
        <v>0</v>
      </c>
      <c r="C1210" t="s">
        <v>1992</v>
      </c>
      <c r="D1210" t="s">
        <v>15</v>
      </c>
      <c r="E1210">
        <v>9</v>
      </c>
      <c r="F1210">
        <v>3</v>
      </c>
      <c r="G1210">
        <v>2</v>
      </c>
      <c r="H1210">
        <v>347088</v>
      </c>
      <c r="I1210">
        <v>27.9</v>
      </c>
      <c r="K1210" t="s">
        <v>17</v>
      </c>
    </row>
    <row r="1211" spans="1:12" x14ac:dyDescent="0.3">
      <c r="A1211">
        <v>3</v>
      </c>
      <c r="B1211">
        <v>0</v>
      </c>
      <c r="C1211" t="s">
        <v>1993</v>
      </c>
      <c r="D1211" t="s">
        <v>15</v>
      </c>
      <c r="E1211">
        <v>2</v>
      </c>
      <c r="F1211">
        <v>3</v>
      </c>
      <c r="G1211">
        <v>2</v>
      </c>
      <c r="H1211">
        <v>347088</v>
      </c>
      <c r="I1211">
        <v>27.9</v>
      </c>
      <c r="K1211" t="s">
        <v>17</v>
      </c>
    </row>
    <row r="1212" spans="1:12" x14ac:dyDescent="0.3">
      <c r="A1212">
        <v>3</v>
      </c>
      <c r="B1212">
        <v>0</v>
      </c>
      <c r="C1212" t="s">
        <v>1994</v>
      </c>
      <c r="D1212" t="s">
        <v>20</v>
      </c>
      <c r="E1212">
        <v>40</v>
      </c>
      <c r="F1212">
        <v>1</v>
      </c>
      <c r="G1212">
        <v>4</v>
      </c>
      <c r="H1212">
        <v>347088</v>
      </c>
      <c r="I1212">
        <v>27.9</v>
      </c>
      <c r="K1212" t="s">
        <v>17</v>
      </c>
    </row>
    <row r="1213" spans="1:12" x14ac:dyDescent="0.3">
      <c r="A1213">
        <v>3</v>
      </c>
      <c r="B1213">
        <v>0</v>
      </c>
      <c r="C1213" t="s">
        <v>1995</v>
      </c>
      <c r="D1213" t="s">
        <v>15</v>
      </c>
      <c r="E1213">
        <v>45</v>
      </c>
      <c r="F1213">
        <v>1</v>
      </c>
      <c r="G1213">
        <v>4</v>
      </c>
      <c r="H1213">
        <v>347088</v>
      </c>
      <c r="I1213">
        <v>27.9</v>
      </c>
      <c r="K1213" t="s">
        <v>17</v>
      </c>
    </row>
    <row r="1214" spans="1:12" x14ac:dyDescent="0.3">
      <c r="A1214">
        <v>3</v>
      </c>
      <c r="B1214">
        <v>0</v>
      </c>
      <c r="C1214" t="s">
        <v>1996</v>
      </c>
      <c r="D1214" t="s">
        <v>20</v>
      </c>
      <c r="F1214">
        <v>0</v>
      </c>
      <c r="G1214">
        <v>0</v>
      </c>
      <c r="H1214">
        <v>349214</v>
      </c>
      <c r="I1214">
        <v>7.8958000000000004</v>
      </c>
      <c r="K1214" t="s">
        <v>17</v>
      </c>
    </row>
    <row r="1215" spans="1:12" x14ac:dyDescent="0.3">
      <c r="A1215">
        <v>3</v>
      </c>
      <c r="B1215">
        <v>0</v>
      </c>
      <c r="C1215" t="s">
        <v>1997</v>
      </c>
      <c r="D1215" t="s">
        <v>20</v>
      </c>
      <c r="F1215">
        <v>0</v>
      </c>
      <c r="G1215">
        <v>0</v>
      </c>
      <c r="H1215" t="s">
        <v>1998</v>
      </c>
      <c r="I1215">
        <v>8.0500000000000007</v>
      </c>
      <c r="K1215" t="s">
        <v>17</v>
      </c>
    </row>
    <row r="1216" spans="1:12" x14ac:dyDescent="0.3">
      <c r="A1216">
        <v>3</v>
      </c>
      <c r="B1216">
        <v>0</v>
      </c>
      <c r="C1216" t="s">
        <v>1999</v>
      </c>
      <c r="D1216" t="s">
        <v>20</v>
      </c>
      <c r="F1216">
        <v>0</v>
      </c>
      <c r="G1216">
        <v>0</v>
      </c>
      <c r="H1216">
        <v>315037</v>
      </c>
      <c r="I1216">
        <v>8.6624999999999996</v>
      </c>
      <c r="K1216" t="s">
        <v>17</v>
      </c>
    </row>
    <row r="1217" spans="1:13" x14ac:dyDescent="0.3">
      <c r="A1217">
        <v>3</v>
      </c>
      <c r="B1217">
        <v>0</v>
      </c>
      <c r="C1217" t="s">
        <v>2000</v>
      </c>
      <c r="D1217" t="s">
        <v>20</v>
      </c>
      <c r="F1217">
        <v>0</v>
      </c>
      <c r="G1217">
        <v>0</v>
      </c>
      <c r="H1217">
        <v>384461</v>
      </c>
      <c r="I1217">
        <v>7.75</v>
      </c>
      <c r="K1217" t="s">
        <v>463</v>
      </c>
    </row>
    <row r="1218" spans="1:13" x14ac:dyDescent="0.3">
      <c r="A1218">
        <v>3</v>
      </c>
      <c r="B1218">
        <v>1</v>
      </c>
      <c r="C1218" t="s">
        <v>2001</v>
      </c>
      <c r="D1218" t="s">
        <v>15</v>
      </c>
      <c r="F1218">
        <v>0</v>
      </c>
      <c r="G1218">
        <v>0</v>
      </c>
      <c r="H1218">
        <v>335432</v>
      </c>
      <c r="I1218">
        <v>7.7332999999999998</v>
      </c>
      <c r="K1218" t="s">
        <v>463</v>
      </c>
      <c r="L1218">
        <v>13</v>
      </c>
    </row>
    <row r="1219" spans="1:13" x14ac:dyDescent="0.3">
      <c r="A1219">
        <v>3</v>
      </c>
      <c r="B1219">
        <v>0</v>
      </c>
      <c r="C1219" t="s">
        <v>2002</v>
      </c>
      <c r="D1219" t="s">
        <v>20</v>
      </c>
      <c r="E1219">
        <v>19</v>
      </c>
      <c r="F1219">
        <v>0</v>
      </c>
      <c r="G1219">
        <v>0</v>
      </c>
      <c r="H1219">
        <v>348124</v>
      </c>
      <c r="I1219">
        <v>7.65</v>
      </c>
      <c r="J1219" t="s">
        <v>1776</v>
      </c>
      <c r="K1219" t="s">
        <v>17</v>
      </c>
    </row>
    <row r="1220" spans="1:13" x14ac:dyDescent="0.3">
      <c r="A1220">
        <v>3</v>
      </c>
      <c r="B1220">
        <v>0</v>
      </c>
      <c r="C1220" t="s">
        <v>2003</v>
      </c>
      <c r="D1220" t="s">
        <v>20</v>
      </c>
      <c r="E1220">
        <v>30</v>
      </c>
      <c r="F1220">
        <v>0</v>
      </c>
      <c r="G1220">
        <v>0</v>
      </c>
      <c r="H1220" t="s">
        <v>2004</v>
      </c>
      <c r="I1220">
        <v>8.0500000000000007</v>
      </c>
      <c r="K1220" t="s">
        <v>17</v>
      </c>
    </row>
    <row r="1221" spans="1:13" x14ac:dyDescent="0.3">
      <c r="A1221">
        <v>3</v>
      </c>
      <c r="B1221">
        <v>0</v>
      </c>
      <c r="C1221" t="s">
        <v>2005</v>
      </c>
      <c r="D1221" t="s">
        <v>20</v>
      </c>
      <c r="F1221">
        <v>0</v>
      </c>
      <c r="G1221">
        <v>0</v>
      </c>
      <c r="H1221" t="s">
        <v>2006</v>
      </c>
      <c r="I1221">
        <v>8.0500000000000007</v>
      </c>
      <c r="K1221" t="s">
        <v>17</v>
      </c>
    </row>
    <row r="1222" spans="1:13" x14ac:dyDescent="0.3">
      <c r="A1222">
        <v>3</v>
      </c>
      <c r="B1222">
        <v>0</v>
      </c>
      <c r="C1222" t="s">
        <v>2007</v>
      </c>
      <c r="D1222" t="s">
        <v>20</v>
      </c>
      <c r="E1222">
        <v>32</v>
      </c>
      <c r="F1222">
        <v>0</v>
      </c>
      <c r="G1222">
        <v>0</v>
      </c>
      <c r="H1222" t="s">
        <v>2008</v>
      </c>
      <c r="I1222">
        <v>8.0500000000000007</v>
      </c>
      <c r="K1222" t="s">
        <v>17</v>
      </c>
    </row>
    <row r="1223" spans="1:13" x14ac:dyDescent="0.3">
      <c r="A1223">
        <v>3</v>
      </c>
      <c r="B1223">
        <v>0</v>
      </c>
      <c r="C1223" t="s">
        <v>2009</v>
      </c>
      <c r="D1223" t="s">
        <v>20</v>
      </c>
      <c r="F1223">
        <v>0</v>
      </c>
      <c r="G1223">
        <v>0</v>
      </c>
      <c r="H1223">
        <v>349208</v>
      </c>
      <c r="I1223">
        <v>7.8958000000000004</v>
      </c>
      <c r="K1223" t="s">
        <v>17</v>
      </c>
    </row>
    <row r="1224" spans="1:13" x14ac:dyDescent="0.3">
      <c r="A1224">
        <v>3</v>
      </c>
      <c r="B1224">
        <v>0</v>
      </c>
      <c r="C1224" t="s">
        <v>2010</v>
      </c>
      <c r="D1224" t="s">
        <v>20</v>
      </c>
      <c r="E1224">
        <v>33</v>
      </c>
      <c r="F1224">
        <v>0</v>
      </c>
      <c r="G1224">
        <v>0</v>
      </c>
      <c r="H1224">
        <v>349239</v>
      </c>
      <c r="I1224">
        <v>8.6624999999999996</v>
      </c>
      <c r="K1224" t="s">
        <v>41</v>
      </c>
    </row>
    <row r="1225" spans="1:13" x14ac:dyDescent="0.3">
      <c r="A1225">
        <v>3</v>
      </c>
      <c r="B1225">
        <v>1</v>
      </c>
      <c r="C1225" t="s">
        <v>2011</v>
      </c>
      <c r="D1225" t="s">
        <v>15</v>
      </c>
      <c r="E1225">
        <v>23</v>
      </c>
      <c r="F1225">
        <v>0</v>
      </c>
      <c r="G1225">
        <v>0</v>
      </c>
      <c r="H1225" t="s">
        <v>2012</v>
      </c>
      <c r="I1225">
        <v>7.55</v>
      </c>
      <c r="K1225" t="s">
        <v>17</v>
      </c>
      <c r="L1225" t="s">
        <v>41</v>
      </c>
    </row>
    <row r="1226" spans="1:13" x14ac:dyDescent="0.3">
      <c r="A1226">
        <v>3</v>
      </c>
      <c r="B1226">
        <v>0</v>
      </c>
      <c r="C1226" t="s">
        <v>2013</v>
      </c>
      <c r="D1226" t="s">
        <v>20</v>
      </c>
      <c r="E1226">
        <v>21</v>
      </c>
      <c r="F1226">
        <v>0</v>
      </c>
      <c r="G1226">
        <v>0</v>
      </c>
      <c r="H1226" t="s">
        <v>2014</v>
      </c>
      <c r="I1226">
        <v>8.0500000000000007</v>
      </c>
      <c r="K1226" t="s">
        <v>17</v>
      </c>
    </row>
    <row r="1227" spans="1:13" x14ac:dyDescent="0.3">
      <c r="A1227">
        <v>3</v>
      </c>
      <c r="B1227">
        <v>0</v>
      </c>
      <c r="C1227" t="s">
        <v>2015</v>
      </c>
      <c r="D1227" t="s">
        <v>20</v>
      </c>
      <c r="E1227">
        <v>60.5</v>
      </c>
      <c r="F1227">
        <v>0</v>
      </c>
      <c r="G1227">
        <v>0</v>
      </c>
      <c r="H1227">
        <v>3701</v>
      </c>
      <c r="K1227" t="s">
        <v>17</v>
      </c>
      <c r="M1227">
        <v>261</v>
      </c>
    </row>
    <row r="1228" spans="1:13" x14ac:dyDescent="0.3">
      <c r="A1228">
        <v>3</v>
      </c>
      <c r="B1228">
        <v>0</v>
      </c>
      <c r="C1228" t="s">
        <v>2016</v>
      </c>
      <c r="D1228" t="s">
        <v>20</v>
      </c>
      <c r="E1228">
        <v>19</v>
      </c>
      <c r="F1228">
        <v>0</v>
      </c>
      <c r="G1228">
        <v>0</v>
      </c>
      <c r="H1228">
        <v>349205</v>
      </c>
      <c r="I1228">
        <v>7.8958000000000004</v>
      </c>
      <c r="K1228" t="s">
        <v>17</v>
      </c>
    </row>
    <row r="1229" spans="1:13" x14ac:dyDescent="0.3">
      <c r="A1229">
        <v>3</v>
      </c>
      <c r="B1229">
        <v>0</v>
      </c>
      <c r="C1229" t="s">
        <v>2017</v>
      </c>
      <c r="D1229" t="s">
        <v>15</v>
      </c>
      <c r="E1229">
        <v>22</v>
      </c>
      <c r="F1229">
        <v>0</v>
      </c>
      <c r="G1229">
        <v>0</v>
      </c>
      <c r="H1229">
        <v>7553</v>
      </c>
      <c r="I1229">
        <v>9.8375000000000004</v>
      </c>
      <c r="K1229" t="s">
        <v>17</v>
      </c>
    </row>
    <row r="1230" spans="1:13" x14ac:dyDescent="0.3">
      <c r="A1230">
        <v>3</v>
      </c>
      <c r="B1230">
        <v>1</v>
      </c>
      <c r="C1230" t="s">
        <v>2018</v>
      </c>
      <c r="D1230" t="s">
        <v>20</v>
      </c>
      <c r="E1230">
        <v>31</v>
      </c>
      <c r="F1230">
        <v>0</v>
      </c>
      <c r="G1230">
        <v>0</v>
      </c>
      <c r="H1230" t="s">
        <v>2019</v>
      </c>
      <c r="I1230">
        <v>7.9249999999999998</v>
      </c>
      <c r="K1230" t="s">
        <v>17</v>
      </c>
      <c r="L1230">
        <v>9</v>
      </c>
    </row>
    <row r="1231" spans="1:13" x14ac:dyDescent="0.3">
      <c r="A1231">
        <v>3</v>
      </c>
      <c r="B1231">
        <v>0</v>
      </c>
      <c r="C1231" t="s">
        <v>2020</v>
      </c>
      <c r="D1231" t="s">
        <v>20</v>
      </c>
      <c r="E1231">
        <v>27</v>
      </c>
      <c r="F1231">
        <v>0</v>
      </c>
      <c r="G1231">
        <v>0</v>
      </c>
      <c r="H1231">
        <v>315083</v>
      </c>
      <c r="I1231">
        <v>8.6624999999999996</v>
      </c>
      <c r="K1231" t="s">
        <v>17</v>
      </c>
    </row>
    <row r="1232" spans="1:13" x14ac:dyDescent="0.3">
      <c r="A1232">
        <v>3</v>
      </c>
      <c r="B1232">
        <v>0</v>
      </c>
      <c r="C1232" t="s">
        <v>2021</v>
      </c>
      <c r="D1232" t="s">
        <v>15</v>
      </c>
      <c r="E1232">
        <v>2</v>
      </c>
      <c r="F1232">
        <v>0</v>
      </c>
      <c r="G1232">
        <v>1</v>
      </c>
      <c r="H1232">
        <v>347054</v>
      </c>
      <c r="I1232">
        <v>10.4625</v>
      </c>
      <c r="J1232" t="s">
        <v>1968</v>
      </c>
      <c r="K1232" t="s">
        <v>17</v>
      </c>
    </row>
    <row r="1233" spans="1:13" x14ac:dyDescent="0.3">
      <c r="A1233">
        <v>3</v>
      </c>
      <c r="B1233">
        <v>0</v>
      </c>
      <c r="C1233" t="s">
        <v>2022</v>
      </c>
      <c r="D1233" t="s">
        <v>15</v>
      </c>
      <c r="E1233">
        <v>29</v>
      </c>
      <c r="F1233">
        <v>1</v>
      </c>
      <c r="G1233">
        <v>1</v>
      </c>
      <c r="H1233">
        <v>347054</v>
      </c>
      <c r="I1233">
        <v>10.4625</v>
      </c>
      <c r="J1233" t="s">
        <v>1968</v>
      </c>
      <c r="K1233" t="s">
        <v>17</v>
      </c>
    </row>
    <row r="1234" spans="1:13" x14ac:dyDescent="0.3">
      <c r="A1234">
        <v>3</v>
      </c>
      <c r="B1234">
        <v>1</v>
      </c>
      <c r="C1234" t="s">
        <v>2023</v>
      </c>
      <c r="D1234" t="s">
        <v>20</v>
      </c>
      <c r="E1234">
        <v>16</v>
      </c>
      <c r="F1234">
        <v>0</v>
      </c>
      <c r="G1234">
        <v>0</v>
      </c>
      <c r="H1234" t="s">
        <v>2024</v>
      </c>
      <c r="I1234">
        <v>8.0500000000000007</v>
      </c>
      <c r="K1234" t="s">
        <v>17</v>
      </c>
      <c r="L1234" t="s">
        <v>54</v>
      </c>
    </row>
    <row r="1235" spans="1:13" x14ac:dyDescent="0.3">
      <c r="A1235">
        <v>3</v>
      </c>
      <c r="B1235">
        <v>1</v>
      </c>
      <c r="C1235" t="s">
        <v>2025</v>
      </c>
      <c r="D1235" t="s">
        <v>20</v>
      </c>
      <c r="E1235">
        <v>44</v>
      </c>
      <c r="F1235">
        <v>0</v>
      </c>
      <c r="G1235">
        <v>0</v>
      </c>
      <c r="H1235" t="s">
        <v>2026</v>
      </c>
      <c r="I1235">
        <v>7.9249999999999998</v>
      </c>
      <c r="K1235" t="s">
        <v>17</v>
      </c>
      <c r="L1235">
        <v>15</v>
      </c>
    </row>
    <row r="1236" spans="1:13" x14ac:dyDescent="0.3">
      <c r="A1236">
        <v>3</v>
      </c>
      <c r="B1236">
        <v>0</v>
      </c>
      <c r="C1236" t="s">
        <v>2027</v>
      </c>
      <c r="D1236" t="s">
        <v>20</v>
      </c>
      <c r="E1236">
        <v>25</v>
      </c>
      <c r="F1236">
        <v>0</v>
      </c>
      <c r="G1236">
        <v>0</v>
      </c>
      <c r="H1236" t="s">
        <v>2028</v>
      </c>
      <c r="I1236">
        <v>7.05</v>
      </c>
      <c r="K1236" t="s">
        <v>17</v>
      </c>
    </row>
    <row r="1237" spans="1:13" x14ac:dyDescent="0.3">
      <c r="A1237">
        <v>3</v>
      </c>
      <c r="B1237">
        <v>0</v>
      </c>
      <c r="C1237" t="s">
        <v>2029</v>
      </c>
      <c r="D1237" t="s">
        <v>20</v>
      </c>
      <c r="E1237">
        <v>74</v>
      </c>
      <c r="F1237">
        <v>0</v>
      </c>
      <c r="G1237">
        <v>0</v>
      </c>
      <c r="H1237">
        <v>347060</v>
      </c>
      <c r="I1237">
        <v>7.7750000000000004</v>
      </c>
      <c r="K1237" t="s">
        <v>17</v>
      </c>
    </row>
    <row r="1238" spans="1:13" x14ac:dyDescent="0.3">
      <c r="A1238">
        <v>3</v>
      </c>
      <c r="B1238">
        <v>1</v>
      </c>
      <c r="C1238" t="s">
        <v>2030</v>
      </c>
      <c r="D1238" t="s">
        <v>20</v>
      </c>
      <c r="E1238">
        <v>14</v>
      </c>
      <c r="F1238">
        <v>0</v>
      </c>
      <c r="G1238">
        <v>0</v>
      </c>
      <c r="H1238">
        <v>7538</v>
      </c>
      <c r="I1238">
        <v>9.2249999999999996</v>
      </c>
      <c r="K1238" t="s">
        <v>17</v>
      </c>
      <c r="L1238">
        <v>13</v>
      </c>
    </row>
    <row r="1239" spans="1:13" x14ac:dyDescent="0.3">
      <c r="A1239">
        <v>3</v>
      </c>
      <c r="B1239">
        <v>0</v>
      </c>
      <c r="C1239" t="s">
        <v>2031</v>
      </c>
      <c r="D1239" t="s">
        <v>20</v>
      </c>
      <c r="E1239">
        <v>24</v>
      </c>
      <c r="F1239">
        <v>0</v>
      </c>
      <c r="G1239">
        <v>0</v>
      </c>
      <c r="H1239">
        <v>350035</v>
      </c>
      <c r="I1239">
        <v>7.7957999999999998</v>
      </c>
      <c r="K1239" t="s">
        <v>17</v>
      </c>
    </row>
    <row r="1240" spans="1:13" x14ac:dyDescent="0.3">
      <c r="A1240">
        <v>3</v>
      </c>
      <c r="B1240">
        <v>1</v>
      </c>
      <c r="C1240" t="s">
        <v>2032</v>
      </c>
      <c r="D1240" t="s">
        <v>20</v>
      </c>
      <c r="E1240">
        <v>25</v>
      </c>
      <c r="F1240">
        <v>0</v>
      </c>
      <c r="G1240">
        <v>0</v>
      </c>
      <c r="H1240">
        <v>350033</v>
      </c>
      <c r="I1240">
        <v>7.7957999999999998</v>
      </c>
      <c r="K1240" t="s">
        <v>17</v>
      </c>
      <c r="L1240" t="s">
        <v>2033</v>
      </c>
    </row>
    <row r="1241" spans="1:13" x14ac:dyDescent="0.3">
      <c r="A1241">
        <v>3</v>
      </c>
      <c r="B1241">
        <v>0</v>
      </c>
      <c r="C1241" t="s">
        <v>2034</v>
      </c>
      <c r="D1241" t="s">
        <v>20</v>
      </c>
      <c r="E1241">
        <v>34</v>
      </c>
      <c r="F1241">
        <v>0</v>
      </c>
      <c r="G1241">
        <v>0</v>
      </c>
      <c r="H1241">
        <v>363294</v>
      </c>
      <c r="I1241">
        <v>8.0500000000000007</v>
      </c>
      <c r="K1241" t="s">
        <v>17</v>
      </c>
      <c r="M1241">
        <v>176</v>
      </c>
    </row>
    <row r="1242" spans="1:13" x14ac:dyDescent="0.3">
      <c r="A1242">
        <v>3</v>
      </c>
      <c r="B1242">
        <v>1</v>
      </c>
      <c r="C1242" t="s">
        <v>2035</v>
      </c>
      <c r="D1242" t="s">
        <v>20</v>
      </c>
      <c r="E1242">
        <v>0.42</v>
      </c>
      <c r="F1242">
        <v>0</v>
      </c>
      <c r="G1242">
        <v>1</v>
      </c>
      <c r="H1242">
        <v>2625</v>
      </c>
      <c r="I1242">
        <v>8.5167000000000002</v>
      </c>
      <c r="K1242" t="s">
        <v>41</v>
      </c>
      <c r="L1242">
        <v>16</v>
      </c>
    </row>
    <row r="1243" spans="1:13" x14ac:dyDescent="0.3">
      <c r="A1243">
        <v>3</v>
      </c>
      <c r="B1243">
        <v>0</v>
      </c>
      <c r="C1243" t="s">
        <v>2036</v>
      </c>
      <c r="D1243" t="s">
        <v>20</v>
      </c>
      <c r="F1243">
        <v>1</v>
      </c>
      <c r="G1243">
        <v>0</v>
      </c>
      <c r="H1243">
        <v>2621</v>
      </c>
      <c r="I1243">
        <v>6.4375</v>
      </c>
      <c r="K1243" t="s">
        <v>41</v>
      </c>
    </row>
    <row r="1244" spans="1:13" x14ac:dyDescent="0.3">
      <c r="A1244">
        <v>3</v>
      </c>
      <c r="B1244">
        <v>0</v>
      </c>
      <c r="C1244" t="s">
        <v>2037</v>
      </c>
      <c r="D1244" t="s">
        <v>20</v>
      </c>
      <c r="F1244">
        <v>0</v>
      </c>
      <c r="G1244">
        <v>0</v>
      </c>
      <c r="H1244">
        <v>2681</v>
      </c>
      <c r="I1244">
        <v>6.4375</v>
      </c>
      <c r="K1244" t="s">
        <v>41</v>
      </c>
    </row>
    <row r="1245" spans="1:13" x14ac:dyDescent="0.3">
      <c r="A1245">
        <v>3</v>
      </c>
      <c r="B1245">
        <v>0</v>
      </c>
      <c r="C1245" t="s">
        <v>2038</v>
      </c>
      <c r="D1245" t="s">
        <v>20</v>
      </c>
      <c r="F1245">
        <v>0</v>
      </c>
      <c r="G1245">
        <v>0</v>
      </c>
      <c r="H1245">
        <v>2684</v>
      </c>
      <c r="I1245">
        <v>7.2249999999999996</v>
      </c>
      <c r="K1245" t="s">
        <v>41</v>
      </c>
    </row>
    <row r="1246" spans="1:13" x14ac:dyDescent="0.3">
      <c r="A1246">
        <v>3</v>
      </c>
      <c r="B1246">
        <v>1</v>
      </c>
      <c r="C1246" t="s">
        <v>2039</v>
      </c>
      <c r="D1246" t="s">
        <v>15</v>
      </c>
      <c r="E1246">
        <v>16</v>
      </c>
      <c r="F1246">
        <v>1</v>
      </c>
      <c r="G1246">
        <v>1</v>
      </c>
      <c r="H1246">
        <v>2625</v>
      </c>
      <c r="I1246">
        <v>8.5167000000000002</v>
      </c>
      <c r="K1246" t="s">
        <v>41</v>
      </c>
      <c r="L1246">
        <v>14</v>
      </c>
    </row>
    <row r="1247" spans="1:13" x14ac:dyDescent="0.3">
      <c r="A1247">
        <v>3</v>
      </c>
      <c r="B1247">
        <v>0</v>
      </c>
      <c r="C1247" t="s">
        <v>2040</v>
      </c>
      <c r="D1247" t="s">
        <v>20</v>
      </c>
      <c r="F1247">
        <v>0</v>
      </c>
      <c r="G1247">
        <v>0</v>
      </c>
      <c r="H1247">
        <v>32302</v>
      </c>
      <c r="I1247">
        <v>8.0500000000000007</v>
      </c>
      <c r="K1247" t="s">
        <v>17</v>
      </c>
    </row>
    <row r="1248" spans="1:13" x14ac:dyDescent="0.3">
      <c r="A1248">
        <v>3</v>
      </c>
      <c r="B1248">
        <v>0</v>
      </c>
      <c r="C1248" t="s">
        <v>2041</v>
      </c>
      <c r="D1248" t="s">
        <v>20</v>
      </c>
      <c r="F1248">
        <v>1</v>
      </c>
      <c r="G1248">
        <v>0</v>
      </c>
      <c r="H1248">
        <v>376564</v>
      </c>
      <c r="I1248">
        <v>16.100000000000001</v>
      </c>
      <c r="K1248" t="s">
        <v>17</v>
      </c>
    </row>
    <row r="1249" spans="1:13" x14ac:dyDescent="0.3">
      <c r="A1249">
        <v>3</v>
      </c>
      <c r="B1249">
        <v>1</v>
      </c>
      <c r="C1249" t="s">
        <v>2042</v>
      </c>
      <c r="D1249" t="s">
        <v>15</v>
      </c>
      <c r="F1249">
        <v>1</v>
      </c>
      <c r="G1249">
        <v>0</v>
      </c>
      <c r="H1249">
        <v>376564</v>
      </c>
      <c r="I1249">
        <v>16.100000000000001</v>
      </c>
      <c r="K1249" t="s">
        <v>17</v>
      </c>
      <c r="L1249">
        <v>10</v>
      </c>
    </row>
    <row r="1250" spans="1:13" x14ac:dyDescent="0.3">
      <c r="A1250">
        <v>3</v>
      </c>
      <c r="B1250">
        <v>0</v>
      </c>
      <c r="C1250" t="s">
        <v>2043</v>
      </c>
      <c r="D1250" t="s">
        <v>20</v>
      </c>
      <c r="E1250">
        <v>32</v>
      </c>
      <c r="F1250">
        <v>0</v>
      </c>
      <c r="G1250">
        <v>0</v>
      </c>
      <c r="H1250" t="s">
        <v>2044</v>
      </c>
      <c r="I1250">
        <v>7.9249999999999998</v>
      </c>
      <c r="K1250" t="s">
        <v>17</v>
      </c>
    </row>
    <row r="1251" spans="1:13" x14ac:dyDescent="0.3">
      <c r="A1251">
        <v>3</v>
      </c>
      <c r="B1251">
        <v>0</v>
      </c>
      <c r="C1251" t="s">
        <v>2045</v>
      </c>
      <c r="D1251" t="s">
        <v>20</v>
      </c>
      <c r="F1251">
        <v>0</v>
      </c>
      <c r="G1251">
        <v>0</v>
      </c>
      <c r="H1251">
        <v>383121</v>
      </c>
      <c r="I1251">
        <v>7.75</v>
      </c>
      <c r="J1251" t="s">
        <v>2046</v>
      </c>
      <c r="K1251" t="s">
        <v>463</v>
      </c>
    </row>
    <row r="1252" spans="1:13" x14ac:dyDescent="0.3">
      <c r="A1252">
        <v>3</v>
      </c>
      <c r="B1252">
        <v>0</v>
      </c>
      <c r="C1252" t="s">
        <v>2047</v>
      </c>
      <c r="D1252" t="s">
        <v>20</v>
      </c>
      <c r="F1252">
        <v>0</v>
      </c>
      <c r="G1252">
        <v>0</v>
      </c>
      <c r="H1252">
        <v>349216</v>
      </c>
      <c r="I1252">
        <v>7.8958000000000004</v>
      </c>
      <c r="K1252" t="s">
        <v>17</v>
      </c>
    </row>
    <row r="1253" spans="1:13" x14ac:dyDescent="0.3">
      <c r="A1253">
        <v>3</v>
      </c>
      <c r="B1253">
        <v>0</v>
      </c>
      <c r="C1253" t="s">
        <v>2048</v>
      </c>
      <c r="D1253" t="s">
        <v>20</v>
      </c>
      <c r="E1253">
        <v>30.5</v>
      </c>
      <c r="F1253">
        <v>0</v>
      </c>
      <c r="G1253">
        <v>0</v>
      </c>
      <c r="H1253">
        <v>364499</v>
      </c>
      <c r="I1253">
        <v>8.0500000000000007</v>
      </c>
      <c r="K1253" t="s">
        <v>17</v>
      </c>
      <c r="M1253">
        <v>50</v>
      </c>
    </row>
    <row r="1254" spans="1:13" x14ac:dyDescent="0.3">
      <c r="A1254">
        <v>3</v>
      </c>
      <c r="B1254">
        <v>0</v>
      </c>
      <c r="C1254" t="s">
        <v>2049</v>
      </c>
      <c r="D1254" t="s">
        <v>20</v>
      </c>
      <c r="E1254">
        <v>44</v>
      </c>
      <c r="F1254">
        <v>0</v>
      </c>
      <c r="G1254">
        <v>0</v>
      </c>
      <c r="H1254">
        <v>364511</v>
      </c>
      <c r="I1254">
        <v>8.0500000000000007</v>
      </c>
      <c r="K1254" t="s">
        <v>17</v>
      </c>
    </row>
    <row r="1255" spans="1:13" x14ac:dyDescent="0.3">
      <c r="A1255">
        <v>3</v>
      </c>
      <c r="B1255">
        <v>0</v>
      </c>
      <c r="C1255" t="s">
        <v>2050</v>
      </c>
      <c r="D1255" t="s">
        <v>20</v>
      </c>
      <c r="F1255">
        <v>0</v>
      </c>
      <c r="G1255">
        <v>0</v>
      </c>
      <c r="H1255">
        <v>2673</v>
      </c>
      <c r="I1255">
        <v>7.2291999999999996</v>
      </c>
      <c r="K1255" t="s">
        <v>41</v>
      </c>
    </row>
    <row r="1256" spans="1:13" x14ac:dyDescent="0.3">
      <c r="A1256">
        <v>3</v>
      </c>
      <c r="B1256">
        <v>1</v>
      </c>
      <c r="C1256" t="s">
        <v>2051</v>
      </c>
      <c r="D1256" t="s">
        <v>20</v>
      </c>
      <c r="E1256">
        <v>25</v>
      </c>
      <c r="F1256">
        <v>0</v>
      </c>
      <c r="G1256">
        <v>0</v>
      </c>
      <c r="H1256" t="s">
        <v>1628</v>
      </c>
      <c r="I1256">
        <v>0</v>
      </c>
      <c r="K1256" t="s">
        <v>17</v>
      </c>
      <c r="L1256">
        <v>15</v>
      </c>
    </row>
    <row r="1257" spans="1:13" x14ac:dyDescent="0.3">
      <c r="A1257">
        <v>3</v>
      </c>
      <c r="B1257">
        <v>0</v>
      </c>
      <c r="C1257" t="s">
        <v>2052</v>
      </c>
      <c r="D1257" t="s">
        <v>20</v>
      </c>
      <c r="F1257">
        <v>0</v>
      </c>
      <c r="G1257">
        <v>0</v>
      </c>
      <c r="H1257">
        <v>2641</v>
      </c>
      <c r="I1257">
        <v>7.2291999999999996</v>
      </c>
      <c r="K1257" t="s">
        <v>41</v>
      </c>
    </row>
    <row r="1258" spans="1:13" x14ac:dyDescent="0.3">
      <c r="A1258">
        <v>3</v>
      </c>
      <c r="B1258">
        <v>1</v>
      </c>
      <c r="C1258" t="s">
        <v>2053</v>
      </c>
      <c r="D1258" t="s">
        <v>20</v>
      </c>
      <c r="E1258">
        <v>7</v>
      </c>
      <c r="F1258">
        <v>1</v>
      </c>
      <c r="G1258">
        <v>1</v>
      </c>
      <c r="H1258">
        <v>2650</v>
      </c>
      <c r="I1258">
        <v>15.245799999999999</v>
      </c>
      <c r="K1258" t="s">
        <v>41</v>
      </c>
      <c r="L1258" t="s">
        <v>41</v>
      </c>
    </row>
    <row r="1259" spans="1:13" x14ac:dyDescent="0.3">
      <c r="A1259">
        <v>3</v>
      </c>
      <c r="B1259">
        <v>1</v>
      </c>
      <c r="C1259" t="s">
        <v>2054</v>
      </c>
      <c r="D1259" t="s">
        <v>15</v>
      </c>
      <c r="E1259">
        <v>9</v>
      </c>
      <c r="F1259">
        <v>1</v>
      </c>
      <c r="G1259">
        <v>1</v>
      </c>
      <c r="H1259">
        <v>2650</v>
      </c>
      <c r="I1259">
        <v>15.245799999999999</v>
      </c>
      <c r="K1259" t="s">
        <v>41</v>
      </c>
      <c r="L1259" t="s">
        <v>41</v>
      </c>
    </row>
    <row r="1260" spans="1:13" x14ac:dyDescent="0.3">
      <c r="A1260">
        <v>3</v>
      </c>
      <c r="B1260">
        <v>1</v>
      </c>
      <c r="C1260" t="s">
        <v>2055</v>
      </c>
      <c r="D1260" t="s">
        <v>15</v>
      </c>
      <c r="E1260">
        <v>29</v>
      </c>
      <c r="F1260">
        <v>0</v>
      </c>
      <c r="G1260">
        <v>2</v>
      </c>
      <c r="H1260">
        <v>2650</v>
      </c>
      <c r="I1260">
        <v>15.245799999999999</v>
      </c>
      <c r="K1260" t="s">
        <v>41</v>
      </c>
      <c r="L1260" t="s">
        <v>41</v>
      </c>
    </row>
    <row r="1261" spans="1:13" x14ac:dyDescent="0.3">
      <c r="A1261">
        <v>3</v>
      </c>
      <c r="B1261">
        <v>0</v>
      </c>
      <c r="C1261" t="s">
        <v>2056</v>
      </c>
      <c r="D1261" t="s">
        <v>20</v>
      </c>
      <c r="E1261">
        <v>36</v>
      </c>
      <c r="F1261">
        <v>0</v>
      </c>
      <c r="G1261">
        <v>0</v>
      </c>
      <c r="H1261">
        <v>349247</v>
      </c>
      <c r="I1261">
        <v>7.8958000000000004</v>
      </c>
      <c r="K1261" t="s">
        <v>17</v>
      </c>
    </row>
    <row r="1262" spans="1:13" x14ac:dyDescent="0.3">
      <c r="A1262">
        <v>3</v>
      </c>
      <c r="B1262">
        <v>1</v>
      </c>
      <c r="C1262" t="s">
        <v>2057</v>
      </c>
      <c r="D1262" t="s">
        <v>15</v>
      </c>
      <c r="E1262">
        <v>18</v>
      </c>
      <c r="F1262">
        <v>0</v>
      </c>
      <c r="G1262">
        <v>0</v>
      </c>
      <c r="H1262">
        <v>4138</v>
      </c>
      <c r="I1262">
        <v>9.8416999999999994</v>
      </c>
      <c r="K1262" t="s">
        <v>17</v>
      </c>
      <c r="L1262">
        <v>15</v>
      </c>
    </row>
    <row r="1263" spans="1:13" x14ac:dyDescent="0.3">
      <c r="A1263">
        <v>3</v>
      </c>
      <c r="B1263">
        <v>1</v>
      </c>
      <c r="C1263" t="s">
        <v>2058</v>
      </c>
      <c r="D1263" t="s">
        <v>15</v>
      </c>
      <c r="E1263">
        <v>63</v>
      </c>
      <c r="F1263">
        <v>0</v>
      </c>
      <c r="G1263">
        <v>0</v>
      </c>
      <c r="H1263">
        <v>4134</v>
      </c>
      <c r="I1263">
        <v>9.5875000000000004</v>
      </c>
      <c r="K1263" t="s">
        <v>17</v>
      </c>
      <c r="L1263">
        <v>15</v>
      </c>
    </row>
    <row r="1264" spans="1:13" x14ac:dyDescent="0.3">
      <c r="A1264">
        <v>3</v>
      </c>
      <c r="B1264">
        <v>0</v>
      </c>
      <c r="C1264" t="s">
        <v>2059</v>
      </c>
      <c r="D1264" t="s">
        <v>20</v>
      </c>
      <c r="F1264">
        <v>1</v>
      </c>
      <c r="G1264">
        <v>1</v>
      </c>
      <c r="H1264" t="s">
        <v>2060</v>
      </c>
      <c r="I1264">
        <v>14.5</v>
      </c>
      <c r="K1264" t="s">
        <v>17</v>
      </c>
    </row>
    <row r="1265" spans="1:13" x14ac:dyDescent="0.3">
      <c r="A1265">
        <v>3</v>
      </c>
      <c r="B1265">
        <v>0</v>
      </c>
      <c r="C1265" t="s">
        <v>2061</v>
      </c>
      <c r="D1265" t="s">
        <v>20</v>
      </c>
      <c r="E1265">
        <v>11.5</v>
      </c>
      <c r="F1265">
        <v>1</v>
      </c>
      <c r="G1265">
        <v>1</v>
      </c>
      <c r="H1265" t="s">
        <v>2060</v>
      </c>
      <c r="I1265">
        <v>14.5</v>
      </c>
      <c r="K1265" t="s">
        <v>17</v>
      </c>
      <c r="M1265">
        <v>1</v>
      </c>
    </row>
    <row r="1266" spans="1:13" x14ac:dyDescent="0.3">
      <c r="A1266">
        <v>3</v>
      </c>
      <c r="B1266">
        <v>0</v>
      </c>
      <c r="C1266" t="s">
        <v>2062</v>
      </c>
      <c r="D1266" t="s">
        <v>20</v>
      </c>
      <c r="E1266">
        <v>40.5</v>
      </c>
      <c r="F1266">
        <v>0</v>
      </c>
      <c r="G1266">
        <v>2</v>
      </c>
      <c r="H1266" t="s">
        <v>2060</v>
      </c>
      <c r="I1266">
        <v>14.5</v>
      </c>
      <c r="K1266" t="s">
        <v>17</v>
      </c>
      <c r="M1266">
        <v>255</v>
      </c>
    </row>
    <row r="1267" spans="1:13" x14ac:dyDescent="0.3">
      <c r="A1267">
        <v>3</v>
      </c>
      <c r="B1267">
        <v>0</v>
      </c>
      <c r="C1267" t="s">
        <v>2063</v>
      </c>
      <c r="D1267" t="s">
        <v>15</v>
      </c>
      <c r="E1267">
        <v>10</v>
      </c>
      <c r="F1267">
        <v>0</v>
      </c>
      <c r="G1267">
        <v>2</v>
      </c>
      <c r="H1267">
        <v>345773</v>
      </c>
      <c r="I1267">
        <v>24.15</v>
      </c>
      <c r="K1267" t="s">
        <v>17</v>
      </c>
    </row>
    <row r="1268" spans="1:13" x14ac:dyDescent="0.3">
      <c r="A1268">
        <v>3</v>
      </c>
      <c r="B1268">
        <v>0</v>
      </c>
      <c r="C1268" t="s">
        <v>2064</v>
      </c>
      <c r="D1268" t="s">
        <v>20</v>
      </c>
      <c r="E1268">
        <v>36</v>
      </c>
      <c r="F1268">
        <v>1</v>
      </c>
      <c r="G1268">
        <v>1</v>
      </c>
      <c r="H1268">
        <v>345773</v>
      </c>
      <c r="I1268">
        <v>24.15</v>
      </c>
      <c r="K1268" t="s">
        <v>17</v>
      </c>
    </row>
    <row r="1269" spans="1:13" x14ac:dyDescent="0.3">
      <c r="A1269">
        <v>3</v>
      </c>
      <c r="B1269">
        <v>0</v>
      </c>
      <c r="C1269" t="s">
        <v>2065</v>
      </c>
      <c r="D1269" t="s">
        <v>15</v>
      </c>
      <c r="E1269">
        <v>30</v>
      </c>
      <c r="F1269">
        <v>1</v>
      </c>
      <c r="G1269">
        <v>1</v>
      </c>
      <c r="H1269">
        <v>345773</v>
      </c>
      <c r="I1269">
        <v>24.15</v>
      </c>
      <c r="K1269" t="s">
        <v>17</v>
      </c>
    </row>
    <row r="1270" spans="1:13" x14ac:dyDescent="0.3">
      <c r="A1270">
        <v>3</v>
      </c>
      <c r="B1270">
        <v>0</v>
      </c>
      <c r="C1270" t="s">
        <v>2066</v>
      </c>
      <c r="D1270" t="s">
        <v>20</v>
      </c>
      <c r="F1270">
        <v>0</v>
      </c>
      <c r="G1270">
        <v>0</v>
      </c>
      <c r="H1270">
        <v>345777</v>
      </c>
      <c r="I1270">
        <v>9.5</v>
      </c>
      <c r="K1270" t="s">
        <v>17</v>
      </c>
    </row>
    <row r="1271" spans="1:13" x14ac:dyDescent="0.3">
      <c r="A1271">
        <v>3</v>
      </c>
      <c r="B1271">
        <v>0</v>
      </c>
      <c r="C1271" t="s">
        <v>2067</v>
      </c>
      <c r="D1271" t="s">
        <v>20</v>
      </c>
      <c r="E1271">
        <v>33</v>
      </c>
      <c r="F1271">
        <v>0</v>
      </c>
      <c r="G1271">
        <v>0</v>
      </c>
      <c r="H1271">
        <v>345780</v>
      </c>
      <c r="I1271">
        <v>9.5</v>
      </c>
      <c r="K1271" t="s">
        <v>17</v>
      </c>
    </row>
    <row r="1272" spans="1:13" x14ac:dyDescent="0.3">
      <c r="A1272">
        <v>3</v>
      </c>
      <c r="B1272">
        <v>0</v>
      </c>
      <c r="C1272" t="s">
        <v>2068</v>
      </c>
      <c r="D1272" t="s">
        <v>20</v>
      </c>
      <c r="E1272">
        <v>28</v>
      </c>
      <c r="F1272">
        <v>0</v>
      </c>
      <c r="G1272">
        <v>0</v>
      </c>
      <c r="H1272">
        <v>345770</v>
      </c>
      <c r="I1272">
        <v>9.5</v>
      </c>
      <c r="K1272" t="s">
        <v>17</v>
      </c>
    </row>
    <row r="1273" spans="1:13" x14ac:dyDescent="0.3">
      <c r="A1273">
        <v>3</v>
      </c>
      <c r="B1273">
        <v>0</v>
      </c>
      <c r="C1273" t="s">
        <v>2069</v>
      </c>
      <c r="D1273" t="s">
        <v>20</v>
      </c>
      <c r="E1273">
        <v>28</v>
      </c>
      <c r="F1273">
        <v>0</v>
      </c>
      <c r="G1273">
        <v>0</v>
      </c>
      <c r="H1273">
        <v>345783</v>
      </c>
      <c r="I1273">
        <v>9.5</v>
      </c>
      <c r="K1273" t="s">
        <v>17</v>
      </c>
    </row>
    <row r="1274" spans="1:13" x14ac:dyDescent="0.3">
      <c r="A1274">
        <v>3</v>
      </c>
      <c r="B1274">
        <v>0</v>
      </c>
      <c r="C1274" t="s">
        <v>2070</v>
      </c>
      <c r="D1274" t="s">
        <v>20</v>
      </c>
      <c r="E1274">
        <v>47</v>
      </c>
      <c r="F1274">
        <v>0</v>
      </c>
      <c r="G1274">
        <v>0</v>
      </c>
      <c r="H1274">
        <v>345765</v>
      </c>
      <c r="I1274">
        <v>9</v>
      </c>
      <c r="K1274" t="s">
        <v>17</v>
      </c>
    </row>
    <row r="1275" spans="1:13" x14ac:dyDescent="0.3">
      <c r="A1275">
        <v>3</v>
      </c>
      <c r="B1275">
        <v>0</v>
      </c>
      <c r="C1275" t="s">
        <v>2071</v>
      </c>
      <c r="D1275" t="s">
        <v>15</v>
      </c>
      <c r="E1275">
        <v>18</v>
      </c>
      <c r="F1275">
        <v>2</v>
      </c>
      <c r="G1275">
        <v>0</v>
      </c>
      <c r="H1275">
        <v>345764</v>
      </c>
      <c r="I1275">
        <v>18</v>
      </c>
      <c r="K1275" t="s">
        <v>17</v>
      </c>
    </row>
    <row r="1276" spans="1:13" x14ac:dyDescent="0.3">
      <c r="A1276">
        <v>3</v>
      </c>
      <c r="B1276">
        <v>0</v>
      </c>
      <c r="C1276" t="s">
        <v>2072</v>
      </c>
      <c r="D1276" t="s">
        <v>20</v>
      </c>
      <c r="E1276">
        <v>31</v>
      </c>
      <c r="F1276">
        <v>3</v>
      </c>
      <c r="G1276">
        <v>0</v>
      </c>
      <c r="H1276">
        <v>345763</v>
      </c>
      <c r="I1276">
        <v>18</v>
      </c>
      <c r="K1276" t="s">
        <v>17</v>
      </c>
    </row>
    <row r="1277" spans="1:13" x14ac:dyDescent="0.3">
      <c r="A1277">
        <v>3</v>
      </c>
      <c r="B1277">
        <v>0</v>
      </c>
      <c r="C1277" t="s">
        <v>2073</v>
      </c>
      <c r="D1277" t="s">
        <v>20</v>
      </c>
      <c r="E1277">
        <v>16</v>
      </c>
      <c r="F1277">
        <v>2</v>
      </c>
      <c r="G1277">
        <v>0</v>
      </c>
      <c r="H1277">
        <v>345764</v>
      </c>
      <c r="I1277">
        <v>18</v>
      </c>
      <c r="K1277" t="s">
        <v>17</v>
      </c>
    </row>
    <row r="1278" spans="1:13" x14ac:dyDescent="0.3">
      <c r="A1278">
        <v>3</v>
      </c>
      <c r="B1278">
        <v>0</v>
      </c>
      <c r="C1278" t="s">
        <v>2074</v>
      </c>
      <c r="D1278" t="s">
        <v>15</v>
      </c>
      <c r="E1278">
        <v>31</v>
      </c>
      <c r="F1278">
        <v>1</v>
      </c>
      <c r="G1278">
        <v>0</v>
      </c>
      <c r="H1278">
        <v>345763</v>
      </c>
      <c r="I1278">
        <v>18</v>
      </c>
      <c r="K1278" t="s">
        <v>17</v>
      </c>
    </row>
    <row r="1279" spans="1:13" x14ac:dyDescent="0.3">
      <c r="A1279">
        <v>3</v>
      </c>
      <c r="B1279">
        <v>1</v>
      </c>
      <c r="C1279" t="s">
        <v>2075</v>
      </c>
      <c r="D1279" t="s">
        <v>20</v>
      </c>
      <c r="E1279">
        <v>22</v>
      </c>
      <c r="F1279">
        <v>0</v>
      </c>
      <c r="G1279">
        <v>0</v>
      </c>
      <c r="H1279">
        <v>2658</v>
      </c>
      <c r="I1279">
        <v>7.2249999999999996</v>
      </c>
      <c r="K1279" t="s">
        <v>41</v>
      </c>
      <c r="L1279" t="s">
        <v>2033</v>
      </c>
    </row>
    <row r="1280" spans="1:13" x14ac:dyDescent="0.3">
      <c r="A1280">
        <v>3</v>
      </c>
      <c r="B1280">
        <v>0</v>
      </c>
      <c r="C1280" t="s">
        <v>2076</v>
      </c>
      <c r="D1280" t="s">
        <v>20</v>
      </c>
      <c r="E1280">
        <v>20</v>
      </c>
      <c r="F1280">
        <v>0</v>
      </c>
      <c r="G1280">
        <v>0</v>
      </c>
      <c r="H1280">
        <v>350416</v>
      </c>
      <c r="I1280">
        <v>7.8541999999999996</v>
      </c>
      <c r="K1280" t="s">
        <v>17</v>
      </c>
    </row>
    <row r="1281" spans="1:14" x14ac:dyDescent="0.3">
      <c r="A1281">
        <v>3</v>
      </c>
      <c r="B1281">
        <v>0</v>
      </c>
      <c r="C1281" t="s">
        <v>2077</v>
      </c>
      <c r="D1281" t="s">
        <v>15</v>
      </c>
      <c r="E1281">
        <v>14</v>
      </c>
      <c r="F1281">
        <v>0</v>
      </c>
      <c r="G1281">
        <v>0</v>
      </c>
      <c r="H1281">
        <v>350406</v>
      </c>
      <c r="I1281">
        <v>7.8541999999999996</v>
      </c>
      <c r="K1281" t="s">
        <v>17</v>
      </c>
    </row>
    <row r="1282" spans="1:14" x14ac:dyDescent="0.3">
      <c r="A1282">
        <v>3</v>
      </c>
      <c r="B1282">
        <v>0</v>
      </c>
      <c r="C1282" t="s">
        <v>2078</v>
      </c>
      <c r="D1282" t="s">
        <v>20</v>
      </c>
      <c r="E1282">
        <v>22</v>
      </c>
      <c r="F1282">
        <v>0</v>
      </c>
      <c r="G1282">
        <v>0</v>
      </c>
      <c r="H1282">
        <v>349252</v>
      </c>
      <c r="I1282">
        <v>7.8958000000000004</v>
      </c>
      <c r="K1282" t="s">
        <v>17</v>
      </c>
    </row>
    <row r="1283" spans="1:14" x14ac:dyDescent="0.3">
      <c r="A1283">
        <v>3</v>
      </c>
      <c r="B1283">
        <v>0</v>
      </c>
      <c r="C1283" t="s">
        <v>2079</v>
      </c>
      <c r="D1283" t="s">
        <v>20</v>
      </c>
      <c r="E1283">
        <v>22</v>
      </c>
      <c r="F1283">
        <v>0</v>
      </c>
      <c r="G1283">
        <v>0</v>
      </c>
      <c r="H1283">
        <v>345767</v>
      </c>
      <c r="I1283">
        <v>9</v>
      </c>
      <c r="K1283" t="s">
        <v>17</v>
      </c>
      <c r="N1283" t="s">
        <v>2080</v>
      </c>
    </row>
    <row r="1284" spans="1:14" x14ac:dyDescent="0.3">
      <c r="A1284">
        <v>3</v>
      </c>
      <c r="B1284">
        <v>0</v>
      </c>
      <c r="C1284" t="s">
        <v>2081</v>
      </c>
      <c r="D1284" t="s">
        <v>20</v>
      </c>
      <c r="F1284">
        <v>0</v>
      </c>
      <c r="G1284">
        <v>0</v>
      </c>
      <c r="H1284">
        <v>359309</v>
      </c>
      <c r="I1284">
        <v>8.0500000000000007</v>
      </c>
      <c r="K1284" t="s">
        <v>17</v>
      </c>
    </row>
    <row r="1285" spans="1:14" x14ac:dyDescent="0.3">
      <c r="A1285">
        <v>3</v>
      </c>
      <c r="B1285">
        <v>0</v>
      </c>
      <c r="C1285" t="s">
        <v>2082</v>
      </c>
      <c r="D1285" t="s">
        <v>20</v>
      </c>
      <c r="F1285">
        <v>0</v>
      </c>
      <c r="G1285">
        <v>0</v>
      </c>
      <c r="H1285" t="s">
        <v>2083</v>
      </c>
      <c r="I1285">
        <v>7.55</v>
      </c>
      <c r="K1285" t="s">
        <v>17</v>
      </c>
    </row>
    <row r="1286" spans="1:14" x14ac:dyDescent="0.3">
      <c r="A1286">
        <v>3</v>
      </c>
      <c r="B1286">
        <v>0</v>
      </c>
      <c r="C1286" t="s">
        <v>2084</v>
      </c>
      <c r="D1286" t="s">
        <v>20</v>
      </c>
      <c r="F1286">
        <v>0</v>
      </c>
      <c r="G1286">
        <v>0</v>
      </c>
      <c r="H1286" t="s">
        <v>2085</v>
      </c>
      <c r="I1286">
        <v>8.0500000000000007</v>
      </c>
      <c r="K1286" t="s">
        <v>17</v>
      </c>
    </row>
    <row r="1287" spans="1:14" x14ac:dyDescent="0.3">
      <c r="A1287">
        <v>3</v>
      </c>
      <c r="B1287">
        <v>0</v>
      </c>
      <c r="C1287" t="s">
        <v>2086</v>
      </c>
      <c r="D1287" t="s">
        <v>20</v>
      </c>
      <c r="E1287">
        <v>32.5</v>
      </c>
      <c r="F1287">
        <v>0</v>
      </c>
      <c r="G1287">
        <v>0</v>
      </c>
      <c r="H1287">
        <v>345775</v>
      </c>
      <c r="I1287">
        <v>9.5</v>
      </c>
      <c r="K1287" t="s">
        <v>17</v>
      </c>
      <c r="M1287">
        <v>298</v>
      </c>
    </row>
    <row r="1288" spans="1:14" x14ac:dyDescent="0.3">
      <c r="A1288">
        <v>3</v>
      </c>
      <c r="B1288">
        <v>1</v>
      </c>
      <c r="C1288" t="s">
        <v>2087</v>
      </c>
      <c r="D1288" t="s">
        <v>15</v>
      </c>
      <c r="E1288">
        <v>38</v>
      </c>
      <c r="F1288">
        <v>0</v>
      </c>
      <c r="G1288">
        <v>0</v>
      </c>
      <c r="H1288">
        <v>2688</v>
      </c>
      <c r="I1288">
        <v>7.2291999999999996</v>
      </c>
      <c r="K1288" t="s">
        <v>41</v>
      </c>
      <c r="L1288" t="s">
        <v>41</v>
      </c>
    </row>
    <row r="1289" spans="1:14" x14ac:dyDescent="0.3">
      <c r="A1289">
        <v>3</v>
      </c>
      <c r="B1289">
        <v>0</v>
      </c>
      <c r="C1289" t="s">
        <v>2088</v>
      </c>
      <c r="D1289" t="s">
        <v>20</v>
      </c>
      <c r="E1289">
        <v>51</v>
      </c>
      <c r="F1289">
        <v>0</v>
      </c>
      <c r="G1289">
        <v>0</v>
      </c>
      <c r="H1289">
        <v>347064</v>
      </c>
      <c r="I1289">
        <v>7.75</v>
      </c>
      <c r="K1289" t="s">
        <v>17</v>
      </c>
    </row>
    <row r="1290" spans="1:14" x14ac:dyDescent="0.3">
      <c r="A1290">
        <v>3</v>
      </c>
      <c r="B1290">
        <v>0</v>
      </c>
      <c r="C1290" t="s">
        <v>2089</v>
      </c>
      <c r="D1290" t="s">
        <v>20</v>
      </c>
      <c r="E1290">
        <v>18</v>
      </c>
      <c r="F1290">
        <v>1</v>
      </c>
      <c r="G1290">
        <v>0</v>
      </c>
      <c r="H1290">
        <v>3101267</v>
      </c>
      <c r="I1290">
        <v>6.4958</v>
      </c>
      <c r="K1290" t="s">
        <v>17</v>
      </c>
      <c r="M1290">
        <v>314</v>
      </c>
    </row>
    <row r="1291" spans="1:14" x14ac:dyDescent="0.3">
      <c r="A1291">
        <v>3</v>
      </c>
      <c r="B1291">
        <v>0</v>
      </c>
      <c r="C1291" t="s">
        <v>2090</v>
      </c>
      <c r="D1291" t="s">
        <v>20</v>
      </c>
      <c r="E1291">
        <v>21</v>
      </c>
      <c r="F1291">
        <v>1</v>
      </c>
      <c r="G1291">
        <v>0</v>
      </c>
      <c r="H1291">
        <v>3101266</v>
      </c>
      <c r="I1291">
        <v>6.4958</v>
      </c>
      <c r="K1291" t="s">
        <v>17</v>
      </c>
    </row>
    <row r="1292" spans="1:14" x14ac:dyDescent="0.3">
      <c r="A1292">
        <v>3</v>
      </c>
      <c r="B1292">
        <v>1</v>
      </c>
      <c r="C1292" t="s">
        <v>2091</v>
      </c>
      <c r="D1292" t="s">
        <v>15</v>
      </c>
      <c r="E1292">
        <v>47</v>
      </c>
      <c r="F1292">
        <v>1</v>
      </c>
      <c r="G1292">
        <v>0</v>
      </c>
      <c r="H1292">
        <v>363272</v>
      </c>
      <c r="I1292">
        <v>7</v>
      </c>
      <c r="K1292" t="s">
        <v>17</v>
      </c>
    </row>
    <row r="1293" spans="1:14" x14ac:dyDescent="0.3">
      <c r="A1293">
        <v>3</v>
      </c>
      <c r="B1293">
        <v>0</v>
      </c>
      <c r="C1293" t="s">
        <v>2092</v>
      </c>
      <c r="D1293" t="s">
        <v>20</v>
      </c>
      <c r="F1293">
        <v>0</v>
      </c>
      <c r="G1293">
        <v>0</v>
      </c>
      <c r="H1293">
        <v>3410</v>
      </c>
      <c r="I1293">
        <v>8.7125000000000004</v>
      </c>
      <c r="K1293" t="s">
        <v>17</v>
      </c>
    </row>
    <row r="1294" spans="1:14" x14ac:dyDescent="0.3">
      <c r="A1294">
        <v>3</v>
      </c>
      <c r="B1294">
        <v>0</v>
      </c>
      <c r="C1294" t="s">
        <v>2093</v>
      </c>
      <c r="D1294" t="s">
        <v>20</v>
      </c>
      <c r="F1294">
        <v>0</v>
      </c>
      <c r="G1294">
        <v>0</v>
      </c>
      <c r="H1294" t="s">
        <v>2094</v>
      </c>
      <c r="I1294">
        <v>7.55</v>
      </c>
      <c r="K1294" t="s">
        <v>17</v>
      </c>
    </row>
    <row r="1295" spans="1:14" x14ac:dyDescent="0.3">
      <c r="A1295">
        <v>3</v>
      </c>
      <c r="B1295">
        <v>0</v>
      </c>
      <c r="C1295" t="s">
        <v>2095</v>
      </c>
      <c r="D1295" t="s">
        <v>20</v>
      </c>
      <c r="F1295">
        <v>0</v>
      </c>
      <c r="G1295">
        <v>0</v>
      </c>
      <c r="H1295" t="s">
        <v>2096</v>
      </c>
      <c r="I1295">
        <v>8.0500000000000007</v>
      </c>
      <c r="K1295" t="s">
        <v>17</v>
      </c>
    </row>
    <row r="1296" spans="1:14" x14ac:dyDescent="0.3">
      <c r="A1296">
        <v>3</v>
      </c>
      <c r="B1296">
        <v>0</v>
      </c>
      <c r="C1296" t="s">
        <v>2097</v>
      </c>
      <c r="D1296" t="s">
        <v>20</v>
      </c>
      <c r="E1296">
        <v>28.5</v>
      </c>
      <c r="F1296">
        <v>0</v>
      </c>
      <c r="G1296">
        <v>0</v>
      </c>
      <c r="H1296">
        <v>54636</v>
      </c>
      <c r="I1296">
        <v>16.100000000000001</v>
      </c>
      <c r="K1296" t="s">
        <v>17</v>
      </c>
      <c r="M1296">
        <v>14</v>
      </c>
    </row>
    <row r="1297" spans="1:13" x14ac:dyDescent="0.3">
      <c r="A1297">
        <v>3</v>
      </c>
      <c r="B1297">
        <v>0</v>
      </c>
      <c r="C1297" t="s">
        <v>2098</v>
      </c>
      <c r="D1297" t="s">
        <v>20</v>
      </c>
      <c r="E1297">
        <v>21</v>
      </c>
      <c r="F1297">
        <v>0</v>
      </c>
      <c r="G1297">
        <v>0</v>
      </c>
      <c r="H1297" t="s">
        <v>2099</v>
      </c>
      <c r="I1297">
        <v>7.25</v>
      </c>
      <c r="K1297" t="s">
        <v>17</v>
      </c>
    </row>
    <row r="1298" spans="1:13" x14ac:dyDescent="0.3">
      <c r="A1298">
        <v>3</v>
      </c>
      <c r="B1298">
        <v>0</v>
      </c>
      <c r="C1298" t="s">
        <v>2100</v>
      </c>
      <c r="D1298" t="s">
        <v>20</v>
      </c>
      <c r="E1298">
        <v>27</v>
      </c>
      <c r="F1298">
        <v>0</v>
      </c>
      <c r="G1298">
        <v>0</v>
      </c>
      <c r="H1298">
        <v>315154</v>
      </c>
      <c r="I1298">
        <v>8.6624999999999996</v>
      </c>
      <c r="K1298" t="s">
        <v>17</v>
      </c>
      <c r="M1298">
        <v>131</v>
      </c>
    </row>
    <row r="1299" spans="1:13" x14ac:dyDescent="0.3">
      <c r="A1299">
        <v>3</v>
      </c>
      <c r="B1299">
        <v>0</v>
      </c>
      <c r="C1299" t="s">
        <v>2101</v>
      </c>
      <c r="D1299" t="s">
        <v>20</v>
      </c>
      <c r="F1299">
        <v>0</v>
      </c>
      <c r="G1299">
        <v>0</v>
      </c>
      <c r="H1299" t="s">
        <v>2102</v>
      </c>
      <c r="I1299">
        <v>7.25</v>
      </c>
      <c r="K1299" t="s">
        <v>17</v>
      </c>
    </row>
    <row r="1300" spans="1:13" x14ac:dyDescent="0.3">
      <c r="A1300">
        <v>3</v>
      </c>
      <c r="B1300">
        <v>0</v>
      </c>
      <c r="C1300" t="s">
        <v>2103</v>
      </c>
      <c r="D1300" t="s">
        <v>20</v>
      </c>
      <c r="E1300">
        <v>36</v>
      </c>
      <c r="F1300">
        <v>0</v>
      </c>
      <c r="G1300">
        <v>0</v>
      </c>
      <c r="H1300">
        <v>345771</v>
      </c>
      <c r="I1300">
        <v>9.5</v>
      </c>
      <c r="K1300" t="s">
        <v>17</v>
      </c>
    </row>
    <row r="1301" spans="1:13" x14ac:dyDescent="0.3">
      <c r="A1301">
        <v>3</v>
      </c>
      <c r="B1301">
        <v>0</v>
      </c>
      <c r="C1301" t="s">
        <v>2104</v>
      </c>
      <c r="D1301" t="s">
        <v>20</v>
      </c>
      <c r="E1301">
        <v>27</v>
      </c>
      <c r="F1301">
        <v>1</v>
      </c>
      <c r="G1301">
        <v>0</v>
      </c>
      <c r="H1301">
        <v>2659</v>
      </c>
      <c r="I1301">
        <v>14.4542</v>
      </c>
      <c r="K1301" t="s">
        <v>41</v>
      </c>
      <c r="L1301" t="s">
        <v>41</v>
      </c>
    </row>
    <row r="1302" spans="1:13" x14ac:dyDescent="0.3">
      <c r="A1302">
        <v>3</v>
      </c>
      <c r="B1302">
        <v>1</v>
      </c>
      <c r="C1302" t="s">
        <v>2105</v>
      </c>
      <c r="D1302" t="s">
        <v>15</v>
      </c>
      <c r="E1302">
        <v>15</v>
      </c>
      <c r="F1302">
        <v>1</v>
      </c>
      <c r="G1302">
        <v>0</v>
      </c>
      <c r="H1302">
        <v>2659</v>
      </c>
      <c r="I1302">
        <v>14.4542</v>
      </c>
      <c r="K1302" t="s">
        <v>41</v>
      </c>
    </row>
    <row r="1303" spans="1:13" x14ac:dyDescent="0.3">
      <c r="A1303">
        <v>3</v>
      </c>
      <c r="B1303">
        <v>0</v>
      </c>
      <c r="C1303" t="s">
        <v>2106</v>
      </c>
      <c r="D1303" t="s">
        <v>20</v>
      </c>
      <c r="E1303">
        <v>45.5</v>
      </c>
      <c r="F1303">
        <v>0</v>
      </c>
      <c r="G1303">
        <v>0</v>
      </c>
      <c r="H1303">
        <v>2628</v>
      </c>
      <c r="I1303">
        <v>7.2249999999999996</v>
      </c>
      <c r="K1303" t="s">
        <v>41</v>
      </c>
      <c r="M1303">
        <v>312</v>
      </c>
    </row>
    <row r="1304" spans="1:13" x14ac:dyDescent="0.3">
      <c r="A1304">
        <v>3</v>
      </c>
      <c r="B1304">
        <v>0</v>
      </c>
      <c r="C1304" t="s">
        <v>2107</v>
      </c>
      <c r="D1304" t="s">
        <v>20</v>
      </c>
      <c r="F1304">
        <v>0</v>
      </c>
      <c r="G1304">
        <v>0</v>
      </c>
      <c r="H1304">
        <v>2647</v>
      </c>
      <c r="I1304">
        <v>7.2249999999999996</v>
      </c>
      <c r="K1304" t="s">
        <v>41</v>
      </c>
    </row>
    <row r="1305" spans="1:13" x14ac:dyDescent="0.3">
      <c r="A1305">
        <v>3</v>
      </c>
      <c r="B1305">
        <v>0</v>
      </c>
      <c r="C1305" t="s">
        <v>2108</v>
      </c>
      <c r="D1305" t="s">
        <v>20</v>
      </c>
      <c r="F1305">
        <v>0</v>
      </c>
      <c r="G1305">
        <v>0</v>
      </c>
      <c r="H1305">
        <v>2627</v>
      </c>
      <c r="I1305">
        <v>14.458299999999999</v>
      </c>
      <c r="K1305" t="s">
        <v>41</v>
      </c>
    </row>
    <row r="1306" spans="1:13" x14ac:dyDescent="0.3">
      <c r="A1306">
        <v>3</v>
      </c>
      <c r="B1306">
        <v>0</v>
      </c>
      <c r="C1306" t="s">
        <v>2109</v>
      </c>
      <c r="D1306" t="s">
        <v>15</v>
      </c>
      <c r="E1306">
        <v>14.5</v>
      </c>
      <c r="F1306">
        <v>1</v>
      </c>
      <c r="G1306">
        <v>0</v>
      </c>
      <c r="H1306">
        <v>2665</v>
      </c>
      <c r="I1306">
        <v>14.4542</v>
      </c>
      <c r="K1306" t="s">
        <v>41</v>
      </c>
      <c r="M1306">
        <v>328</v>
      </c>
    </row>
    <row r="1307" spans="1:13" x14ac:dyDescent="0.3">
      <c r="A1307">
        <v>3</v>
      </c>
      <c r="B1307">
        <v>0</v>
      </c>
      <c r="C1307" t="s">
        <v>2110</v>
      </c>
      <c r="D1307" t="s">
        <v>15</v>
      </c>
      <c r="F1307">
        <v>1</v>
      </c>
      <c r="G1307">
        <v>0</v>
      </c>
      <c r="H1307">
        <v>2665</v>
      </c>
      <c r="I1307">
        <v>14.4542</v>
      </c>
      <c r="K1307" t="s">
        <v>41</v>
      </c>
    </row>
    <row r="1308" spans="1:13" x14ac:dyDescent="0.3">
      <c r="A1308">
        <v>3</v>
      </c>
      <c r="B1308">
        <v>0</v>
      </c>
      <c r="C1308" t="s">
        <v>2111</v>
      </c>
      <c r="D1308" t="s">
        <v>20</v>
      </c>
      <c r="E1308">
        <v>26.5</v>
      </c>
      <c r="F1308">
        <v>0</v>
      </c>
      <c r="G1308">
        <v>0</v>
      </c>
      <c r="H1308">
        <v>2656</v>
      </c>
      <c r="I1308">
        <v>7.2249999999999996</v>
      </c>
      <c r="K1308" t="s">
        <v>41</v>
      </c>
      <c r="M1308">
        <v>304</v>
      </c>
    </row>
    <row r="1309" spans="1:13" x14ac:dyDescent="0.3">
      <c r="A1309">
        <v>3</v>
      </c>
      <c r="B1309">
        <v>0</v>
      </c>
      <c r="C1309" t="s">
        <v>2112</v>
      </c>
      <c r="D1309" t="s">
        <v>20</v>
      </c>
      <c r="E1309">
        <v>27</v>
      </c>
      <c r="F1309">
        <v>0</v>
      </c>
      <c r="G1309">
        <v>0</v>
      </c>
      <c r="H1309">
        <v>2670</v>
      </c>
      <c r="I1309">
        <v>7.2249999999999996</v>
      </c>
      <c r="K1309" t="s">
        <v>41</v>
      </c>
    </row>
    <row r="1310" spans="1:13" x14ac:dyDescent="0.3">
      <c r="A1310">
        <v>3</v>
      </c>
      <c r="B1310">
        <v>0</v>
      </c>
      <c r="C1310" t="s">
        <v>2113</v>
      </c>
      <c r="D1310" t="s">
        <v>20</v>
      </c>
      <c r="E1310">
        <v>29</v>
      </c>
      <c r="F1310">
        <v>0</v>
      </c>
      <c r="G1310">
        <v>0</v>
      </c>
      <c r="H1310">
        <v>315082</v>
      </c>
      <c r="I1310">
        <v>7.875</v>
      </c>
      <c r="K1310"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D2511-4568-434F-B798-35B95CDEC412}">
  <sheetPr>
    <tabColor theme="8" tint="0.59999389629810485"/>
  </sheetPr>
  <dimension ref="A1:I1306"/>
  <sheetViews>
    <sheetView workbookViewId="0">
      <selection activeCell="H7" sqref="H7"/>
    </sheetView>
  </sheetViews>
  <sheetFormatPr defaultRowHeight="14.4" x14ac:dyDescent="0.3"/>
  <cols>
    <col min="1" max="1" width="13.44140625" bestFit="1" customWidth="1"/>
    <col min="2" max="2" width="16.33203125" bestFit="1" customWidth="1"/>
    <col min="3" max="3" width="18.6640625" bestFit="1" customWidth="1"/>
    <col min="4" max="4" width="12" bestFit="1" customWidth="1"/>
    <col min="5" max="5" width="9.33203125" bestFit="1" customWidth="1"/>
    <col min="6" max="6" width="15.77734375" bestFit="1" customWidth="1"/>
    <col min="7" max="7" width="14.33203125" bestFit="1" customWidth="1"/>
    <col min="8" max="8" width="14.77734375" bestFit="1" customWidth="1"/>
    <col min="9" max="9" width="20" customWidth="1"/>
  </cols>
  <sheetData>
    <row r="1" spans="1:9" x14ac:dyDescent="0.3">
      <c r="A1" t="s">
        <v>4163</v>
      </c>
      <c r="B1" t="s">
        <v>2116</v>
      </c>
      <c r="C1" t="s">
        <v>2115</v>
      </c>
      <c r="D1" t="s">
        <v>2117</v>
      </c>
      <c r="E1" t="s">
        <v>4139</v>
      </c>
      <c r="F1" t="s">
        <v>4143</v>
      </c>
      <c r="G1" t="s">
        <v>4141</v>
      </c>
      <c r="H1" t="s">
        <v>4144</v>
      </c>
      <c r="I1" t="s">
        <v>4142</v>
      </c>
    </row>
    <row r="2" spans="1:9" x14ac:dyDescent="0.3">
      <c r="A2">
        <v>1</v>
      </c>
      <c r="B2" s="4" t="s">
        <v>4145</v>
      </c>
      <c r="C2" s="4" t="s">
        <v>4146</v>
      </c>
      <c r="D2" s="4" t="s">
        <v>2994</v>
      </c>
      <c r="E2" s="4" t="s">
        <v>4147</v>
      </c>
      <c r="F2" s="4" t="s">
        <v>4148</v>
      </c>
      <c r="G2" s="4" t="s">
        <v>4149</v>
      </c>
      <c r="H2" s="4" t="s">
        <v>4150</v>
      </c>
      <c r="I2" s="4" t="s">
        <v>824</v>
      </c>
    </row>
    <row r="3" spans="1:9" x14ac:dyDescent="0.3">
      <c r="A3">
        <v>2</v>
      </c>
      <c r="B3" s="4" t="s">
        <v>4145</v>
      </c>
      <c r="C3" s="4" t="s">
        <v>4146</v>
      </c>
      <c r="D3" s="4" t="s">
        <v>2996</v>
      </c>
      <c r="E3" s="4" t="s">
        <v>4151</v>
      </c>
      <c r="F3" s="4" t="s">
        <v>4152</v>
      </c>
      <c r="G3" s="4" t="s">
        <v>4153</v>
      </c>
      <c r="H3" s="4" t="s">
        <v>4150</v>
      </c>
      <c r="I3" s="4" t="s">
        <v>824</v>
      </c>
    </row>
    <row r="4" spans="1:9" x14ac:dyDescent="0.3">
      <c r="A4">
        <v>3</v>
      </c>
      <c r="B4" s="4" t="s">
        <v>4145</v>
      </c>
      <c r="C4" s="4" t="s">
        <v>4154</v>
      </c>
      <c r="D4" s="4" t="s">
        <v>2994</v>
      </c>
      <c r="E4" s="4" t="s">
        <v>4147</v>
      </c>
      <c r="F4" s="4" t="s">
        <v>4152</v>
      </c>
      <c r="G4" s="4" t="s">
        <v>4153</v>
      </c>
      <c r="H4" s="4" t="s">
        <v>4150</v>
      </c>
      <c r="I4" s="4" t="s">
        <v>824</v>
      </c>
    </row>
    <row r="5" spans="1:9" x14ac:dyDescent="0.3">
      <c r="A5">
        <v>4</v>
      </c>
      <c r="B5" s="4" t="s">
        <v>4145</v>
      </c>
      <c r="C5" s="4" t="s">
        <v>4154</v>
      </c>
      <c r="D5" s="4" t="s">
        <v>2999</v>
      </c>
      <c r="E5" s="4" t="s">
        <v>4151</v>
      </c>
      <c r="F5" s="4" t="s">
        <v>4148</v>
      </c>
      <c r="G5" s="4" t="s">
        <v>4153</v>
      </c>
      <c r="H5" s="4" t="s">
        <v>4150</v>
      </c>
      <c r="I5" s="4" t="s">
        <v>824</v>
      </c>
    </row>
    <row r="6" spans="1:9" x14ac:dyDescent="0.3">
      <c r="A6">
        <v>5</v>
      </c>
      <c r="B6" s="4" t="s">
        <v>4145</v>
      </c>
      <c r="C6" s="4" t="s">
        <v>4154</v>
      </c>
      <c r="D6" s="4" t="s">
        <v>3001</v>
      </c>
      <c r="E6" s="4" t="s">
        <v>4147</v>
      </c>
      <c r="F6" s="4" t="s">
        <v>4148</v>
      </c>
      <c r="G6" s="4" t="s">
        <v>4153</v>
      </c>
      <c r="H6" s="4" t="s">
        <v>4150</v>
      </c>
      <c r="I6" s="4" t="s">
        <v>824</v>
      </c>
    </row>
    <row r="7" spans="1:9" x14ac:dyDescent="0.3">
      <c r="A7">
        <v>6</v>
      </c>
      <c r="B7" s="4" t="s">
        <v>4145</v>
      </c>
      <c r="C7" s="4" t="s">
        <v>4146</v>
      </c>
      <c r="D7" s="4" t="s">
        <v>2999</v>
      </c>
      <c r="E7" s="4" t="s">
        <v>4151</v>
      </c>
      <c r="F7" s="4" t="s">
        <v>4155</v>
      </c>
      <c r="G7" s="4" t="s">
        <v>4149</v>
      </c>
      <c r="H7" s="4" t="s">
        <v>4156</v>
      </c>
      <c r="I7" s="4" t="s">
        <v>824</v>
      </c>
    </row>
    <row r="8" spans="1:9" x14ac:dyDescent="0.3">
      <c r="A8">
        <v>7</v>
      </c>
      <c r="B8" s="4" t="s">
        <v>4145</v>
      </c>
      <c r="C8" s="4" t="s">
        <v>4146</v>
      </c>
      <c r="D8" s="4" t="s">
        <v>2994</v>
      </c>
      <c r="E8" s="4" t="s">
        <v>4147</v>
      </c>
      <c r="F8" s="4" t="s">
        <v>4157</v>
      </c>
      <c r="G8" s="4" t="s">
        <v>4153</v>
      </c>
      <c r="H8" s="4" t="s">
        <v>4158</v>
      </c>
      <c r="I8" s="4" t="s">
        <v>824</v>
      </c>
    </row>
    <row r="9" spans="1:9" x14ac:dyDescent="0.3">
      <c r="A9">
        <v>8</v>
      </c>
      <c r="B9" s="4" t="s">
        <v>4145</v>
      </c>
      <c r="C9" s="4" t="s">
        <v>4154</v>
      </c>
      <c r="D9" s="4" t="s">
        <v>2999</v>
      </c>
      <c r="E9" s="4" t="s">
        <v>4151</v>
      </c>
      <c r="F9" s="4" t="s">
        <v>4155</v>
      </c>
      <c r="G9" s="4" t="s">
        <v>4149</v>
      </c>
      <c r="H9" s="4" t="s">
        <v>4156</v>
      </c>
      <c r="I9" s="4" t="s">
        <v>824</v>
      </c>
    </row>
    <row r="10" spans="1:9" x14ac:dyDescent="0.3">
      <c r="A10">
        <v>9</v>
      </c>
      <c r="B10" s="4" t="s">
        <v>4145</v>
      </c>
      <c r="C10" s="4" t="s">
        <v>4146</v>
      </c>
      <c r="D10" s="4" t="s">
        <v>3001</v>
      </c>
      <c r="E10" s="4" t="s">
        <v>4147</v>
      </c>
      <c r="F10" s="4" t="s">
        <v>4157</v>
      </c>
      <c r="G10" s="4" t="s">
        <v>4153</v>
      </c>
      <c r="H10" s="4" t="s">
        <v>4158</v>
      </c>
      <c r="I10" s="4" t="s">
        <v>824</v>
      </c>
    </row>
    <row r="11" spans="1:9" x14ac:dyDescent="0.3">
      <c r="A11">
        <v>10</v>
      </c>
      <c r="B11" s="4" t="s">
        <v>4145</v>
      </c>
      <c r="C11" s="4" t="s">
        <v>4154</v>
      </c>
      <c r="D11" s="4" t="s">
        <v>2999</v>
      </c>
      <c r="E11" s="4" t="s">
        <v>4151</v>
      </c>
      <c r="F11" s="4" t="s">
        <v>4157</v>
      </c>
      <c r="G11" s="4" t="s">
        <v>4149</v>
      </c>
      <c r="H11" s="4" t="s">
        <v>4156</v>
      </c>
      <c r="I11" s="4" t="s">
        <v>4178</v>
      </c>
    </row>
    <row r="12" spans="1:9" x14ac:dyDescent="0.3">
      <c r="A12">
        <v>11</v>
      </c>
      <c r="B12" s="4" t="s">
        <v>4145</v>
      </c>
      <c r="C12" s="4" t="s">
        <v>4154</v>
      </c>
      <c r="D12" s="4" t="s">
        <v>3008</v>
      </c>
      <c r="E12" s="4" t="s">
        <v>4151</v>
      </c>
      <c r="F12" s="4" t="s">
        <v>4155</v>
      </c>
      <c r="G12" s="4" t="s">
        <v>4153</v>
      </c>
      <c r="H12" s="4" t="s">
        <v>4150</v>
      </c>
      <c r="I12" s="4" t="s">
        <v>4178</v>
      </c>
    </row>
    <row r="13" spans="1:9" x14ac:dyDescent="0.3">
      <c r="A13">
        <v>12</v>
      </c>
      <c r="B13" s="4" t="s">
        <v>4145</v>
      </c>
      <c r="C13" s="4" t="s">
        <v>4146</v>
      </c>
      <c r="D13" s="4" t="s">
        <v>3001</v>
      </c>
      <c r="E13" s="4" t="s">
        <v>4147</v>
      </c>
      <c r="F13" s="4" t="s">
        <v>4159</v>
      </c>
      <c r="G13" s="4" t="s">
        <v>4153</v>
      </c>
      <c r="H13" s="4" t="s">
        <v>4150</v>
      </c>
      <c r="I13" s="4" t="s">
        <v>4178</v>
      </c>
    </row>
    <row r="14" spans="1:9" x14ac:dyDescent="0.3">
      <c r="A14">
        <v>14</v>
      </c>
      <c r="B14" s="4" t="s">
        <v>4145</v>
      </c>
      <c r="C14" s="4" t="s">
        <v>4146</v>
      </c>
      <c r="D14" s="4" t="s">
        <v>2994</v>
      </c>
      <c r="E14" s="4" t="s">
        <v>4147</v>
      </c>
      <c r="F14" s="4" t="s">
        <v>4148</v>
      </c>
      <c r="G14" s="4" t="s">
        <v>4149</v>
      </c>
      <c r="H14" s="4" t="s">
        <v>4158</v>
      </c>
      <c r="I14" s="4" t="s">
        <v>824</v>
      </c>
    </row>
    <row r="15" spans="1:9" x14ac:dyDescent="0.3">
      <c r="A15">
        <v>15</v>
      </c>
      <c r="B15" s="4" t="s">
        <v>4145</v>
      </c>
      <c r="C15" s="4" t="s">
        <v>4146</v>
      </c>
      <c r="D15" s="4" t="s">
        <v>2999</v>
      </c>
      <c r="E15" s="4" t="s">
        <v>4151</v>
      </c>
      <c r="F15" s="4" t="s">
        <v>4157</v>
      </c>
      <c r="G15" s="4" t="s">
        <v>4149</v>
      </c>
      <c r="H15" s="4" t="s">
        <v>4156</v>
      </c>
      <c r="I15" s="4" t="s">
        <v>824</v>
      </c>
    </row>
    <row r="16" spans="1:9" x14ac:dyDescent="0.3">
      <c r="A16">
        <v>16</v>
      </c>
      <c r="B16" s="4" t="s">
        <v>4145</v>
      </c>
      <c r="C16" s="4" t="s">
        <v>4154</v>
      </c>
      <c r="D16" s="4" t="s">
        <v>2999</v>
      </c>
      <c r="E16" s="4" t="s">
        <v>4151</v>
      </c>
      <c r="F16" s="4" t="s">
        <v>4148</v>
      </c>
      <c r="G16" s="4" t="s">
        <v>4149</v>
      </c>
      <c r="H16" s="4" t="s">
        <v>4156</v>
      </c>
      <c r="I16" s="4" t="s">
        <v>824</v>
      </c>
    </row>
    <row r="17" spans="1:9" x14ac:dyDescent="0.3">
      <c r="A17">
        <v>17</v>
      </c>
      <c r="B17" s="4" t="s">
        <v>4145</v>
      </c>
      <c r="C17" s="4" t="s">
        <v>4154</v>
      </c>
      <c r="D17" s="4" t="s">
        <v>2999</v>
      </c>
      <c r="E17" s="4" t="s">
        <v>4151</v>
      </c>
      <c r="F17" s="4" t="s">
        <v>4148</v>
      </c>
      <c r="G17" s="4" t="s">
        <v>4153</v>
      </c>
      <c r="H17" s="4" t="s">
        <v>4150</v>
      </c>
      <c r="I17" s="4" t="s">
        <v>4178</v>
      </c>
    </row>
    <row r="18" spans="1:9" x14ac:dyDescent="0.3">
      <c r="A18">
        <v>18</v>
      </c>
      <c r="B18" s="4" t="s">
        <v>4145</v>
      </c>
      <c r="C18" s="4" t="s">
        <v>4146</v>
      </c>
      <c r="D18" s="4" t="s">
        <v>3001</v>
      </c>
      <c r="E18" s="4" t="s">
        <v>4147</v>
      </c>
      <c r="F18" s="4" t="s">
        <v>4155</v>
      </c>
      <c r="G18" s="4" t="s">
        <v>4153</v>
      </c>
      <c r="H18" s="4" t="s">
        <v>4150</v>
      </c>
      <c r="I18" s="4" t="s">
        <v>4178</v>
      </c>
    </row>
    <row r="19" spans="1:9" x14ac:dyDescent="0.3">
      <c r="A19">
        <v>19</v>
      </c>
      <c r="B19" s="4" t="s">
        <v>4145</v>
      </c>
      <c r="C19" s="4" t="s">
        <v>4146</v>
      </c>
      <c r="D19" s="4" t="s">
        <v>2994</v>
      </c>
      <c r="E19" s="4" t="s">
        <v>4147</v>
      </c>
      <c r="F19" s="4" t="s">
        <v>4155</v>
      </c>
      <c r="G19" s="4" t="s">
        <v>4149</v>
      </c>
      <c r="H19" s="4" t="s">
        <v>4158</v>
      </c>
      <c r="I19" s="4" t="s">
        <v>4178</v>
      </c>
    </row>
    <row r="20" spans="1:9" x14ac:dyDescent="0.3">
      <c r="A20">
        <v>20</v>
      </c>
      <c r="B20" s="4" t="s">
        <v>4145</v>
      </c>
      <c r="C20" s="4" t="s">
        <v>4154</v>
      </c>
      <c r="D20" s="4" t="s">
        <v>2999</v>
      </c>
      <c r="E20" s="4" t="s">
        <v>4151</v>
      </c>
      <c r="F20" s="4" t="s">
        <v>4155</v>
      </c>
      <c r="G20" s="4" t="s">
        <v>4149</v>
      </c>
      <c r="H20" s="4" t="s">
        <v>4158</v>
      </c>
      <c r="I20" s="4" t="s">
        <v>4178</v>
      </c>
    </row>
    <row r="21" spans="1:9" x14ac:dyDescent="0.3">
      <c r="A21">
        <v>21</v>
      </c>
      <c r="B21" s="4" t="s">
        <v>4145</v>
      </c>
      <c r="C21" s="4" t="s">
        <v>4146</v>
      </c>
      <c r="D21" s="4" t="s">
        <v>2999</v>
      </c>
      <c r="E21" s="4" t="s">
        <v>4151</v>
      </c>
      <c r="F21" s="4" t="s">
        <v>4155</v>
      </c>
      <c r="G21" s="4" t="s">
        <v>4153</v>
      </c>
      <c r="H21" s="4" t="s">
        <v>4158</v>
      </c>
      <c r="I21" s="4" t="s">
        <v>824</v>
      </c>
    </row>
    <row r="22" spans="1:9" x14ac:dyDescent="0.3">
      <c r="A22">
        <v>22</v>
      </c>
      <c r="B22" s="4" t="s">
        <v>4145</v>
      </c>
      <c r="C22" s="4" t="s">
        <v>4146</v>
      </c>
      <c r="D22" s="4" t="s">
        <v>3001</v>
      </c>
      <c r="E22" s="4" t="s">
        <v>4147</v>
      </c>
      <c r="F22" s="4" t="s">
        <v>4155</v>
      </c>
      <c r="G22" s="4" t="s">
        <v>4153</v>
      </c>
      <c r="H22" s="4" t="s">
        <v>4158</v>
      </c>
      <c r="I22" s="4" t="s">
        <v>824</v>
      </c>
    </row>
    <row r="23" spans="1:9" x14ac:dyDescent="0.3">
      <c r="A23">
        <v>23</v>
      </c>
      <c r="B23" s="4" t="s">
        <v>4145</v>
      </c>
      <c r="C23" s="4" t="s">
        <v>4146</v>
      </c>
      <c r="D23" s="4" t="s">
        <v>2999</v>
      </c>
      <c r="E23" s="4" t="s">
        <v>4151</v>
      </c>
      <c r="F23" s="4" t="s">
        <v>4148</v>
      </c>
      <c r="G23" s="4" t="s">
        <v>4149</v>
      </c>
      <c r="H23" s="4" t="s">
        <v>4156</v>
      </c>
      <c r="I23" s="4" t="s">
        <v>4178</v>
      </c>
    </row>
    <row r="24" spans="1:9" x14ac:dyDescent="0.3">
      <c r="A24">
        <v>24</v>
      </c>
      <c r="B24" s="4" t="s">
        <v>4145</v>
      </c>
      <c r="C24" s="4" t="s">
        <v>4146</v>
      </c>
      <c r="D24" s="4" t="s">
        <v>2994</v>
      </c>
      <c r="E24" s="4" t="s">
        <v>4147</v>
      </c>
      <c r="F24" s="4" t="s">
        <v>4155</v>
      </c>
      <c r="G24" s="4" t="s">
        <v>4149</v>
      </c>
      <c r="H24" s="4" t="s">
        <v>4150</v>
      </c>
      <c r="I24" s="4" t="s">
        <v>4178</v>
      </c>
    </row>
    <row r="25" spans="1:9" x14ac:dyDescent="0.3">
      <c r="A25">
        <v>25</v>
      </c>
      <c r="B25" s="4" t="s">
        <v>4145</v>
      </c>
      <c r="C25" s="4" t="s">
        <v>4146</v>
      </c>
      <c r="D25" s="4" t="s">
        <v>2994</v>
      </c>
      <c r="E25" s="4" t="s">
        <v>4147</v>
      </c>
      <c r="F25" s="4" t="s">
        <v>4148</v>
      </c>
      <c r="G25" s="4" t="s">
        <v>4149</v>
      </c>
      <c r="H25" s="4" t="s">
        <v>4150</v>
      </c>
      <c r="I25" s="4" t="s">
        <v>824</v>
      </c>
    </row>
    <row r="26" spans="1:9" x14ac:dyDescent="0.3">
      <c r="A26">
        <v>26</v>
      </c>
      <c r="B26" s="4" t="s">
        <v>4145</v>
      </c>
      <c r="C26" s="4" t="s">
        <v>4154</v>
      </c>
      <c r="D26" s="4" t="s">
        <v>2999</v>
      </c>
      <c r="E26" s="4" t="s">
        <v>4151</v>
      </c>
      <c r="F26" s="4" t="s">
        <v>4148</v>
      </c>
      <c r="G26" s="4" t="s">
        <v>4149</v>
      </c>
      <c r="H26" s="4" t="s">
        <v>4156</v>
      </c>
      <c r="I26" s="4" t="s">
        <v>4178</v>
      </c>
    </row>
    <row r="27" spans="1:9" x14ac:dyDescent="0.3">
      <c r="A27">
        <v>27</v>
      </c>
      <c r="B27" s="4" t="s">
        <v>4145</v>
      </c>
      <c r="C27" s="4" t="s">
        <v>4146</v>
      </c>
      <c r="D27" s="4" t="s">
        <v>2999</v>
      </c>
      <c r="E27" s="4" t="s">
        <v>4151</v>
      </c>
      <c r="F27" s="4" t="s">
        <v>4148</v>
      </c>
      <c r="G27" s="4" t="s">
        <v>4153</v>
      </c>
      <c r="H27" s="4" t="s">
        <v>4158</v>
      </c>
      <c r="I27" s="4" t="s">
        <v>4178</v>
      </c>
    </row>
    <row r="28" spans="1:9" x14ac:dyDescent="0.3">
      <c r="A28">
        <v>28</v>
      </c>
      <c r="B28" s="4" t="s">
        <v>4145</v>
      </c>
      <c r="C28" s="4" t="s">
        <v>4146</v>
      </c>
      <c r="D28" s="4" t="s">
        <v>3001</v>
      </c>
      <c r="E28" s="4" t="s">
        <v>4147</v>
      </c>
      <c r="F28" s="4" t="s">
        <v>4148</v>
      </c>
      <c r="G28" s="4" t="s">
        <v>4153</v>
      </c>
      <c r="H28" s="4" t="s">
        <v>4158</v>
      </c>
      <c r="I28" s="4" t="s">
        <v>4178</v>
      </c>
    </row>
    <row r="29" spans="1:9" x14ac:dyDescent="0.3">
      <c r="A29">
        <v>29</v>
      </c>
      <c r="B29" s="4" t="s">
        <v>4145</v>
      </c>
      <c r="C29" s="4" t="s">
        <v>4146</v>
      </c>
      <c r="D29" s="4" t="s">
        <v>2994</v>
      </c>
      <c r="E29" s="4" t="s">
        <v>4147</v>
      </c>
      <c r="F29" s="4" t="s">
        <v>4155</v>
      </c>
      <c r="G29" s="4" t="s">
        <v>4149</v>
      </c>
      <c r="H29" s="4" t="s">
        <v>4150</v>
      </c>
      <c r="I29" s="4" t="s">
        <v>824</v>
      </c>
    </row>
    <row r="30" spans="1:9" x14ac:dyDescent="0.3">
      <c r="A30">
        <v>30</v>
      </c>
      <c r="B30" s="4" t="s">
        <v>4145</v>
      </c>
      <c r="C30" s="4" t="s">
        <v>4146</v>
      </c>
      <c r="D30" s="4" t="s">
        <v>2999</v>
      </c>
      <c r="E30" s="4" t="s">
        <v>4151</v>
      </c>
      <c r="F30" s="4" t="s">
        <v>4148</v>
      </c>
      <c r="G30" s="4" t="s">
        <v>4149</v>
      </c>
      <c r="H30" s="4" t="s">
        <v>4156</v>
      </c>
      <c r="I30" s="4" t="s">
        <v>824</v>
      </c>
    </row>
    <row r="31" spans="1:9" x14ac:dyDescent="0.3">
      <c r="A31">
        <v>31</v>
      </c>
      <c r="B31" s="4" t="s">
        <v>4145</v>
      </c>
      <c r="C31" s="4" t="s">
        <v>4154</v>
      </c>
      <c r="D31" s="4" t="s">
        <v>2999</v>
      </c>
      <c r="E31" s="4" t="s">
        <v>4151</v>
      </c>
      <c r="F31" s="4" t="s">
        <v>4155</v>
      </c>
      <c r="G31" s="4" t="s">
        <v>4149</v>
      </c>
      <c r="H31" s="4" t="s">
        <v>4156</v>
      </c>
      <c r="I31" s="4" t="s">
        <v>824</v>
      </c>
    </row>
    <row r="32" spans="1:9" x14ac:dyDescent="0.3">
      <c r="A32">
        <v>32</v>
      </c>
      <c r="B32" s="4" t="s">
        <v>4145</v>
      </c>
      <c r="C32" s="4" t="s">
        <v>4146</v>
      </c>
      <c r="D32" s="4" t="s">
        <v>2999</v>
      </c>
      <c r="E32" s="4" t="s">
        <v>4151</v>
      </c>
      <c r="F32" s="4" t="s">
        <v>4155</v>
      </c>
      <c r="G32" s="4" t="s">
        <v>4149</v>
      </c>
      <c r="H32" s="4" t="s">
        <v>4156</v>
      </c>
      <c r="I32" s="4" t="s">
        <v>4178</v>
      </c>
    </row>
    <row r="33" spans="1:9" x14ac:dyDescent="0.3">
      <c r="A33">
        <v>33</v>
      </c>
      <c r="B33" s="4" t="s">
        <v>4145</v>
      </c>
      <c r="C33" s="4" t="s">
        <v>4146</v>
      </c>
      <c r="D33" s="4" t="s">
        <v>2994</v>
      </c>
      <c r="E33" s="4" t="s">
        <v>4147</v>
      </c>
      <c r="F33" s="4" t="s">
        <v>4148</v>
      </c>
      <c r="G33" s="4" t="s">
        <v>4149</v>
      </c>
      <c r="H33" s="4" t="s">
        <v>4150</v>
      </c>
      <c r="I33" s="4" t="s">
        <v>824</v>
      </c>
    </row>
    <row r="34" spans="1:9" x14ac:dyDescent="0.3">
      <c r="A34">
        <v>34</v>
      </c>
      <c r="B34" s="4" t="s">
        <v>4145</v>
      </c>
      <c r="C34" s="4" t="s">
        <v>4146</v>
      </c>
      <c r="D34" s="4" t="s">
        <v>2994</v>
      </c>
      <c r="E34" s="4" t="s">
        <v>4147</v>
      </c>
      <c r="F34" s="4" t="s">
        <v>4157</v>
      </c>
      <c r="G34" s="4" t="s">
        <v>4149</v>
      </c>
      <c r="H34" s="4" t="s">
        <v>4156</v>
      </c>
      <c r="I34" s="4" t="s">
        <v>824</v>
      </c>
    </row>
    <row r="35" spans="1:9" x14ac:dyDescent="0.3">
      <c r="A35">
        <v>35</v>
      </c>
      <c r="B35" s="4" t="s">
        <v>4145</v>
      </c>
      <c r="C35" s="4" t="s">
        <v>4154</v>
      </c>
      <c r="D35" s="4" t="s">
        <v>2999</v>
      </c>
      <c r="E35" s="4" t="s">
        <v>4151</v>
      </c>
      <c r="F35" s="4" t="s">
        <v>4155</v>
      </c>
      <c r="G35" s="4" t="s">
        <v>4149</v>
      </c>
      <c r="H35" s="4" t="s">
        <v>4156</v>
      </c>
      <c r="I35" s="4" t="s">
        <v>824</v>
      </c>
    </row>
    <row r="36" spans="1:9" x14ac:dyDescent="0.3">
      <c r="A36">
        <v>36</v>
      </c>
      <c r="B36" s="4" t="s">
        <v>4145</v>
      </c>
      <c r="C36" s="4" t="s">
        <v>4146</v>
      </c>
      <c r="D36" s="4" t="s">
        <v>2994</v>
      </c>
      <c r="E36" s="4" t="s">
        <v>4147</v>
      </c>
      <c r="F36" s="4" t="s">
        <v>4155</v>
      </c>
      <c r="G36" s="4" t="s">
        <v>4149</v>
      </c>
      <c r="H36" s="4" t="s">
        <v>4150</v>
      </c>
      <c r="I36" s="4" t="s">
        <v>4178</v>
      </c>
    </row>
    <row r="37" spans="1:9" x14ac:dyDescent="0.3">
      <c r="A37">
        <v>37</v>
      </c>
      <c r="B37" s="4" t="s">
        <v>4145</v>
      </c>
      <c r="C37" s="4" t="s">
        <v>4146</v>
      </c>
      <c r="D37" s="4" t="s">
        <v>2994</v>
      </c>
      <c r="E37" s="4" t="s">
        <v>4147</v>
      </c>
      <c r="F37" s="4" t="s">
        <v>4148</v>
      </c>
      <c r="G37" s="4" t="s">
        <v>4153</v>
      </c>
      <c r="H37" s="4" t="s">
        <v>4158</v>
      </c>
      <c r="I37" s="4" t="s">
        <v>824</v>
      </c>
    </row>
    <row r="38" spans="1:9" x14ac:dyDescent="0.3">
      <c r="A38">
        <v>38</v>
      </c>
      <c r="B38" s="4" t="s">
        <v>4145</v>
      </c>
      <c r="C38" s="4" t="s">
        <v>4146</v>
      </c>
      <c r="D38" s="4" t="s">
        <v>2999</v>
      </c>
      <c r="E38" s="4" t="s">
        <v>4151</v>
      </c>
      <c r="F38" s="4" t="s">
        <v>4148</v>
      </c>
      <c r="G38" s="4" t="s">
        <v>4149</v>
      </c>
      <c r="H38" s="4" t="s">
        <v>4156</v>
      </c>
      <c r="I38" s="4" t="s">
        <v>824</v>
      </c>
    </row>
    <row r="39" spans="1:9" x14ac:dyDescent="0.3">
      <c r="A39">
        <v>39</v>
      </c>
      <c r="B39" s="4" t="s">
        <v>4145</v>
      </c>
      <c r="C39" s="4" t="s">
        <v>4154</v>
      </c>
      <c r="D39" s="4" t="s">
        <v>2999</v>
      </c>
      <c r="E39" s="4" t="s">
        <v>4151</v>
      </c>
      <c r="F39" s="4" t="s">
        <v>4155</v>
      </c>
      <c r="G39" s="4" t="s">
        <v>4149</v>
      </c>
      <c r="H39" s="4" t="s">
        <v>4156</v>
      </c>
      <c r="I39" s="4" t="s">
        <v>824</v>
      </c>
    </row>
    <row r="40" spans="1:9" x14ac:dyDescent="0.3">
      <c r="A40">
        <v>40</v>
      </c>
      <c r="B40" s="4" t="s">
        <v>4145</v>
      </c>
      <c r="C40" s="4" t="s">
        <v>4154</v>
      </c>
      <c r="D40" s="4" t="s">
        <v>2999</v>
      </c>
      <c r="E40" s="4" t="s">
        <v>4151</v>
      </c>
      <c r="F40" s="4" t="s">
        <v>4155</v>
      </c>
      <c r="G40" s="4" t="s">
        <v>4149</v>
      </c>
      <c r="H40" s="4" t="s">
        <v>4158</v>
      </c>
      <c r="I40" s="4" t="s">
        <v>4178</v>
      </c>
    </row>
    <row r="41" spans="1:9" x14ac:dyDescent="0.3">
      <c r="A41">
        <v>41</v>
      </c>
      <c r="B41" s="4" t="s">
        <v>4145</v>
      </c>
      <c r="C41" s="4" t="s">
        <v>4154</v>
      </c>
      <c r="D41" s="4" t="s">
        <v>3040</v>
      </c>
      <c r="E41" s="4" t="s">
        <v>4151</v>
      </c>
      <c r="F41" s="4" t="s">
        <v>4148</v>
      </c>
      <c r="G41" s="4" t="s">
        <v>4149</v>
      </c>
      <c r="H41" s="4" t="s">
        <v>4156</v>
      </c>
      <c r="I41" s="4" t="s">
        <v>4178</v>
      </c>
    </row>
    <row r="42" spans="1:9" x14ac:dyDescent="0.3">
      <c r="A42">
        <v>42</v>
      </c>
      <c r="B42" s="4" t="s">
        <v>4145</v>
      </c>
      <c r="C42" s="4" t="s">
        <v>4146</v>
      </c>
      <c r="D42" s="4" t="s">
        <v>3001</v>
      </c>
      <c r="E42" s="4" t="s">
        <v>4147</v>
      </c>
      <c r="F42" s="4" t="s">
        <v>4155</v>
      </c>
      <c r="G42" s="4" t="s">
        <v>4149</v>
      </c>
      <c r="H42" s="4" t="s">
        <v>4156</v>
      </c>
      <c r="I42" s="4" t="s">
        <v>4178</v>
      </c>
    </row>
    <row r="43" spans="1:9" x14ac:dyDescent="0.3">
      <c r="A43">
        <v>43</v>
      </c>
      <c r="B43" s="4" t="s">
        <v>4145</v>
      </c>
      <c r="C43" s="4" t="s">
        <v>4146</v>
      </c>
      <c r="D43" s="4" t="s">
        <v>3001</v>
      </c>
      <c r="E43" s="4" t="s">
        <v>4147</v>
      </c>
      <c r="F43" s="4" t="s">
        <v>4157</v>
      </c>
      <c r="G43" s="4" t="s">
        <v>4153</v>
      </c>
      <c r="H43" s="4" t="s">
        <v>4158</v>
      </c>
      <c r="I43" s="4" t="s">
        <v>824</v>
      </c>
    </row>
    <row r="44" spans="1:9" x14ac:dyDescent="0.3">
      <c r="A44">
        <v>44</v>
      </c>
      <c r="B44" s="4" t="s">
        <v>4145</v>
      </c>
      <c r="C44" s="4" t="s">
        <v>4146</v>
      </c>
      <c r="D44" s="4" t="s">
        <v>3001</v>
      </c>
      <c r="E44" s="4" t="s">
        <v>4147</v>
      </c>
      <c r="F44" s="4" t="s">
        <v>4157</v>
      </c>
      <c r="G44" s="4" t="s">
        <v>4149</v>
      </c>
      <c r="H44" s="4" t="s">
        <v>4158</v>
      </c>
      <c r="I44" s="4" t="s">
        <v>4178</v>
      </c>
    </row>
    <row r="45" spans="1:9" x14ac:dyDescent="0.3">
      <c r="A45">
        <v>45</v>
      </c>
      <c r="B45" s="4" t="s">
        <v>4145</v>
      </c>
      <c r="C45" s="4" t="s">
        <v>4146</v>
      </c>
      <c r="D45" s="4" t="s">
        <v>2994</v>
      </c>
      <c r="E45" s="4" t="s">
        <v>4147</v>
      </c>
      <c r="F45" s="4" t="s">
        <v>4155</v>
      </c>
      <c r="G45" s="4" t="s">
        <v>4149</v>
      </c>
      <c r="H45" s="4" t="s">
        <v>4150</v>
      </c>
      <c r="I45" s="4" t="s">
        <v>4178</v>
      </c>
    </row>
    <row r="46" spans="1:9" x14ac:dyDescent="0.3">
      <c r="A46">
        <v>46</v>
      </c>
      <c r="B46" s="4" t="s">
        <v>4145</v>
      </c>
      <c r="C46" s="4" t="s">
        <v>4154</v>
      </c>
      <c r="D46" s="4" t="s">
        <v>3046</v>
      </c>
      <c r="E46" s="4" t="s">
        <v>4151</v>
      </c>
      <c r="F46" s="4" t="s">
        <v>4155</v>
      </c>
      <c r="G46" s="4" t="s">
        <v>4149</v>
      </c>
      <c r="H46" s="4" t="s">
        <v>4156</v>
      </c>
      <c r="I46" s="4" t="s">
        <v>824</v>
      </c>
    </row>
    <row r="47" spans="1:9" x14ac:dyDescent="0.3">
      <c r="A47">
        <v>47</v>
      </c>
      <c r="B47" s="4" t="s">
        <v>4145</v>
      </c>
      <c r="C47" s="4" t="s">
        <v>4154</v>
      </c>
      <c r="D47" s="4" t="s">
        <v>2999</v>
      </c>
      <c r="E47" s="4" t="s">
        <v>4151</v>
      </c>
      <c r="F47" s="4" t="s">
        <v>4148</v>
      </c>
      <c r="G47" s="4" t="s">
        <v>4149</v>
      </c>
      <c r="H47" s="4" t="s">
        <v>4156</v>
      </c>
      <c r="I47" s="4" t="s">
        <v>824</v>
      </c>
    </row>
    <row r="48" spans="1:9" x14ac:dyDescent="0.3">
      <c r="A48">
        <v>48</v>
      </c>
      <c r="B48" s="4" t="s">
        <v>4145</v>
      </c>
      <c r="C48" s="4" t="s">
        <v>4146</v>
      </c>
      <c r="D48" s="4" t="s">
        <v>2999</v>
      </c>
      <c r="E48" s="4" t="s">
        <v>4151</v>
      </c>
      <c r="F48" s="4" t="s">
        <v>4155</v>
      </c>
      <c r="G48" s="4" t="s">
        <v>4149</v>
      </c>
      <c r="H48" s="4" t="s">
        <v>4156</v>
      </c>
      <c r="I48" s="4" t="s">
        <v>824</v>
      </c>
    </row>
    <row r="49" spans="1:9" x14ac:dyDescent="0.3">
      <c r="A49">
        <v>49</v>
      </c>
      <c r="B49" s="4" t="s">
        <v>4145</v>
      </c>
      <c r="C49" s="4" t="s">
        <v>4146</v>
      </c>
      <c r="D49" s="4" t="s">
        <v>3001</v>
      </c>
      <c r="E49" s="4" t="s">
        <v>4147</v>
      </c>
      <c r="F49" s="4" t="s">
        <v>4157</v>
      </c>
      <c r="G49" s="4" t="s">
        <v>4149</v>
      </c>
      <c r="H49" s="4" t="s">
        <v>4156</v>
      </c>
      <c r="I49" s="4" t="s">
        <v>4178</v>
      </c>
    </row>
    <row r="50" spans="1:9" x14ac:dyDescent="0.3">
      <c r="A50">
        <v>50</v>
      </c>
      <c r="B50" s="4" t="s">
        <v>4145</v>
      </c>
      <c r="C50" s="4" t="s">
        <v>4146</v>
      </c>
      <c r="D50" s="4" t="s">
        <v>2999</v>
      </c>
      <c r="E50" s="4" t="s">
        <v>4151</v>
      </c>
      <c r="F50" s="4" t="s">
        <v>4155</v>
      </c>
      <c r="G50" s="4" t="s">
        <v>4153</v>
      </c>
      <c r="H50" s="4" t="s">
        <v>4150</v>
      </c>
      <c r="I50" s="4" t="s">
        <v>4178</v>
      </c>
    </row>
    <row r="51" spans="1:9" x14ac:dyDescent="0.3">
      <c r="A51">
        <v>51</v>
      </c>
      <c r="B51" s="4" t="s">
        <v>4145</v>
      </c>
      <c r="C51" s="4" t="s">
        <v>4146</v>
      </c>
      <c r="D51" s="4" t="s">
        <v>3001</v>
      </c>
      <c r="E51" s="4" t="s">
        <v>4147</v>
      </c>
      <c r="F51" s="4" t="s">
        <v>4157</v>
      </c>
      <c r="G51" s="4" t="s">
        <v>4153</v>
      </c>
      <c r="H51" s="4" t="s">
        <v>4150</v>
      </c>
      <c r="I51" s="4" t="s">
        <v>4178</v>
      </c>
    </row>
    <row r="52" spans="1:9" x14ac:dyDescent="0.3">
      <c r="A52">
        <v>52</v>
      </c>
      <c r="B52" s="4" t="s">
        <v>4145</v>
      </c>
      <c r="C52" s="4" t="s">
        <v>4154</v>
      </c>
      <c r="D52" s="4" t="s">
        <v>2999</v>
      </c>
      <c r="E52" s="4" t="s">
        <v>4151</v>
      </c>
      <c r="F52" s="4" t="s">
        <v>4155</v>
      </c>
      <c r="G52" s="4" t="s">
        <v>4149</v>
      </c>
      <c r="H52" s="4" t="s">
        <v>4156</v>
      </c>
      <c r="I52" s="4" t="s">
        <v>824</v>
      </c>
    </row>
    <row r="53" spans="1:9" x14ac:dyDescent="0.3">
      <c r="A53">
        <v>53</v>
      </c>
      <c r="B53" s="4" t="s">
        <v>4145</v>
      </c>
      <c r="C53" s="4" t="s">
        <v>4154</v>
      </c>
      <c r="D53" s="4" t="s">
        <v>2999</v>
      </c>
      <c r="E53" s="4" t="s">
        <v>4151</v>
      </c>
      <c r="F53" s="4" t="s">
        <v>4148</v>
      </c>
      <c r="G53" s="4" t="s">
        <v>4149</v>
      </c>
      <c r="H53" s="4" t="s">
        <v>4156</v>
      </c>
      <c r="I53" s="4" t="s">
        <v>824</v>
      </c>
    </row>
    <row r="54" spans="1:9" x14ac:dyDescent="0.3">
      <c r="A54">
        <v>54</v>
      </c>
      <c r="B54" s="4" t="s">
        <v>4145</v>
      </c>
      <c r="C54" s="4" t="s">
        <v>4154</v>
      </c>
      <c r="D54" s="4" t="s">
        <v>2999</v>
      </c>
      <c r="E54" s="4" t="s">
        <v>4151</v>
      </c>
      <c r="F54" s="4" t="s">
        <v>4159</v>
      </c>
      <c r="G54" s="4" t="s">
        <v>4149</v>
      </c>
      <c r="H54" s="4" t="s">
        <v>4156</v>
      </c>
      <c r="I54" s="4" t="s">
        <v>824</v>
      </c>
    </row>
    <row r="55" spans="1:9" x14ac:dyDescent="0.3">
      <c r="A55">
        <v>55</v>
      </c>
      <c r="B55" s="4" t="s">
        <v>4145</v>
      </c>
      <c r="C55" s="4" t="s">
        <v>4146</v>
      </c>
      <c r="D55" s="4" t="s">
        <v>2996</v>
      </c>
      <c r="E55" s="4" t="s">
        <v>4151</v>
      </c>
      <c r="F55" s="4" t="s">
        <v>4152</v>
      </c>
      <c r="G55" s="4" t="s">
        <v>4153</v>
      </c>
      <c r="H55" s="4" t="s">
        <v>4150</v>
      </c>
      <c r="I55" s="4" t="s">
        <v>824</v>
      </c>
    </row>
    <row r="56" spans="1:9" x14ac:dyDescent="0.3">
      <c r="A56">
        <v>56</v>
      </c>
      <c r="B56" s="4" t="s">
        <v>4145</v>
      </c>
      <c r="C56" s="4" t="s">
        <v>4146</v>
      </c>
      <c r="D56" s="4" t="s">
        <v>2994</v>
      </c>
      <c r="E56" s="4" t="s">
        <v>4147</v>
      </c>
      <c r="F56" s="4" t="s">
        <v>4159</v>
      </c>
      <c r="G56" s="4" t="s">
        <v>4153</v>
      </c>
      <c r="H56" s="4" t="s">
        <v>4150</v>
      </c>
      <c r="I56" s="4" t="s">
        <v>824</v>
      </c>
    </row>
    <row r="57" spans="1:9" x14ac:dyDescent="0.3">
      <c r="A57">
        <v>57</v>
      </c>
      <c r="B57" s="4" t="s">
        <v>4145</v>
      </c>
      <c r="C57" s="4" t="s">
        <v>4146</v>
      </c>
      <c r="D57" s="4" t="s">
        <v>2999</v>
      </c>
      <c r="E57" s="4" t="s">
        <v>4151</v>
      </c>
      <c r="F57" s="4" t="s">
        <v>4155</v>
      </c>
      <c r="G57" s="4" t="s">
        <v>4153</v>
      </c>
      <c r="H57" s="4" t="s">
        <v>4150</v>
      </c>
      <c r="I57" s="4" t="s">
        <v>824</v>
      </c>
    </row>
    <row r="58" spans="1:9" x14ac:dyDescent="0.3">
      <c r="A58">
        <v>58</v>
      </c>
      <c r="B58" s="4" t="s">
        <v>4145</v>
      </c>
      <c r="C58" s="4" t="s">
        <v>4146</v>
      </c>
      <c r="D58" s="4" t="s">
        <v>3001</v>
      </c>
      <c r="E58" s="4" t="s">
        <v>4147</v>
      </c>
      <c r="F58" s="4" t="s">
        <v>4155</v>
      </c>
      <c r="G58" s="4" t="s">
        <v>4153</v>
      </c>
      <c r="H58" s="4" t="s">
        <v>4150</v>
      </c>
      <c r="I58" s="4" t="s">
        <v>824</v>
      </c>
    </row>
    <row r="59" spans="1:9" x14ac:dyDescent="0.3">
      <c r="A59">
        <v>59</v>
      </c>
      <c r="B59" s="4" t="s">
        <v>4145</v>
      </c>
      <c r="C59" s="4" t="s">
        <v>4154</v>
      </c>
      <c r="D59" s="4" t="s">
        <v>2999</v>
      </c>
      <c r="E59" s="4" t="s">
        <v>4151</v>
      </c>
      <c r="F59" s="4" t="s">
        <v>4155</v>
      </c>
      <c r="G59" s="4" t="s">
        <v>4149</v>
      </c>
      <c r="H59" s="4" t="s">
        <v>4156</v>
      </c>
      <c r="I59" s="4" t="s">
        <v>824</v>
      </c>
    </row>
    <row r="60" spans="1:9" x14ac:dyDescent="0.3">
      <c r="A60">
        <v>60</v>
      </c>
      <c r="B60" s="4" t="s">
        <v>4145</v>
      </c>
      <c r="C60" s="4" t="s">
        <v>4146</v>
      </c>
      <c r="D60" s="4" t="s">
        <v>3001</v>
      </c>
      <c r="E60" s="4" t="s">
        <v>4147</v>
      </c>
      <c r="F60" s="4" t="s">
        <v>4148</v>
      </c>
      <c r="G60" s="4" t="s">
        <v>4149</v>
      </c>
      <c r="H60" s="4" t="s">
        <v>4156</v>
      </c>
      <c r="I60" s="4" t="s">
        <v>4178</v>
      </c>
    </row>
    <row r="61" spans="1:9" x14ac:dyDescent="0.3">
      <c r="A61">
        <v>61</v>
      </c>
      <c r="B61" s="4" t="s">
        <v>4145</v>
      </c>
      <c r="C61" s="4" t="s">
        <v>4154</v>
      </c>
      <c r="D61" s="4" t="s">
        <v>2999</v>
      </c>
      <c r="E61" s="4" t="s">
        <v>4151</v>
      </c>
      <c r="F61" s="4" t="s">
        <v>4155</v>
      </c>
      <c r="G61" s="4" t="s">
        <v>4153</v>
      </c>
      <c r="H61" s="4" t="s">
        <v>4158</v>
      </c>
      <c r="I61" s="4" t="s">
        <v>824</v>
      </c>
    </row>
    <row r="62" spans="1:9" x14ac:dyDescent="0.3">
      <c r="A62">
        <v>62</v>
      </c>
      <c r="B62" s="4" t="s">
        <v>4145</v>
      </c>
      <c r="C62" s="4" t="s">
        <v>4146</v>
      </c>
      <c r="D62" s="4" t="s">
        <v>3001</v>
      </c>
      <c r="E62" s="4" t="s">
        <v>4147</v>
      </c>
      <c r="F62" s="4" t="s">
        <v>4157</v>
      </c>
      <c r="G62" s="4" t="s">
        <v>4153</v>
      </c>
      <c r="H62" s="4" t="s">
        <v>4158</v>
      </c>
      <c r="I62" s="4" t="s">
        <v>824</v>
      </c>
    </row>
    <row r="63" spans="1:9" x14ac:dyDescent="0.3">
      <c r="A63">
        <v>63</v>
      </c>
      <c r="B63" s="4" t="s">
        <v>4145</v>
      </c>
      <c r="C63" s="4" t="s">
        <v>4154</v>
      </c>
      <c r="D63" s="4" t="s">
        <v>2999</v>
      </c>
      <c r="E63" s="4" t="s">
        <v>4151</v>
      </c>
      <c r="F63" s="4" t="s">
        <v>4155</v>
      </c>
      <c r="G63" s="4" t="s">
        <v>4153</v>
      </c>
      <c r="H63" s="4" t="s">
        <v>4158</v>
      </c>
      <c r="I63" s="4" t="s">
        <v>824</v>
      </c>
    </row>
    <row r="64" spans="1:9" x14ac:dyDescent="0.3">
      <c r="A64">
        <v>64</v>
      </c>
      <c r="B64" s="4" t="s">
        <v>4145</v>
      </c>
      <c r="C64" s="4" t="s">
        <v>4146</v>
      </c>
      <c r="D64" s="4" t="s">
        <v>3001</v>
      </c>
      <c r="E64" s="4" t="s">
        <v>4147</v>
      </c>
      <c r="F64" s="4" t="s">
        <v>4155</v>
      </c>
      <c r="G64" s="4" t="s">
        <v>4153</v>
      </c>
      <c r="H64" s="4" t="s">
        <v>4158</v>
      </c>
      <c r="I64" s="4" t="s">
        <v>824</v>
      </c>
    </row>
    <row r="65" spans="1:9" x14ac:dyDescent="0.3">
      <c r="A65">
        <v>65</v>
      </c>
      <c r="B65" s="4" t="s">
        <v>4145</v>
      </c>
      <c r="C65" s="4" t="s">
        <v>4146</v>
      </c>
      <c r="D65" s="4" t="s">
        <v>2999</v>
      </c>
      <c r="E65" s="4" t="s">
        <v>4151</v>
      </c>
      <c r="F65" s="4" t="s">
        <v>4148</v>
      </c>
      <c r="G65" s="4" t="s">
        <v>4153</v>
      </c>
      <c r="H65" s="4" t="s">
        <v>4158</v>
      </c>
      <c r="I65" s="4" t="s">
        <v>824</v>
      </c>
    </row>
    <row r="66" spans="1:9" x14ac:dyDescent="0.3">
      <c r="A66">
        <v>66</v>
      </c>
      <c r="B66" s="4" t="s">
        <v>4145</v>
      </c>
      <c r="C66" s="4" t="s">
        <v>4146</v>
      </c>
      <c r="D66" s="4" t="s">
        <v>3001</v>
      </c>
      <c r="E66" s="4" t="s">
        <v>4147</v>
      </c>
      <c r="F66" s="4" t="s">
        <v>4155</v>
      </c>
      <c r="G66" s="4" t="s">
        <v>4153</v>
      </c>
      <c r="H66" s="4" t="s">
        <v>4158</v>
      </c>
      <c r="I66" s="4" t="s">
        <v>824</v>
      </c>
    </row>
    <row r="67" spans="1:9" x14ac:dyDescent="0.3">
      <c r="A67">
        <v>67</v>
      </c>
      <c r="B67" s="4" t="s">
        <v>4145</v>
      </c>
      <c r="C67" s="4" t="s">
        <v>4146</v>
      </c>
      <c r="D67" s="4" t="s">
        <v>2994</v>
      </c>
      <c r="E67" s="4" t="s">
        <v>4147</v>
      </c>
      <c r="F67" s="4" t="s">
        <v>4155</v>
      </c>
      <c r="G67" s="4" t="s">
        <v>4149</v>
      </c>
      <c r="H67" s="4" t="s">
        <v>4150</v>
      </c>
      <c r="I67" s="4" t="s">
        <v>4178</v>
      </c>
    </row>
    <row r="68" spans="1:9" x14ac:dyDescent="0.3">
      <c r="A68">
        <v>68</v>
      </c>
      <c r="B68" s="4" t="s">
        <v>4145</v>
      </c>
      <c r="C68" s="4" t="s">
        <v>4146</v>
      </c>
      <c r="D68" s="4" t="s">
        <v>2994</v>
      </c>
      <c r="E68" s="4" t="s">
        <v>4147</v>
      </c>
      <c r="F68" s="4" t="s">
        <v>4148</v>
      </c>
      <c r="G68" s="4" t="s">
        <v>4149</v>
      </c>
      <c r="H68" s="4" t="s">
        <v>4158</v>
      </c>
      <c r="I68" s="4" t="s">
        <v>824</v>
      </c>
    </row>
    <row r="69" spans="1:9" x14ac:dyDescent="0.3">
      <c r="A69">
        <v>69</v>
      </c>
      <c r="B69" s="4" t="s">
        <v>4145</v>
      </c>
      <c r="C69" s="4" t="s">
        <v>4146</v>
      </c>
      <c r="D69" s="4" t="s">
        <v>2999</v>
      </c>
      <c r="E69" s="4" t="s">
        <v>4151</v>
      </c>
      <c r="F69" s="4" t="s">
        <v>4155</v>
      </c>
      <c r="G69" s="4" t="s">
        <v>4149</v>
      </c>
      <c r="H69" s="4" t="s">
        <v>4156</v>
      </c>
      <c r="I69" s="4" t="s">
        <v>4178</v>
      </c>
    </row>
    <row r="70" spans="1:9" x14ac:dyDescent="0.3">
      <c r="A70">
        <v>70</v>
      </c>
      <c r="B70" s="4" t="s">
        <v>4145</v>
      </c>
      <c r="C70" s="4" t="s">
        <v>4146</v>
      </c>
      <c r="D70" s="4" t="s">
        <v>3001</v>
      </c>
      <c r="E70" s="4" t="s">
        <v>4147</v>
      </c>
      <c r="F70" s="4" t="s">
        <v>4148</v>
      </c>
      <c r="G70" s="4" t="s">
        <v>4153</v>
      </c>
      <c r="H70" s="4" t="s">
        <v>4158</v>
      </c>
      <c r="I70" s="4" t="s">
        <v>824</v>
      </c>
    </row>
    <row r="71" spans="1:9" x14ac:dyDescent="0.3">
      <c r="A71">
        <v>71</v>
      </c>
      <c r="B71" s="4" t="s">
        <v>4145</v>
      </c>
      <c r="C71" s="4" t="s">
        <v>4154</v>
      </c>
      <c r="D71" s="4" t="s">
        <v>2999</v>
      </c>
      <c r="E71" s="4" t="s">
        <v>4151</v>
      </c>
      <c r="F71" s="4" t="s">
        <v>4148</v>
      </c>
      <c r="G71" s="4" t="s">
        <v>4149</v>
      </c>
      <c r="H71" s="4" t="s">
        <v>4156</v>
      </c>
      <c r="I71" s="4" t="s">
        <v>824</v>
      </c>
    </row>
    <row r="72" spans="1:9" x14ac:dyDescent="0.3">
      <c r="A72">
        <v>72</v>
      </c>
      <c r="B72" s="4" t="s">
        <v>4145</v>
      </c>
      <c r="C72" s="4" t="s">
        <v>4154</v>
      </c>
      <c r="D72" s="4" t="s">
        <v>2999</v>
      </c>
      <c r="E72" s="4" t="s">
        <v>4151</v>
      </c>
      <c r="F72" s="4" t="s">
        <v>4148</v>
      </c>
      <c r="G72" s="4" t="s">
        <v>4153</v>
      </c>
      <c r="H72" s="4" t="s">
        <v>4150</v>
      </c>
      <c r="I72" s="4" t="s">
        <v>4178</v>
      </c>
    </row>
    <row r="73" spans="1:9" x14ac:dyDescent="0.3">
      <c r="A73">
        <v>73</v>
      </c>
      <c r="B73" s="4" t="s">
        <v>4145</v>
      </c>
      <c r="C73" s="4" t="s">
        <v>4146</v>
      </c>
      <c r="D73" s="4" t="s">
        <v>3001</v>
      </c>
      <c r="E73" s="4" t="s">
        <v>4147</v>
      </c>
      <c r="F73" s="4" t="s">
        <v>4148</v>
      </c>
      <c r="G73" s="4" t="s">
        <v>4153</v>
      </c>
      <c r="H73" s="4" t="s">
        <v>4150</v>
      </c>
      <c r="I73" s="4" t="s">
        <v>4178</v>
      </c>
    </row>
    <row r="74" spans="1:9" x14ac:dyDescent="0.3">
      <c r="A74">
        <v>74</v>
      </c>
      <c r="B74" s="4" t="s">
        <v>4145</v>
      </c>
      <c r="C74" s="4" t="s">
        <v>4146</v>
      </c>
      <c r="D74" s="4" t="s">
        <v>2994</v>
      </c>
      <c r="E74" s="4" t="s">
        <v>4147</v>
      </c>
      <c r="F74" s="4" t="s">
        <v>4148</v>
      </c>
      <c r="G74" s="4" t="s">
        <v>4149</v>
      </c>
      <c r="H74" s="4" t="s">
        <v>4150</v>
      </c>
      <c r="I74" s="4" t="s">
        <v>824</v>
      </c>
    </row>
    <row r="75" spans="1:9" x14ac:dyDescent="0.3">
      <c r="A75">
        <v>75</v>
      </c>
      <c r="B75" s="4" t="s">
        <v>4145</v>
      </c>
      <c r="C75" s="4" t="s">
        <v>4154</v>
      </c>
      <c r="D75" s="4" t="s">
        <v>2999</v>
      </c>
      <c r="E75" s="4" t="s">
        <v>4151</v>
      </c>
      <c r="F75" s="4" t="s">
        <v>4148</v>
      </c>
      <c r="G75" s="4" t="s">
        <v>4149</v>
      </c>
      <c r="H75" s="4" t="s">
        <v>4158</v>
      </c>
      <c r="I75" s="4" t="s">
        <v>824</v>
      </c>
    </row>
    <row r="76" spans="1:9" x14ac:dyDescent="0.3">
      <c r="A76">
        <v>76</v>
      </c>
      <c r="B76" s="4" t="s">
        <v>4145</v>
      </c>
      <c r="C76" s="4" t="s">
        <v>4154</v>
      </c>
      <c r="D76" s="4" t="s">
        <v>2999</v>
      </c>
      <c r="E76" s="4" t="s">
        <v>4151</v>
      </c>
      <c r="F76" s="4" t="s">
        <v>4155</v>
      </c>
      <c r="G76" s="4" t="s">
        <v>4149</v>
      </c>
      <c r="H76" s="4" t="s">
        <v>4156</v>
      </c>
      <c r="I76" s="4" t="s">
        <v>824</v>
      </c>
    </row>
    <row r="77" spans="1:9" x14ac:dyDescent="0.3">
      <c r="A77">
        <v>77</v>
      </c>
      <c r="B77" s="4" t="s">
        <v>4145</v>
      </c>
      <c r="C77" s="4" t="s">
        <v>4146</v>
      </c>
      <c r="D77" s="4" t="s">
        <v>2994</v>
      </c>
      <c r="E77" s="4" t="s">
        <v>4147</v>
      </c>
      <c r="F77" s="4" t="s">
        <v>4155</v>
      </c>
      <c r="G77" s="4" t="s">
        <v>4153</v>
      </c>
      <c r="H77" s="4" t="s">
        <v>4158</v>
      </c>
      <c r="I77" s="4" t="s">
        <v>4178</v>
      </c>
    </row>
    <row r="78" spans="1:9" x14ac:dyDescent="0.3">
      <c r="A78">
        <v>78</v>
      </c>
      <c r="B78" s="4" t="s">
        <v>4145</v>
      </c>
      <c r="C78" s="4" t="s">
        <v>4154</v>
      </c>
      <c r="D78" s="4" t="s">
        <v>2999</v>
      </c>
      <c r="E78" s="4" t="s">
        <v>4151</v>
      </c>
      <c r="F78" s="4" t="s">
        <v>4155</v>
      </c>
      <c r="G78" s="4" t="s">
        <v>4153</v>
      </c>
      <c r="H78" s="4" t="s">
        <v>4158</v>
      </c>
      <c r="I78" s="4" t="s">
        <v>4178</v>
      </c>
    </row>
    <row r="79" spans="1:9" x14ac:dyDescent="0.3">
      <c r="A79">
        <v>79</v>
      </c>
      <c r="B79" s="4" t="s">
        <v>4145</v>
      </c>
      <c r="C79" s="4" t="s">
        <v>4146</v>
      </c>
      <c r="D79" s="4" t="s">
        <v>3001</v>
      </c>
      <c r="E79" s="4" t="s">
        <v>4147</v>
      </c>
      <c r="F79" s="4" t="s">
        <v>4157</v>
      </c>
      <c r="G79" s="4" t="s">
        <v>4153</v>
      </c>
      <c r="H79" s="4" t="s">
        <v>4158</v>
      </c>
      <c r="I79" s="4" t="s">
        <v>4178</v>
      </c>
    </row>
    <row r="80" spans="1:9" x14ac:dyDescent="0.3">
      <c r="A80">
        <v>80</v>
      </c>
      <c r="B80" s="4" t="s">
        <v>4145</v>
      </c>
      <c r="C80" s="4" t="s">
        <v>4146</v>
      </c>
      <c r="D80" s="4" t="s">
        <v>3001</v>
      </c>
      <c r="E80" s="4" t="s">
        <v>4147</v>
      </c>
      <c r="F80" s="4" t="s">
        <v>4157</v>
      </c>
      <c r="G80" s="4" t="s">
        <v>4153</v>
      </c>
      <c r="H80" s="4" t="s">
        <v>4156</v>
      </c>
      <c r="I80" s="4" t="s">
        <v>824</v>
      </c>
    </row>
    <row r="81" spans="1:9" x14ac:dyDescent="0.3">
      <c r="A81">
        <v>81</v>
      </c>
      <c r="B81" s="4" t="s">
        <v>4145</v>
      </c>
      <c r="C81" s="4" t="s">
        <v>4154</v>
      </c>
      <c r="D81" s="4" t="s">
        <v>2999</v>
      </c>
      <c r="E81" s="4" t="s">
        <v>4151</v>
      </c>
      <c r="F81" s="4" t="s">
        <v>4148</v>
      </c>
      <c r="G81" s="4" t="s">
        <v>4149</v>
      </c>
      <c r="H81" s="4" t="s">
        <v>4156</v>
      </c>
      <c r="I81" s="4" t="s">
        <v>824</v>
      </c>
    </row>
    <row r="82" spans="1:9" x14ac:dyDescent="0.3">
      <c r="A82">
        <v>82</v>
      </c>
      <c r="B82" s="4" t="s">
        <v>4145</v>
      </c>
      <c r="C82" s="4" t="s">
        <v>4154</v>
      </c>
      <c r="D82" s="4" t="s">
        <v>3082</v>
      </c>
      <c r="E82" s="4" t="s">
        <v>4151</v>
      </c>
      <c r="F82" s="4" t="s">
        <v>4157</v>
      </c>
      <c r="G82" s="4" t="s">
        <v>4153</v>
      </c>
      <c r="H82" s="4" t="s">
        <v>4158</v>
      </c>
      <c r="I82" s="4" t="s">
        <v>824</v>
      </c>
    </row>
    <row r="83" spans="1:9" x14ac:dyDescent="0.3">
      <c r="A83">
        <v>83</v>
      </c>
      <c r="B83" s="4" t="s">
        <v>4145</v>
      </c>
      <c r="C83" s="4" t="s">
        <v>4146</v>
      </c>
      <c r="D83" s="4" t="s">
        <v>2994</v>
      </c>
      <c r="E83" s="4" t="s">
        <v>4147</v>
      </c>
      <c r="F83" s="4" t="s">
        <v>4155</v>
      </c>
      <c r="G83" s="4" t="s">
        <v>4153</v>
      </c>
      <c r="H83" s="4" t="s">
        <v>4158</v>
      </c>
      <c r="I83" s="4" t="s">
        <v>824</v>
      </c>
    </row>
    <row r="84" spans="1:9" x14ac:dyDescent="0.3">
      <c r="A84">
        <v>84</v>
      </c>
      <c r="B84" s="4" t="s">
        <v>4145</v>
      </c>
      <c r="C84" s="4" t="s">
        <v>4146</v>
      </c>
      <c r="D84" s="4" t="s">
        <v>3001</v>
      </c>
      <c r="E84" s="4" t="s">
        <v>4147</v>
      </c>
      <c r="F84" s="4" t="s">
        <v>4157</v>
      </c>
      <c r="G84" s="4" t="s">
        <v>4153</v>
      </c>
      <c r="H84" s="4" t="s">
        <v>4156</v>
      </c>
      <c r="I84" s="4" t="s">
        <v>824</v>
      </c>
    </row>
    <row r="85" spans="1:9" x14ac:dyDescent="0.3">
      <c r="A85">
        <v>85</v>
      </c>
      <c r="B85" s="4" t="s">
        <v>4145</v>
      </c>
      <c r="C85" s="4" t="s">
        <v>4154</v>
      </c>
      <c r="D85" s="4" t="s">
        <v>2999</v>
      </c>
      <c r="E85" s="4" t="s">
        <v>4151</v>
      </c>
      <c r="F85" s="4" t="s">
        <v>4155</v>
      </c>
      <c r="G85" s="4" t="s">
        <v>4153</v>
      </c>
      <c r="H85" s="4" t="s">
        <v>4158</v>
      </c>
      <c r="I85" s="4" t="s">
        <v>4178</v>
      </c>
    </row>
    <row r="86" spans="1:9" x14ac:dyDescent="0.3">
      <c r="A86">
        <v>86</v>
      </c>
      <c r="B86" s="4" t="s">
        <v>4145</v>
      </c>
      <c r="C86" s="4" t="s">
        <v>4146</v>
      </c>
      <c r="D86" s="4" t="s">
        <v>3001</v>
      </c>
      <c r="E86" s="4" t="s">
        <v>4147</v>
      </c>
      <c r="F86" s="4" t="s">
        <v>4155</v>
      </c>
      <c r="G86" s="4" t="s">
        <v>4153</v>
      </c>
      <c r="H86" s="4" t="s">
        <v>4158</v>
      </c>
      <c r="I86" s="4" t="s">
        <v>4178</v>
      </c>
    </row>
    <row r="87" spans="1:9" x14ac:dyDescent="0.3">
      <c r="A87">
        <v>87</v>
      </c>
      <c r="B87" s="4" t="s">
        <v>4145</v>
      </c>
      <c r="C87" s="4" t="s">
        <v>4146</v>
      </c>
      <c r="D87" s="4" t="s">
        <v>2999</v>
      </c>
      <c r="E87" s="4" t="s">
        <v>4151</v>
      </c>
      <c r="F87" s="4" t="s">
        <v>4157</v>
      </c>
      <c r="G87" s="4" t="s">
        <v>4149</v>
      </c>
      <c r="H87" s="4" t="s">
        <v>4156</v>
      </c>
      <c r="I87" s="4" t="s">
        <v>824</v>
      </c>
    </row>
    <row r="88" spans="1:9" x14ac:dyDescent="0.3">
      <c r="A88">
        <v>88</v>
      </c>
      <c r="B88" s="4" t="s">
        <v>4145</v>
      </c>
      <c r="C88" s="4" t="s">
        <v>4146</v>
      </c>
      <c r="D88" s="4" t="s">
        <v>2999</v>
      </c>
      <c r="E88" s="4" t="s">
        <v>4151</v>
      </c>
      <c r="F88" s="4" t="s">
        <v>4148</v>
      </c>
      <c r="G88" s="4" t="s">
        <v>4149</v>
      </c>
      <c r="H88" s="4" t="s">
        <v>4156</v>
      </c>
      <c r="I88" s="4" t="s">
        <v>824</v>
      </c>
    </row>
    <row r="89" spans="1:9" x14ac:dyDescent="0.3">
      <c r="A89">
        <v>89</v>
      </c>
      <c r="B89" s="4" t="s">
        <v>4145</v>
      </c>
      <c r="C89" s="4" t="s">
        <v>4146</v>
      </c>
      <c r="D89" s="4" t="s">
        <v>2994</v>
      </c>
      <c r="E89" s="4" t="s">
        <v>4147</v>
      </c>
      <c r="F89" s="4" t="s">
        <v>4155</v>
      </c>
      <c r="G89" s="4" t="s">
        <v>4149</v>
      </c>
      <c r="H89" s="4" t="s">
        <v>4150</v>
      </c>
      <c r="I89" s="4" t="s">
        <v>824</v>
      </c>
    </row>
    <row r="90" spans="1:9" x14ac:dyDescent="0.3">
      <c r="A90">
        <v>90</v>
      </c>
      <c r="B90" s="4" t="s">
        <v>4145</v>
      </c>
      <c r="C90" s="4" t="s">
        <v>4154</v>
      </c>
      <c r="D90" s="4" t="s">
        <v>2999</v>
      </c>
      <c r="E90" s="4" t="s">
        <v>4151</v>
      </c>
      <c r="F90" s="4" t="s">
        <v>4155</v>
      </c>
      <c r="G90" s="4" t="s">
        <v>4153</v>
      </c>
      <c r="H90" s="4" t="s">
        <v>4158</v>
      </c>
      <c r="I90" s="4" t="s">
        <v>824</v>
      </c>
    </row>
    <row r="91" spans="1:9" x14ac:dyDescent="0.3">
      <c r="A91">
        <v>91</v>
      </c>
      <c r="B91" s="4" t="s">
        <v>4145</v>
      </c>
      <c r="C91" s="4" t="s">
        <v>4146</v>
      </c>
      <c r="D91" s="4" t="s">
        <v>3001</v>
      </c>
      <c r="E91" s="4" t="s">
        <v>4147</v>
      </c>
      <c r="F91" s="4" t="s">
        <v>4148</v>
      </c>
      <c r="G91" s="4" t="s">
        <v>4153</v>
      </c>
      <c r="H91" s="4" t="s">
        <v>4158</v>
      </c>
      <c r="I91" s="4" t="s">
        <v>824</v>
      </c>
    </row>
    <row r="92" spans="1:9" x14ac:dyDescent="0.3">
      <c r="A92">
        <v>92</v>
      </c>
      <c r="B92" s="4" t="s">
        <v>4145</v>
      </c>
      <c r="C92" s="4" t="s">
        <v>4146</v>
      </c>
      <c r="D92" s="4" t="s">
        <v>2999</v>
      </c>
      <c r="E92" s="4" t="s">
        <v>4151</v>
      </c>
      <c r="F92" s="4" t="s">
        <v>4155</v>
      </c>
      <c r="G92" s="4" t="s">
        <v>4153</v>
      </c>
      <c r="H92" s="4" t="s">
        <v>4158</v>
      </c>
      <c r="I92" s="4" t="s">
        <v>824</v>
      </c>
    </row>
    <row r="93" spans="1:9" x14ac:dyDescent="0.3">
      <c r="A93">
        <v>93</v>
      </c>
      <c r="B93" s="4" t="s">
        <v>4145</v>
      </c>
      <c r="C93" s="4" t="s">
        <v>4146</v>
      </c>
      <c r="D93" s="4" t="s">
        <v>3001</v>
      </c>
      <c r="E93" s="4" t="s">
        <v>4147</v>
      </c>
      <c r="F93" s="4" t="s">
        <v>4159</v>
      </c>
      <c r="G93" s="4" t="s">
        <v>4153</v>
      </c>
      <c r="H93" s="4" t="s">
        <v>4158</v>
      </c>
      <c r="I93" s="4" t="s">
        <v>824</v>
      </c>
    </row>
    <row r="94" spans="1:9" x14ac:dyDescent="0.3">
      <c r="A94">
        <v>94</v>
      </c>
      <c r="B94" s="4" t="s">
        <v>4145</v>
      </c>
      <c r="C94" s="4" t="s">
        <v>4146</v>
      </c>
      <c r="D94" s="4" t="s">
        <v>3040</v>
      </c>
      <c r="E94" s="4" t="s">
        <v>4151</v>
      </c>
      <c r="F94" s="4" t="s">
        <v>4157</v>
      </c>
      <c r="G94" s="4" t="s">
        <v>4153</v>
      </c>
      <c r="H94" s="4" t="s">
        <v>4158</v>
      </c>
      <c r="I94" s="4" t="s">
        <v>824</v>
      </c>
    </row>
    <row r="95" spans="1:9" x14ac:dyDescent="0.3">
      <c r="A95">
        <v>95</v>
      </c>
      <c r="B95" s="4" t="s">
        <v>4145</v>
      </c>
      <c r="C95" s="4" t="s">
        <v>4146</v>
      </c>
      <c r="D95" s="4" t="s">
        <v>2996</v>
      </c>
      <c r="E95" s="4" t="s">
        <v>4151</v>
      </c>
      <c r="F95" s="4" t="s">
        <v>4152</v>
      </c>
      <c r="G95" s="4" t="s">
        <v>4153</v>
      </c>
      <c r="H95" s="4" t="s">
        <v>4158</v>
      </c>
      <c r="I95" s="4" t="s">
        <v>824</v>
      </c>
    </row>
    <row r="96" spans="1:9" x14ac:dyDescent="0.3">
      <c r="A96">
        <v>96</v>
      </c>
      <c r="B96" s="4" t="s">
        <v>4145</v>
      </c>
      <c r="C96" s="4" t="s">
        <v>4146</v>
      </c>
      <c r="D96" s="4" t="s">
        <v>3001</v>
      </c>
      <c r="E96" s="4" t="s">
        <v>4147</v>
      </c>
      <c r="F96" s="4" t="s">
        <v>4157</v>
      </c>
      <c r="G96" s="4" t="s">
        <v>4153</v>
      </c>
      <c r="H96" s="4" t="s">
        <v>4158</v>
      </c>
      <c r="I96" s="4" t="s">
        <v>824</v>
      </c>
    </row>
    <row r="97" spans="1:9" x14ac:dyDescent="0.3">
      <c r="A97">
        <v>97</v>
      </c>
      <c r="B97" s="4" t="s">
        <v>4145</v>
      </c>
      <c r="C97" s="4" t="s">
        <v>4154</v>
      </c>
      <c r="D97" s="4" t="s">
        <v>2999</v>
      </c>
      <c r="E97" s="4" t="s">
        <v>4151</v>
      </c>
      <c r="F97" s="4" t="s">
        <v>4155</v>
      </c>
      <c r="G97" s="4" t="s">
        <v>4153</v>
      </c>
      <c r="H97" s="4" t="s">
        <v>4150</v>
      </c>
      <c r="I97" s="4" t="s">
        <v>4178</v>
      </c>
    </row>
    <row r="98" spans="1:9" x14ac:dyDescent="0.3">
      <c r="A98">
        <v>98</v>
      </c>
      <c r="B98" s="4" t="s">
        <v>4145</v>
      </c>
      <c r="C98" s="4" t="s">
        <v>4146</v>
      </c>
      <c r="D98" s="4" t="s">
        <v>3001</v>
      </c>
      <c r="E98" s="4" t="s">
        <v>4147</v>
      </c>
      <c r="F98" s="4" t="s">
        <v>4148</v>
      </c>
      <c r="G98" s="4" t="s">
        <v>4153</v>
      </c>
      <c r="H98" s="4" t="s">
        <v>4150</v>
      </c>
      <c r="I98" s="4" t="s">
        <v>4178</v>
      </c>
    </row>
    <row r="99" spans="1:9" x14ac:dyDescent="0.3">
      <c r="A99">
        <v>99</v>
      </c>
      <c r="B99" s="4" t="s">
        <v>4145</v>
      </c>
      <c r="C99" s="4" t="s">
        <v>4146</v>
      </c>
      <c r="D99" s="4" t="s">
        <v>3001</v>
      </c>
      <c r="E99" s="4" t="s">
        <v>4147</v>
      </c>
      <c r="F99" s="4" t="s">
        <v>4155</v>
      </c>
      <c r="G99" s="4" t="s">
        <v>4153</v>
      </c>
      <c r="H99" s="4" t="s">
        <v>4150</v>
      </c>
      <c r="I99" s="4" t="s">
        <v>4178</v>
      </c>
    </row>
    <row r="100" spans="1:9" x14ac:dyDescent="0.3">
      <c r="A100">
        <v>100</v>
      </c>
      <c r="B100" s="4" t="s">
        <v>4145</v>
      </c>
      <c r="C100" s="4" t="s">
        <v>4146</v>
      </c>
      <c r="D100" s="4" t="s">
        <v>3100</v>
      </c>
      <c r="E100" s="4" t="s">
        <v>4147</v>
      </c>
      <c r="F100" s="4" t="s">
        <v>4155</v>
      </c>
      <c r="G100" s="4" t="s">
        <v>4153</v>
      </c>
      <c r="H100" s="4" t="s">
        <v>4156</v>
      </c>
      <c r="I100" s="4" t="s">
        <v>4178</v>
      </c>
    </row>
    <row r="101" spans="1:9" x14ac:dyDescent="0.3">
      <c r="A101">
        <v>101</v>
      </c>
      <c r="B101" s="4" t="s">
        <v>4145</v>
      </c>
      <c r="C101" s="4" t="s">
        <v>4146</v>
      </c>
      <c r="D101" s="4" t="s">
        <v>3102</v>
      </c>
      <c r="E101" s="4" t="s">
        <v>4151</v>
      </c>
      <c r="F101" s="4" t="s">
        <v>4155</v>
      </c>
      <c r="G101" s="4" t="s">
        <v>4153</v>
      </c>
      <c r="H101" s="4" t="s">
        <v>4158</v>
      </c>
      <c r="I101" s="4" t="s">
        <v>4178</v>
      </c>
    </row>
    <row r="102" spans="1:9" x14ac:dyDescent="0.3">
      <c r="A102">
        <v>102</v>
      </c>
      <c r="B102" s="4" t="s">
        <v>4145</v>
      </c>
      <c r="C102" s="4" t="s">
        <v>4154</v>
      </c>
      <c r="D102" s="4" t="s">
        <v>2999</v>
      </c>
      <c r="E102" s="4" t="s">
        <v>4151</v>
      </c>
      <c r="F102" s="4" t="s">
        <v>4155</v>
      </c>
      <c r="G102" s="4" t="s">
        <v>4149</v>
      </c>
      <c r="H102" s="4" t="s">
        <v>4156</v>
      </c>
      <c r="I102" s="4" t="s">
        <v>4178</v>
      </c>
    </row>
    <row r="103" spans="1:9" x14ac:dyDescent="0.3">
      <c r="A103">
        <v>103</v>
      </c>
      <c r="B103" s="4" t="s">
        <v>4145</v>
      </c>
      <c r="C103" s="4" t="s">
        <v>4146</v>
      </c>
      <c r="D103" s="4" t="s">
        <v>3001</v>
      </c>
      <c r="E103" s="4" t="s">
        <v>4147</v>
      </c>
      <c r="F103" s="4" t="s">
        <v>4148</v>
      </c>
      <c r="G103" s="4" t="s">
        <v>4153</v>
      </c>
      <c r="H103" s="4" t="s">
        <v>4158</v>
      </c>
      <c r="I103" s="4" t="s">
        <v>4178</v>
      </c>
    </row>
    <row r="104" spans="1:9" x14ac:dyDescent="0.3">
      <c r="A104">
        <v>104</v>
      </c>
      <c r="B104" s="4" t="s">
        <v>4145</v>
      </c>
      <c r="C104" s="4" t="s">
        <v>4146</v>
      </c>
      <c r="D104" s="4" t="s">
        <v>2994</v>
      </c>
      <c r="E104" s="4" t="s">
        <v>4147</v>
      </c>
      <c r="F104" s="4" t="s">
        <v>4155</v>
      </c>
      <c r="G104" s="4" t="s">
        <v>4149</v>
      </c>
      <c r="H104" s="4" t="s">
        <v>4150</v>
      </c>
      <c r="I104" s="4" t="s">
        <v>4178</v>
      </c>
    </row>
    <row r="105" spans="1:9" x14ac:dyDescent="0.3">
      <c r="A105">
        <v>105</v>
      </c>
      <c r="B105" s="4" t="s">
        <v>4145</v>
      </c>
      <c r="C105" s="4" t="s">
        <v>4146</v>
      </c>
      <c r="D105" s="4" t="s">
        <v>2994</v>
      </c>
      <c r="E105" s="4" t="s">
        <v>4147</v>
      </c>
      <c r="F105" s="4" t="s">
        <v>4157</v>
      </c>
      <c r="G105" s="4" t="s">
        <v>4153</v>
      </c>
      <c r="H105" s="4" t="s">
        <v>4158</v>
      </c>
      <c r="I105" s="4" t="s">
        <v>4178</v>
      </c>
    </row>
    <row r="106" spans="1:9" x14ac:dyDescent="0.3">
      <c r="A106">
        <v>106</v>
      </c>
      <c r="B106" s="4" t="s">
        <v>4145</v>
      </c>
      <c r="C106" s="4" t="s">
        <v>4154</v>
      </c>
      <c r="D106" s="4" t="s">
        <v>2994</v>
      </c>
      <c r="E106" s="4" t="s">
        <v>4147</v>
      </c>
      <c r="F106" s="4" t="s">
        <v>4155</v>
      </c>
      <c r="G106" s="4" t="s">
        <v>4149</v>
      </c>
      <c r="H106" s="4" t="s">
        <v>4156</v>
      </c>
      <c r="I106" s="4" t="s">
        <v>4178</v>
      </c>
    </row>
    <row r="107" spans="1:9" x14ac:dyDescent="0.3">
      <c r="A107">
        <v>107</v>
      </c>
      <c r="B107" s="4" t="s">
        <v>4145</v>
      </c>
      <c r="C107" s="4" t="s">
        <v>4154</v>
      </c>
      <c r="D107" s="4" t="s">
        <v>2999</v>
      </c>
      <c r="E107" s="4" t="s">
        <v>4151</v>
      </c>
      <c r="F107" s="4" t="s">
        <v>4148</v>
      </c>
      <c r="G107" s="4" t="s">
        <v>4149</v>
      </c>
      <c r="H107" s="4" t="s">
        <v>4150</v>
      </c>
      <c r="I107" s="4" t="s">
        <v>824</v>
      </c>
    </row>
    <row r="108" spans="1:9" x14ac:dyDescent="0.3">
      <c r="A108">
        <v>108</v>
      </c>
      <c r="B108" s="4" t="s">
        <v>4145</v>
      </c>
      <c r="C108" s="4" t="s">
        <v>4146</v>
      </c>
      <c r="D108" s="4" t="s">
        <v>3001</v>
      </c>
      <c r="E108" s="4" t="s">
        <v>4147</v>
      </c>
      <c r="F108" s="4" t="s">
        <v>4148</v>
      </c>
      <c r="G108" s="4" t="s">
        <v>4149</v>
      </c>
      <c r="H108" s="4" t="s">
        <v>4156</v>
      </c>
      <c r="I108" s="4" t="s">
        <v>824</v>
      </c>
    </row>
    <row r="109" spans="1:9" x14ac:dyDescent="0.3">
      <c r="A109">
        <v>109</v>
      </c>
      <c r="B109" s="4" t="s">
        <v>4145</v>
      </c>
      <c r="C109" s="4" t="s">
        <v>4146</v>
      </c>
      <c r="D109" s="4" t="s">
        <v>2994</v>
      </c>
      <c r="E109" s="4" t="s">
        <v>4147</v>
      </c>
      <c r="F109" s="4" t="s">
        <v>4148</v>
      </c>
      <c r="G109" s="4" t="s">
        <v>4149</v>
      </c>
      <c r="H109" s="4" t="s">
        <v>4150</v>
      </c>
      <c r="I109" s="4" t="s">
        <v>4178</v>
      </c>
    </row>
    <row r="110" spans="1:9" x14ac:dyDescent="0.3">
      <c r="A110">
        <v>110</v>
      </c>
      <c r="B110" s="4" t="s">
        <v>4145</v>
      </c>
      <c r="C110" s="4" t="s">
        <v>4146</v>
      </c>
      <c r="D110" s="4" t="s">
        <v>2999</v>
      </c>
      <c r="E110" s="4" t="s">
        <v>4151</v>
      </c>
      <c r="F110" s="4" t="s">
        <v>4155</v>
      </c>
      <c r="G110" s="4" t="s">
        <v>4149</v>
      </c>
      <c r="H110" s="4" t="s">
        <v>4156</v>
      </c>
      <c r="I110" s="4" t="s">
        <v>824</v>
      </c>
    </row>
    <row r="111" spans="1:9" x14ac:dyDescent="0.3">
      <c r="A111">
        <v>111</v>
      </c>
      <c r="B111" s="4" t="s">
        <v>4145</v>
      </c>
      <c r="C111" s="4" t="s">
        <v>4154</v>
      </c>
      <c r="D111" s="4" t="s">
        <v>2999</v>
      </c>
      <c r="E111" s="4" t="s">
        <v>4151</v>
      </c>
      <c r="F111" s="4" t="s">
        <v>4148</v>
      </c>
      <c r="G111" s="4" t="s">
        <v>4149</v>
      </c>
      <c r="H111" s="4" t="s">
        <v>4156</v>
      </c>
      <c r="I111" s="4" t="s">
        <v>4178</v>
      </c>
    </row>
    <row r="112" spans="1:9" x14ac:dyDescent="0.3">
      <c r="A112">
        <v>112</v>
      </c>
      <c r="B112" s="4" t="s">
        <v>4145</v>
      </c>
      <c r="C112" s="4" t="s">
        <v>4146</v>
      </c>
      <c r="D112" s="4" t="s">
        <v>2994</v>
      </c>
      <c r="E112" s="4" t="s">
        <v>4147</v>
      </c>
      <c r="F112" s="4" t="s">
        <v>4148</v>
      </c>
      <c r="G112" s="4" t="s">
        <v>4153</v>
      </c>
      <c r="H112" s="4" t="s">
        <v>4150</v>
      </c>
      <c r="I112" s="4" t="s">
        <v>824</v>
      </c>
    </row>
    <row r="113" spans="1:9" x14ac:dyDescent="0.3">
      <c r="A113">
        <v>113</v>
      </c>
      <c r="B113" s="4" t="s">
        <v>4145</v>
      </c>
      <c r="C113" s="4" t="s">
        <v>4146</v>
      </c>
      <c r="D113" s="4" t="s">
        <v>2994</v>
      </c>
      <c r="E113" s="4" t="s">
        <v>4147</v>
      </c>
      <c r="F113" s="4" t="s">
        <v>4148</v>
      </c>
      <c r="G113" s="4" t="s">
        <v>4153</v>
      </c>
      <c r="H113" s="4" t="s">
        <v>4150</v>
      </c>
      <c r="I113" s="4" t="s">
        <v>824</v>
      </c>
    </row>
    <row r="114" spans="1:9" x14ac:dyDescent="0.3">
      <c r="A114">
        <v>114</v>
      </c>
      <c r="B114" s="4" t="s">
        <v>4145</v>
      </c>
      <c r="C114" s="4" t="s">
        <v>4146</v>
      </c>
      <c r="D114" s="4" t="s">
        <v>2994</v>
      </c>
      <c r="E114" s="4" t="s">
        <v>4147</v>
      </c>
      <c r="F114" s="4" t="s">
        <v>4148</v>
      </c>
      <c r="G114" s="4" t="s">
        <v>4153</v>
      </c>
      <c r="H114" s="4" t="s">
        <v>4150</v>
      </c>
      <c r="I114" s="4" t="s">
        <v>824</v>
      </c>
    </row>
    <row r="115" spans="1:9" x14ac:dyDescent="0.3">
      <c r="A115">
        <v>115</v>
      </c>
      <c r="B115" s="4" t="s">
        <v>4145</v>
      </c>
      <c r="C115" s="4" t="s">
        <v>4154</v>
      </c>
      <c r="D115" s="4" t="s">
        <v>2999</v>
      </c>
      <c r="E115" s="4" t="s">
        <v>4151</v>
      </c>
      <c r="F115" s="4" t="s">
        <v>4148</v>
      </c>
      <c r="G115" s="4" t="s">
        <v>4153</v>
      </c>
      <c r="H115" s="4" t="s">
        <v>4150</v>
      </c>
      <c r="I115" s="4" t="s">
        <v>824</v>
      </c>
    </row>
    <row r="116" spans="1:9" x14ac:dyDescent="0.3">
      <c r="A116">
        <v>116</v>
      </c>
      <c r="B116" s="4" t="s">
        <v>4145</v>
      </c>
      <c r="C116" s="4" t="s">
        <v>4154</v>
      </c>
      <c r="D116" s="4" t="s">
        <v>2999</v>
      </c>
      <c r="E116" s="4" t="s">
        <v>4151</v>
      </c>
      <c r="F116" s="4" t="s">
        <v>4157</v>
      </c>
      <c r="G116" s="4" t="s">
        <v>4153</v>
      </c>
      <c r="H116" s="4" t="s">
        <v>4150</v>
      </c>
      <c r="I116" s="4" t="s">
        <v>824</v>
      </c>
    </row>
    <row r="117" spans="1:9" x14ac:dyDescent="0.3">
      <c r="A117">
        <v>117</v>
      </c>
      <c r="B117" s="4" t="s">
        <v>4145</v>
      </c>
      <c r="C117" s="4" t="s">
        <v>4146</v>
      </c>
      <c r="D117" s="4" t="s">
        <v>3001</v>
      </c>
      <c r="E117" s="4" t="s">
        <v>4147</v>
      </c>
      <c r="F117" s="4" t="s">
        <v>4157</v>
      </c>
      <c r="G117" s="4" t="s">
        <v>4153</v>
      </c>
      <c r="H117" s="4" t="s">
        <v>4150</v>
      </c>
      <c r="I117" s="4" t="s">
        <v>824</v>
      </c>
    </row>
    <row r="118" spans="1:9" x14ac:dyDescent="0.3">
      <c r="A118">
        <v>118</v>
      </c>
      <c r="B118" s="4" t="s">
        <v>4145</v>
      </c>
      <c r="C118" s="4" t="s">
        <v>4146</v>
      </c>
      <c r="D118" s="4" t="s">
        <v>2994</v>
      </c>
      <c r="E118" s="4" t="s">
        <v>4147</v>
      </c>
      <c r="F118" s="4" t="s">
        <v>4148</v>
      </c>
      <c r="G118" s="4" t="s">
        <v>4149</v>
      </c>
      <c r="H118" s="4" t="s">
        <v>4158</v>
      </c>
      <c r="I118" s="4" t="s">
        <v>4178</v>
      </c>
    </row>
    <row r="119" spans="1:9" x14ac:dyDescent="0.3">
      <c r="A119">
        <v>119</v>
      </c>
      <c r="B119" s="4" t="s">
        <v>4145</v>
      </c>
      <c r="C119" s="4" t="s">
        <v>4154</v>
      </c>
      <c r="D119" s="4" t="s">
        <v>2999</v>
      </c>
      <c r="E119" s="4" t="s">
        <v>4151</v>
      </c>
      <c r="F119" s="4" t="s">
        <v>4148</v>
      </c>
      <c r="G119" s="4" t="s">
        <v>4149</v>
      </c>
      <c r="H119" s="4" t="s">
        <v>4156</v>
      </c>
      <c r="I119" s="4" t="s">
        <v>824</v>
      </c>
    </row>
    <row r="120" spans="1:9" x14ac:dyDescent="0.3">
      <c r="A120">
        <v>120</v>
      </c>
      <c r="B120" s="4" t="s">
        <v>4145</v>
      </c>
      <c r="C120" s="4" t="s">
        <v>4146</v>
      </c>
      <c r="D120" s="4" t="s">
        <v>3040</v>
      </c>
      <c r="E120" s="4" t="s">
        <v>4151</v>
      </c>
      <c r="F120" s="4" t="s">
        <v>4155</v>
      </c>
      <c r="G120" s="4" t="s">
        <v>4153</v>
      </c>
      <c r="H120" s="4" t="s">
        <v>4150</v>
      </c>
      <c r="I120" s="4" t="s">
        <v>824</v>
      </c>
    </row>
    <row r="121" spans="1:9" x14ac:dyDescent="0.3">
      <c r="A121">
        <v>121</v>
      </c>
      <c r="B121" s="4" t="s">
        <v>4145</v>
      </c>
      <c r="C121" s="4" t="s">
        <v>4146</v>
      </c>
      <c r="D121" s="4" t="s">
        <v>2999</v>
      </c>
      <c r="E121" s="4" t="s">
        <v>4151</v>
      </c>
      <c r="F121" s="4" t="s">
        <v>4155</v>
      </c>
      <c r="G121" s="4" t="s">
        <v>4153</v>
      </c>
      <c r="H121" s="4" t="s">
        <v>4156</v>
      </c>
      <c r="I121" s="4" t="s">
        <v>4178</v>
      </c>
    </row>
    <row r="122" spans="1:9" x14ac:dyDescent="0.3">
      <c r="A122">
        <v>122</v>
      </c>
      <c r="B122" s="4" t="s">
        <v>4145</v>
      </c>
      <c r="C122" s="4" t="s">
        <v>4146</v>
      </c>
      <c r="D122" s="4" t="s">
        <v>3001</v>
      </c>
      <c r="E122" s="4" t="s">
        <v>4147</v>
      </c>
      <c r="F122" s="4" t="s">
        <v>4148</v>
      </c>
      <c r="G122" s="4" t="s">
        <v>4153</v>
      </c>
      <c r="H122" s="4" t="s">
        <v>4150</v>
      </c>
      <c r="I122" s="4" t="s">
        <v>824</v>
      </c>
    </row>
    <row r="123" spans="1:9" x14ac:dyDescent="0.3">
      <c r="A123">
        <v>123</v>
      </c>
      <c r="B123" s="4" t="s">
        <v>4145</v>
      </c>
      <c r="C123" s="4" t="s">
        <v>4146</v>
      </c>
      <c r="D123" s="4" t="s">
        <v>2994</v>
      </c>
      <c r="E123" s="4" t="s">
        <v>4147</v>
      </c>
      <c r="F123" s="4" t="s">
        <v>4148</v>
      </c>
      <c r="G123" s="4" t="s">
        <v>4153</v>
      </c>
      <c r="H123" s="4" t="s">
        <v>4156</v>
      </c>
      <c r="I123" s="4" t="s">
        <v>4178</v>
      </c>
    </row>
    <row r="124" spans="1:9" x14ac:dyDescent="0.3">
      <c r="A124">
        <v>124</v>
      </c>
      <c r="B124" s="4" t="s">
        <v>4145</v>
      </c>
      <c r="C124" s="4" t="s">
        <v>4146</v>
      </c>
      <c r="D124" s="4" t="s">
        <v>2999</v>
      </c>
      <c r="E124" s="4" t="s">
        <v>4151</v>
      </c>
      <c r="F124" s="4" t="s">
        <v>4157</v>
      </c>
      <c r="G124" s="4" t="s">
        <v>4153</v>
      </c>
      <c r="H124" s="4" t="s">
        <v>4158</v>
      </c>
      <c r="I124" s="4" t="s">
        <v>4178</v>
      </c>
    </row>
    <row r="125" spans="1:9" x14ac:dyDescent="0.3">
      <c r="A125">
        <v>125</v>
      </c>
      <c r="B125" s="4" t="s">
        <v>4145</v>
      </c>
      <c r="C125" s="4" t="s">
        <v>4146</v>
      </c>
      <c r="D125" s="4" t="s">
        <v>3001</v>
      </c>
      <c r="E125" s="4" t="s">
        <v>4147</v>
      </c>
      <c r="F125" s="4" t="s">
        <v>4155</v>
      </c>
      <c r="G125" s="4" t="s">
        <v>4153</v>
      </c>
      <c r="H125" s="4" t="s">
        <v>4158</v>
      </c>
      <c r="I125" s="4" t="s">
        <v>4178</v>
      </c>
    </row>
    <row r="126" spans="1:9" x14ac:dyDescent="0.3">
      <c r="A126">
        <v>126</v>
      </c>
      <c r="B126" s="4" t="s">
        <v>4145</v>
      </c>
      <c r="C126" s="4" t="s">
        <v>4154</v>
      </c>
      <c r="D126" s="4" t="s">
        <v>2999</v>
      </c>
      <c r="E126" s="4" t="s">
        <v>4151</v>
      </c>
      <c r="F126" s="4" t="s">
        <v>4148</v>
      </c>
      <c r="G126" s="4" t="s">
        <v>4149</v>
      </c>
      <c r="H126" s="4" t="s">
        <v>4156</v>
      </c>
      <c r="I126" s="4" t="s">
        <v>824</v>
      </c>
    </row>
    <row r="127" spans="1:9" x14ac:dyDescent="0.3">
      <c r="A127">
        <v>127</v>
      </c>
      <c r="B127" s="4" t="s">
        <v>4145</v>
      </c>
      <c r="C127" s="4" t="s">
        <v>4154</v>
      </c>
      <c r="D127" s="4" t="s">
        <v>2999</v>
      </c>
      <c r="E127" s="4" t="s">
        <v>4151</v>
      </c>
      <c r="F127" s="4" t="s">
        <v>4155</v>
      </c>
      <c r="G127" s="4" t="s">
        <v>4153</v>
      </c>
      <c r="H127" s="4" t="s">
        <v>4158</v>
      </c>
      <c r="I127" s="4" t="s">
        <v>824</v>
      </c>
    </row>
    <row r="128" spans="1:9" x14ac:dyDescent="0.3">
      <c r="A128">
        <v>128</v>
      </c>
      <c r="B128" s="4" t="s">
        <v>4145</v>
      </c>
      <c r="C128" s="4" t="s">
        <v>4146</v>
      </c>
      <c r="D128" s="4" t="s">
        <v>3001</v>
      </c>
      <c r="E128" s="4" t="s">
        <v>4147</v>
      </c>
      <c r="F128" s="4" t="s">
        <v>4155</v>
      </c>
      <c r="G128" s="4" t="s">
        <v>4153</v>
      </c>
      <c r="H128" s="4" t="s">
        <v>4158</v>
      </c>
      <c r="I128" s="4" t="s">
        <v>824</v>
      </c>
    </row>
    <row r="129" spans="1:9" x14ac:dyDescent="0.3">
      <c r="A129">
        <v>129</v>
      </c>
      <c r="B129" s="4" t="s">
        <v>4145</v>
      </c>
      <c r="C129" s="4" t="s">
        <v>4154</v>
      </c>
      <c r="D129" s="4" t="s">
        <v>2999</v>
      </c>
      <c r="E129" s="4" t="s">
        <v>4151</v>
      </c>
      <c r="F129" s="4" t="s">
        <v>4155</v>
      </c>
      <c r="G129" s="4" t="s">
        <v>4149</v>
      </c>
      <c r="H129" s="4" t="s">
        <v>4156</v>
      </c>
      <c r="I129" s="4" t="s">
        <v>824</v>
      </c>
    </row>
    <row r="130" spans="1:9" x14ac:dyDescent="0.3">
      <c r="A130">
        <v>130</v>
      </c>
      <c r="B130" s="4" t="s">
        <v>4145</v>
      </c>
      <c r="C130" s="4" t="s">
        <v>4146</v>
      </c>
      <c r="D130" s="4" t="s">
        <v>2994</v>
      </c>
      <c r="E130" s="4" t="s">
        <v>4147</v>
      </c>
      <c r="F130" s="4" t="s">
        <v>4155</v>
      </c>
      <c r="G130" s="4" t="s">
        <v>4149</v>
      </c>
      <c r="H130" s="4" t="s">
        <v>4150</v>
      </c>
      <c r="I130" s="4" t="s">
        <v>4178</v>
      </c>
    </row>
    <row r="131" spans="1:9" x14ac:dyDescent="0.3">
      <c r="A131">
        <v>131</v>
      </c>
      <c r="B131" s="4" t="s">
        <v>4145</v>
      </c>
      <c r="C131" s="4" t="s">
        <v>4146</v>
      </c>
      <c r="D131" s="4" t="s">
        <v>2994</v>
      </c>
      <c r="E131" s="4" t="s">
        <v>4147</v>
      </c>
      <c r="F131" s="4" t="s">
        <v>4148</v>
      </c>
      <c r="G131" s="4" t="s">
        <v>4153</v>
      </c>
      <c r="H131" s="4" t="s">
        <v>4158</v>
      </c>
      <c r="I131" s="4" t="s">
        <v>4178</v>
      </c>
    </row>
    <row r="132" spans="1:9" x14ac:dyDescent="0.3">
      <c r="A132">
        <v>132</v>
      </c>
      <c r="B132" s="4" t="s">
        <v>4145</v>
      </c>
      <c r="C132" s="4" t="s">
        <v>4146</v>
      </c>
      <c r="D132" s="4" t="s">
        <v>3001</v>
      </c>
      <c r="E132" s="4" t="s">
        <v>4147</v>
      </c>
      <c r="F132" s="4" t="s">
        <v>4155</v>
      </c>
      <c r="G132" s="4" t="s">
        <v>4153</v>
      </c>
      <c r="H132" s="4" t="s">
        <v>4158</v>
      </c>
      <c r="I132" s="4" t="s">
        <v>4178</v>
      </c>
    </row>
    <row r="133" spans="1:9" x14ac:dyDescent="0.3">
      <c r="A133">
        <v>133</v>
      </c>
      <c r="B133" s="4" t="s">
        <v>4145</v>
      </c>
      <c r="C133" s="4" t="s">
        <v>4154</v>
      </c>
      <c r="D133" s="4" t="s">
        <v>2999</v>
      </c>
      <c r="E133" s="4" t="s">
        <v>4151</v>
      </c>
      <c r="F133" s="4" t="s">
        <v>4148</v>
      </c>
      <c r="G133" s="4" t="s">
        <v>4149</v>
      </c>
      <c r="H133" s="4" t="s">
        <v>4158</v>
      </c>
      <c r="I133" s="4" t="s">
        <v>4178</v>
      </c>
    </row>
    <row r="134" spans="1:9" x14ac:dyDescent="0.3">
      <c r="A134">
        <v>134</v>
      </c>
      <c r="B134" s="4" t="s">
        <v>4145</v>
      </c>
      <c r="C134" s="4" t="s">
        <v>4146</v>
      </c>
      <c r="D134" s="4" t="s">
        <v>2999</v>
      </c>
      <c r="E134" s="4" t="s">
        <v>4151</v>
      </c>
      <c r="F134" s="4" t="s">
        <v>4155</v>
      </c>
      <c r="G134" s="4" t="s">
        <v>4153</v>
      </c>
      <c r="H134" s="4" t="s">
        <v>4158</v>
      </c>
      <c r="I134" s="4" t="s">
        <v>4178</v>
      </c>
    </row>
    <row r="135" spans="1:9" x14ac:dyDescent="0.3">
      <c r="A135">
        <v>135</v>
      </c>
      <c r="B135" s="4" t="s">
        <v>4145</v>
      </c>
      <c r="C135" s="4" t="s">
        <v>4146</v>
      </c>
      <c r="D135" s="4" t="s">
        <v>3001</v>
      </c>
      <c r="E135" s="4" t="s">
        <v>4147</v>
      </c>
      <c r="F135" s="4" t="s">
        <v>4148</v>
      </c>
      <c r="G135" s="4" t="s">
        <v>4153</v>
      </c>
      <c r="H135" s="4" t="s">
        <v>4158</v>
      </c>
      <c r="I135" s="4" t="s">
        <v>4178</v>
      </c>
    </row>
    <row r="136" spans="1:9" x14ac:dyDescent="0.3">
      <c r="A136">
        <v>136</v>
      </c>
      <c r="B136" s="4" t="s">
        <v>4145</v>
      </c>
      <c r="C136" s="4" t="s">
        <v>4154</v>
      </c>
      <c r="D136" s="4" t="s">
        <v>2999</v>
      </c>
      <c r="E136" s="4" t="s">
        <v>4151</v>
      </c>
      <c r="F136" s="4" t="s">
        <v>4157</v>
      </c>
      <c r="G136" s="4" t="s">
        <v>4149</v>
      </c>
      <c r="H136" s="4" t="s">
        <v>4156</v>
      </c>
      <c r="I136" s="4" t="s">
        <v>4178</v>
      </c>
    </row>
    <row r="137" spans="1:9" x14ac:dyDescent="0.3">
      <c r="A137">
        <v>137</v>
      </c>
      <c r="B137" s="4" t="s">
        <v>4145</v>
      </c>
      <c r="C137" s="4" t="s">
        <v>4146</v>
      </c>
      <c r="D137" s="4" t="s">
        <v>3008</v>
      </c>
      <c r="E137" s="4" t="s">
        <v>4151</v>
      </c>
      <c r="F137" s="4" t="s">
        <v>4157</v>
      </c>
      <c r="G137" s="4" t="s">
        <v>4149</v>
      </c>
      <c r="H137" s="4" t="s">
        <v>4156</v>
      </c>
      <c r="I137" s="4" t="s">
        <v>4178</v>
      </c>
    </row>
    <row r="138" spans="1:9" x14ac:dyDescent="0.3">
      <c r="A138">
        <v>138</v>
      </c>
      <c r="B138" s="4" t="s">
        <v>4145</v>
      </c>
      <c r="C138" s="4" t="s">
        <v>4146</v>
      </c>
      <c r="D138" s="4" t="s">
        <v>2994</v>
      </c>
      <c r="E138" s="4" t="s">
        <v>4147</v>
      </c>
      <c r="F138" s="4" t="s">
        <v>4148</v>
      </c>
      <c r="G138" s="4" t="s">
        <v>4149</v>
      </c>
      <c r="H138" s="4" t="s">
        <v>4156</v>
      </c>
      <c r="I138" s="4" t="s">
        <v>824</v>
      </c>
    </row>
    <row r="139" spans="1:9" x14ac:dyDescent="0.3">
      <c r="A139">
        <v>139</v>
      </c>
      <c r="B139" s="4" t="s">
        <v>4145</v>
      </c>
      <c r="C139" s="4" t="s">
        <v>4154</v>
      </c>
      <c r="D139" s="4" t="s">
        <v>2999</v>
      </c>
      <c r="E139" s="4" t="s">
        <v>4151</v>
      </c>
      <c r="F139" s="4" t="s">
        <v>4155</v>
      </c>
      <c r="G139" s="4" t="s">
        <v>4153</v>
      </c>
      <c r="H139" s="4" t="s">
        <v>4150</v>
      </c>
      <c r="I139" s="4" t="s">
        <v>824</v>
      </c>
    </row>
    <row r="140" spans="1:9" x14ac:dyDescent="0.3">
      <c r="A140">
        <v>140</v>
      </c>
      <c r="B140" s="4" t="s">
        <v>4145</v>
      </c>
      <c r="C140" s="4" t="s">
        <v>4146</v>
      </c>
      <c r="D140" s="4" t="s">
        <v>3001</v>
      </c>
      <c r="E140" s="4" t="s">
        <v>4147</v>
      </c>
      <c r="F140" s="4" t="s">
        <v>4157</v>
      </c>
      <c r="G140" s="4" t="s">
        <v>4153</v>
      </c>
      <c r="H140" s="4" t="s">
        <v>4150</v>
      </c>
      <c r="I140" s="4" t="s">
        <v>824</v>
      </c>
    </row>
    <row r="141" spans="1:9" x14ac:dyDescent="0.3">
      <c r="A141">
        <v>141</v>
      </c>
      <c r="B141" s="4" t="s">
        <v>4145</v>
      </c>
      <c r="C141" s="4" t="s">
        <v>4146</v>
      </c>
      <c r="D141" s="4" t="s">
        <v>2999</v>
      </c>
      <c r="E141" s="4" t="s">
        <v>4151</v>
      </c>
      <c r="F141" s="4" t="s">
        <v>4148</v>
      </c>
      <c r="G141" s="4" t="s">
        <v>4153</v>
      </c>
      <c r="H141" s="4" t="s">
        <v>4158</v>
      </c>
      <c r="I141" s="4" t="s">
        <v>4178</v>
      </c>
    </row>
    <row r="142" spans="1:9" x14ac:dyDescent="0.3">
      <c r="A142">
        <v>142</v>
      </c>
      <c r="B142" s="4" t="s">
        <v>4145</v>
      </c>
      <c r="C142" s="4" t="s">
        <v>4146</v>
      </c>
      <c r="D142" s="4" t="s">
        <v>3001</v>
      </c>
      <c r="E142" s="4" t="s">
        <v>4147</v>
      </c>
      <c r="F142" s="4" t="s">
        <v>4155</v>
      </c>
      <c r="G142" s="4" t="s">
        <v>4153</v>
      </c>
      <c r="H142" s="4" t="s">
        <v>4158</v>
      </c>
      <c r="I142" s="4" t="s">
        <v>4178</v>
      </c>
    </row>
    <row r="143" spans="1:9" x14ac:dyDescent="0.3">
      <c r="A143">
        <v>143</v>
      </c>
      <c r="B143" s="4" t="s">
        <v>4145</v>
      </c>
      <c r="C143" s="4" t="s">
        <v>4154</v>
      </c>
      <c r="D143" s="4" t="s">
        <v>2999</v>
      </c>
      <c r="E143" s="4" t="s">
        <v>4151</v>
      </c>
      <c r="F143" s="4" t="s">
        <v>4155</v>
      </c>
      <c r="G143" s="4" t="s">
        <v>4149</v>
      </c>
      <c r="H143" s="4" t="s">
        <v>4158</v>
      </c>
      <c r="I143" s="4" t="s">
        <v>4178</v>
      </c>
    </row>
    <row r="144" spans="1:9" x14ac:dyDescent="0.3">
      <c r="A144">
        <v>144</v>
      </c>
      <c r="B144" s="4" t="s">
        <v>4145</v>
      </c>
      <c r="C144" s="4" t="s">
        <v>4146</v>
      </c>
      <c r="D144" s="4" t="s">
        <v>2999</v>
      </c>
      <c r="E144" s="4" t="s">
        <v>4151</v>
      </c>
      <c r="F144" s="4" t="s">
        <v>4148</v>
      </c>
      <c r="G144" s="4" t="s">
        <v>4153</v>
      </c>
      <c r="H144" s="4" t="s">
        <v>4158</v>
      </c>
      <c r="I144" s="4" t="s">
        <v>4178</v>
      </c>
    </row>
    <row r="145" spans="1:9" x14ac:dyDescent="0.3">
      <c r="A145">
        <v>145</v>
      </c>
      <c r="B145" s="4" t="s">
        <v>4145</v>
      </c>
      <c r="C145" s="4" t="s">
        <v>4146</v>
      </c>
      <c r="D145" s="4" t="s">
        <v>3001</v>
      </c>
      <c r="E145" s="4" t="s">
        <v>4147</v>
      </c>
      <c r="F145" s="4" t="s">
        <v>4148</v>
      </c>
      <c r="G145" s="4" t="s">
        <v>4153</v>
      </c>
      <c r="H145" s="4" t="s">
        <v>4158</v>
      </c>
      <c r="I145" s="4" t="s">
        <v>4178</v>
      </c>
    </row>
    <row r="146" spans="1:9" x14ac:dyDescent="0.3">
      <c r="A146">
        <v>146</v>
      </c>
      <c r="B146" s="4" t="s">
        <v>4145</v>
      </c>
      <c r="C146" s="4" t="s">
        <v>4146</v>
      </c>
      <c r="D146" s="4" t="s">
        <v>2999</v>
      </c>
      <c r="E146" s="4" t="s">
        <v>4151</v>
      </c>
      <c r="F146" s="4" t="s">
        <v>4155</v>
      </c>
      <c r="G146" s="4" t="s">
        <v>4153</v>
      </c>
      <c r="H146" s="4" t="s">
        <v>4158</v>
      </c>
      <c r="I146" s="4" t="s">
        <v>4178</v>
      </c>
    </row>
    <row r="147" spans="1:9" x14ac:dyDescent="0.3">
      <c r="A147">
        <v>147</v>
      </c>
      <c r="B147" s="4" t="s">
        <v>4145</v>
      </c>
      <c r="C147" s="4" t="s">
        <v>4146</v>
      </c>
      <c r="D147" s="4" t="s">
        <v>3001</v>
      </c>
      <c r="E147" s="4" t="s">
        <v>4147</v>
      </c>
      <c r="F147" s="4" t="s">
        <v>4155</v>
      </c>
      <c r="G147" s="4" t="s">
        <v>4153</v>
      </c>
      <c r="H147" s="4" t="s">
        <v>4158</v>
      </c>
      <c r="I147" s="4" t="s">
        <v>4178</v>
      </c>
    </row>
    <row r="148" spans="1:9" x14ac:dyDescent="0.3">
      <c r="A148">
        <v>148</v>
      </c>
      <c r="B148" s="4" t="s">
        <v>4145</v>
      </c>
      <c r="C148" s="4" t="s">
        <v>4154</v>
      </c>
      <c r="D148" s="4" t="s">
        <v>2999</v>
      </c>
      <c r="E148" s="4" t="s">
        <v>4151</v>
      </c>
      <c r="F148" s="4" t="s">
        <v>4148</v>
      </c>
      <c r="G148" s="4" t="s">
        <v>4149</v>
      </c>
      <c r="H148" s="4" t="s">
        <v>4156</v>
      </c>
      <c r="I148" s="4" t="s">
        <v>824</v>
      </c>
    </row>
    <row r="149" spans="1:9" x14ac:dyDescent="0.3">
      <c r="A149">
        <v>149</v>
      </c>
      <c r="B149" s="4" t="s">
        <v>4145</v>
      </c>
      <c r="C149" s="4" t="s">
        <v>4154</v>
      </c>
      <c r="D149" s="4" t="s">
        <v>2999</v>
      </c>
      <c r="E149" s="4" t="s">
        <v>4151</v>
      </c>
      <c r="F149" s="4" t="s">
        <v>4155</v>
      </c>
      <c r="G149" s="4" t="s">
        <v>4153</v>
      </c>
      <c r="H149" s="4" t="s">
        <v>4158</v>
      </c>
      <c r="I149" s="4" t="s">
        <v>824</v>
      </c>
    </row>
    <row r="150" spans="1:9" x14ac:dyDescent="0.3">
      <c r="A150">
        <v>150</v>
      </c>
      <c r="B150" s="4" t="s">
        <v>4145</v>
      </c>
      <c r="C150" s="4" t="s">
        <v>4146</v>
      </c>
      <c r="D150" s="4" t="s">
        <v>3001</v>
      </c>
      <c r="E150" s="4" t="s">
        <v>4147</v>
      </c>
      <c r="F150" s="4" t="s">
        <v>4155</v>
      </c>
      <c r="G150" s="4" t="s">
        <v>4153</v>
      </c>
      <c r="H150" s="4" t="s">
        <v>4158</v>
      </c>
      <c r="I150" s="4" t="s">
        <v>824</v>
      </c>
    </row>
    <row r="151" spans="1:9" x14ac:dyDescent="0.3">
      <c r="A151">
        <v>151</v>
      </c>
      <c r="B151" s="4" t="s">
        <v>4145</v>
      </c>
      <c r="C151" s="4" t="s">
        <v>4154</v>
      </c>
      <c r="D151" s="4" t="s">
        <v>2999</v>
      </c>
      <c r="E151" s="4" t="s">
        <v>4151</v>
      </c>
      <c r="F151" s="4" t="s">
        <v>4155</v>
      </c>
      <c r="G151" s="4" t="s">
        <v>4149</v>
      </c>
      <c r="H151" s="4" t="s">
        <v>4156</v>
      </c>
      <c r="I151" s="4" t="s">
        <v>824</v>
      </c>
    </row>
    <row r="152" spans="1:9" x14ac:dyDescent="0.3">
      <c r="A152">
        <v>152</v>
      </c>
      <c r="B152" s="4" t="s">
        <v>4145</v>
      </c>
      <c r="C152" s="4" t="s">
        <v>4146</v>
      </c>
      <c r="D152" s="4" t="s">
        <v>2999</v>
      </c>
      <c r="E152" s="4" t="s">
        <v>4151</v>
      </c>
      <c r="F152" s="4" t="s">
        <v>4148</v>
      </c>
      <c r="G152" s="4" t="s">
        <v>4149</v>
      </c>
      <c r="H152" s="4" t="s">
        <v>4158</v>
      </c>
      <c r="I152" s="4" t="s">
        <v>4178</v>
      </c>
    </row>
    <row r="153" spans="1:9" x14ac:dyDescent="0.3">
      <c r="A153">
        <v>153</v>
      </c>
      <c r="B153" s="4" t="s">
        <v>4145</v>
      </c>
      <c r="C153" s="4" t="s">
        <v>4146</v>
      </c>
      <c r="D153" s="4" t="s">
        <v>2999</v>
      </c>
      <c r="E153" s="4" t="s">
        <v>4151</v>
      </c>
      <c r="F153" s="4" t="s">
        <v>4148</v>
      </c>
      <c r="G153" s="4" t="s">
        <v>4149</v>
      </c>
      <c r="H153" s="4" t="s">
        <v>4156</v>
      </c>
      <c r="I153" s="4" t="s">
        <v>824</v>
      </c>
    </row>
    <row r="154" spans="1:9" x14ac:dyDescent="0.3">
      <c r="A154">
        <v>154</v>
      </c>
      <c r="B154" s="4" t="s">
        <v>4145</v>
      </c>
      <c r="C154" s="4" t="s">
        <v>4146</v>
      </c>
      <c r="D154" s="4" t="s">
        <v>2994</v>
      </c>
      <c r="E154" s="4" t="s">
        <v>4147</v>
      </c>
      <c r="F154" s="4" t="s">
        <v>4148</v>
      </c>
      <c r="G154" s="4" t="s">
        <v>4149</v>
      </c>
      <c r="H154" s="4" t="s">
        <v>4158</v>
      </c>
      <c r="I154" s="4" t="s">
        <v>4178</v>
      </c>
    </row>
    <row r="155" spans="1:9" x14ac:dyDescent="0.3">
      <c r="A155">
        <v>155</v>
      </c>
      <c r="B155" s="4" t="s">
        <v>4145</v>
      </c>
      <c r="C155" s="4" t="s">
        <v>4154</v>
      </c>
      <c r="D155" s="4" t="s">
        <v>2999</v>
      </c>
      <c r="E155" s="4" t="s">
        <v>4151</v>
      </c>
      <c r="F155" s="4" t="s">
        <v>4157</v>
      </c>
      <c r="G155" s="4" t="s">
        <v>4153</v>
      </c>
      <c r="H155" s="4" t="s">
        <v>4158</v>
      </c>
      <c r="I155" s="4" t="s">
        <v>824</v>
      </c>
    </row>
    <row r="156" spans="1:9" x14ac:dyDescent="0.3">
      <c r="A156">
        <v>156</v>
      </c>
      <c r="B156" s="4" t="s">
        <v>4145</v>
      </c>
      <c r="C156" s="4" t="s">
        <v>4146</v>
      </c>
      <c r="D156" s="4" t="s">
        <v>3001</v>
      </c>
      <c r="E156" s="4" t="s">
        <v>4147</v>
      </c>
      <c r="F156" s="4" t="s">
        <v>4157</v>
      </c>
      <c r="G156" s="4" t="s">
        <v>4153</v>
      </c>
      <c r="H156" s="4" t="s">
        <v>4158</v>
      </c>
      <c r="I156" s="4" t="s">
        <v>824</v>
      </c>
    </row>
    <row r="157" spans="1:9" x14ac:dyDescent="0.3">
      <c r="A157">
        <v>157</v>
      </c>
      <c r="B157" s="4" t="s">
        <v>4145</v>
      </c>
      <c r="C157" s="4" t="s">
        <v>4154</v>
      </c>
      <c r="D157" s="4" t="s">
        <v>2999</v>
      </c>
      <c r="E157" s="4" t="s">
        <v>4151</v>
      </c>
      <c r="F157" s="4" t="s">
        <v>4155</v>
      </c>
      <c r="G157" s="4" t="s">
        <v>4149</v>
      </c>
      <c r="H157" s="4" t="s">
        <v>4156</v>
      </c>
      <c r="I157" s="4" t="s">
        <v>824</v>
      </c>
    </row>
    <row r="158" spans="1:9" x14ac:dyDescent="0.3">
      <c r="A158">
        <v>158</v>
      </c>
      <c r="B158" s="4" t="s">
        <v>4145</v>
      </c>
      <c r="C158" s="4" t="s">
        <v>4154</v>
      </c>
      <c r="D158" s="4" t="s">
        <v>2999</v>
      </c>
      <c r="E158" s="4" t="s">
        <v>4151</v>
      </c>
      <c r="F158" s="4" t="s">
        <v>4148</v>
      </c>
      <c r="G158" s="4" t="s">
        <v>4149</v>
      </c>
      <c r="H158" s="4" t="s">
        <v>4158</v>
      </c>
      <c r="I158" s="4" t="s">
        <v>824</v>
      </c>
    </row>
    <row r="159" spans="1:9" x14ac:dyDescent="0.3">
      <c r="A159">
        <v>159</v>
      </c>
      <c r="B159" s="4" t="s">
        <v>4145</v>
      </c>
      <c r="C159" s="4" t="s">
        <v>4154</v>
      </c>
      <c r="D159" s="4" t="s">
        <v>2999</v>
      </c>
      <c r="E159" s="4" t="s">
        <v>4151</v>
      </c>
      <c r="F159" s="4" t="s">
        <v>4157</v>
      </c>
      <c r="G159" s="4" t="s">
        <v>4149</v>
      </c>
      <c r="H159" s="4" t="s">
        <v>4156</v>
      </c>
      <c r="I159" s="4" t="s">
        <v>824</v>
      </c>
    </row>
    <row r="160" spans="1:9" x14ac:dyDescent="0.3">
      <c r="A160">
        <v>160</v>
      </c>
      <c r="B160" s="4" t="s">
        <v>4145</v>
      </c>
      <c r="C160" s="4" t="s">
        <v>4146</v>
      </c>
      <c r="D160" s="4" t="s">
        <v>2994</v>
      </c>
      <c r="E160" s="4" t="s">
        <v>4147</v>
      </c>
      <c r="F160" s="4" t="s">
        <v>4159</v>
      </c>
      <c r="G160" s="4" t="s">
        <v>4153</v>
      </c>
      <c r="H160" s="4" t="s">
        <v>4158</v>
      </c>
      <c r="I160" s="4" t="s">
        <v>4178</v>
      </c>
    </row>
    <row r="161" spans="1:9" x14ac:dyDescent="0.3">
      <c r="A161">
        <v>161</v>
      </c>
      <c r="B161" s="4" t="s">
        <v>4145</v>
      </c>
      <c r="C161" s="4" t="s">
        <v>4146</v>
      </c>
      <c r="D161" s="4" t="s">
        <v>3001</v>
      </c>
      <c r="E161" s="4" t="s">
        <v>4147</v>
      </c>
      <c r="F161" s="4" t="s">
        <v>4155</v>
      </c>
      <c r="G161" s="4" t="s">
        <v>4153</v>
      </c>
      <c r="H161" s="4" t="s">
        <v>4158</v>
      </c>
      <c r="I161" s="4" t="s">
        <v>4178</v>
      </c>
    </row>
    <row r="162" spans="1:9" x14ac:dyDescent="0.3">
      <c r="A162">
        <v>162</v>
      </c>
      <c r="B162" s="4" t="s">
        <v>4145</v>
      </c>
      <c r="C162" s="4" t="s">
        <v>4146</v>
      </c>
      <c r="D162" s="4" t="s">
        <v>3001</v>
      </c>
      <c r="E162" s="4" t="s">
        <v>4147</v>
      </c>
      <c r="F162" s="4" t="s">
        <v>4157</v>
      </c>
      <c r="G162" s="4" t="s">
        <v>4153</v>
      </c>
      <c r="H162" s="4" t="s">
        <v>4158</v>
      </c>
      <c r="I162" s="4" t="s">
        <v>824</v>
      </c>
    </row>
    <row r="163" spans="1:9" x14ac:dyDescent="0.3">
      <c r="A163">
        <v>163</v>
      </c>
      <c r="B163" s="4" t="s">
        <v>4145</v>
      </c>
      <c r="C163" s="4" t="s">
        <v>4154</v>
      </c>
      <c r="D163" s="4" t="s">
        <v>2999</v>
      </c>
      <c r="E163" s="4" t="s">
        <v>4151</v>
      </c>
      <c r="F163" s="4" t="s">
        <v>4155</v>
      </c>
      <c r="G163" s="4" t="s">
        <v>4153</v>
      </c>
      <c r="H163" s="4" t="s">
        <v>4158</v>
      </c>
      <c r="I163" s="4" t="s">
        <v>824</v>
      </c>
    </row>
    <row r="164" spans="1:9" x14ac:dyDescent="0.3">
      <c r="A164">
        <v>164</v>
      </c>
      <c r="B164" s="4" t="s">
        <v>4145</v>
      </c>
      <c r="C164" s="4" t="s">
        <v>4146</v>
      </c>
      <c r="D164" s="4" t="s">
        <v>3001</v>
      </c>
      <c r="E164" s="4" t="s">
        <v>4147</v>
      </c>
      <c r="F164" s="4" t="s">
        <v>4155</v>
      </c>
      <c r="G164" s="4" t="s">
        <v>4153</v>
      </c>
      <c r="H164" s="4" t="s">
        <v>4158</v>
      </c>
      <c r="I164" s="4" t="s">
        <v>824</v>
      </c>
    </row>
    <row r="165" spans="1:9" x14ac:dyDescent="0.3">
      <c r="A165">
        <v>165</v>
      </c>
      <c r="B165" s="4" t="s">
        <v>4145</v>
      </c>
      <c r="C165" s="4" t="s">
        <v>4146</v>
      </c>
      <c r="D165" s="4" t="s">
        <v>2999</v>
      </c>
      <c r="E165" s="4" t="s">
        <v>4151</v>
      </c>
      <c r="F165" s="4" t="s">
        <v>4155</v>
      </c>
      <c r="G165" s="4" t="s">
        <v>4149</v>
      </c>
      <c r="H165" s="4" t="s">
        <v>4156</v>
      </c>
      <c r="I165" s="4" t="s">
        <v>4178</v>
      </c>
    </row>
    <row r="166" spans="1:9" x14ac:dyDescent="0.3">
      <c r="A166">
        <v>166</v>
      </c>
      <c r="B166" s="4" t="s">
        <v>4145</v>
      </c>
      <c r="C166" s="4" t="s">
        <v>4146</v>
      </c>
      <c r="D166" s="4" t="s">
        <v>2999</v>
      </c>
      <c r="E166" s="4" t="s">
        <v>4151</v>
      </c>
      <c r="F166" s="4" t="s">
        <v>4155</v>
      </c>
      <c r="G166" s="4" t="s">
        <v>4153</v>
      </c>
      <c r="H166" s="4" t="s">
        <v>4158</v>
      </c>
      <c r="I166" s="4" t="s">
        <v>824</v>
      </c>
    </row>
    <row r="167" spans="1:9" x14ac:dyDescent="0.3">
      <c r="A167">
        <v>167</v>
      </c>
      <c r="B167" s="4" t="s">
        <v>4145</v>
      </c>
      <c r="C167" s="4" t="s">
        <v>4154</v>
      </c>
      <c r="D167" s="4" t="s">
        <v>2999</v>
      </c>
      <c r="E167" s="4" t="s">
        <v>4151</v>
      </c>
      <c r="F167" s="4" t="s">
        <v>4148</v>
      </c>
      <c r="G167" s="4" t="s">
        <v>4149</v>
      </c>
      <c r="H167" s="4" t="s">
        <v>4156</v>
      </c>
      <c r="I167" s="4" t="s">
        <v>4178</v>
      </c>
    </row>
    <row r="168" spans="1:9" x14ac:dyDescent="0.3">
      <c r="A168">
        <v>168</v>
      </c>
      <c r="B168" s="4" t="s">
        <v>4145</v>
      </c>
      <c r="C168" s="4" t="s">
        <v>4146</v>
      </c>
      <c r="D168" s="4" t="s">
        <v>3001</v>
      </c>
      <c r="E168" s="4" t="s">
        <v>4147</v>
      </c>
      <c r="F168" s="4" t="s">
        <v>4155</v>
      </c>
      <c r="G168" s="4" t="s">
        <v>4153</v>
      </c>
      <c r="H168" s="4" t="s">
        <v>4158</v>
      </c>
      <c r="I168" s="4" t="s">
        <v>824</v>
      </c>
    </row>
    <row r="169" spans="1:9" x14ac:dyDescent="0.3">
      <c r="A169">
        <v>169</v>
      </c>
      <c r="B169" s="4" t="s">
        <v>4145</v>
      </c>
      <c r="C169" s="4" t="s">
        <v>4146</v>
      </c>
      <c r="D169" s="4" t="s">
        <v>2994</v>
      </c>
      <c r="E169" s="4" t="s">
        <v>4147</v>
      </c>
      <c r="F169" s="4" t="s">
        <v>4155</v>
      </c>
      <c r="G169" s="4" t="s">
        <v>4149</v>
      </c>
      <c r="H169" s="4" t="s">
        <v>4158</v>
      </c>
      <c r="I169" s="4" t="s">
        <v>4160</v>
      </c>
    </row>
    <row r="170" spans="1:9" x14ac:dyDescent="0.3">
      <c r="A170">
        <v>170</v>
      </c>
      <c r="B170" s="4" t="s">
        <v>4145</v>
      </c>
      <c r="C170" s="4" t="s">
        <v>4154</v>
      </c>
      <c r="D170" s="4" t="s">
        <v>2994</v>
      </c>
      <c r="E170" s="4" t="s">
        <v>4147</v>
      </c>
      <c r="F170" s="4" t="s">
        <v>4155</v>
      </c>
      <c r="G170" s="4" t="s">
        <v>4149</v>
      </c>
      <c r="H170" s="4" t="s">
        <v>4156</v>
      </c>
      <c r="I170" s="4" t="s">
        <v>4178</v>
      </c>
    </row>
    <row r="171" spans="1:9" x14ac:dyDescent="0.3">
      <c r="A171">
        <v>171</v>
      </c>
      <c r="B171" s="4" t="s">
        <v>4145</v>
      </c>
      <c r="C171" s="4" t="s">
        <v>4146</v>
      </c>
      <c r="D171" s="4" t="s">
        <v>2999</v>
      </c>
      <c r="E171" s="4" t="s">
        <v>4151</v>
      </c>
      <c r="F171" s="4" t="s">
        <v>4155</v>
      </c>
      <c r="G171" s="4" t="s">
        <v>4149</v>
      </c>
      <c r="H171" s="4" t="s">
        <v>4156</v>
      </c>
      <c r="I171" s="4" t="s">
        <v>824</v>
      </c>
    </row>
    <row r="172" spans="1:9" x14ac:dyDescent="0.3">
      <c r="A172">
        <v>172</v>
      </c>
      <c r="B172" s="4" t="s">
        <v>4145</v>
      </c>
      <c r="C172" s="4" t="s">
        <v>4154</v>
      </c>
      <c r="D172" s="4" t="s">
        <v>2999</v>
      </c>
      <c r="E172" s="4" t="s">
        <v>4151</v>
      </c>
      <c r="F172" s="4" t="s">
        <v>4155</v>
      </c>
      <c r="G172" s="4" t="s">
        <v>4149</v>
      </c>
      <c r="H172" s="4" t="s">
        <v>4156</v>
      </c>
      <c r="I172" s="4" t="s">
        <v>824</v>
      </c>
    </row>
    <row r="173" spans="1:9" x14ac:dyDescent="0.3">
      <c r="A173">
        <v>173</v>
      </c>
      <c r="B173" s="4" t="s">
        <v>4145</v>
      </c>
      <c r="C173" s="4" t="s">
        <v>4154</v>
      </c>
      <c r="D173" s="4" t="s">
        <v>2999</v>
      </c>
      <c r="E173" s="4" t="s">
        <v>4151</v>
      </c>
      <c r="F173" s="4" t="s">
        <v>4155</v>
      </c>
      <c r="G173" s="4" t="s">
        <v>4149</v>
      </c>
      <c r="H173" s="4" t="s">
        <v>4156</v>
      </c>
      <c r="I173" s="4" t="s">
        <v>824</v>
      </c>
    </row>
    <row r="174" spans="1:9" x14ac:dyDescent="0.3">
      <c r="A174">
        <v>174</v>
      </c>
      <c r="B174" s="4" t="s">
        <v>4145</v>
      </c>
      <c r="C174" s="4" t="s">
        <v>4154</v>
      </c>
      <c r="D174" s="4" t="s">
        <v>2999</v>
      </c>
      <c r="E174" s="4" t="s">
        <v>4151</v>
      </c>
      <c r="F174" s="4" t="s">
        <v>4155</v>
      </c>
      <c r="G174" s="4" t="s">
        <v>4149</v>
      </c>
      <c r="H174" s="4" t="s">
        <v>4150</v>
      </c>
      <c r="I174" s="4" t="s">
        <v>4178</v>
      </c>
    </row>
    <row r="175" spans="1:9" x14ac:dyDescent="0.3">
      <c r="A175">
        <v>175</v>
      </c>
      <c r="B175" s="4" t="s">
        <v>4145</v>
      </c>
      <c r="C175" s="4" t="s">
        <v>4154</v>
      </c>
      <c r="D175" s="4" t="s">
        <v>2999</v>
      </c>
      <c r="E175" s="4" t="s">
        <v>4151</v>
      </c>
      <c r="F175" s="4" t="s">
        <v>4157</v>
      </c>
      <c r="G175" s="4" t="s">
        <v>4149</v>
      </c>
      <c r="H175" s="4" t="s">
        <v>4156</v>
      </c>
      <c r="I175" s="4" t="s">
        <v>4178</v>
      </c>
    </row>
    <row r="176" spans="1:9" x14ac:dyDescent="0.3">
      <c r="A176">
        <v>176</v>
      </c>
      <c r="B176" s="4" t="s">
        <v>4145</v>
      </c>
      <c r="C176" s="4" t="s">
        <v>4154</v>
      </c>
      <c r="D176" s="4" t="s">
        <v>2999</v>
      </c>
      <c r="E176" s="4" t="s">
        <v>4151</v>
      </c>
      <c r="F176" s="4" t="s">
        <v>4155</v>
      </c>
      <c r="G176" s="4" t="s">
        <v>4153</v>
      </c>
      <c r="H176" s="4" t="s">
        <v>4158</v>
      </c>
      <c r="I176" s="4" t="s">
        <v>824</v>
      </c>
    </row>
    <row r="177" spans="1:9" x14ac:dyDescent="0.3">
      <c r="A177">
        <v>177</v>
      </c>
      <c r="B177" s="4" t="s">
        <v>4145</v>
      </c>
      <c r="C177" s="4" t="s">
        <v>4146</v>
      </c>
      <c r="D177" s="4" t="s">
        <v>3001</v>
      </c>
      <c r="E177" s="4" t="s">
        <v>4147</v>
      </c>
      <c r="F177" s="4" t="s">
        <v>4148</v>
      </c>
      <c r="G177" s="4" t="s">
        <v>4153</v>
      </c>
      <c r="H177" s="4" t="s">
        <v>4158</v>
      </c>
      <c r="I177" s="4" t="s">
        <v>824</v>
      </c>
    </row>
    <row r="178" spans="1:9" x14ac:dyDescent="0.3">
      <c r="A178">
        <v>178</v>
      </c>
      <c r="B178" s="4" t="s">
        <v>4145</v>
      </c>
      <c r="C178" s="4" t="s">
        <v>4146</v>
      </c>
      <c r="D178" s="4" t="s">
        <v>2999</v>
      </c>
      <c r="E178" s="4" t="s">
        <v>4151</v>
      </c>
      <c r="F178" s="4" t="s">
        <v>4155</v>
      </c>
      <c r="G178" s="4" t="s">
        <v>4153</v>
      </c>
      <c r="H178" s="4" t="s">
        <v>4158</v>
      </c>
      <c r="I178" s="4" t="s">
        <v>824</v>
      </c>
    </row>
    <row r="179" spans="1:9" x14ac:dyDescent="0.3">
      <c r="A179">
        <v>179</v>
      </c>
      <c r="B179" s="4" t="s">
        <v>4145</v>
      </c>
      <c r="C179" s="4" t="s">
        <v>4146</v>
      </c>
      <c r="D179" s="4" t="s">
        <v>3001</v>
      </c>
      <c r="E179" s="4" t="s">
        <v>4147</v>
      </c>
      <c r="F179" s="4" t="s">
        <v>4155</v>
      </c>
      <c r="G179" s="4" t="s">
        <v>4153</v>
      </c>
      <c r="H179" s="4" t="s">
        <v>4158</v>
      </c>
      <c r="I179" s="4" t="s">
        <v>824</v>
      </c>
    </row>
    <row r="180" spans="1:9" x14ac:dyDescent="0.3">
      <c r="A180">
        <v>180</v>
      </c>
      <c r="B180" s="4" t="s">
        <v>4145</v>
      </c>
      <c r="C180" s="4" t="s">
        <v>4154</v>
      </c>
      <c r="D180" s="4" t="s">
        <v>2999</v>
      </c>
      <c r="E180" s="4" t="s">
        <v>4151</v>
      </c>
      <c r="F180" s="4" t="s">
        <v>4148</v>
      </c>
      <c r="G180" s="4" t="s">
        <v>4149</v>
      </c>
      <c r="H180" s="4" t="s">
        <v>4156</v>
      </c>
      <c r="I180" s="4" t="s">
        <v>824</v>
      </c>
    </row>
    <row r="181" spans="1:9" x14ac:dyDescent="0.3">
      <c r="A181">
        <v>181</v>
      </c>
      <c r="B181" s="4" t="s">
        <v>4145</v>
      </c>
      <c r="C181" s="4" t="s">
        <v>4146</v>
      </c>
      <c r="D181" s="4" t="s">
        <v>2994</v>
      </c>
      <c r="E181" s="4" t="s">
        <v>4147</v>
      </c>
      <c r="F181" s="4" t="s">
        <v>4155</v>
      </c>
      <c r="G181" s="4" t="s">
        <v>4149</v>
      </c>
      <c r="H181" s="4" t="s">
        <v>4150</v>
      </c>
      <c r="I181" s="4" t="s">
        <v>824</v>
      </c>
    </row>
    <row r="182" spans="1:9" x14ac:dyDescent="0.3">
      <c r="A182">
        <v>182</v>
      </c>
      <c r="B182" s="4" t="s">
        <v>4145</v>
      </c>
      <c r="C182" s="4" t="s">
        <v>4146</v>
      </c>
      <c r="D182" s="4" t="s">
        <v>3040</v>
      </c>
      <c r="E182" s="4" t="s">
        <v>4147</v>
      </c>
      <c r="F182" s="4" t="s">
        <v>4155</v>
      </c>
      <c r="G182" s="4" t="s">
        <v>4149</v>
      </c>
      <c r="H182" s="4" t="s">
        <v>4156</v>
      </c>
      <c r="I182" s="4" t="s">
        <v>824</v>
      </c>
    </row>
    <row r="183" spans="1:9" x14ac:dyDescent="0.3">
      <c r="A183">
        <v>183</v>
      </c>
      <c r="B183" s="4" t="s">
        <v>4145</v>
      </c>
      <c r="C183" s="4" t="s">
        <v>4146</v>
      </c>
      <c r="D183" s="4" t="s">
        <v>2994</v>
      </c>
      <c r="E183" s="4" t="s">
        <v>4147</v>
      </c>
      <c r="F183" s="4" t="s">
        <v>4148</v>
      </c>
      <c r="G183" s="4" t="s">
        <v>4149</v>
      </c>
      <c r="H183" s="4" t="s">
        <v>4150</v>
      </c>
      <c r="I183" s="4" t="s">
        <v>4178</v>
      </c>
    </row>
    <row r="184" spans="1:9" x14ac:dyDescent="0.3">
      <c r="A184">
        <v>184</v>
      </c>
      <c r="B184" s="4" t="s">
        <v>4145</v>
      </c>
      <c r="C184" s="4" t="s">
        <v>4146</v>
      </c>
      <c r="D184" s="4" t="s">
        <v>2999</v>
      </c>
      <c r="E184" s="4" t="s">
        <v>4151</v>
      </c>
      <c r="F184" s="4" t="s">
        <v>4155</v>
      </c>
      <c r="G184" s="4" t="s">
        <v>4149</v>
      </c>
      <c r="H184" s="4" t="s">
        <v>4150</v>
      </c>
      <c r="I184" s="4" t="s">
        <v>4178</v>
      </c>
    </row>
    <row r="185" spans="1:9" x14ac:dyDescent="0.3">
      <c r="A185">
        <v>185</v>
      </c>
      <c r="B185" s="4" t="s">
        <v>4145</v>
      </c>
      <c r="C185" s="4" t="s">
        <v>4154</v>
      </c>
      <c r="D185" s="4" t="s">
        <v>2999</v>
      </c>
      <c r="E185" s="4" t="s">
        <v>4151</v>
      </c>
      <c r="F185" s="4" t="s">
        <v>4148</v>
      </c>
      <c r="G185" s="4" t="s">
        <v>4149</v>
      </c>
      <c r="H185" s="4" t="s">
        <v>4156</v>
      </c>
      <c r="I185" s="4" t="s">
        <v>4178</v>
      </c>
    </row>
    <row r="186" spans="1:9" x14ac:dyDescent="0.3">
      <c r="A186">
        <v>186</v>
      </c>
      <c r="B186" s="4" t="s">
        <v>4145</v>
      </c>
      <c r="C186" s="4" t="s">
        <v>4154</v>
      </c>
      <c r="D186" s="4" t="s">
        <v>2999</v>
      </c>
      <c r="E186" s="4" t="s">
        <v>4151</v>
      </c>
      <c r="F186" s="4" t="s">
        <v>4155</v>
      </c>
      <c r="G186" s="4" t="s">
        <v>4149</v>
      </c>
      <c r="H186" s="4" t="s">
        <v>4156</v>
      </c>
      <c r="I186" s="4" t="s">
        <v>824</v>
      </c>
    </row>
    <row r="187" spans="1:9" x14ac:dyDescent="0.3">
      <c r="A187">
        <v>187</v>
      </c>
      <c r="B187" s="4" t="s">
        <v>4145</v>
      </c>
      <c r="C187" s="4" t="s">
        <v>4146</v>
      </c>
      <c r="D187" s="4" t="s">
        <v>3001</v>
      </c>
      <c r="E187" s="4" t="s">
        <v>4147</v>
      </c>
      <c r="F187" s="4" t="s">
        <v>4157</v>
      </c>
      <c r="G187" s="4" t="s">
        <v>4149</v>
      </c>
      <c r="H187" s="4" t="s">
        <v>4156</v>
      </c>
      <c r="I187" s="4" t="s">
        <v>4178</v>
      </c>
    </row>
    <row r="188" spans="1:9" x14ac:dyDescent="0.3">
      <c r="A188">
        <v>188</v>
      </c>
      <c r="B188" s="4" t="s">
        <v>4145</v>
      </c>
      <c r="C188" s="4" t="s">
        <v>4146</v>
      </c>
      <c r="D188" s="4" t="s">
        <v>2994</v>
      </c>
      <c r="E188" s="4" t="s">
        <v>4147</v>
      </c>
      <c r="F188" s="4" t="s">
        <v>4159</v>
      </c>
      <c r="G188" s="4" t="s">
        <v>4153</v>
      </c>
      <c r="H188" s="4" t="s">
        <v>4156</v>
      </c>
      <c r="I188" s="4" t="s">
        <v>824</v>
      </c>
    </row>
    <row r="189" spans="1:9" x14ac:dyDescent="0.3">
      <c r="A189">
        <v>189</v>
      </c>
      <c r="B189" s="4" t="s">
        <v>4145</v>
      </c>
      <c r="C189" s="4" t="s">
        <v>4146</v>
      </c>
      <c r="D189" s="4" t="s">
        <v>3001</v>
      </c>
      <c r="E189" s="4" t="s">
        <v>4147</v>
      </c>
      <c r="F189" s="4" t="s">
        <v>4157</v>
      </c>
      <c r="G189" s="4" t="s">
        <v>4153</v>
      </c>
      <c r="H189" s="4" t="s">
        <v>4156</v>
      </c>
      <c r="I189" s="4" t="s">
        <v>824</v>
      </c>
    </row>
    <row r="190" spans="1:9" x14ac:dyDescent="0.3">
      <c r="A190">
        <v>190</v>
      </c>
      <c r="B190" s="4" t="s">
        <v>4145</v>
      </c>
      <c r="C190" s="4" t="s">
        <v>4154</v>
      </c>
      <c r="D190" s="4" t="s">
        <v>2999</v>
      </c>
      <c r="E190" s="4" t="s">
        <v>4151</v>
      </c>
      <c r="F190" s="4" t="s">
        <v>4148</v>
      </c>
      <c r="G190" s="4" t="s">
        <v>4149</v>
      </c>
      <c r="H190" s="4" t="s">
        <v>4156</v>
      </c>
      <c r="I190" s="4" t="s">
        <v>824</v>
      </c>
    </row>
    <row r="191" spans="1:9" x14ac:dyDescent="0.3">
      <c r="A191">
        <v>191</v>
      </c>
      <c r="B191" s="4" t="s">
        <v>4145</v>
      </c>
      <c r="C191" s="4" t="s">
        <v>4146</v>
      </c>
      <c r="D191" s="4" t="s">
        <v>2994</v>
      </c>
      <c r="E191" s="4" t="s">
        <v>4147</v>
      </c>
      <c r="F191" s="4" t="s">
        <v>4148</v>
      </c>
      <c r="G191" s="4" t="s">
        <v>4149</v>
      </c>
      <c r="H191" s="4" t="s">
        <v>4158</v>
      </c>
      <c r="I191" s="4" t="s">
        <v>824</v>
      </c>
    </row>
    <row r="192" spans="1:9" x14ac:dyDescent="0.3">
      <c r="A192">
        <v>192</v>
      </c>
      <c r="B192" s="4" t="s">
        <v>4145</v>
      </c>
      <c r="C192" s="4" t="s">
        <v>4154</v>
      </c>
      <c r="D192" s="4" t="s">
        <v>2999</v>
      </c>
      <c r="E192" s="4" t="s">
        <v>4151</v>
      </c>
      <c r="F192" s="4" t="s">
        <v>4148</v>
      </c>
      <c r="G192" s="4" t="s">
        <v>4149</v>
      </c>
      <c r="H192" s="4" t="s">
        <v>4156</v>
      </c>
      <c r="I192" s="4" t="s">
        <v>824</v>
      </c>
    </row>
    <row r="193" spans="1:9" x14ac:dyDescent="0.3">
      <c r="A193">
        <v>193</v>
      </c>
      <c r="B193" s="4" t="s">
        <v>4145</v>
      </c>
      <c r="C193" s="4" t="s">
        <v>4146</v>
      </c>
      <c r="D193" s="4" t="s">
        <v>2994</v>
      </c>
      <c r="E193" s="4" t="s">
        <v>4147</v>
      </c>
      <c r="F193" s="4" t="s">
        <v>4157</v>
      </c>
      <c r="G193" s="4" t="s">
        <v>4149</v>
      </c>
      <c r="H193" s="4" t="s">
        <v>4150</v>
      </c>
      <c r="I193" s="4" t="s">
        <v>4178</v>
      </c>
    </row>
    <row r="194" spans="1:9" x14ac:dyDescent="0.3">
      <c r="A194">
        <v>194</v>
      </c>
      <c r="B194" s="4" t="s">
        <v>4145</v>
      </c>
      <c r="C194" s="4" t="s">
        <v>4146</v>
      </c>
      <c r="D194" s="4" t="s">
        <v>2994</v>
      </c>
      <c r="E194" s="4" t="s">
        <v>4147</v>
      </c>
      <c r="F194" s="4" t="s">
        <v>4159</v>
      </c>
      <c r="G194" s="4" t="s">
        <v>4153</v>
      </c>
      <c r="H194" s="4" t="s">
        <v>4150</v>
      </c>
      <c r="I194" s="4" t="s">
        <v>824</v>
      </c>
    </row>
    <row r="195" spans="1:9" x14ac:dyDescent="0.3">
      <c r="A195">
        <v>195</v>
      </c>
      <c r="B195" s="4" t="s">
        <v>4145</v>
      </c>
      <c r="C195" s="4" t="s">
        <v>4154</v>
      </c>
      <c r="D195" s="4" t="s">
        <v>2999</v>
      </c>
      <c r="E195" s="4" t="s">
        <v>4151</v>
      </c>
      <c r="F195" s="4" t="s">
        <v>4148</v>
      </c>
      <c r="G195" s="4" t="s">
        <v>4149</v>
      </c>
      <c r="H195" s="4" t="s">
        <v>4156</v>
      </c>
      <c r="I195" s="4" t="s">
        <v>824</v>
      </c>
    </row>
    <row r="196" spans="1:9" x14ac:dyDescent="0.3">
      <c r="A196">
        <v>196</v>
      </c>
      <c r="B196" s="4" t="s">
        <v>4145</v>
      </c>
      <c r="C196" s="4" t="s">
        <v>4146</v>
      </c>
      <c r="D196" s="4" t="s">
        <v>2994</v>
      </c>
      <c r="E196" s="4" t="s">
        <v>4147</v>
      </c>
      <c r="F196" s="4" t="s">
        <v>4159</v>
      </c>
      <c r="G196" s="4" t="s">
        <v>4149</v>
      </c>
      <c r="H196" s="4" t="s">
        <v>4158</v>
      </c>
      <c r="I196" s="4" t="s">
        <v>824</v>
      </c>
    </row>
    <row r="197" spans="1:9" x14ac:dyDescent="0.3">
      <c r="A197">
        <v>197</v>
      </c>
      <c r="B197" s="4" t="s">
        <v>4145</v>
      </c>
      <c r="C197" s="4" t="s">
        <v>4146</v>
      </c>
      <c r="D197" s="4" t="s">
        <v>2999</v>
      </c>
      <c r="E197" s="4" t="s">
        <v>4151</v>
      </c>
      <c r="F197" s="4" t="s">
        <v>4148</v>
      </c>
      <c r="G197" s="4" t="s">
        <v>4149</v>
      </c>
      <c r="H197" s="4" t="s">
        <v>4156</v>
      </c>
      <c r="I197" s="4" t="s">
        <v>4178</v>
      </c>
    </row>
    <row r="198" spans="1:9" x14ac:dyDescent="0.3">
      <c r="A198">
        <v>198</v>
      </c>
      <c r="B198" s="4" t="s">
        <v>4145</v>
      </c>
      <c r="C198" s="4" t="s">
        <v>4154</v>
      </c>
      <c r="D198" s="4" t="s">
        <v>2999</v>
      </c>
      <c r="E198" s="4" t="s">
        <v>4151</v>
      </c>
      <c r="F198" s="4" t="s">
        <v>4148</v>
      </c>
      <c r="G198" s="4" t="s">
        <v>4153</v>
      </c>
      <c r="H198" s="4" t="s">
        <v>4158</v>
      </c>
      <c r="I198" s="4" t="s">
        <v>824</v>
      </c>
    </row>
    <row r="199" spans="1:9" x14ac:dyDescent="0.3">
      <c r="A199">
        <v>199</v>
      </c>
      <c r="B199" s="4" t="s">
        <v>4145</v>
      </c>
      <c r="C199" s="4" t="s">
        <v>4146</v>
      </c>
      <c r="D199" s="4" t="s">
        <v>3001</v>
      </c>
      <c r="E199" s="4" t="s">
        <v>4147</v>
      </c>
      <c r="F199" s="4" t="s">
        <v>4159</v>
      </c>
      <c r="G199" s="4" t="s">
        <v>4153</v>
      </c>
      <c r="H199" s="4" t="s">
        <v>4158</v>
      </c>
      <c r="I199" s="4" t="s">
        <v>824</v>
      </c>
    </row>
    <row r="200" spans="1:9" x14ac:dyDescent="0.3">
      <c r="A200">
        <v>200</v>
      </c>
      <c r="B200" s="4" t="s">
        <v>4145</v>
      </c>
      <c r="C200" s="4" t="s">
        <v>4146</v>
      </c>
      <c r="D200" s="4" t="s">
        <v>3202</v>
      </c>
      <c r="E200" s="4" t="s">
        <v>4147</v>
      </c>
      <c r="F200" s="4" t="s">
        <v>4148</v>
      </c>
      <c r="G200" s="4" t="s">
        <v>4149</v>
      </c>
      <c r="H200" s="4" t="s">
        <v>4156</v>
      </c>
      <c r="I200" s="4" t="s">
        <v>4178</v>
      </c>
    </row>
    <row r="201" spans="1:9" x14ac:dyDescent="0.3">
      <c r="A201">
        <v>201</v>
      </c>
      <c r="B201" s="4" t="s">
        <v>4145</v>
      </c>
      <c r="C201" s="4" t="s">
        <v>4154</v>
      </c>
      <c r="D201" s="4" t="s">
        <v>2999</v>
      </c>
      <c r="E201" s="4" t="s">
        <v>4151</v>
      </c>
      <c r="F201" s="4" t="s">
        <v>4155</v>
      </c>
      <c r="G201" s="4" t="s">
        <v>4149</v>
      </c>
      <c r="H201" s="4" t="s">
        <v>4158</v>
      </c>
      <c r="I201" s="4" t="s">
        <v>4178</v>
      </c>
    </row>
    <row r="202" spans="1:9" x14ac:dyDescent="0.3">
      <c r="A202">
        <v>202</v>
      </c>
      <c r="B202" s="4" t="s">
        <v>4145</v>
      </c>
      <c r="C202" s="4" t="s">
        <v>4154</v>
      </c>
      <c r="D202" s="4" t="s">
        <v>2999</v>
      </c>
      <c r="E202" s="4" t="s">
        <v>4151</v>
      </c>
      <c r="F202" s="4" t="s">
        <v>4157</v>
      </c>
      <c r="G202" s="4" t="s">
        <v>4149</v>
      </c>
      <c r="H202" s="4" t="s">
        <v>4158</v>
      </c>
      <c r="I202" s="4" t="s">
        <v>824</v>
      </c>
    </row>
    <row r="203" spans="1:9" x14ac:dyDescent="0.3">
      <c r="A203">
        <v>203</v>
      </c>
      <c r="B203" s="4" t="s">
        <v>4145</v>
      </c>
      <c r="C203" s="4" t="s">
        <v>4146</v>
      </c>
      <c r="D203" s="4" t="s">
        <v>2999</v>
      </c>
      <c r="E203" s="4" t="s">
        <v>4151</v>
      </c>
      <c r="F203" s="4" t="s">
        <v>4155</v>
      </c>
      <c r="G203" s="4" t="s">
        <v>4149</v>
      </c>
      <c r="H203" s="4" t="s">
        <v>4156</v>
      </c>
      <c r="I203" s="4" t="s">
        <v>824</v>
      </c>
    </row>
    <row r="204" spans="1:9" x14ac:dyDescent="0.3">
      <c r="A204">
        <v>204</v>
      </c>
      <c r="B204" s="4" t="s">
        <v>4145</v>
      </c>
      <c r="C204" s="4" t="s">
        <v>4154</v>
      </c>
      <c r="D204" s="4" t="s">
        <v>2999</v>
      </c>
      <c r="E204" s="4" t="s">
        <v>4151</v>
      </c>
      <c r="F204" s="4" t="s">
        <v>4148</v>
      </c>
      <c r="G204" s="4" t="s">
        <v>4153</v>
      </c>
      <c r="H204" s="4" t="s">
        <v>4158</v>
      </c>
      <c r="I204" s="4" t="s">
        <v>4178</v>
      </c>
    </row>
    <row r="205" spans="1:9" x14ac:dyDescent="0.3">
      <c r="A205">
        <v>205</v>
      </c>
      <c r="B205" s="4" t="s">
        <v>4145</v>
      </c>
      <c r="C205" s="4" t="s">
        <v>4146</v>
      </c>
      <c r="D205" s="4" t="s">
        <v>3001</v>
      </c>
      <c r="E205" s="4" t="s">
        <v>4147</v>
      </c>
      <c r="F205" s="4" t="s">
        <v>4148</v>
      </c>
      <c r="G205" s="4" t="s">
        <v>4153</v>
      </c>
      <c r="H205" s="4" t="s">
        <v>4158</v>
      </c>
      <c r="I205" s="4" t="s">
        <v>4178</v>
      </c>
    </row>
    <row r="206" spans="1:9" x14ac:dyDescent="0.3">
      <c r="A206">
        <v>206</v>
      </c>
      <c r="B206" s="4" t="s">
        <v>4145</v>
      </c>
      <c r="C206" s="4" t="s">
        <v>4154</v>
      </c>
      <c r="D206" s="4" t="s">
        <v>2999</v>
      </c>
      <c r="E206" s="4" t="s">
        <v>4151</v>
      </c>
      <c r="F206" s="4" t="s">
        <v>4157</v>
      </c>
      <c r="G206" s="4" t="s">
        <v>4149</v>
      </c>
      <c r="H206" s="4" t="s">
        <v>4156</v>
      </c>
      <c r="I206" s="4" t="s">
        <v>824</v>
      </c>
    </row>
    <row r="207" spans="1:9" x14ac:dyDescent="0.3">
      <c r="A207">
        <v>207</v>
      </c>
      <c r="B207" s="4" t="s">
        <v>4145</v>
      </c>
      <c r="C207" s="4" t="s">
        <v>4154</v>
      </c>
      <c r="D207" s="4" t="s">
        <v>3040</v>
      </c>
      <c r="E207" s="4" t="s">
        <v>4151</v>
      </c>
      <c r="F207" s="4" t="s">
        <v>4155</v>
      </c>
      <c r="G207" s="4" t="s">
        <v>4153</v>
      </c>
      <c r="H207" s="4" t="s">
        <v>4158</v>
      </c>
      <c r="I207" s="4" t="s">
        <v>4160</v>
      </c>
    </row>
    <row r="208" spans="1:9" x14ac:dyDescent="0.3">
      <c r="A208">
        <v>208</v>
      </c>
      <c r="B208" s="4" t="s">
        <v>4145</v>
      </c>
      <c r="C208" s="4" t="s">
        <v>4146</v>
      </c>
      <c r="D208" s="4" t="s">
        <v>2994</v>
      </c>
      <c r="E208" s="4" t="s">
        <v>4147</v>
      </c>
      <c r="F208" s="4" t="s">
        <v>4155</v>
      </c>
      <c r="G208" s="4" t="s">
        <v>4153</v>
      </c>
      <c r="H208" s="4" t="s">
        <v>4158</v>
      </c>
      <c r="I208" s="4" t="s">
        <v>4160</v>
      </c>
    </row>
    <row r="209" spans="1:9" x14ac:dyDescent="0.3">
      <c r="A209">
        <v>209</v>
      </c>
      <c r="B209" s="4" t="s">
        <v>4145</v>
      </c>
      <c r="C209" s="4" t="s">
        <v>4146</v>
      </c>
      <c r="D209" s="4" t="s">
        <v>3001</v>
      </c>
      <c r="E209" s="4" t="s">
        <v>4147</v>
      </c>
      <c r="F209" s="4" t="s">
        <v>4155</v>
      </c>
      <c r="G209" s="4" t="s">
        <v>4153</v>
      </c>
      <c r="H209" s="4" t="s">
        <v>4158</v>
      </c>
      <c r="I209" s="4" t="s">
        <v>4160</v>
      </c>
    </row>
    <row r="210" spans="1:9" x14ac:dyDescent="0.3">
      <c r="A210">
        <v>210</v>
      </c>
      <c r="B210" s="4" t="s">
        <v>4145</v>
      </c>
      <c r="C210" s="4" t="s">
        <v>4146</v>
      </c>
      <c r="D210" s="4" t="s">
        <v>2999</v>
      </c>
      <c r="E210" s="4" t="s">
        <v>4151</v>
      </c>
      <c r="F210" s="4" t="s">
        <v>4148</v>
      </c>
      <c r="G210" s="4" t="s">
        <v>4153</v>
      </c>
      <c r="H210" s="4" t="s">
        <v>4158</v>
      </c>
      <c r="I210" s="4" t="s">
        <v>4178</v>
      </c>
    </row>
    <row r="211" spans="1:9" x14ac:dyDescent="0.3">
      <c r="A211">
        <v>211</v>
      </c>
      <c r="B211" s="4" t="s">
        <v>4145</v>
      </c>
      <c r="C211" s="4" t="s">
        <v>4154</v>
      </c>
      <c r="D211" s="4" t="s">
        <v>2999</v>
      </c>
      <c r="E211" s="4" t="s">
        <v>4151</v>
      </c>
      <c r="F211" s="4" t="s">
        <v>4157</v>
      </c>
      <c r="G211" s="4" t="s">
        <v>4149</v>
      </c>
      <c r="H211" s="4" t="s">
        <v>4156</v>
      </c>
      <c r="I211" s="4" t="s">
        <v>824</v>
      </c>
    </row>
    <row r="212" spans="1:9" x14ac:dyDescent="0.3">
      <c r="A212">
        <v>212</v>
      </c>
      <c r="B212" s="4" t="s">
        <v>4145</v>
      </c>
      <c r="C212" s="4" t="s">
        <v>4154</v>
      </c>
      <c r="D212" s="4" t="s">
        <v>2999</v>
      </c>
      <c r="E212" s="4" t="s">
        <v>4151</v>
      </c>
      <c r="F212" s="4" t="s">
        <v>4155</v>
      </c>
      <c r="G212" s="4" t="s">
        <v>4149</v>
      </c>
      <c r="H212" s="4" t="s">
        <v>4156</v>
      </c>
      <c r="I212" s="4" t="s">
        <v>824</v>
      </c>
    </row>
    <row r="213" spans="1:9" x14ac:dyDescent="0.3">
      <c r="A213">
        <v>213</v>
      </c>
      <c r="B213" s="4" t="s">
        <v>4145</v>
      </c>
      <c r="C213" s="4" t="s">
        <v>4154</v>
      </c>
      <c r="D213" s="4" t="s">
        <v>2999</v>
      </c>
      <c r="E213" s="4" t="s">
        <v>4151</v>
      </c>
      <c r="F213" s="4" t="s">
        <v>4155</v>
      </c>
      <c r="G213" s="4" t="s">
        <v>4153</v>
      </c>
      <c r="H213" s="4" t="s">
        <v>4156</v>
      </c>
      <c r="I213" s="4" t="s">
        <v>4178</v>
      </c>
    </row>
    <row r="214" spans="1:9" x14ac:dyDescent="0.3">
      <c r="A214">
        <v>214</v>
      </c>
      <c r="B214" s="4" t="s">
        <v>4145</v>
      </c>
      <c r="C214" s="4" t="s">
        <v>4146</v>
      </c>
      <c r="D214" s="4" t="s">
        <v>2994</v>
      </c>
      <c r="E214" s="4" t="s">
        <v>4147</v>
      </c>
      <c r="F214" s="4" t="s">
        <v>4155</v>
      </c>
      <c r="G214" s="4" t="s">
        <v>4153</v>
      </c>
      <c r="H214" s="4" t="s">
        <v>4150</v>
      </c>
      <c r="I214" s="4" t="s">
        <v>4178</v>
      </c>
    </row>
    <row r="215" spans="1:9" x14ac:dyDescent="0.3">
      <c r="A215">
        <v>215</v>
      </c>
      <c r="B215" s="4" t="s">
        <v>4145</v>
      </c>
      <c r="C215" s="4" t="s">
        <v>4146</v>
      </c>
      <c r="D215" s="4" t="s">
        <v>2994</v>
      </c>
      <c r="E215" s="4" t="s">
        <v>4147</v>
      </c>
      <c r="F215" s="4" t="s">
        <v>4148</v>
      </c>
      <c r="G215" s="4" t="s">
        <v>4153</v>
      </c>
      <c r="H215" s="4" t="s">
        <v>4150</v>
      </c>
      <c r="I215" s="4" t="s">
        <v>4178</v>
      </c>
    </row>
    <row r="216" spans="1:9" x14ac:dyDescent="0.3">
      <c r="A216">
        <v>216</v>
      </c>
      <c r="B216" s="4" t="s">
        <v>4145</v>
      </c>
      <c r="C216" s="4" t="s">
        <v>4154</v>
      </c>
      <c r="D216" s="4" t="s">
        <v>2999</v>
      </c>
      <c r="E216" s="4" t="s">
        <v>4151</v>
      </c>
      <c r="F216" s="4" t="s">
        <v>4157</v>
      </c>
      <c r="G216" s="4" t="s">
        <v>4153</v>
      </c>
      <c r="H216" s="4" t="s">
        <v>4150</v>
      </c>
      <c r="I216" s="4" t="s">
        <v>4178</v>
      </c>
    </row>
    <row r="217" spans="1:9" x14ac:dyDescent="0.3">
      <c r="A217">
        <v>217</v>
      </c>
      <c r="B217" s="4" t="s">
        <v>4145</v>
      </c>
      <c r="C217" s="4" t="s">
        <v>4146</v>
      </c>
      <c r="D217" s="4" t="s">
        <v>2994</v>
      </c>
      <c r="E217" s="4" t="s">
        <v>4147</v>
      </c>
      <c r="F217" s="4" t="s">
        <v>4148</v>
      </c>
      <c r="G217" s="4" t="s">
        <v>4153</v>
      </c>
      <c r="H217" s="4" t="s">
        <v>4156</v>
      </c>
      <c r="I217" s="4" t="s">
        <v>824</v>
      </c>
    </row>
    <row r="218" spans="1:9" x14ac:dyDescent="0.3">
      <c r="A218">
        <v>218</v>
      </c>
      <c r="B218" s="4" t="s">
        <v>4145</v>
      </c>
      <c r="C218" s="4" t="s">
        <v>4154</v>
      </c>
      <c r="D218" s="4" t="s">
        <v>2999</v>
      </c>
      <c r="E218" s="4" t="s">
        <v>4151</v>
      </c>
      <c r="F218" s="4" t="s">
        <v>4157</v>
      </c>
      <c r="G218" s="4" t="s">
        <v>4149</v>
      </c>
      <c r="H218" s="4" t="s">
        <v>4156</v>
      </c>
      <c r="I218" s="4" t="s">
        <v>824</v>
      </c>
    </row>
    <row r="219" spans="1:9" x14ac:dyDescent="0.3">
      <c r="A219">
        <v>220</v>
      </c>
      <c r="B219" s="4" t="s">
        <v>4145</v>
      </c>
      <c r="C219" s="4" t="s">
        <v>4146</v>
      </c>
      <c r="D219" s="4" t="s">
        <v>2999</v>
      </c>
      <c r="E219" s="4" t="s">
        <v>4151</v>
      </c>
      <c r="F219" s="4" t="s">
        <v>4148</v>
      </c>
      <c r="G219" s="4" t="s">
        <v>4149</v>
      </c>
      <c r="H219" s="4" t="s">
        <v>4156</v>
      </c>
      <c r="I219" s="4" t="s">
        <v>4178</v>
      </c>
    </row>
    <row r="220" spans="1:9" x14ac:dyDescent="0.3">
      <c r="A220">
        <v>221</v>
      </c>
      <c r="B220" s="4" t="s">
        <v>4145</v>
      </c>
      <c r="C220" s="4" t="s">
        <v>4146</v>
      </c>
      <c r="D220" s="4" t="s">
        <v>2994</v>
      </c>
      <c r="E220" s="4" t="s">
        <v>4147</v>
      </c>
      <c r="F220" s="4" t="s">
        <v>4148</v>
      </c>
      <c r="G220" s="4" t="s">
        <v>4153</v>
      </c>
      <c r="H220" s="4" t="s">
        <v>4158</v>
      </c>
      <c r="I220" s="4" t="s">
        <v>4178</v>
      </c>
    </row>
    <row r="221" spans="1:9" x14ac:dyDescent="0.3">
      <c r="A221">
        <v>222</v>
      </c>
      <c r="B221" s="4" t="s">
        <v>4145</v>
      </c>
      <c r="C221" s="4" t="s">
        <v>4154</v>
      </c>
      <c r="D221" s="4" t="s">
        <v>2999</v>
      </c>
      <c r="E221" s="4" t="s">
        <v>4151</v>
      </c>
      <c r="F221" s="4" t="s">
        <v>4157</v>
      </c>
      <c r="G221" s="4" t="s">
        <v>4153</v>
      </c>
      <c r="H221" s="4" t="s">
        <v>4158</v>
      </c>
      <c r="I221" s="4" t="s">
        <v>4178</v>
      </c>
    </row>
    <row r="222" spans="1:9" x14ac:dyDescent="0.3">
      <c r="A222">
        <v>223</v>
      </c>
      <c r="B222" s="4" t="s">
        <v>4145</v>
      </c>
      <c r="C222" s="4" t="s">
        <v>4154</v>
      </c>
      <c r="D222" s="4" t="s">
        <v>2999</v>
      </c>
      <c r="E222" s="4" t="s">
        <v>4151</v>
      </c>
      <c r="F222" s="4" t="s">
        <v>4148</v>
      </c>
      <c r="G222" s="4" t="s">
        <v>4149</v>
      </c>
      <c r="H222" s="4" t="s">
        <v>4156</v>
      </c>
      <c r="I222" s="4" t="s">
        <v>4178</v>
      </c>
    </row>
    <row r="223" spans="1:9" x14ac:dyDescent="0.3">
      <c r="A223">
        <v>224</v>
      </c>
      <c r="B223" s="4" t="s">
        <v>4145</v>
      </c>
      <c r="C223" s="4" t="s">
        <v>4154</v>
      </c>
      <c r="D223" s="4" t="s">
        <v>2999</v>
      </c>
      <c r="E223" s="4" t="s">
        <v>4151</v>
      </c>
      <c r="F223" s="4" t="s">
        <v>4148</v>
      </c>
      <c r="G223" s="4" t="s">
        <v>4149</v>
      </c>
      <c r="H223" s="4" t="s">
        <v>4156</v>
      </c>
      <c r="I223" s="4" t="s">
        <v>824</v>
      </c>
    </row>
    <row r="224" spans="1:9" x14ac:dyDescent="0.3">
      <c r="A224">
        <v>225</v>
      </c>
      <c r="B224" s="4" t="s">
        <v>4145</v>
      </c>
      <c r="C224" s="4" t="s">
        <v>4154</v>
      </c>
      <c r="D224" s="4" t="s">
        <v>2999</v>
      </c>
      <c r="E224" s="4" t="s">
        <v>4151</v>
      </c>
      <c r="F224" s="4" t="s">
        <v>4155</v>
      </c>
      <c r="G224" s="4" t="s">
        <v>4149</v>
      </c>
      <c r="H224" s="4" t="s">
        <v>4156</v>
      </c>
      <c r="I224" s="4" t="s">
        <v>824</v>
      </c>
    </row>
    <row r="225" spans="1:9" x14ac:dyDescent="0.3">
      <c r="A225">
        <v>226</v>
      </c>
      <c r="B225" s="4" t="s">
        <v>4145</v>
      </c>
      <c r="C225" s="4" t="s">
        <v>4154</v>
      </c>
      <c r="D225" s="4" t="s">
        <v>2999</v>
      </c>
      <c r="E225" s="4" t="s">
        <v>4151</v>
      </c>
      <c r="F225" s="4" t="s">
        <v>4148</v>
      </c>
      <c r="G225" s="4" t="s">
        <v>4149</v>
      </c>
      <c r="H225" s="4" t="s">
        <v>4158</v>
      </c>
      <c r="I225" s="4" t="s">
        <v>824</v>
      </c>
    </row>
    <row r="226" spans="1:9" x14ac:dyDescent="0.3">
      <c r="A226">
        <v>227</v>
      </c>
      <c r="B226" s="4" t="s">
        <v>4145</v>
      </c>
      <c r="C226" s="4" t="s">
        <v>4154</v>
      </c>
      <c r="D226" s="4" t="s">
        <v>2999</v>
      </c>
      <c r="E226" s="4" t="s">
        <v>4151</v>
      </c>
      <c r="F226" s="4" t="s">
        <v>4148</v>
      </c>
      <c r="G226" s="4" t="s">
        <v>4153</v>
      </c>
      <c r="H226" s="4" t="s">
        <v>4158</v>
      </c>
      <c r="I226" s="4" t="s">
        <v>824</v>
      </c>
    </row>
    <row r="227" spans="1:9" x14ac:dyDescent="0.3">
      <c r="A227">
        <v>228</v>
      </c>
      <c r="B227" s="4" t="s">
        <v>4145</v>
      </c>
      <c r="C227" s="4" t="s">
        <v>4146</v>
      </c>
      <c r="D227" s="4" t="s">
        <v>3001</v>
      </c>
      <c r="E227" s="4" t="s">
        <v>4147</v>
      </c>
      <c r="F227" s="4" t="s">
        <v>4148</v>
      </c>
      <c r="G227" s="4" t="s">
        <v>4153</v>
      </c>
      <c r="H227" s="4" t="s">
        <v>4158</v>
      </c>
      <c r="I227" s="4" t="s">
        <v>824</v>
      </c>
    </row>
    <row r="228" spans="1:9" x14ac:dyDescent="0.3">
      <c r="A228">
        <v>229</v>
      </c>
      <c r="B228" s="4" t="s">
        <v>4145</v>
      </c>
      <c r="C228" s="4" t="s">
        <v>4154</v>
      </c>
      <c r="D228" s="4" t="s">
        <v>2999</v>
      </c>
      <c r="E228" s="4" t="s">
        <v>4151</v>
      </c>
      <c r="F228" s="4" t="s">
        <v>4159</v>
      </c>
      <c r="G228" s="4" t="s">
        <v>4153</v>
      </c>
      <c r="H228" s="4" t="s">
        <v>4150</v>
      </c>
      <c r="I228" s="4" t="s">
        <v>4178</v>
      </c>
    </row>
    <row r="229" spans="1:9" x14ac:dyDescent="0.3">
      <c r="A229">
        <v>230</v>
      </c>
      <c r="B229" s="4" t="s">
        <v>4145</v>
      </c>
      <c r="C229" s="4" t="s">
        <v>4146</v>
      </c>
      <c r="D229" s="4" t="s">
        <v>3001</v>
      </c>
      <c r="E229" s="4" t="s">
        <v>4147</v>
      </c>
      <c r="F229" s="4" t="s">
        <v>4159</v>
      </c>
      <c r="G229" s="4" t="s">
        <v>4153</v>
      </c>
      <c r="H229" s="4" t="s">
        <v>4150</v>
      </c>
      <c r="I229" s="4" t="s">
        <v>4178</v>
      </c>
    </row>
    <row r="230" spans="1:9" x14ac:dyDescent="0.3">
      <c r="A230">
        <v>231</v>
      </c>
      <c r="B230" s="4" t="s">
        <v>4145</v>
      </c>
      <c r="C230" s="4" t="s">
        <v>4146</v>
      </c>
      <c r="D230" s="4" t="s">
        <v>2994</v>
      </c>
      <c r="E230" s="4" t="s">
        <v>4147</v>
      </c>
      <c r="F230" s="4" t="s">
        <v>4148</v>
      </c>
      <c r="G230" s="4" t="s">
        <v>4149</v>
      </c>
      <c r="H230" s="4" t="s">
        <v>4158</v>
      </c>
      <c r="I230" s="4" t="s">
        <v>824</v>
      </c>
    </row>
    <row r="231" spans="1:9" x14ac:dyDescent="0.3">
      <c r="A231">
        <v>232</v>
      </c>
      <c r="B231" s="4" t="s">
        <v>4145</v>
      </c>
      <c r="C231" s="4" t="s">
        <v>4146</v>
      </c>
      <c r="D231" s="4" t="s">
        <v>3046</v>
      </c>
      <c r="E231" s="4" t="s">
        <v>4151</v>
      </c>
      <c r="F231" s="4" t="s">
        <v>4157</v>
      </c>
      <c r="G231" s="4" t="s">
        <v>4149</v>
      </c>
      <c r="H231" s="4" t="s">
        <v>4156</v>
      </c>
      <c r="I231" s="4" t="s">
        <v>824</v>
      </c>
    </row>
    <row r="232" spans="1:9" x14ac:dyDescent="0.3">
      <c r="A232">
        <v>233</v>
      </c>
      <c r="B232" s="4" t="s">
        <v>4145</v>
      </c>
      <c r="C232" s="4" t="s">
        <v>4154</v>
      </c>
      <c r="D232" s="4" t="s">
        <v>2999</v>
      </c>
      <c r="E232" s="4" t="s">
        <v>4151</v>
      </c>
      <c r="F232" s="4" t="s">
        <v>4155</v>
      </c>
      <c r="G232" s="4" t="s">
        <v>4149</v>
      </c>
      <c r="H232" s="4" t="s">
        <v>4158</v>
      </c>
      <c r="I232" s="4" t="s">
        <v>824</v>
      </c>
    </row>
    <row r="233" spans="1:9" x14ac:dyDescent="0.3">
      <c r="A233">
        <v>234</v>
      </c>
      <c r="B233" s="4" t="s">
        <v>4145</v>
      </c>
      <c r="C233" s="4" t="s">
        <v>4146</v>
      </c>
      <c r="D233" s="4" t="s">
        <v>3001</v>
      </c>
      <c r="E233" s="4" t="s">
        <v>4147</v>
      </c>
      <c r="F233" s="4" t="s">
        <v>4157</v>
      </c>
      <c r="G233" s="4" t="s">
        <v>4153</v>
      </c>
      <c r="H233" s="4" t="s">
        <v>4158</v>
      </c>
      <c r="I233" s="4" t="s">
        <v>4178</v>
      </c>
    </row>
    <row r="234" spans="1:9" x14ac:dyDescent="0.3">
      <c r="A234">
        <v>236</v>
      </c>
      <c r="B234" s="4" t="s">
        <v>4145</v>
      </c>
      <c r="C234" s="4" t="s">
        <v>4146</v>
      </c>
      <c r="D234" s="4" t="s">
        <v>2999</v>
      </c>
      <c r="E234" s="4" t="s">
        <v>4151</v>
      </c>
      <c r="F234" s="4" t="s">
        <v>4148</v>
      </c>
      <c r="G234" s="4" t="s">
        <v>4149</v>
      </c>
      <c r="H234" s="4" t="s">
        <v>4156</v>
      </c>
      <c r="I234" s="4" t="s">
        <v>824</v>
      </c>
    </row>
    <row r="235" spans="1:9" x14ac:dyDescent="0.3">
      <c r="A235">
        <v>237</v>
      </c>
      <c r="B235" s="4" t="s">
        <v>4145</v>
      </c>
      <c r="C235" s="4" t="s">
        <v>4154</v>
      </c>
      <c r="D235" s="4" t="s">
        <v>2999</v>
      </c>
      <c r="E235" s="4" t="s">
        <v>4151</v>
      </c>
      <c r="F235" s="4" t="s">
        <v>4148</v>
      </c>
      <c r="G235" s="4" t="s">
        <v>4149</v>
      </c>
      <c r="H235" s="4" t="s">
        <v>4150</v>
      </c>
      <c r="I235" s="4" t="s">
        <v>4178</v>
      </c>
    </row>
    <row r="236" spans="1:9" x14ac:dyDescent="0.3">
      <c r="A236">
        <v>238</v>
      </c>
      <c r="B236" s="4" t="s">
        <v>4145</v>
      </c>
      <c r="C236" s="4" t="s">
        <v>4154</v>
      </c>
      <c r="D236" s="4" t="s">
        <v>2999</v>
      </c>
      <c r="E236" s="4" t="s">
        <v>4151</v>
      </c>
      <c r="F236" s="4" t="s">
        <v>4148</v>
      </c>
      <c r="G236" s="4" t="s">
        <v>4149</v>
      </c>
      <c r="H236" s="4" t="s">
        <v>4150</v>
      </c>
      <c r="I236" s="4" t="s">
        <v>4178</v>
      </c>
    </row>
    <row r="237" spans="1:9" x14ac:dyDescent="0.3">
      <c r="A237">
        <v>239</v>
      </c>
      <c r="B237" s="4" t="s">
        <v>4145</v>
      </c>
      <c r="C237" s="4" t="s">
        <v>4146</v>
      </c>
      <c r="D237" s="4" t="s">
        <v>3001</v>
      </c>
      <c r="E237" s="4" t="s">
        <v>4147</v>
      </c>
      <c r="F237" s="4" t="s">
        <v>4155</v>
      </c>
      <c r="G237" s="4" t="s">
        <v>4153</v>
      </c>
      <c r="H237" s="4" t="s">
        <v>4150</v>
      </c>
      <c r="I237" s="4" t="s">
        <v>824</v>
      </c>
    </row>
    <row r="238" spans="1:9" x14ac:dyDescent="0.3">
      <c r="A238">
        <v>240</v>
      </c>
      <c r="B238" s="4" t="s">
        <v>4145</v>
      </c>
      <c r="C238" s="4" t="s">
        <v>4154</v>
      </c>
      <c r="D238" s="4" t="s">
        <v>2999</v>
      </c>
      <c r="E238" s="4" t="s">
        <v>4151</v>
      </c>
      <c r="F238" s="4" t="s">
        <v>4155</v>
      </c>
      <c r="G238" s="4" t="s">
        <v>4149</v>
      </c>
      <c r="H238" s="4" t="s">
        <v>4158</v>
      </c>
      <c r="I238" s="4" t="s">
        <v>824</v>
      </c>
    </row>
    <row r="239" spans="1:9" x14ac:dyDescent="0.3">
      <c r="A239">
        <v>241</v>
      </c>
      <c r="B239" s="4" t="s">
        <v>4145</v>
      </c>
      <c r="C239" s="4" t="s">
        <v>4146</v>
      </c>
      <c r="D239" s="4" t="s">
        <v>2999</v>
      </c>
      <c r="E239" s="4" t="s">
        <v>4151</v>
      </c>
      <c r="F239" s="4" t="s">
        <v>4155</v>
      </c>
      <c r="G239" s="4" t="s">
        <v>4149</v>
      </c>
      <c r="H239" s="4" t="s">
        <v>4156</v>
      </c>
      <c r="I239" s="4" t="s">
        <v>824</v>
      </c>
    </row>
    <row r="240" spans="1:9" x14ac:dyDescent="0.3">
      <c r="A240">
        <v>242</v>
      </c>
      <c r="B240" s="4" t="s">
        <v>4145</v>
      </c>
      <c r="C240" s="4" t="s">
        <v>4154</v>
      </c>
      <c r="D240" s="4" t="s">
        <v>2999</v>
      </c>
      <c r="E240" s="4" t="s">
        <v>4151</v>
      </c>
      <c r="F240" s="4" t="s">
        <v>4148</v>
      </c>
      <c r="G240" s="4" t="s">
        <v>4149</v>
      </c>
      <c r="H240" s="4" t="s">
        <v>4156</v>
      </c>
      <c r="I240" s="4" t="s">
        <v>824</v>
      </c>
    </row>
    <row r="241" spans="1:9" x14ac:dyDescent="0.3">
      <c r="A241">
        <v>243</v>
      </c>
      <c r="B241" s="4" t="s">
        <v>4145</v>
      </c>
      <c r="C241" s="4" t="s">
        <v>4146</v>
      </c>
      <c r="D241" s="4" t="s">
        <v>2994</v>
      </c>
      <c r="E241" s="4" t="s">
        <v>4147</v>
      </c>
      <c r="F241" s="4" t="s">
        <v>4155</v>
      </c>
      <c r="G241" s="4" t="s">
        <v>4149</v>
      </c>
      <c r="H241" s="4" t="s">
        <v>4156</v>
      </c>
      <c r="I241" s="4" t="s">
        <v>4178</v>
      </c>
    </row>
    <row r="242" spans="1:9" x14ac:dyDescent="0.3">
      <c r="A242">
        <v>244</v>
      </c>
      <c r="B242" s="4" t="s">
        <v>4145</v>
      </c>
      <c r="C242" s="4" t="s">
        <v>4154</v>
      </c>
      <c r="D242" s="4" t="s">
        <v>2999</v>
      </c>
      <c r="E242" s="4" t="s">
        <v>4151</v>
      </c>
      <c r="F242" s="4" t="s">
        <v>4155</v>
      </c>
      <c r="G242" s="4" t="s">
        <v>4149</v>
      </c>
      <c r="H242" s="4" t="s">
        <v>4158</v>
      </c>
      <c r="I242" s="4" t="s">
        <v>4178</v>
      </c>
    </row>
    <row r="243" spans="1:9" x14ac:dyDescent="0.3">
      <c r="A243">
        <v>245</v>
      </c>
      <c r="B243" s="4" t="s">
        <v>4145</v>
      </c>
      <c r="C243" s="4" t="s">
        <v>4154</v>
      </c>
      <c r="D243" s="4" t="s">
        <v>2999</v>
      </c>
      <c r="E243" s="4" t="s">
        <v>4151</v>
      </c>
      <c r="F243" s="4" t="s">
        <v>4155</v>
      </c>
      <c r="G243" s="4" t="s">
        <v>4149</v>
      </c>
      <c r="H243" s="4" t="s">
        <v>4156</v>
      </c>
      <c r="I243" s="4" t="s">
        <v>4178</v>
      </c>
    </row>
    <row r="244" spans="1:9" x14ac:dyDescent="0.3">
      <c r="A244">
        <v>246</v>
      </c>
      <c r="B244" s="4" t="s">
        <v>4145</v>
      </c>
      <c r="C244" s="4" t="s">
        <v>4146</v>
      </c>
      <c r="D244" s="4" t="s">
        <v>3248</v>
      </c>
      <c r="E244" s="4" t="s">
        <v>4147</v>
      </c>
      <c r="F244" s="4" t="s">
        <v>4155</v>
      </c>
      <c r="G244" s="4" t="s">
        <v>4149</v>
      </c>
      <c r="H244" s="4" t="s">
        <v>4158</v>
      </c>
      <c r="I244" s="4" t="s">
        <v>824</v>
      </c>
    </row>
    <row r="245" spans="1:9" x14ac:dyDescent="0.3">
      <c r="A245">
        <v>247</v>
      </c>
      <c r="B245" s="4" t="s">
        <v>4145</v>
      </c>
      <c r="C245" s="4" t="s">
        <v>4154</v>
      </c>
      <c r="D245" s="4" t="s">
        <v>2999</v>
      </c>
      <c r="E245" s="4" t="s">
        <v>4151</v>
      </c>
      <c r="F245" s="4" t="s">
        <v>4157</v>
      </c>
      <c r="G245" s="4" t="s">
        <v>4153</v>
      </c>
      <c r="H245" s="4" t="s">
        <v>4158</v>
      </c>
      <c r="I245" s="4" t="s">
        <v>4178</v>
      </c>
    </row>
    <row r="246" spans="1:9" x14ac:dyDescent="0.3">
      <c r="A246">
        <v>248</v>
      </c>
      <c r="B246" s="4" t="s">
        <v>4145</v>
      </c>
      <c r="C246" s="4" t="s">
        <v>4146</v>
      </c>
      <c r="D246" s="4" t="s">
        <v>3001</v>
      </c>
      <c r="E246" s="4" t="s">
        <v>4147</v>
      </c>
      <c r="F246" s="4" t="s">
        <v>4157</v>
      </c>
      <c r="G246" s="4" t="s">
        <v>4153</v>
      </c>
      <c r="H246" s="4" t="s">
        <v>4158</v>
      </c>
      <c r="I246" s="4" t="s">
        <v>4178</v>
      </c>
    </row>
    <row r="247" spans="1:9" x14ac:dyDescent="0.3">
      <c r="A247">
        <v>249</v>
      </c>
      <c r="B247" s="4" t="s">
        <v>4145</v>
      </c>
      <c r="C247" s="4" t="s">
        <v>4154</v>
      </c>
      <c r="D247" s="4" t="s">
        <v>2999</v>
      </c>
      <c r="E247" s="4" t="s">
        <v>4151</v>
      </c>
      <c r="F247" s="4" t="s">
        <v>4155</v>
      </c>
      <c r="G247" s="4" t="s">
        <v>4149</v>
      </c>
      <c r="H247" s="4" t="s">
        <v>4156</v>
      </c>
      <c r="I247" s="4" t="s">
        <v>824</v>
      </c>
    </row>
    <row r="248" spans="1:9" x14ac:dyDescent="0.3">
      <c r="A248">
        <v>250</v>
      </c>
      <c r="B248" s="4" t="s">
        <v>4145</v>
      </c>
      <c r="C248" s="4" t="s">
        <v>4146</v>
      </c>
      <c r="D248" s="4" t="s">
        <v>2996</v>
      </c>
      <c r="E248" s="4" t="s">
        <v>4151</v>
      </c>
      <c r="F248" s="4" t="s">
        <v>4152</v>
      </c>
      <c r="G248" s="4" t="s">
        <v>4153</v>
      </c>
      <c r="H248" s="4" t="s">
        <v>4150</v>
      </c>
      <c r="I248" s="4" t="s">
        <v>4178</v>
      </c>
    </row>
    <row r="249" spans="1:9" x14ac:dyDescent="0.3">
      <c r="A249">
        <v>251</v>
      </c>
      <c r="B249" s="4" t="s">
        <v>4145</v>
      </c>
      <c r="C249" s="4" t="s">
        <v>4146</v>
      </c>
      <c r="D249" s="4" t="s">
        <v>2994</v>
      </c>
      <c r="E249" s="4" t="s">
        <v>4147</v>
      </c>
      <c r="F249" s="4" t="s">
        <v>4159</v>
      </c>
      <c r="G249" s="4" t="s">
        <v>4153</v>
      </c>
      <c r="H249" s="4" t="s">
        <v>4150</v>
      </c>
      <c r="I249" s="4" t="s">
        <v>4178</v>
      </c>
    </row>
    <row r="250" spans="1:9" x14ac:dyDescent="0.3">
      <c r="A250">
        <v>252</v>
      </c>
      <c r="B250" s="4" t="s">
        <v>4145</v>
      </c>
      <c r="C250" s="4" t="s">
        <v>4146</v>
      </c>
      <c r="D250" s="4" t="s">
        <v>2994</v>
      </c>
      <c r="E250" s="4" t="s">
        <v>4147</v>
      </c>
      <c r="F250" s="4" t="s">
        <v>4148</v>
      </c>
      <c r="G250" s="4" t="s">
        <v>4153</v>
      </c>
      <c r="H250" s="4" t="s">
        <v>4150</v>
      </c>
      <c r="I250" s="4" t="s">
        <v>4178</v>
      </c>
    </row>
    <row r="251" spans="1:9" x14ac:dyDescent="0.3">
      <c r="A251">
        <v>253</v>
      </c>
      <c r="B251" s="4" t="s">
        <v>4145</v>
      </c>
      <c r="C251" s="4" t="s">
        <v>4154</v>
      </c>
      <c r="D251" s="4" t="s">
        <v>2999</v>
      </c>
      <c r="E251" s="4" t="s">
        <v>4151</v>
      </c>
      <c r="F251" s="4" t="s">
        <v>4157</v>
      </c>
      <c r="G251" s="4" t="s">
        <v>4153</v>
      </c>
      <c r="H251" s="4" t="s">
        <v>4150</v>
      </c>
      <c r="I251" s="4" t="s">
        <v>4178</v>
      </c>
    </row>
    <row r="252" spans="1:9" x14ac:dyDescent="0.3">
      <c r="A252">
        <v>254</v>
      </c>
      <c r="B252" s="4" t="s">
        <v>4145</v>
      </c>
      <c r="C252" s="4" t="s">
        <v>4146</v>
      </c>
      <c r="D252" s="4" t="s">
        <v>3001</v>
      </c>
      <c r="E252" s="4" t="s">
        <v>4147</v>
      </c>
      <c r="F252" s="4" t="s">
        <v>4155</v>
      </c>
      <c r="G252" s="4" t="s">
        <v>4153</v>
      </c>
      <c r="H252" s="4" t="s">
        <v>4150</v>
      </c>
      <c r="I252" s="4" t="s">
        <v>4178</v>
      </c>
    </row>
    <row r="253" spans="1:9" x14ac:dyDescent="0.3">
      <c r="A253">
        <v>255</v>
      </c>
      <c r="B253" s="4" t="s">
        <v>4145</v>
      </c>
      <c r="C253" s="4" t="s">
        <v>4146</v>
      </c>
      <c r="D253" s="4" t="s">
        <v>2999</v>
      </c>
      <c r="E253" s="4" t="s">
        <v>4151</v>
      </c>
      <c r="F253" s="4" t="s">
        <v>4148</v>
      </c>
      <c r="G253" s="4" t="s">
        <v>4149</v>
      </c>
      <c r="H253" s="4" t="s">
        <v>4156</v>
      </c>
      <c r="I253" s="4" t="s">
        <v>824</v>
      </c>
    </row>
    <row r="254" spans="1:9" x14ac:dyDescent="0.3">
      <c r="A254">
        <v>256</v>
      </c>
      <c r="B254" s="4" t="s">
        <v>4145</v>
      </c>
      <c r="C254" s="4" t="s">
        <v>4146</v>
      </c>
      <c r="D254" s="4" t="s">
        <v>3202</v>
      </c>
      <c r="E254" s="4" t="s">
        <v>4147</v>
      </c>
      <c r="F254" s="4" t="s">
        <v>4148</v>
      </c>
      <c r="G254" s="4" t="s">
        <v>4149</v>
      </c>
      <c r="H254" s="4" t="s">
        <v>4158</v>
      </c>
      <c r="I254" s="4" t="s">
        <v>4178</v>
      </c>
    </row>
    <row r="255" spans="1:9" x14ac:dyDescent="0.3">
      <c r="A255">
        <v>257</v>
      </c>
      <c r="B255" s="4" t="s">
        <v>4145</v>
      </c>
      <c r="C255" s="4" t="s">
        <v>4146</v>
      </c>
      <c r="D255" s="4" t="s">
        <v>2999</v>
      </c>
      <c r="E255" s="4" t="s">
        <v>4151</v>
      </c>
      <c r="F255" s="4" t="s">
        <v>4148</v>
      </c>
      <c r="G255" s="4" t="s">
        <v>4149</v>
      </c>
      <c r="H255" s="4" t="s">
        <v>4156</v>
      </c>
      <c r="I255" s="4" t="s">
        <v>824</v>
      </c>
    </row>
    <row r="256" spans="1:9" x14ac:dyDescent="0.3">
      <c r="A256">
        <v>258</v>
      </c>
      <c r="B256" s="4" t="s">
        <v>4145</v>
      </c>
      <c r="C256" s="4" t="s">
        <v>4146</v>
      </c>
      <c r="D256" s="4" t="s">
        <v>3001</v>
      </c>
      <c r="E256" s="4" t="s">
        <v>4147</v>
      </c>
      <c r="F256" s="4" t="s">
        <v>4155</v>
      </c>
      <c r="G256" s="4" t="s">
        <v>4153</v>
      </c>
      <c r="H256" s="4" t="s">
        <v>4158</v>
      </c>
      <c r="I256" s="4" t="s">
        <v>4178</v>
      </c>
    </row>
    <row r="257" spans="1:9" x14ac:dyDescent="0.3">
      <c r="A257">
        <v>259</v>
      </c>
      <c r="B257" s="4" t="s">
        <v>4145</v>
      </c>
      <c r="C257" s="4" t="s">
        <v>4146</v>
      </c>
      <c r="D257" s="4" t="s">
        <v>2994</v>
      </c>
      <c r="E257" s="4" t="s">
        <v>4147</v>
      </c>
      <c r="F257" s="4" t="s">
        <v>4148</v>
      </c>
      <c r="G257" s="4" t="s">
        <v>4149</v>
      </c>
      <c r="H257" s="4" t="s">
        <v>4156</v>
      </c>
      <c r="I257" s="4" t="s">
        <v>4178</v>
      </c>
    </row>
    <row r="258" spans="1:9" x14ac:dyDescent="0.3">
      <c r="A258">
        <v>260</v>
      </c>
      <c r="B258" s="4" t="s">
        <v>4145</v>
      </c>
      <c r="C258" s="4" t="s">
        <v>4146</v>
      </c>
      <c r="D258" s="4" t="s">
        <v>2999</v>
      </c>
      <c r="E258" s="4" t="s">
        <v>4151</v>
      </c>
      <c r="F258" s="4" t="s">
        <v>4155</v>
      </c>
      <c r="G258" s="4" t="s">
        <v>4149</v>
      </c>
      <c r="H258" s="4" t="s">
        <v>4156</v>
      </c>
      <c r="I258" s="4" t="s">
        <v>824</v>
      </c>
    </row>
    <row r="259" spans="1:9" x14ac:dyDescent="0.3">
      <c r="A259">
        <v>261</v>
      </c>
      <c r="B259" s="4" t="s">
        <v>4145</v>
      </c>
      <c r="C259" s="4" t="s">
        <v>4146</v>
      </c>
      <c r="D259" s="4" t="s">
        <v>2994</v>
      </c>
      <c r="E259" s="4" t="s">
        <v>4147</v>
      </c>
      <c r="F259" s="4" t="s">
        <v>4155</v>
      </c>
      <c r="G259" s="4" t="s">
        <v>4149</v>
      </c>
      <c r="H259" s="4" t="s">
        <v>4150</v>
      </c>
      <c r="I259" s="4" t="s">
        <v>824</v>
      </c>
    </row>
    <row r="260" spans="1:9" x14ac:dyDescent="0.3">
      <c r="A260">
        <v>262</v>
      </c>
      <c r="B260" s="4" t="s">
        <v>4145</v>
      </c>
      <c r="C260" s="4" t="s">
        <v>4146</v>
      </c>
      <c r="D260" s="4" t="s">
        <v>2999</v>
      </c>
      <c r="E260" s="4" t="s">
        <v>4151</v>
      </c>
      <c r="F260" s="4" t="s">
        <v>4155</v>
      </c>
      <c r="G260" s="4" t="s">
        <v>4149</v>
      </c>
      <c r="H260" s="4" t="s">
        <v>4156</v>
      </c>
      <c r="I260" s="4" t="s">
        <v>824</v>
      </c>
    </row>
    <row r="261" spans="1:9" x14ac:dyDescent="0.3">
      <c r="A261">
        <v>263</v>
      </c>
      <c r="B261" s="4" t="s">
        <v>4145</v>
      </c>
      <c r="C261" s="4" t="s">
        <v>4154</v>
      </c>
      <c r="D261" s="4" t="s">
        <v>2999</v>
      </c>
      <c r="E261" s="4" t="s">
        <v>4151</v>
      </c>
      <c r="F261" s="4" t="s">
        <v>4155</v>
      </c>
      <c r="G261" s="4" t="s">
        <v>4153</v>
      </c>
      <c r="H261" s="4" t="s">
        <v>4158</v>
      </c>
      <c r="I261" s="4" t="s">
        <v>824</v>
      </c>
    </row>
    <row r="262" spans="1:9" x14ac:dyDescent="0.3">
      <c r="A262">
        <v>264</v>
      </c>
      <c r="B262" s="4" t="s">
        <v>4145</v>
      </c>
      <c r="C262" s="4" t="s">
        <v>4146</v>
      </c>
      <c r="D262" s="4" t="s">
        <v>3001</v>
      </c>
      <c r="E262" s="4" t="s">
        <v>4147</v>
      </c>
      <c r="F262" s="4" t="s">
        <v>4155</v>
      </c>
      <c r="G262" s="4" t="s">
        <v>4153</v>
      </c>
      <c r="H262" s="4" t="s">
        <v>4158</v>
      </c>
      <c r="I262" s="4" t="s">
        <v>824</v>
      </c>
    </row>
    <row r="263" spans="1:9" x14ac:dyDescent="0.3">
      <c r="A263">
        <v>265</v>
      </c>
      <c r="B263" s="4" t="s">
        <v>4145</v>
      </c>
      <c r="C263" s="4" t="s">
        <v>4146</v>
      </c>
      <c r="D263" s="4" t="s">
        <v>3008</v>
      </c>
      <c r="E263" s="4" t="s">
        <v>4151</v>
      </c>
      <c r="F263" s="4" t="s">
        <v>4157</v>
      </c>
      <c r="G263" s="4" t="s">
        <v>4149</v>
      </c>
      <c r="H263" s="4" t="s">
        <v>4156</v>
      </c>
      <c r="I263" s="4" t="s">
        <v>4178</v>
      </c>
    </row>
    <row r="264" spans="1:9" x14ac:dyDescent="0.3">
      <c r="A264">
        <v>266</v>
      </c>
      <c r="B264" s="4" t="s">
        <v>4145</v>
      </c>
      <c r="C264" s="4" t="s">
        <v>4146</v>
      </c>
      <c r="D264" s="4" t="s">
        <v>2999</v>
      </c>
      <c r="E264" s="4" t="s">
        <v>4151</v>
      </c>
      <c r="F264" s="4" t="s">
        <v>4148</v>
      </c>
      <c r="G264" s="4" t="s">
        <v>4149</v>
      </c>
      <c r="H264" s="4" t="s">
        <v>4156</v>
      </c>
      <c r="I264" s="4" t="s">
        <v>824</v>
      </c>
    </row>
    <row r="265" spans="1:9" x14ac:dyDescent="0.3">
      <c r="A265">
        <v>267</v>
      </c>
      <c r="B265" s="4" t="s">
        <v>4145</v>
      </c>
      <c r="C265" s="4" t="s">
        <v>4154</v>
      </c>
      <c r="D265" s="4" t="s">
        <v>2999</v>
      </c>
      <c r="E265" s="4" t="s">
        <v>4151</v>
      </c>
      <c r="F265" s="4" t="s">
        <v>4157</v>
      </c>
      <c r="G265" s="4" t="s">
        <v>4149</v>
      </c>
      <c r="H265" s="4" t="s">
        <v>4156</v>
      </c>
      <c r="I265" s="4" t="s">
        <v>824</v>
      </c>
    </row>
    <row r="266" spans="1:9" x14ac:dyDescent="0.3">
      <c r="A266">
        <v>268</v>
      </c>
      <c r="B266" s="4" t="s">
        <v>4145</v>
      </c>
      <c r="C266" s="4" t="s">
        <v>4154</v>
      </c>
      <c r="D266" s="4" t="s">
        <v>2999</v>
      </c>
      <c r="E266" s="4" t="s">
        <v>4151</v>
      </c>
      <c r="F266" s="4" t="s">
        <v>4157</v>
      </c>
      <c r="G266" s="4" t="s">
        <v>4149</v>
      </c>
      <c r="H266" s="4" t="s">
        <v>4156</v>
      </c>
      <c r="I266" s="4" t="s">
        <v>4178</v>
      </c>
    </row>
    <row r="267" spans="1:9" x14ac:dyDescent="0.3">
      <c r="A267">
        <v>269</v>
      </c>
      <c r="B267" s="4" t="s">
        <v>4145</v>
      </c>
      <c r="C267" s="4" t="s">
        <v>4154</v>
      </c>
      <c r="D267" s="4" t="s">
        <v>2999</v>
      </c>
      <c r="E267" s="4" t="s">
        <v>4151</v>
      </c>
      <c r="F267" s="4" t="s">
        <v>4148</v>
      </c>
      <c r="G267" s="4" t="s">
        <v>4153</v>
      </c>
      <c r="H267" s="4" t="s">
        <v>4158</v>
      </c>
      <c r="I267" s="4" t="s">
        <v>824</v>
      </c>
    </row>
    <row r="268" spans="1:9" x14ac:dyDescent="0.3">
      <c r="A268">
        <v>270</v>
      </c>
      <c r="B268" s="4" t="s">
        <v>4145</v>
      </c>
      <c r="C268" s="4" t="s">
        <v>4154</v>
      </c>
      <c r="D268" s="4" t="s">
        <v>2999</v>
      </c>
      <c r="E268" s="4" t="s">
        <v>4151</v>
      </c>
      <c r="F268" s="4" t="s">
        <v>4148</v>
      </c>
      <c r="G268" s="4" t="s">
        <v>4149</v>
      </c>
      <c r="H268" s="4" t="s">
        <v>4156</v>
      </c>
      <c r="I268" s="4" t="s">
        <v>824</v>
      </c>
    </row>
    <row r="269" spans="1:9" x14ac:dyDescent="0.3">
      <c r="A269">
        <v>271</v>
      </c>
      <c r="B269" s="4" t="s">
        <v>4145</v>
      </c>
      <c r="C269" s="4" t="s">
        <v>4146</v>
      </c>
      <c r="D269" s="4" t="s">
        <v>3001</v>
      </c>
      <c r="E269" s="4" t="s">
        <v>4147</v>
      </c>
      <c r="F269" s="4" t="s">
        <v>4159</v>
      </c>
      <c r="G269" s="4" t="s">
        <v>4153</v>
      </c>
      <c r="H269" s="4" t="s">
        <v>4158</v>
      </c>
      <c r="I269" s="4" t="s">
        <v>824</v>
      </c>
    </row>
    <row r="270" spans="1:9" x14ac:dyDescent="0.3">
      <c r="A270">
        <v>272</v>
      </c>
      <c r="B270" s="4" t="s">
        <v>4145</v>
      </c>
      <c r="C270" s="4" t="s">
        <v>4146</v>
      </c>
      <c r="D270" s="4" t="s">
        <v>2999</v>
      </c>
      <c r="E270" s="4" t="s">
        <v>4151</v>
      </c>
      <c r="F270" s="4" t="s">
        <v>4148</v>
      </c>
      <c r="G270" s="4" t="s">
        <v>4153</v>
      </c>
      <c r="H270" s="4" t="s">
        <v>4158</v>
      </c>
      <c r="I270" s="4" t="s">
        <v>824</v>
      </c>
    </row>
    <row r="271" spans="1:9" x14ac:dyDescent="0.3">
      <c r="A271">
        <v>273</v>
      </c>
      <c r="B271" s="4" t="s">
        <v>4145</v>
      </c>
      <c r="C271" s="4" t="s">
        <v>4146</v>
      </c>
      <c r="D271" s="4" t="s">
        <v>3001</v>
      </c>
      <c r="E271" s="4" t="s">
        <v>4147</v>
      </c>
      <c r="F271" s="4" t="s">
        <v>4148</v>
      </c>
      <c r="G271" s="4" t="s">
        <v>4153</v>
      </c>
      <c r="H271" s="4" t="s">
        <v>4158</v>
      </c>
      <c r="I271" s="4" t="s">
        <v>824</v>
      </c>
    </row>
    <row r="272" spans="1:9" x14ac:dyDescent="0.3">
      <c r="A272">
        <v>274</v>
      </c>
      <c r="B272" s="4" t="s">
        <v>4145</v>
      </c>
      <c r="C272" s="4" t="s">
        <v>4146</v>
      </c>
      <c r="D272" s="4" t="s">
        <v>2996</v>
      </c>
      <c r="E272" s="4" t="s">
        <v>4151</v>
      </c>
      <c r="F272" s="4" t="s">
        <v>4152</v>
      </c>
      <c r="G272" s="4" t="s">
        <v>4153</v>
      </c>
      <c r="H272" s="4" t="s">
        <v>4150</v>
      </c>
      <c r="I272" s="4" t="s">
        <v>4178</v>
      </c>
    </row>
    <row r="273" spans="1:9" x14ac:dyDescent="0.3">
      <c r="A273">
        <v>275</v>
      </c>
      <c r="B273" s="4" t="s">
        <v>4145</v>
      </c>
      <c r="C273" s="4" t="s">
        <v>4146</v>
      </c>
      <c r="D273" s="4" t="s">
        <v>2999</v>
      </c>
      <c r="E273" s="4" t="s">
        <v>4151</v>
      </c>
      <c r="F273" s="4" t="s">
        <v>4155</v>
      </c>
      <c r="G273" s="4" t="s">
        <v>4153</v>
      </c>
      <c r="H273" s="4" t="s">
        <v>4150</v>
      </c>
      <c r="I273" s="4" t="s">
        <v>4178</v>
      </c>
    </row>
    <row r="274" spans="1:9" x14ac:dyDescent="0.3">
      <c r="A274">
        <v>276</v>
      </c>
      <c r="B274" s="4" t="s">
        <v>4145</v>
      </c>
      <c r="C274" s="4" t="s">
        <v>4146</v>
      </c>
      <c r="D274" s="4" t="s">
        <v>3001</v>
      </c>
      <c r="E274" s="4" t="s">
        <v>4147</v>
      </c>
      <c r="F274" s="4" t="s">
        <v>4155</v>
      </c>
      <c r="G274" s="4" t="s">
        <v>4153</v>
      </c>
      <c r="H274" s="4" t="s">
        <v>4150</v>
      </c>
      <c r="I274" s="4" t="s">
        <v>4178</v>
      </c>
    </row>
    <row r="275" spans="1:9" x14ac:dyDescent="0.3">
      <c r="A275">
        <v>277</v>
      </c>
      <c r="B275" s="4" t="s">
        <v>4145</v>
      </c>
      <c r="C275" s="4" t="s">
        <v>4154</v>
      </c>
      <c r="D275" s="4" t="s">
        <v>2999</v>
      </c>
      <c r="E275" s="4" t="s">
        <v>4151</v>
      </c>
      <c r="F275" s="4" t="s">
        <v>4157</v>
      </c>
      <c r="G275" s="4" t="s">
        <v>4153</v>
      </c>
      <c r="H275" s="4" t="s">
        <v>4150</v>
      </c>
      <c r="I275" s="4" t="s">
        <v>4178</v>
      </c>
    </row>
    <row r="276" spans="1:9" x14ac:dyDescent="0.3">
      <c r="A276">
        <v>278</v>
      </c>
      <c r="B276" s="4" t="s">
        <v>4145</v>
      </c>
      <c r="C276" s="4" t="s">
        <v>4146</v>
      </c>
      <c r="D276" s="4" t="s">
        <v>3001</v>
      </c>
      <c r="E276" s="4" t="s">
        <v>4147</v>
      </c>
      <c r="F276" s="4" t="s">
        <v>4148</v>
      </c>
      <c r="G276" s="4" t="s">
        <v>4153</v>
      </c>
      <c r="H276" s="4" t="s">
        <v>4150</v>
      </c>
      <c r="I276" s="4" t="s">
        <v>4178</v>
      </c>
    </row>
    <row r="277" spans="1:9" x14ac:dyDescent="0.3">
      <c r="A277">
        <v>279</v>
      </c>
      <c r="B277" s="4" t="s">
        <v>4145</v>
      </c>
      <c r="C277" s="4" t="s">
        <v>4146</v>
      </c>
      <c r="D277" s="4" t="s">
        <v>3040</v>
      </c>
      <c r="E277" s="4" t="s">
        <v>4151</v>
      </c>
      <c r="F277" s="4" t="s">
        <v>4155</v>
      </c>
      <c r="G277" s="4" t="s">
        <v>4149</v>
      </c>
      <c r="H277" s="4" t="s">
        <v>4156</v>
      </c>
      <c r="I277" s="4" t="s">
        <v>4178</v>
      </c>
    </row>
    <row r="278" spans="1:9" x14ac:dyDescent="0.3">
      <c r="A278">
        <v>280</v>
      </c>
      <c r="B278" s="4" t="s">
        <v>4145</v>
      </c>
      <c r="C278" s="4" t="s">
        <v>4154</v>
      </c>
      <c r="D278" s="4" t="s">
        <v>2999</v>
      </c>
      <c r="E278" s="4" t="s">
        <v>4151</v>
      </c>
      <c r="F278" s="4" t="s">
        <v>4157</v>
      </c>
      <c r="G278" s="4" t="s">
        <v>4149</v>
      </c>
      <c r="H278" s="4" t="s">
        <v>4156</v>
      </c>
      <c r="I278" s="4" t="s">
        <v>824</v>
      </c>
    </row>
    <row r="279" spans="1:9" x14ac:dyDescent="0.3">
      <c r="A279">
        <v>281</v>
      </c>
      <c r="B279" s="4" t="s">
        <v>4145</v>
      </c>
      <c r="C279" s="4" t="s">
        <v>4146</v>
      </c>
      <c r="D279" s="4" t="s">
        <v>2999</v>
      </c>
      <c r="E279" s="4" t="s">
        <v>4151</v>
      </c>
      <c r="F279" s="4" t="s">
        <v>4157</v>
      </c>
      <c r="G279" s="4" t="s">
        <v>4153</v>
      </c>
      <c r="H279" s="4" t="s">
        <v>4158</v>
      </c>
      <c r="I279" s="4" t="s">
        <v>4178</v>
      </c>
    </row>
    <row r="280" spans="1:9" x14ac:dyDescent="0.3">
      <c r="A280">
        <v>282</v>
      </c>
      <c r="B280" s="4" t="s">
        <v>4145</v>
      </c>
      <c r="C280" s="4" t="s">
        <v>4146</v>
      </c>
      <c r="D280" s="4" t="s">
        <v>3001</v>
      </c>
      <c r="E280" s="4" t="s">
        <v>4147</v>
      </c>
      <c r="F280" s="4" t="s">
        <v>4155</v>
      </c>
      <c r="G280" s="4" t="s">
        <v>4153</v>
      </c>
      <c r="H280" s="4" t="s">
        <v>4158</v>
      </c>
      <c r="I280" s="4" t="s">
        <v>4178</v>
      </c>
    </row>
    <row r="281" spans="1:9" x14ac:dyDescent="0.3">
      <c r="A281">
        <v>283</v>
      </c>
      <c r="B281" s="4" t="s">
        <v>4145</v>
      </c>
      <c r="C281" s="4" t="s">
        <v>4146</v>
      </c>
      <c r="D281" s="4" t="s">
        <v>3001</v>
      </c>
      <c r="E281" s="4" t="s">
        <v>4147</v>
      </c>
      <c r="F281" s="4" t="s">
        <v>4157</v>
      </c>
      <c r="G281" s="4" t="s">
        <v>4153</v>
      </c>
      <c r="H281" s="4" t="s">
        <v>4158</v>
      </c>
      <c r="I281" s="4" t="s">
        <v>4178</v>
      </c>
    </row>
    <row r="282" spans="1:9" x14ac:dyDescent="0.3">
      <c r="A282">
        <v>284</v>
      </c>
      <c r="B282" s="4" t="s">
        <v>4145</v>
      </c>
      <c r="C282" s="4" t="s">
        <v>4154</v>
      </c>
      <c r="D282" s="4" t="s">
        <v>2999</v>
      </c>
      <c r="E282" s="4" t="s">
        <v>4151</v>
      </c>
      <c r="F282" s="4" t="s">
        <v>4148</v>
      </c>
      <c r="G282" s="4" t="s">
        <v>4149</v>
      </c>
      <c r="H282" s="4" t="s">
        <v>4156</v>
      </c>
      <c r="I282" s="4" t="s">
        <v>4178</v>
      </c>
    </row>
    <row r="283" spans="1:9" x14ac:dyDescent="0.3">
      <c r="A283">
        <v>285</v>
      </c>
      <c r="B283" s="4" t="s">
        <v>4145</v>
      </c>
      <c r="C283" s="4" t="s">
        <v>4146</v>
      </c>
      <c r="D283" s="4" t="s">
        <v>3001</v>
      </c>
      <c r="E283" s="4" t="s">
        <v>4147</v>
      </c>
      <c r="F283" s="4" t="s">
        <v>4157</v>
      </c>
      <c r="G283" s="4" t="s">
        <v>4149</v>
      </c>
      <c r="H283" s="4" t="s">
        <v>4158</v>
      </c>
      <c r="I283" s="4" t="s">
        <v>4160</v>
      </c>
    </row>
    <row r="284" spans="1:9" x14ac:dyDescent="0.3">
      <c r="A284">
        <v>286</v>
      </c>
      <c r="B284" s="4" t="s">
        <v>4145</v>
      </c>
      <c r="C284" s="4" t="s">
        <v>4154</v>
      </c>
      <c r="D284" s="4" t="s">
        <v>2999</v>
      </c>
      <c r="E284" s="4" t="s">
        <v>4151</v>
      </c>
      <c r="F284" s="4" t="s">
        <v>4157</v>
      </c>
      <c r="G284" s="4" t="s">
        <v>4153</v>
      </c>
      <c r="H284" s="4" t="s">
        <v>4150</v>
      </c>
      <c r="I284" s="4" t="s">
        <v>824</v>
      </c>
    </row>
    <row r="285" spans="1:9" x14ac:dyDescent="0.3">
      <c r="A285">
        <v>287</v>
      </c>
      <c r="B285" s="4" t="s">
        <v>4145</v>
      </c>
      <c r="C285" s="4" t="s">
        <v>4154</v>
      </c>
      <c r="D285" s="4" t="s">
        <v>3001</v>
      </c>
      <c r="E285" s="4" t="s">
        <v>4147</v>
      </c>
      <c r="F285" s="4" t="s">
        <v>4157</v>
      </c>
      <c r="G285" s="4" t="s">
        <v>4153</v>
      </c>
      <c r="H285" s="4" t="s">
        <v>4150</v>
      </c>
      <c r="I285" s="4" t="s">
        <v>824</v>
      </c>
    </row>
    <row r="286" spans="1:9" x14ac:dyDescent="0.3">
      <c r="A286">
        <v>288</v>
      </c>
      <c r="B286" s="4" t="s">
        <v>4145</v>
      </c>
      <c r="C286" s="4" t="s">
        <v>4154</v>
      </c>
      <c r="D286" s="4" t="s">
        <v>2999</v>
      </c>
      <c r="E286" s="4" t="s">
        <v>4151</v>
      </c>
      <c r="F286" s="4" t="s">
        <v>4157</v>
      </c>
      <c r="G286" s="4" t="s">
        <v>4149</v>
      </c>
      <c r="H286" s="4" t="s">
        <v>4156</v>
      </c>
      <c r="I286" s="4" t="s">
        <v>824</v>
      </c>
    </row>
    <row r="287" spans="1:9" x14ac:dyDescent="0.3">
      <c r="A287">
        <v>289</v>
      </c>
      <c r="B287" s="4" t="s">
        <v>4145</v>
      </c>
      <c r="C287" s="4" t="s">
        <v>4146</v>
      </c>
      <c r="D287" s="4" t="s">
        <v>3001</v>
      </c>
      <c r="E287" s="4" t="s">
        <v>4147</v>
      </c>
      <c r="F287" s="4" t="s">
        <v>4155</v>
      </c>
      <c r="G287" s="4" t="s">
        <v>4149</v>
      </c>
      <c r="H287" s="4" t="s">
        <v>4156</v>
      </c>
      <c r="I287" s="4" t="s">
        <v>824</v>
      </c>
    </row>
    <row r="288" spans="1:9" x14ac:dyDescent="0.3">
      <c r="A288">
        <v>290</v>
      </c>
      <c r="B288" s="4" t="s">
        <v>4145</v>
      </c>
      <c r="C288" s="4" t="s">
        <v>4146</v>
      </c>
      <c r="D288" s="4" t="s">
        <v>2994</v>
      </c>
      <c r="E288" s="4" t="s">
        <v>4147</v>
      </c>
      <c r="F288" s="4" t="s">
        <v>4159</v>
      </c>
      <c r="G288" s="4" t="s">
        <v>4153</v>
      </c>
      <c r="H288" s="4" t="s">
        <v>4158</v>
      </c>
      <c r="I288" s="4" t="s">
        <v>824</v>
      </c>
    </row>
    <row r="289" spans="1:9" x14ac:dyDescent="0.3">
      <c r="A289">
        <v>291</v>
      </c>
      <c r="B289" s="4" t="s">
        <v>4145</v>
      </c>
      <c r="C289" s="4" t="s">
        <v>4154</v>
      </c>
      <c r="D289" s="4" t="s">
        <v>2999</v>
      </c>
      <c r="E289" s="4" t="s">
        <v>4151</v>
      </c>
      <c r="F289" s="4" t="s">
        <v>4157</v>
      </c>
      <c r="G289" s="4" t="s">
        <v>4153</v>
      </c>
      <c r="H289" s="4" t="s">
        <v>4158</v>
      </c>
      <c r="I289" s="4" t="s">
        <v>824</v>
      </c>
    </row>
    <row r="290" spans="1:9" x14ac:dyDescent="0.3">
      <c r="A290">
        <v>292</v>
      </c>
      <c r="B290" s="4" t="s">
        <v>4145</v>
      </c>
      <c r="C290" s="4" t="s">
        <v>4146</v>
      </c>
      <c r="D290" s="4" t="s">
        <v>3001</v>
      </c>
      <c r="E290" s="4" t="s">
        <v>4147</v>
      </c>
      <c r="F290" s="4" t="s">
        <v>4155</v>
      </c>
      <c r="G290" s="4" t="s">
        <v>4153</v>
      </c>
      <c r="H290" s="4" t="s">
        <v>4158</v>
      </c>
      <c r="I290" s="4" t="s">
        <v>824</v>
      </c>
    </row>
    <row r="291" spans="1:9" x14ac:dyDescent="0.3">
      <c r="A291">
        <v>293</v>
      </c>
      <c r="B291" s="4" t="s">
        <v>4145</v>
      </c>
      <c r="C291" s="4" t="s">
        <v>4146</v>
      </c>
      <c r="D291" s="4" t="s">
        <v>2999</v>
      </c>
      <c r="E291" s="4" t="s">
        <v>4151</v>
      </c>
      <c r="F291" s="4" t="s">
        <v>4155</v>
      </c>
      <c r="G291" s="4" t="s">
        <v>4153</v>
      </c>
      <c r="H291" s="4" t="s">
        <v>4158</v>
      </c>
      <c r="I291" s="4" t="s">
        <v>824</v>
      </c>
    </row>
    <row r="292" spans="1:9" x14ac:dyDescent="0.3">
      <c r="A292">
        <v>294</v>
      </c>
      <c r="B292" s="4" t="s">
        <v>4145</v>
      </c>
      <c r="C292" s="4" t="s">
        <v>4146</v>
      </c>
      <c r="D292" s="4" t="s">
        <v>3001</v>
      </c>
      <c r="E292" s="4" t="s">
        <v>4147</v>
      </c>
      <c r="F292" s="4" t="s">
        <v>4148</v>
      </c>
      <c r="G292" s="4" t="s">
        <v>4153</v>
      </c>
      <c r="H292" s="4" t="s">
        <v>4158</v>
      </c>
      <c r="I292" s="4" t="s">
        <v>824</v>
      </c>
    </row>
    <row r="293" spans="1:9" x14ac:dyDescent="0.3">
      <c r="A293">
        <v>295</v>
      </c>
      <c r="B293" s="4" t="s">
        <v>4145</v>
      </c>
      <c r="C293" s="4" t="s">
        <v>4154</v>
      </c>
      <c r="D293" s="4" t="s">
        <v>2999</v>
      </c>
      <c r="E293" s="4" t="s">
        <v>4151</v>
      </c>
      <c r="F293" s="4" t="s">
        <v>4155</v>
      </c>
      <c r="G293" s="4" t="s">
        <v>4153</v>
      </c>
      <c r="H293" s="4" t="s">
        <v>4150</v>
      </c>
      <c r="I293" s="4" t="s">
        <v>4178</v>
      </c>
    </row>
    <row r="294" spans="1:9" x14ac:dyDescent="0.3">
      <c r="A294">
        <v>296</v>
      </c>
      <c r="B294" s="4" t="s">
        <v>4145</v>
      </c>
      <c r="C294" s="4" t="s">
        <v>4146</v>
      </c>
      <c r="D294" s="4" t="s">
        <v>2999</v>
      </c>
      <c r="E294" s="4" t="s">
        <v>4151</v>
      </c>
      <c r="F294" s="4" t="s">
        <v>4159</v>
      </c>
      <c r="G294" s="4" t="s">
        <v>4153</v>
      </c>
      <c r="H294" s="4" t="s">
        <v>4150</v>
      </c>
      <c r="I294" s="4" t="s">
        <v>4178</v>
      </c>
    </row>
    <row r="295" spans="1:9" x14ac:dyDescent="0.3">
      <c r="A295">
        <v>297</v>
      </c>
      <c r="B295" s="4" t="s">
        <v>4145</v>
      </c>
      <c r="C295" s="4" t="s">
        <v>4146</v>
      </c>
      <c r="D295" s="4" t="s">
        <v>3001</v>
      </c>
      <c r="E295" s="4" t="s">
        <v>4147</v>
      </c>
      <c r="F295" s="4" t="s">
        <v>4155</v>
      </c>
      <c r="G295" s="4" t="s">
        <v>4153</v>
      </c>
      <c r="H295" s="4" t="s">
        <v>4150</v>
      </c>
      <c r="I295" s="4" t="s">
        <v>4178</v>
      </c>
    </row>
    <row r="296" spans="1:9" x14ac:dyDescent="0.3">
      <c r="A296">
        <v>298</v>
      </c>
      <c r="B296" s="4" t="s">
        <v>4145</v>
      </c>
      <c r="C296" s="4" t="s">
        <v>4146</v>
      </c>
      <c r="D296" s="4" t="s">
        <v>3001</v>
      </c>
      <c r="E296" s="4" t="s">
        <v>4147</v>
      </c>
      <c r="F296" s="4" t="s">
        <v>4148</v>
      </c>
      <c r="G296" s="4" t="s">
        <v>4149</v>
      </c>
      <c r="H296" s="4" t="s">
        <v>4158</v>
      </c>
      <c r="I296" s="4" t="s">
        <v>4178</v>
      </c>
    </row>
    <row r="297" spans="1:9" x14ac:dyDescent="0.3">
      <c r="A297">
        <v>299</v>
      </c>
      <c r="B297" s="4" t="s">
        <v>4145</v>
      </c>
      <c r="C297" s="4" t="s">
        <v>4146</v>
      </c>
      <c r="D297" s="4" t="s">
        <v>2999</v>
      </c>
      <c r="E297" s="4" t="s">
        <v>4151</v>
      </c>
      <c r="F297" s="4" t="s">
        <v>4155</v>
      </c>
      <c r="G297" s="4" t="s">
        <v>4149</v>
      </c>
      <c r="H297" s="4" t="s">
        <v>4156</v>
      </c>
      <c r="I297" s="4" t="s">
        <v>4178</v>
      </c>
    </row>
    <row r="298" spans="1:9" x14ac:dyDescent="0.3">
      <c r="A298">
        <v>301</v>
      </c>
      <c r="B298" s="4" t="s">
        <v>4145</v>
      </c>
      <c r="C298" s="4" t="s">
        <v>4154</v>
      </c>
      <c r="D298" s="4" t="s">
        <v>2999</v>
      </c>
      <c r="E298" s="4" t="s">
        <v>4151</v>
      </c>
      <c r="F298" s="4" t="s">
        <v>4157</v>
      </c>
      <c r="G298" s="4" t="s">
        <v>4149</v>
      </c>
      <c r="H298" s="4" t="s">
        <v>4156</v>
      </c>
      <c r="I298" s="4" t="s">
        <v>824</v>
      </c>
    </row>
    <row r="299" spans="1:9" x14ac:dyDescent="0.3">
      <c r="A299">
        <v>302</v>
      </c>
      <c r="B299" s="4" t="s">
        <v>4145</v>
      </c>
      <c r="C299" s="4" t="s">
        <v>4154</v>
      </c>
      <c r="D299" s="4" t="s">
        <v>2999</v>
      </c>
      <c r="E299" s="4" t="s">
        <v>4151</v>
      </c>
      <c r="F299" s="4" t="s">
        <v>4155</v>
      </c>
      <c r="G299" s="4" t="s">
        <v>4149</v>
      </c>
      <c r="H299" s="4" t="s">
        <v>4156</v>
      </c>
      <c r="I299" s="4" t="s">
        <v>824</v>
      </c>
    </row>
    <row r="300" spans="1:9" x14ac:dyDescent="0.3">
      <c r="A300">
        <v>303</v>
      </c>
      <c r="B300" s="4" t="s">
        <v>4145</v>
      </c>
      <c r="C300" s="4" t="s">
        <v>4146</v>
      </c>
      <c r="D300" s="4" t="s">
        <v>2994</v>
      </c>
      <c r="E300" s="4" t="s">
        <v>4147</v>
      </c>
      <c r="F300" s="4" t="s">
        <v>4155</v>
      </c>
      <c r="G300" s="4" t="s">
        <v>4149</v>
      </c>
      <c r="H300" s="4" t="s">
        <v>4150</v>
      </c>
      <c r="I300" s="4" t="s">
        <v>4178</v>
      </c>
    </row>
    <row r="301" spans="1:9" x14ac:dyDescent="0.3">
      <c r="A301">
        <v>304</v>
      </c>
      <c r="B301" s="4" t="s">
        <v>4145</v>
      </c>
      <c r="C301" s="4" t="s">
        <v>4154</v>
      </c>
      <c r="D301" s="4" t="s">
        <v>2999</v>
      </c>
      <c r="E301" s="4" t="s">
        <v>4151</v>
      </c>
      <c r="F301" s="4" t="s">
        <v>4157</v>
      </c>
      <c r="G301" s="4" t="s">
        <v>4153</v>
      </c>
      <c r="H301" s="4" t="s">
        <v>4158</v>
      </c>
      <c r="I301" s="4" t="s">
        <v>4178</v>
      </c>
    </row>
    <row r="302" spans="1:9" x14ac:dyDescent="0.3">
      <c r="A302">
        <v>305</v>
      </c>
      <c r="B302" s="4" t="s">
        <v>4145</v>
      </c>
      <c r="C302" s="4" t="s">
        <v>4146</v>
      </c>
      <c r="D302" s="4" t="s">
        <v>3001</v>
      </c>
      <c r="E302" s="4" t="s">
        <v>4147</v>
      </c>
      <c r="F302" s="4" t="s">
        <v>4157</v>
      </c>
      <c r="G302" s="4" t="s">
        <v>4153</v>
      </c>
      <c r="H302" s="4" t="s">
        <v>4158</v>
      </c>
      <c r="I302" s="4" t="s">
        <v>4178</v>
      </c>
    </row>
    <row r="303" spans="1:9" x14ac:dyDescent="0.3">
      <c r="A303">
        <v>306</v>
      </c>
      <c r="B303" s="4" t="s">
        <v>4145</v>
      </c>
      <c r="C303" s="4" t="s">
        <v>4154</v>
      </c>
      <c r="D303" s="4" t="s">
        <v>3008</v>
      </c>
      <c r="E303" s="4" t="s">
        <v>4151</v>
      </c>
      <c r="F303" s="4" t="s">
        <v>4157</v>
      </c>
      <c r="G303" s="4" t="s">
        <v>4149</v>
      </c>
      <c r="H303" s="4" t="s">
        <v>4156</v>
      </c>
      <c r="I303" s="4" t="s">
        <v>824</v>
      </c>
    </row>
    <row r="304" spans="1:9" x14ac:dyDescent="0.3">
      <c r="A304">
        <v>307</v>
      </c>
      <c r="B304" s="4" t="s">
        <v>4145</v>
      </c>
      <c r="C304" s="4" t="s">
        <v>4154</v>
      </c>
      <c r="D304" s="4" t="s">
        <v>2999</v>
      </c>
      <c r="E304" s="4" t="s">
        <v>4151</v>
      </c>
      <c r="F304" s="4" t="s">
        <v>4157</v>
      </c>
      <c r="G304" s="4" t="s">
        <v>4153</v>
      </c>
      <c r="H304" s="4" t="s">
        <v>4158</v>
      </c>
      <c r="I304" s="4" t="s">
        <v>824</v>
      </c>
    </row>
    <row r="305" spans="1:9" x14ac:dyDescent="0.3">
      <c r="A305">
        <v>308</v>
      </c>
      <c r="B305" s="4" t="s">
        <v>4145</v>
      </c>
      <c r="C305" s="4" t="s">
        <v>4154</v>
      </c>
      <c r="D305" s="4" t="s">
        <v>2999</v>
      </c>
      <c r="E305" s="4" t="s">
        <v>4151</v>
      </c>
      <c r="F305" s="4" t="s">
        <v>4148</v>
      </c>
      <c r="G305" s="4" t="s">
        <v>4153</v>
      </c>
      <c r="H305" s="4" t="s">
        <v>4158</v>
      </c>
      <c r="I305" s="4" t="s">
        <v>824</v>
      </c>
    </row>
    <row r="306" spans="1:9" x14ac:dyDescent="0.3">
      <c r="A306">
        <v>309</v>
      </c>
      <c r="B306" s="4" t="s">
        <v>4145</v>
      </c>
      <c r="C306" s="4" t="s">
        <v>4146</v>
      </c>
      <c r="D306" s="4" t="s">
        <v>3001</v>
      </c>
      <c r="E306" s="4" t="s">
        <v>4147</v>
      </c>
      <c r="F306" s="4" t="s">
        <v>4157</v>
      </c>
      <c r="G306" s="4" t="s">
        <v>4149</v>
      </c>
      <c r="H306" s="4" t="s">
        <v>4150</v>
      </c>
      <c r="I306" s="4" t="s">
        <v>4178</v>
      </c>
    </row>
    <row r="307" spans="1:9" x14ac:dyDescent="0.3">
      <c r="A307">
        <v>310</v>
      </c>
      <c r="B307" s="4" t="s">
        <v>4145</v>
      </c>
      <c r="C307" s="4" t="s">
        <v>4146</v>
      </c>
      <c r="D307" s="4" t="s">
        <v>2994</v>
      </c>
      <c r="E307" s="4" t="s">
        <v>4147</v>
      </c>
      <c r="F307" s="4" t="s">
        <v>4155</v>
      </c>
      <c r="G307" s="4" t="s">
        <v>4153</v>
      </c>
      <c r="H307" s="4" t="s">
        <v>4150</v>
      </c>
      <c r="I307" s="4" t="s">
        <v>824</v>
      </c>
    </row>
    <row r="308" spans="1:9" x14ac:dyDescent="0.3">
      <c r="A308">
        <v>311</v>
      </c>
      <c r="B308" s="4" t="s">
        <v>4145</v>
      </c>
      <c r="C308" s="4" t="s">
        <v>4154</v>
      </c>
      <c r="D308" s="4" t="s">
        <v>2999</v>
      </c>
      <c r="E308" s="4" t="s">
        <v>4151</v>
      </c>
      <c r="F308" s="4" t="s">
        <v>4157</v>
      </c>
      <c r="G308" s="4" t="s">
        <v>4153</v>
      </c>
      <c r="H308" s="4" t="s">
        <v>4150</v>
      </c>
      <c r="I308" s="4" t="s">
        <v>824</v>
      </c>
    </row>
    <row r="309" spans="1:9" x14ac:dyDescent="0.3">
      <c r="A309">
        <v>312</v>
      </c>
      <c r="B309" s="4" t="s">
        <v>4145</v>
      </c>
      <c r="C309" s="4" t="s">
        <v>4146</v>
      </c>
      <c r="D309" s="4" t="s">
        <v>3001</v>
      </c>
      <c r="E309" s="4" t="s">
        <v>4147</v>
      </c>
      <c r="F309" s="4" t="s">
        <v>4155</v>
      </c>
      <c r="G309" s="4" t="s">
        <v>4153</v>
      </c>
      <c r="H309" s="4" t="s">
        <v>4150</v>
      </c>
      <c r="I309" s="4" t="s">
        <v>824</v>
      </c>
    </row>
    <row r="310" spans="1:9" x14ac:dyDescent="0.3">
      <c r="A310">
        <v>313</v>
      </c>
      <c r="B310" s="4" t="s">
        <v>4145</v>
      </c>
      <c r="C310" s="4" t="s">
        <v>4154</v>
      </c>
      <c r="D310" s="4" t="s">
        <v>2999</v>
      </c>
      <c r="E310" s="4" t="s">
        <v>4151</v>
      </c>
      <c r="F310" s="4" t="s">
        <v>4155</v>
      </c>
      <c r="G310" s="4" t="s">
        <v>4153</v>
      </c>
      <c r="H310" s="4" t="s">
        <v>4150</v>
      </c>
      <c r="I310" s="4" t="s">
        <v>4178</v>
      </c>
    </row>
    <row r="311" spans="1:9" x14ac:dyDescent="0.3">
      <c r="A311">
        <v>314</v>
      </c>
      <c r="B311" s="4" t="s">
        <v>4145</v>
      </c>
      <c r="C311" s="4" t="s">
        <v>4154</v>
      </c>
      <c r="D311" s="4" t="s">
        <v>2999</v>
      </c>
      <c r="E311" s="4" t="s">
        <v>4151</v>
      </c>
      <c r="F311" s="4" t="s">
        <v>4148</v>
      </c>
      <c r="G311" s="4" t="s">
        <v>4153</v>
      </c>
      <c r="H311" s="4" t="s">
        <v>4150</v>
      </c>
      <c r="I311" s="4" t="s">
        <v>4178</v>
      </c>
    </row>
    <row r="312" spans="1:9" x14ac:dyDescent="0.3">
      <c r="A312">
        <v>315</v>
      </c>
      <c r="B312" s="4" t="s">
        <v>4145</v>
      </c>
      <c r="C312" s="4" t="s">
        <v>4146</v>
      </c>
      <c r="D312" s="4" t="s">
        <v>3001</v>
      </c>
      <c r="E312" s="4" t="s">
        <v>4147</v>
      </c>
      <c r="F312" s="4" t="s">
        <v>4155</v>
      </c>
      <c r="G312" s="4" t="s">
        <v>4153</v>
      </c>
      <c r="H312" s="4" t="s">
        <v>4150</v>
      </c>
      <c r="I312" s="4" t="s">
        <v>4178</v>
      </c>
    </row>
    <row r="313" spans="1:9" x14ac:dyDescent="0.3">
      <c r="A313">
        <v>316</v>
      </c>
      <c r="B313" s="4" t="s">
        <v>4145</v>
      </c>
      <c r="C313" s="4" t="s">
        <v>4146</v>
      </c>
      <c r="D313" s="4" t="s">
        <v>2994</v>
      </c>
      <c r="E313" s="4" t="s">
        <v>4147</v>
      </c>
      <c r="F313" s="4" t="s">
        <v>4148</v>
      </c>
      <c r="G313" s="4" t="s">
        <v>4149</v>
      </c>
      <c r="H313" s="4" t="s">
        <v>4156</v>
      </c>
      <c r="I313" s="4" t="s">
        <v>824</v>
      </c>
    </row>
    <row r="314" spans="1:9" x14ac:dyDescent="0.3">
      <c r="A314">
        <v>317</v>
      </c>
      <c r="B314" s="4" t="s">
        <v>4145</v>
      </c>
      <c r="C314" s="4" t="s">
        <v>4154</v>
      </c>
      <c r="D314" s="4" t="s">
        <v>2999</v>
      </c>
      <c r="E314" s="4" t="s">
        <v>4151</v>
      </c>
      <c r="F314" s="4" t="s">
        <v>4157</v>
      </c>
      <c r="G314" s="4" t="s">
        <v>4153</v>
      </c>
      <c r="H314" s="4" t="s">
        <v>4158</v>
      </c>
      <c r="I314" s="4" t="s">
        <v>4178</v>
      </c>
    </row>
    <row r="315" spans="1:9" x14ac:dyDescent="0.3">
      <c r="A315">
        <v>318</v>
      </c>
      <c r="B315" s="4" t="s">
        <v>4145</v>
      </c>
      <c r="C315" s="4" t="s">
        <v>4146</v>
      </c>
      <c r="D315" s="4" t="s">
        <v>2999</v>
      </c>
      <c r="E315" s="4" t="s">
        <v>4151</v>
      </c>
      <c r="F315" s="4" t="s">
        <v>4148</v>
      </c>
      <c r="G315" s="4" t="s">
        <v>4153</v>
      </c>
      <c r="H315" s="4" t="s">
        <v>4158</v>
      </c>
      <c r="I315" s="4" t="s">
        <v>4178</v>
      </c>
    </row>
    <row r="316" spans="1:9" x14ac:dyDescent="0.3">
      <c r="A316">
        <v>319</v>
      </c>
      <c r="B316" s="4" t="s">
        <v>4145</v>
      </c>
      <c r="C316" s="4" t="s">
        <v>4154</v>
      </c>
      <c r="D316" s="4" t="s">
        <v>2999</v>
      </c>
      <c r="E316" s="4" t="s">
        <v>4151</v>
      </c>
      <c r="F316" s="4" t="s">
        <v>4148</v>
      </c>
      <c r="G316" s="4" t="s">
        <v>4149</v>
      </c>
      <c r="H316" s="4" t="s">
        <v>4156</v>
      </c>
      <c r="I316" s="4" t="s">
        <v>824</v>
      </c>
    </row>
    <row r="317" spans="1:9" x14ac:dyDescent="0.3">
      <c r="A317">
        <v>320</v>
      </c>
      <c r="B317" s="4" t="s">
        <v>4145</v>
      </c>
      <c r="C317" s="4" t="s">
        <v>4146</v>
      </c>
      <c r="D317" s="4" t="s">
        <v>2994</v>
      </c>
      <c r="E317" s="4" t="s">
        <v>4147</v>
      </c>
      <c r="F317" s="4" t="s">
        <v>4155</v>
      </c>
      <c r="G317" s="4" t="s">
        <v>4149</v>
      </c>
      <c r="H317" s="4" t="s">
        <v>4150</v>
      </c>
      <c r="I317" s="4" t="s">
        <v>4178</v>
      </c>
    </row>
    <row r="318" spans="1:9" x14ac:dyDescent="0.3">
      <c r="A318">
        <v>321</v>
      </c>
      <c r="B318" s="4" t="s">
        <v>4145</v>
      </c>
      <c r="C318" s="4" t="s">
        <v>4146</v>
      </c>
      <c r="D318" s="4" t="s">
        <v>2999</v>
      </c>
      <c r="E318" s="4" t="s">
        <v>4151</v>
      </c>
      <c r="F318" s="4" t="s">
        <v>4148</v>
      </c>
      <c r="G318" s="4" t="s">
        <v>4149</v>
      </c>
      <c r="H318" s="4" t="s">
        <v>4156</v>
      </c>
      <c r="I318" s="4" t="s">
        <v>824</v>
      </c>
    </row>
    <row r="319" spans="1:9" x14ac:dyDescent="0.3">
      <c r="A319">
        <v>322</v>
      </c>
      <c r="B319" s="4" t="s">
        <v>4145</v>
      </c>
      <c r="C319" s="4" t="s">
        <v>4154</v>
      </c>
      <c r="D319" s="4" t="s">
        <v>2999</v>
      </c>
      <c r="E319" s="4" t="s">
        <v>4151</v>
      </c>
      <c r="F319" s="4" t="s">
        <v>4157</v>
      </c>
      <c r="G319" s="4" t="s">
        <v>4149</v>
      </c>
      <c r="H319" s="4" t="s">
        <v>4156</v>
      </c>
      <c r="I319" s="4" t="s">
        <v>824</v>
      </c>
    </row>
    <row r="320" spans="1:9" x14ac:dyDescent="0.3">
      <c r="A320">
        <v>323</v>
      </c>
      <c r="B320" s="4" t="s">
        <v>4145</v>
      </c>
      <c r="C320" s="4" t="s">
        <v>4146</v>
      </c>
      <c r="D320" s="4" t="s">
        <v>2994</v>
      </c>
      <c r="E320" s="4" t="s">
        <v>4147</v>
      </c>
      <c r="F320" s="4" t="s">
        <v>4155</v>
      </c>
      <c r="G320" s="4" t="s">
        <v>4149</v>
      </c>
      <c r="H320" s="4" t="s">
        <v>4150</v>
      </c>
      <c r="I320" s="4" t="s">
        <v>4178</v>
      </c>
    </row>
    <row r="321" spans="1:9" x14ac:dyDescent="0.3">
      <c r="A321">
        <v>324</v>
      </c>
      <c r="B321" s="4" t="s">
        <v>4161</v>
      </c>
      <c r="C321" s="4" t="s">
        <v>4154</v>
      </c>
      <c r="D321" s="4" t="s">
        <v>2999</v>
      </c>
      <c r="E321" s="4" t="s">
        <v>4151</v>
      </c>
      <c r="F321" s="4" t="s">
        <v>4148</v>
      </c>
      <c r="G321" s="4" t="s">
        <v>4153</v>
      </c>
      <c r="H321" s="4" t="s">
        <v>4156</v>
      </c>
      <c r="I321" s="4" t="s">
        <v>4178</v>
      </c>
    </row>
    <row r="322" spans="1:9" x14ac:dyDescent="0.3">
      <c r="A322">
        <v>325</v>
      </c>
      <c r="B322" s="4" t="s">
        <v>4161</v>
      </c>
      <c r="C322" s="4" t="s">
        <v>4146</v>
      </c>
      <c r="D322" s="4" t="s">
        <v>3001</v>
      </c>
      <c r="E322" s="4" t="s">
        <v>4147</v>
      </c>
      <c r="F322" s="4" t="s">
        <v>4148</v>
      </c>
      <c r="G322" s="4" t="s">
        <v>4153</v>
      </c>
      <c r="H322" s="4" t="s">
        <v>4156</v>
      </c>
      <c r="I322" s="4" t="s">
        <v>4178</v>
      </c>
    </row>
    <row r="323" spans="1:9" x14ac:dyDescent="0.3">
      <c r="A323">
        <v>326</v>
      </c>
      <c r="B323" s="4" t="s">
        <v>4161</v>
      </c>
      <c r="C323" s="4" t="s">
        <v>4154</v>
      </c>
      <c r="D323" s="4" t="s">
        <v>2999</v>
      </c>
      <c r="E323" s="4" t="s">
        <v>4151</v>
      </c>
      <c r="F323" s="4" t="s">
        <v>4148</v>
      </c>
      <c r="G323" s="4" t="s">
        <v>4149</v>
      </c>
      <c r="H323" s="4" t="s">
        <v>4156</v>
      </c>
      <c r="I323" s="4" t="s">
        <v>824</v>
      </c>
    </row>
    <row r="324" spans="1:9" x14ac:dyDescent="0.3">
      <c r="A324">
        <v>327</v>
      </c>
      <c r="B324" s="4" t="s">
        <v>4161</v>
      </c>
      <c r="C324" s="4" t="s">
        <v>4154</v>
      </c>
      <c r="D324" s="4" t="s">
        <v>2999</v>
      </c>
      <c r="E324" s="4" t="s">
        <v>4151</v>
      </c>
      <c r="F324" s="4" t="s">
        <v>4159</v>
      </c>
      <c r="G324" s="4" t="s">
        <v>4149</v>
      </c>
      <c r="H324" s="4" t="s">
        <v>4156</v>
      </c>
      <c r="I324" s="4" t="s">
        <v>824</v>
      </c>
    </row>
    <row r="325" spans="1:9" x14ac:dyDescent="0.3">
      <c r="A325">
        <v>328</v>
      </c>
      <c r="B325" s="4" t="s">
        <v>4161</v>
      </c>
      <c r="C325" s="4" t="s">
        <v>4154</v>
      </c>
      <c r="D325" s="4" t="s">
        <v>2999</v>
      </c>
      <c r="E325" s="4" t="s">
        <v>4151</v>
      </c>
      <c r="F325" s="4" t="s">
        <v>4148</v>
      </c>
      <c r="G325" s="4" t="s">
        <v>4149</v>
      </c>
      <c r="H325" s="4" t="s">
        <v>4156</v>
      </c>
      <c r="I325" s="4" t="s">
        <v>824</v>
      </c>
    </row>
    <row r="326" spans="1:9" x14ac:dyDescent="0.3">
      <c r="A326">
        <v>329</v>
      </c>
      <c r="B326" s="4" t="s">
        <v>4161</v>
      </c>
      <c r="C326" s="4" t="s">
        <v>4154</v>
      </c>
      <c r="D326" s="4" t="s">
        <v>2999</v>
      </c>
      <c r="E326" s="4" t="s">
        <v>4151</v>
      </c>
      <c r="F326" s="4" t="s">
        <v>4155</v>
      </c>
      <c r="G326" s="4" t="s">
        <v>4153</v>
      </c>
      <c r="H326" s="4" t="s">
        <v>4156</v>
      </c>
      <c r="I326" s="4" t="s">
        <v>824</v>
      </c>
    </row>
    <row r="327" spans="1:9" x14ac:dyDescent="0.3">
      <c r="A327">
        <v>330</v>
      </c>
      <c r="B327" s="4" t="s">
        <v>4161</v>
      </c>
      <c r="C327" s="4" t="s">
        <v>4146</v>
      </c>
      <c r="D327" s="4" t="s">
        <v>3001</v>
      </c>
      <c r="E327" s="4" t="s">
        <v>4147</v>
      </c>
      <c r="F327" s="4" t="s">
        <v>4155</v>
      </c>
      <c r="G327" s="4" t="s">
        <v>4153</v>
      </c>
      <c r="H327" s="4" t="s">
        <v>4156</v>
      </c>
      <c r="I327" s="4" t="s">
        <v>824</v>
      </c>
    </row>
    <row r="328" spans="1:9" x14ac:dyDescent="0.3">
      <c r="A328">
        <v>331</v>
      </c>
      <c r="B328" s="4" t="s">
        <v>4161</v>
      </c>
      <c r="C328" s="4" t="s">
        <v>4154</v>
      </c>
      <c r="D328" s="4" t="s">
        <v>2999</v>
      </c>
      <c r="E328" s="4" t="s">
        <v>4151</v>
      </c>
      <c r="F328" s="4" t="s">
        <v>4157</v>
      </c>
      <c r="G328" s="4" t="s">
        <v>4149</v>
      </c>
      <c r="H328" s="4" t="s">
        <v>4156</v>
      </c>
      <c r="I328" s="4" t="s">
        <v>824</v>
      </c>
    </row>
    <row r="329" spans="1:9" x14ac:dyDescent="0.3">
      <c r="A329">
        <v>332</v>
      </c>
      <c r="B329" s="4" t="s">
        <v>4161</v>
      </c>
      <c r="C329" s="4" t="s">
        <v>4154</v>
      </c>
      <c r="D329" s="4" t="s">
        <v>2999</v>
      </c>
      <c r="E329" s="4" t="s">
        <v>4151</v>
      </c>
      <c r="F329" s="4" t="s">
        <v>4159</v>
      </c>
      <c r="G329" s="4" t="s">
        <v>4149</v>
      </c>
      <c r="H329" s="4" t="s">
        <v>4156</v>
      </c>
      <c r="I329" s="4" t="s">
        <v>824</v>
      </c>
    </row>
    <row r="330" spans="1:9" x14ac:dyDescent="0.3">
      <c r="A330">
        <v>333</v>
      </c>
      <c r="B330" s="4" t="s">
        <v>4161</v>
      </c>
      <c r="C330" s="4" t="s">
        <v>4154</v>
      </c>
      <c r="D330" s="4" t="s">
        <v>2999</v>
      </c>
      <c r="E330" s="4" t="s">
        <v>4151</v>
      </c>
      <c r="F330" s="4" t="s">
        <v>4148</v>
      </c>
      <c r="G330" s="4" t="s">
        <v>4149</v>
      </c>
      <c r="H330" s="4" t="s">
        <v>4156</v>
      </c>
      <c r="I330" s="4" t="s">
        <v>824</v>
      </c>
    </row>
    <row r="331" spans="1:9" x14ac:dyDescent="0.3">
      <c r="A331">
        <v>334</v>
      </c>
      <c r="B331" s="4" t="s">
        <v>4161</v>
      </c>
      <c r="C331" s="4" t="s">
        <v>4146</v>
      </c>
      <c r="D331" s="4" t="s">
        <v>3001</v>
      </c>
      <c r="E331" s="4" t="s">
        <v>4147</v>
      </c>
      <c r="F331" s="4" t="s">
        <v>4155</v>
      </c>
      <c r="G331" s="4" t="s">
        <v>4149</v>
      </c>
      <c r="H331" s="4" t="s">
        <v>4156</v>
      </c>
      <c r="I331" s="4" t="s">
        <v>824</v>
      </c>
    </row>
    <row r="332" spans="1:9" x14ac:dyDescent="0.3">
      <c r="A332">
        <v>335</v>
      </c>
      <c r="B332" s="4" t="s">
        <v>4161</v>
      </c>
      <c r="C332" s="4" t="s">
        <v>4154</v>
      </c>
      <c r="D332" s="4" t="s">
        <v>2999</v>
      </c>
      <c r="E332" s="4" t="s">
        <v>4151</v>
      </c>
      <c r="F332" s="4" t="s">
        <v>4148</v>
      </c>
      <c r="G332" s="4" t="s">
        <v>4149</v>
      </c>
      <c r="H332" s="4" t="s">
        <v>4156</v>
      </c>
      <c r="I332" s="4" t="s">
        <v>824</v>
      </c>
    </row>
    <row r="333" spans="1:9" x14ac:dyDescent="0.3">
      <c r="A333">
        <v>336</v>
      </c>
      <c r="B333" s="4" t="s">
        <v>4161</v>
      </c>
      <c r="C333" s="4" t="s">
        <v>4154</v>
      </c>
      <c r="D333" s="4" t="s">
        <v>3338</v>
      </c>
      <c r="E333" s="4" t="s">
        <v>4151</v>
      </c>
      <c r="F333" s="4" t="s">
        <v>4157</v>
      </c>
      <c r="G333" s="4" t="s">
        <v>4149</v>
      </c>
      <c r="H333" s="4" t="s">
        <v>4156</v>
      </c>
      <c r="I333" s="4" t="s">
        <v>824</v>
      </c>
    </row>
    <row r="334" spans="1:9" x14ac:dyDescent="0.3">
      <c r="A334">
        <v>337</v>
      </c>
      <c r="B334" s="4" t="s">
        <v>4161</v>
      </c>
      <c r="C334" s="4" t="s">
        <v>4146</v>
      </c>
      <c r="D334" s="4" t="s">
        <v>2999</v>
      </c>
      <c r="E334" s="4" t="s">
        <v>4151</v>
      </c>
      <c r="F334" s="4" t="s">
        <v>4155</v>
      </c>
      <c r="G334" s="4" t="s">
        <v>4153</v>
      </c>
      <c r="H334" s="4" t="s">
        <v>4156</v>
      </c>
      <c r="I334" s="4" t="s">
        <v>824</v>
      </c>
    </row>
    <row r="335" spans="1:9" x14ac:dyDescent="0.3">
      <c r="A335">
        <v>338</v>
      </c>
      <c r="B335" s="4" t="s">
        <v>4161</v>
      </c>
      <c r="C335" s="4" t="s">
        <v>4146</v>
      </c>
      <c r="D335" s="4" t="s">
        <v>3001</v>
      </c>
      <c r="E335" s="4" t="s">
        <v>4147</v>
      </c>
      <c r="F335" s="4" t="s">
        <v>4148</v>
      </c>
      <c r="G335" s="4" t="s">
        <v>4153</v>
      </c>
      <c r="H335" s="4" t="s">
        <v>4156</v>
      </c>
      <c r="I335" s="4" t="s">
        <v>824</v>
      </c>
    </row>
    <row r="336" spans="1:9" x14ac:dyDescent="0.3">
      <c r="A336">
        <v>339</v>
      </c>
      <c r="B336" s="4" t="s">
        <v>4161</v>
      </c>
      <c r="C336" s="4" t="s">
        <v>4154</v>
      </c>
      <c r="D336" s="4" t="s">
        <v>2999</v>
      </c>
      <c r="E336" s="4" t="s">
        <v>4151</v>
      </c>
      <c r="F336" s="4" t="s">
        <v>4148</v>
      </c>
      <c r="G336" s="4" t="s">
        <v>4149</v>
      </c>
      <c r="H336" s="4" t="s">
        <v>4156</v>
      </c>
      <c r="I336" s="4" t="s">
        <v>824</v>
      </c>
    </row>
    <row r="337" spans="1:9" x14ac:dyDescent="0.3">
      <c r="A337">
        <v>340</v>
      </c>
      <c r="B337" s="4" t="s">
        <v>4161</v>
      </c>
      <c r="C337" s="4" t="s">
        <v>4146</v>
      </c>
      <c r="D337" s="4" t="s">
        <v>2996</v>
      </c>
      <c r="E337" s="4" t="s">
        <v>4151</v>
      </c>
      <c r="F337" s="4" t="s">
        <v>4152</v>
      </c>
      <c r="G337" s="4" t="s">
        <v>4153</v>
      </c>
      <c r="H337" s="4" t="s">
        <v>4156</v>
      </c>
      <c r="I337" s="4" t="s">
        <v>824</v>
      </c>
    </row>
    <row r="338" spans="1:9" x14ac:dyDescent="0.3">
      <c r="A338">
        <v>341</v>
      </c>
      <c r="B338" s="4" t="s">
        <v>4161</v>
      </c>
      <c r="C338" s="4" t="s">
        <v>4146</v>
      </c>
      <c r="D338" s="4" t="s">
        <v>2994</v>
      </c>
      <c r="E338" s="4" t="s">
        <v>4147</v>
      </c>
      <c r="F338" s="4" t="s">
        <v>4152</v>
      </c>
      <c r="G338" s="4" t="s">
        <v>4153</v>
      </c>
      <c r="H338" s="4" t="s">
        <v>4156</v>
      </c>
      <c r="I338" s="4" t="s">
        <v>824</v>
      </c>
    </row>
    <row r="339" spans="1:9" x14ac:dyDescent="0.3">
      <c r="A339">
        <v>342</v>
      </c>
      <c r="B339" s="4" t="s">
        <v>4161</v>
      </c>
      <c r="C339" s="4" t="s">
        <v>4146</v>
      </c>
      <c r="D339" s="4" t="s">
        <v>2994</v>
      </c>
      <c r="E339" s="4" t="s">
        <v>4147</v>
      </c>
      <c r="F339" s="4" t="s">
        <v>4152</v>
      </c>
      <c r="G339" s="4" t="s">
        <v>4153</v>
      </c>
      <c r="H339" s="4" t="s">
        <v>4156</v>
      </c>
      <c r="I339" s="4" t="s">
        <v>824</v>
      </c>
    </row>
    <row r="340" spans="1:9" x14ac:dyDescent="0.3">
      <c r="A340">
        <v>343</v>
      </c>
      <c r="B340" s="4" t="s">
        <v>4161</v>
      </c>
      <c r="C340" s="4" t="s">
        <v>4146</v>
      </c>
      <c r="D340" s="4" t="s">
        <v>3001</v>
      </c>
      <c r="E340" s="4" t="s">
        <v>4147</v>
      </c>
      <c r="F340" s="4" t="s">
        <v>4155</v>
      </c>
      <c r="G340" s="4" t="s">
        <v>4153</v>
      </c>
      <c r="H340" s="4" t="s">
        <v>4156</v>
      </c>
      <c r="I340" s="4" t="s">
        <v>824</v>
      </c>
    </row>
    <row r="341" spans="1:9" x14ac:dyDescent="0.3">
      <c r="A341">
        <v>344</v>
      </c>
      <c r="B341" s="4" t="s">
        <v>4161</v>
      </c>
      <c r="C341" s="4" t="s">
        <v>4146</v>
      </c>
      <c r="D341" s="4" t="s">
        <v>2999</v>
      </c>
      <c r="E341" s="4" t="s">
        <v>4151</v>
      </c>
      <c r="F341" s="4" t="s">
        <v>4155</v>
      </c>
      <c r="G341" s="4" t="s">
        <v>4149</v>
      </c>
      <c r="H341" s="4" t="s">
        <v>4156</v>
      </c>
      <c r="I341" s="4" t="s">
        <v>824</v>
      </c>
    </row>
    <row r="342" spans="1:9" x14ac:dyDescent="0.3">
      <c r="A342">
        <v>345</v>
      </c>
      <c r="B342" s="4" t="s">
        <v>4161</v>
      </c>
      <c r="C342" s="4" t="s">
        <v>4146</v>
      </c>
      <c r="D342" s="4" t="s">
        <v>2994</v>
      </c>
      <c r="E342" s="4" t="s">
        <v>4147</v>
      </c>
      <c r="F342" s="4" t="s">
        <v>4148</v>
      </c>
      <c r="G342" s="4" t="s">
        <v>4149</v>
      </c>
      <c r="H342" s="4" t="s">
        <v>4156</v>
      </c>
      <c r="I342" s="4" t="s">
        <v>824</v>
      </c>
    </row>
    <row r="343" spans="1:9" x14ac:dyDescent="0.3">
      <c r="A343">
        <v>346</v>
      </c>
      <c r="B343" s="4" t="s">
        <v>4161</v>
      </c>
      <c r="C343" s="4" t="s">
        <v>4154</v>
      </c>
      <c r="D343" s="4" t="s">
        <v>2999</v>
      </c>
      <c r="E343" s="4" t="s">
        <v>4151</v>
      </c>
      <c r="F343" s="4" t="s">
        <v>4148</v>
      </c>
      <c r="G343" s="4" t="s">
        <v>4149</v>
      </c>
      <c r="H343" s="4" t="s">
        <v>4156</v>
      </c>
      <c r="I343" s="4" t="s">
        <v>824</v>
      </c>
    </row>
    <row r="344" spans="1:9" x14ac:dyDescent="0.3">
      <c r="A344">
        <v>347</v>
      </c>
      <c r="B344" s="4" t="s">
        <v>4161</v>
      </c>
      <c r="C344" s="4" t="s">
        <v>4154</v>
      </c>
      <c r="D344" s="4" t="s">
        <v>2999</v>
      </c>
      <c r="E344" s="4" t="s">
        <v>4151</v>
      </c>
      <c r="F344" s="4" t="s">
        <v>4148</v>
      </c>
      <c r="G344" s="4" t="s">
        <v>4149</v>
      </c>
      <c r="H344" s="4" t="s">
        <v>4156</v>
      </c>
      <c r="I344" s="4" t="s">
        <v>824</v>
      </c>
    </row>
    <row r="345" spans="1:9" x14ac:dyDescent="0.3">
      <c r="A345">
        <v>348</v>
      </c>
      <c r="B345" s="4" t="s">
        <v>4161</v>
      </c>
      <c r="C345" s="4" t="s">
        <v>4154</v>
      </c>
      <c r="D345" s="4" t="s">
        <v>2999</v>
      </c>
      <c r="E345" s="4" t="s">
        <v>4151</v>
      </c>
      <c r="F345" s="4" t="s">
        <v>4155</v>
      </c>
      <c r="G345" s="4" t="s">
        <v>4149</v>
      </c>
      <c r="H345" s="4" t="s">
        <v>4156</v>
      </c>
      <c r="I345" s="4" t="s">
        <v>824</v>
      </c>
    </row>
    <row r="346" spans="1:9" x14ac:dyDescent="0.3">
      <c r="A346">
        <v>349</v>
      </c>
      <c r="B346" s="4" t="s">
        <v>4161</v>
      </c>
      <c r="C346" s="4" t="s">
        <v>4154</v>
      </c>
      <c r="D346" s="4" t="s">
        <v>2999</v>
      </c>
      <c r="E346" s="4" t="s">
        <v>4151</v>
      </c>
      <c r="F346" s="4" t="s">
        <v>4148</v>
      </c>
      <c r="G346" s="4" t="s">
        <v>4149</v>
      </c>
      <c r="H346" s="4" t="s">
        <v>4156</v>
      </c>
      <c r="I346" s="4" t="s">
        <v>824</v>
      </c>
    </row>
    <row r="347" spans="1:9" x14ac:dyDescent="0.3">
      <c r="A347">
        <v>350</v>
      </c>
      <c r="B347" s="4" t="s">
        <v>4161</v>
      </c>
      <c r="C347" s="4" t="s">
        <v>4146</v>
      </c>
      <c r="D347" s="4" t="s">
        <v>2994</v>
      </c>
      <c r="E347" s="4" t="s">
        <v>4147</v>
      </c>
      <c r="F347" s="4" t="s">
        <v>4148</v>
      </c>
      <c r="G347" s="4" t="s">
        <v>4149</v>
      </c>
      <c r="H347" s="4" t="s">
        <v>4156</v>
      </c>
      <c r="I347" s="4" t="s">
        <v>824</v>
      </c>
    </row>
    <row r="348" spans="1:9" x14ac:dyDescent="0.3">
      <c r="A348">
        <v>351</v>
      </c>
      <c r="B348" s="4" t="s">
        <v>4161</v>
      </c>
      <c r="C348" s="4" t="s">
        <v>4146</v>
      </c>
      <c r="D348" s="4" t="s">
        <v>2994</v>
      </c>
      <c r="E348" s="4" t="s">
        <v>4147</v>
      </c>
      <c r="F348" s="4" t="s">
        <v>4159</v>
      </c>
      <c r="G348" s="4" t="s">
        <v>4153</v>
      </c>
      <c r="H348" s="4" t="s">
        <v>4156</v>
      </c>
      <c r="I348" s="4" t="s">
        <v>824</v>
      </c>
    </row>
    <row r="349" spans="1:9" x14ac:dyDescent="0.3">
      <c r="A349">
        <v>352</v>
      </c>
      <c r="B349" s="4" t="s">
        <v>4161</v>
      </c>
      <c r="C349" s="4" t="s">
        <v>4154</v>
      </c>
      <c r="D349" s="4" t="s">
        <v>2999</v>
      </c>
      <c r="E349" s="4" t="s">
        <v>4151</v>
      </c>
      <c r="F349" s="4" t="s">
        <v>4157</v>
      </c>
      <c r="G349" s="4" t="s">
        <v>4153</v>
      </c>
      <c r="H349" s="4" t="s">
        <v>4156</v>
      </c>
      <c r="I349" s="4" t="s">
        <v>824</v>
      </c>
    </row>
    <row r="350" spans="1:9" x14ac:dyDescent="0.3">
      <c r="A350">
        <v>353</v>
      </c>
      <c r="B350" s="4" t="s">
        <v>4161</v>
      </c>
      <c r="C350" s="4" t="s">
        <v>4146</v>
      </c>
      <c r="D350" s="4" t="s">
        <v>3001</v>
      </c>
      <c r="E350" s="4" t="s">
        <v>4147</v>
      </c>
      <c r="F350" s="4" t="s">
        <v>4155</v>
      </c>
      <c r="G350" s="4" t="s">
        <v>4153</v>
      </c>
      <c r="H350" s="4" t="s">
        <v>4156</v>
      </c>
      <c r="I350" s="4" t="s">
        <v>824</v>
      </c>
    </row>
    <row r="351" spans="1:9" x14ac:dyDescent="0.3">
      <c r="A351">
        <v>354</v>
      </c>
      <c r="B351" s="4" t="s">
        <v>4161</v>
      </c>
      <c r="C351" s="4" t="s">
        <v>4146</v>
      </c>
      <c r="D351" s="4" t="s">
        <v>2994</v>
      </c>
      <c r="E351" s="4" t="s">
        <v>4147</v>
      </c>
      <c r="F351" s="4" t="s">
        <v>4148</v>
      </c>
      <c r="G351" s="4" t="s">
        <v>4153</v>
      </c>
      <c r="H351" s="4" t="s">
        <v>4156</v>
      </c>
      <c r="I351" s="4" t="s">
        <v>824</v>
      </c>
    </row>
    <row r="352" spans="1:9" x14ac:dyDescent="0.3">
      <c r="A352">
        <v>355</v>
      </c>
      <c r="B352" s="4" t="s">
        <v>4161</v>
      </c>
      <c r="C352" s="4" t="s">
        <v>4154</v>
      </c>
      <c r="D352" s="4" t="s">
        <v>2999</v>
      </c>
      <c r="E352" s="4" t="s">
        <v>4151</v>
      </c>
      <c r="F352" s="4" t="s">
        <v>4148</v>
      </c>
      <c r="G352" s="4" t="s">
        <v>4153</v>
      </c>
      <c r="H352" s="4" t="s">
        <v>4156</v>
      </c>
      <c r="I352" s="4" t="s">
        <v>824</v>
      </c>
    </row>
    <row r="353" spans="1:9" x14ac:dyDescent="0.3">
      <c r="A353">
        <v>356</v>
      </c>
      <c r="B353" s="4" t="s">
        <v>4161</v>
      </c>
      <c r="C353" s="4" t="s">
        <v>4146</v>
      </c>
      <c r="D353" s="4" t="s">
        <v>2994</v>
      </c>
      <c r="E353" s="4" t="s">
        <v>4147</v>
      </c>
      <c r="F353" s="4" t="s">
        <v>4155</v>
      </c>
      <c r="G353" s="4" t="s">
        <v>4149</v>
      </c>
      <c r="H353" s="4" t="s">
        <v>4156</v>
      </c>
      <c r="I353" s="4" t="s">
        <v>824</v>
      </c>
    </row>
    <row r="354" spans="1:9" x14ac:dyDescent="0.3">
      <c r="A354">
        <v>357</v>
      </c>
      <c r="B354" s="4" t="s">
        <v>4161</v>
      </c>
      <c r="C354" s="4" t="s">
        <v>4154</v>
      </c>
      <c r="D354" s="4" t="s">
        <v>2999</v>
      </c>
      <c r="E354" s="4" t="s">
        <v>4151</v>
      </c>
      <c r="F354" s="4" t="s">
        <v>4148</v>
      </c>
      <c r="G354" s="4" t="s">
        <v>4149</v>
      </c>
      <c r="H354" s="4" t="s">
        <v>4156</v>
      </c>
      <c r="I354" s="4" t="s">
        <v>824</v>
      </c>
    </row>
    <row r="355" spans="1:9" x14ac:dyDescent="0.3">
      <c r="A355">
        <v>358</v>
      </c>
      <c r="B355" s="4" t="s">
        <v>4161</v>
      </c>
      <c r="C355" s="4" t="s">
        <v>4154</v>
      </c>
      <c r="D355" s="4" t="s">
        <v>3338</v>
      </c>
      <c r="E355" s="4" t="s">
        <v>4151</v>
      </c>
      <c r="F355" s="4" t="s">
        <v>4155</v>
      </c>
      <c r="G355" s="4" t="s">
        <v>4149</v>
      </c>
      <c r="H355" s="4" t="s">
        <v>4156</v>
      </c>
      <c r="I355" s="4" t="s">
        <v>824</v>
      </c>
    </row>
    <row r="356" spans="1:9" x14ac:dyDescent="0.3">
      <c r="A356">
        <v>359</v>
      </c>
      <c r="B356" s="4" t="s">
        <v>4161</v>
      </c>
      <c r="C356" s="4" t="s">
        <v>4146</v>
      </c>
      <c r="D356" s="4" t="s">
        <v>3001</v>
      </c>
      <c r="E356" s="4" t="s">
        <v>4147</v>
      </c>
      <c r="F356" s="4" t="s">
        <v>4155</v>
      </c>
      <c r="G356" s="4" t="s">
        <v>4149</v>
      </c>
      <c r="H356" s="4" t="s">
        <v>4156</v>
      </c>
      <c r="I356" s="4" t="s">
        <v>824</v>
      </c>
    </row>
    <row r="357" spans="1:9" x14ac:dyDescent="0.3">
      <c r="A357">
        <v>360</v>
      </c>
      <c r="B357" s="4" t="s">
        <v>4161</v>
      </c>
      <c r="C357" s="4" t="s">
        <v>4146</v>
      </c>
      <c r="D357" s="4" t="s">
        <v>2996</v>
      </c>
      <c r="E357" s="4" t="s">
        <v>4151</v>
      </c>
      <c r="F357" s="4" t="s">
        <v>4152</v>
      </c>
      <c r="G357" s="4" t="s">
        <v>4153</v>
      </c>
      <c r="H357" s="4" t="s">
        <v>4156</v>
      </c>
      <c r="I357" s="4" t="s">
        <v>824</v>
      </c>
    </row>
    <row r="358" spans="1:9" x14ac:dyDescent="0.3">
      <c r="A358">
        <v>361</v>
      </c>
      <c r="B358" s="4" t="s">
        <v>4161</v>
      </c>
      <c r="C358" s="4" t="s">
        <v>4146</v>
      </c>
      <c r="D358" s="4" t="s">
        <v>2999</v>
      </c>
      <c r="E358" s="4" t="s">
        <v>4151</v>
      </c>
      <c r="F358" s="4" t="s">
        <v>4148</v>
      </c>
      <c r="G358" s="4" t="s">
        <v>4153</v>
      </c>
      <c r="H358" s="4" t="s">
        <v>4156</v>
      </c>
      <c r="I358" s="4" t="s">
        <v>824</v>
      </c>
    </row>
    <row r="359" spans="1:9" x14ac:dyDescent="0.3">
      <c r="A359">
        <v>362</v>
      </c>
      <c r="B359" s="4" t="s">
        <v>4161</v>
      </c>
      <c r="C359" s="4" t="s">
        <v>4146</v>
      </c>
      <c r="D359" s="4" t="s">
        <v>3001</v>
      </c>
      <c r="E359" s="4" t="s">
        <v>4147</v>
      </c>
      <c r="F359" s="4" t="s">
        <v>4148</v>
      </c>
      <c r="G359" s="4" t="s">
        <v>4153</v>
      </c>
      <c r="H359" s="4" t="s">
        <v>4156</v>
      </c>
      <c r="I359" s="4" t="s">
        <v>824</v>
      </c>
    </row>
    <row r="360" spans="1:9" x14ac:dyDescent="0.3">
      <c r="A360">
        <v>363</v>
      </c>
      <c r="B360" s="4" t="s">
        <v>4161</v>
      </c>
      <c r="C360" s="4" t="s">
        <v>4146</v>
      </c>
      <c r="D360" s="4" t="s">
        <v>2994</v>
      </c>
      <c r="E360" s="4" t="s">
        <v>4147</v>
      </c>
      <c r="F360" s="4" t="s">
        <v>4155</v>
      </c>
      <c r="G360" s="4" t="s">
        <v>4149</v>
      </c>
      <c r="H360" s="4" t="s">
        <v>4156</v>
      </c>
      <c r="I360" s="4" t="s">
        <v>824</v>
      </c>
    </row>
    <row r="361" spans="1:9" x14ac:dyDescent="0.3">
      <c r="A361">
        <v>364</v>
      </c>
      <c r="B361" s="4" t="s">
        <v>4161</v>
      </c>
      <c r="C361" s="4" t="s">
        <v>4154</v>
      </c>
      <c r="D361" s="4" t="s">
        <v>2999</v>
      </c>
      <c r="E361" s="4" t="s">
        <v>4151</v>
      </c>
      <c r="F361" s="4" t="s">
        <v>4148</v>
      </c>
      <c r="G361" s="4" t="s">
        <v>4149</v>
      </c>
      <c r="H361" s="4" t="s">
        <v>4156</v>
      </c>
      <c r="I361" s="4" t="s">
        <v>824</v>
      </c>
    </row>
    <row r="362" spans="1:9" x14ac:dyDescent="0.3">
      <c r="A362">
        <v>365</v>
      </c>
      <c r="B362" s="4" t="s">
        <v>4161</v>
      </c>
      <c r="C362" s="4" t="s">
        <v>4154</v>
      </c>
      <c r="D362" s="4" t="s">
        <v>2999</v>
      </c>
      <c r="E362" s="4" t="s">
        <v>4151</v>
      </c>
      <c r="F362" s="4" t="s">
        <v>4148</v>
      </c>
      <c r="G362" s="4" t="s">
        <v>4149</v>
      </c>
      <c r="H362" s="4" t="s">
        <v>4156</v>
      </c>
      <c r="I362" s="4" t="s">
        <v>824</v>
      </c>
    </row>
    <row r="363" spans="1:9" x14ac:dyDescent="0.3">
      <c r="A363">
        <v>366</v>
      </c>
      <c r="B363" s="4" t="s">
        <v>4161</v>
      </c>
      <c r="C363" s="4" t="s">
        <v>4154</v>
      </c>
      <c r="D363" s="4" t="s">
        <v>3001</v>
      </c>
      <c r="E363" s="4" t="s">
        <v>4147</v>
      </c>
      <c r="F363" s="4" t="s">
        <v>4155</v>
      </c>
      <c r="G363" s="4" t="s">
        <v>4153</v>
      </c>
      <c r="H363" s="4" t="s">
        <v>4156</v>
      </c>
      <c r="I363" s="4" t="s">
        <v>824</v>
      </c>
    </row>
    <row r="364" spans="1:9" x14ac:dyDescent="0.3">
      <c r="A364">
        <v>367</v>
      </c>
      <c r="B364" s="4" t="s">
        <v>4161</v>
      </c>
      <c r="C364" s="4" t="s">
        <v>4154</v>
      </c>
      <c r="D364" s="4" t="s">
        <v>3338</v>
      </c>
      <c r="E364" s="4" t="s">
        <v>4151</v>
      </c>
      <c r="F364" s="4" t="s">
        <v>4157</v>
      </c>
      <c r="G364" s="4" t="s">
        <v>4153</v>
      </c>
      <c r="H364" s="4" t="s">
        <v>4156</v>
      </c>
      <c r="I364" s="4" t="s">
        <v>824</v>
      </c>
    </row>
    <row r="365" spans="1:9" x14ac:dyDescent="0.3">
      <c r="A365">
        <v>368</v>
      </c>
      <c r="B365" s="4" t="s">
        <v>4161</v>
      </c>
      <c r="C365" s="4" t="s">
        <v>4154</v>
      </c>
      <c r="D365" s="4" t="s">
        <v>2999</v>
      </c>
      <c r="E365" s="4" t="s">
        <v>4151</v>
      </c>
      <c r="F365" s="4" t="s">
        <v>4157</v>
      </c>
      <c r="G365" s="4" t="s">
        <v>4149</v>
      </c>
      <c r="H365" s="4" t="s">
        <v>4156</v>
      </c>
      <c r="I365" s="4" t="s">
        <v>824</v>
      </c>
    </row>
    <row r="366" spans="1:9" x14ac:dyDescent="0.3">
      <c r="A366">
        <v>369</v>
      </c>
      <c r="B366" s="4" t="s">
        <v>4161</v>
      </c>
      <c r="C366" s="4" t="s">
        <v>4154</v>
      </c>
      <c r="D366" s="4" t="s">
        <v>2999</v>
      </c>
      <c r="E366" s="4" t="s">
        <v>4151</v>
      </c>
      <c r="F366" s="4" t="s">
        <v>4155</v>
      </c>
      <c r="G366" s="4" t="s">
        <v>4153</v>
      </c>
      <c r="H366" s="4" t="s">
        <v>4156</v>
      </c>
      <c r="I366" s="4" t="s">
        <v>824</v>
      </c>
    </row>
    <row r="367" spans="1:9" x14ac:dyDescent="0.3">
      <c r="A367">
        <v>370</v>
      </c>
      <c r="B367" s="4" t="s">
        <v>4161</v>
      </c>
      <c r="C367" s="4" t="s">
        <v>4154</v>
      </c>
      <c r="D367" s="4" t="s">
        <v>3001</v>
      </c>
      <c r="E367" s="4" t="s">
        <v>4147</v>
      </c>
      <c r="F367" s="4" t="s">
        <v>4148</v>
      </c>
      <c r="G367" s="4" t="s">
        <v>4153</v>
      </c>
      <c r="H367" s="4" t="s">
        <v>4156</v>
      </c>
      <c r="I367" s="4" t="s">
        <v>824</v>
      </c>
    </row>
    <row r="368" spans="1:9" x14ac:dyDescent="0.3">
      <c r="A368">
        <v>371</v>
      </c>
      <c r="B368" s="4" t="s">
        <v>4161</v>
      </c>
      <c r="C368" s="4" t="s">
        <v>4146</v>
      </c>
      <c r="D368" s="4" t="s">
        <v>2994</v>
      </c>
      <c r="E368" s="4" t="s">
        <v>4147</v>
      </c>
      <c r="F368" s="4" t="s">
        <v>4148</v>
      </c>
      <c r="G368" s="4" t="s">
        <v>4153</v>
      </c>
      <c r="H368" s="4" t="s">
        <v>4156</v>
      </c>
      <c r="I368" s="4" t="s">
        <v>824</v>
      </c>
    </row>
    <row r="369" spans="1:9" x14ac:dyDescent="0.3">
      <c r="A369">
        <v>372</v>
      </c>
      <c r="B369" s="4" t="s">
        <v>4161</v>
      </c>
      <c r="C369" s="4" t="s">
        <v>4146</v>
      </c>
      <c r="D369" s="4" t="s">
        <v>3001</v>
      </c>
      <c r="E369" s="4" t="s">
        <v>4147</v>
      </c>
      <c r="F369" s="4" t="s">
        <v>4155</v>
      </c>
      <c r="G369" s="4" t="s">
        <v>4153</v>
      </c>
      <c r="H369" s="4" t="s">
        <v>4156</v>
      </c>
      <c r="I369" s="4" t="s">
        <v>824</v>
      </c>
    </row>
    <row r="370" spans="1:9" x14ac:dyDescent="0.3">
      <c r="A370">
        <v>373</v>
      </c>
      <c r="B370" s="4" t="s">
        <v>4161</v>
      </c>
      <c r="C370" s="4" t="s">
        <v>4154</v>
      </c>
      <c r="D370" s="4" t="s">
        <v>2999</v>
      </c>
      <c r="E370" s="4" t="s">
        <v>4151</v>
      </c>
      <c r="F370" s="4" t="s">
        <v>4148</v>
      </c>
      <c r="G370" s="4" t="s">
        <v>4153</v>
      </c>
      <c r="H370" s="4" t="s">
        <v>4156</v>
      </c>
      <c r="I370" s="4" t="s">
        <v>824</v>
      </c>
    </row>
    <row r="371" spans="1:9" x14ac:dyDescent="0.3">
      <c r="A371">
        <v>374</v>
      </c>
      <c r="B371" s="4" t="s">
        <v>4161</v>
      </c>
      <c r="C371" s="4" t="s">
        <v>4146</v>
      </c>
      <c r="D371" s="4" t="s">
        <v>3001</v>
      </c>
      <c r="E371" s="4" t="s">
        <v>4147</v>
      </c>
      <c r="F371" s="4" t="s">
        <v>4148</v>
      </c>
      <c r="G371" s="4" t="s">
        <v>4153</v>
      </c>
      <c r="H371" s="4" t="s">
        <v>4156</v>
      </c>
      <c r="I371" s="4" t="s">
        <v>824</v>
      </c>
    </row>
    <row r="372" spans="1:9" x14ac:dyDescent="0.3">
      <c r="A372">
        <v>375</v>
      </c>
      <c r="B372" s="4" t="s">
        <v>4161</v>
      </c>
      <c r="C372" s="4" t="s">
        <v>4154</v>
      </c>
      <c r="D372" s="4" t="s">
        <v>2999</v>
      </c>
      <c r="E372" s="4" t="s">
        <v>4151</v>
      </c>
      <c r="F372" s="4" t="s">
        <v>4148</v>
      </c>
      <c r="G372" s="4" t="s">
        <v>4149</v>
      </c>
      <c r="H372" s="4" t="s">
        <v>4156</v>
      </c>
      <c r="I372" s="4" t="s">
        <v>824</v>
      </c>
    </row>
    <row r="373" spans="1:9" x14ac:dyDescent="0.3">
      <c r="A373">
        <v>376</v>
      </c>
      <c r="B373" s="4" t="s">
        <v>4161</v>
      </c>
      <c r="C373" s="4" t="s">
        <v>4154</v>
      </c>
      <c r="D373" s="4" t="s">
        <v>2999</v>
      </c>
      <c r="E373" s="4" t="s">
        <v>4151</v>
      </c>
      <c r="F373" s="4" t="s">
        <v>4148</v>
      </c>
      <c r="G373" s="4" t="s">
        <v>4149</v>
      </c>
      <c r="H373" s="4" t="s">
        <v>4156</v>
      </c>
      <c r="I373" s="4" t="s">
        <v>824</v>
      </c>
    </row>
    <row r="374" spans="1:9" x14ac:dyDescent="0.3">
      <c r="A374">
        <v>377</v>
      </c>
      <c r="B374" s="4" t="s">
        <v>4161</v>
      </c>
      <c r="C374" s="4" t="s">
        <v>4146</v>
      </c>
      <c r="D374" s="4" t="s">
        <v>2999</v>
      </c>
      <c r="E374" s="4" t="s">
        <v>4151</v>
      </c>
      <c r="F374" s="4" t="s">
        <v>4148</v>
      </c>
      <c r="G374" s="4" t="s">
        <v>4149</v>
      </c>
      <c r="H374" s="4" t="s">
        <v>4156</v>
      </c>
      <c r="I374" s="4" t="s">
        <v>824</v>
      </c>
    </row>
    <row r="375" spans="1:9" x14ac:dyDescent="0.3">
      <c r="A375">
        <v>378</v>
      </c>
      <c r="B375" s="4" t="s">
        <v>4161</v>
      </c>
      <c r="C375" s="4" t="s">
        <v>4146</v>
      </c>
      <c r="D375" s="4" t="s">
        <v>2994</v>
      </c>
      <c r="E375" s="4" t="s">
        <v>4147</v>
      </c>
      <c r="F375" s="4" t="s">
        <v>4152</v>
      </c>
      <c r="G375" s="4" t="s">
        <v>4153</v>
      </c>
      <c r="H375" s="4" t="s">
        <v>4156</v>
      </c>
      <c r="I375" s="4" t="s">
        <v>824</v>
      </c>
    </row>
    <row r="376" spans="1:9" x14ac:dyDescent="0.3">
      <c r="A376">
        <v>379</v>
      </c>
      <c r="B376" s="4" t="s">
        <v>4161</v>
      </c>
      <c r="C376" s="4" t="s">
        <v>4154</v>
      </c>
      <c r="D376" s="4" t="s">
        <v>2999</v>
      </c>
      <c r="E376" s="4" t="s">
        <v>4151</v>
      </c>
      <c r="F376" s="4" t="s">
        <v>4155</v>
      </c>
      <c r="G376" s="4" t="s">
        <v>4153</v>
      </c>
      <c r="H376" s="4" t="s">
        <v>4156</v>
      </c>
      <c r="I376" s="4" t="s">
        <v>824</v>
      </c>
    </row>
    <row r="377" spans="1:9" x14ac:dyDescent="0.3">
      <c r="A377">
        <v>380</v>
      </c>
      <c r="B377" s="4" t="s">
        <v>4161</v>
      </c>
      <c r="C377" s="4" t="s">
        <v>4146</v>
      </c>
      <c r="D377" s="4" t="s">
        <v>3001</v>
      </c>
      <c r="E377" s="4" t="s">
        <v>4147</v>
      </c>
      <c r="F377" s="4" t="s">
        <v>4155</v>
      </c>
      <c r="G377" s="4" t="s">
        <v>4153</v>
      </c>
      <c r="H377" s="4" t="s">
        <v>4156</v>
      </c>
      <c r="I377" s="4" t="s">
        <v>824</v>
      </c>
    </row>
    <row r="378" spans="1:9" x14ac:dyDescent="0.3">
      <c r="A378">
        <v>381</v>
      </c>
      <c r="B378" s="4" t="s">
        <v>4161</v>
      </c>
      <c r="C378" s="4" t="s">
        <v>4146</v>
      </c>
      <c r="D378" s="4" t="s">
        <v>3001</v>
      </c>
      <c r="E378" s="4" t="s">
        <v>4147</v>
      </c>
      <c r="F378" s="4" t="s">
        <v>4148</v>
      </c>
      <c r="G378" s="4" t="s">
        <v>4149</v>
      </c>
      <c r="H378" s="4" t="s">
        <v>4156</v>
      </c>
      <c r="I378" s="4" t="s">
        <v>824</v>
      </c>
    </row>
    <row r="379" spans="1:9" x14ac:dyDescent="0.3">
      <c r="A379">
        <v>382</v>
      </c>
      <c r="B379" s="4" t="s">
        <v>4161</v>
      </c>
      <c r="C379" s="4" t="s">
        <v>4154</v>
      </c>
      <c r="D379" s="4" t="s">
        <v>3001</v>
      </c>
      <c r="E379" s="4" t="s">
        <v>4147</v>
      </c>
      <c r="F379" s="4" t="s">
        <v>4148</v>
      </c>
      <c r="G379" s="4" t="s">
        <v>4149</v>
      </c>
      <c r="H379" s="4" t="s">
        <v>4156</v>
      </c>
      <c r="I379" s="4" t="s">
        <v>824</v>
      </c>
    </row>
    <row r="380" spans="1:9" x14ac:dyDescent="0.3">
      <c r="A380">
        <v>383</v>
      </c>
      <c r="B380" s="4" t="s">
        <v>4161</v>
      </c>
      <c r="C380" s="4" t="s">
        <v>4154</v>
      </c>
      <c r="D380" s="4" t="s">
        <v>3001</v>
      </c>
      <c r="E380" s="4" t="s">
        <v>4147</v>
      </c>
      <c r="F380" s="4" t="s">
        <v>4148</v>
      </c>
      <c r="G380" s="4" t="s">
        <v>4149</v>
      </c>
      <c r="H380" s="4" t="s">
        <v>4156</v>
      </c>
      <c r="I380" s="4" t="s">
        <v>824</v>
      </c>
    </row>
    <row r="381" spans="1:9" x14ac:dyDescent="0.3">
      <c r="A381">
        <v>384</v>
      </c>
      <c r="B381" s="4" t="s">
        <v>4161</v>
      </c>
      <c r="C381" s="4" t="s">
        <v>4154</v>
      </c>
      <c r="D381" s="4" t="s">
        <v>2999</v>
      </c>
      <c r="E381" s="4" t="s">
        <v>4151</v>
      </c>
      <c r="F381" s="4" t="s">
        <v>4148</v>
      </c>
      <c r="G381" s="4" t="s">
        <v>4149</v>
      </c>
      <c r="H381" s="4" t="s">
        <v>4156</v>
      </c>
      <c r="I381" s="4" t="s">
        <v>824</v>
      </c>
    </row>
    <row r="382" spans="1:9" x14ac:dyDescent="0.3">
      <c r="A382">
        <v>385</v>
      </c>
      <c r="B382" s="4" t="s">
        <v>4161</v>
      </c>
      <c r="C382" s="4" t="s">
        <v>4154</v>
      </c>
      <c r="D382" s="4" t="s">
        <v>2999</v>
      </c>
      <c r="E382" s="4" t="s">
        <v>4151</v>
      </c>
      <c r="F382" s="4" t="s">
        <v>4148</v>
      </c>
      <c r="G382" s="4" t="s">
        <v>4149</v>
      </c>
      <c r="H382" s="4" t="s">
        <v>4156</v>
      </c>
      <c r="I382" s="4" t="s">
        <v>824</v>
      </c>
    </row>
    <row r="383" spans="1:9" x14ac:dyDescent="0.3">
      <c r="A383">
        <v>386</v>
      </c>
      <c r="B383" s="4" t="s">
        <v>4161</v>
      </c>
      <c r="C383" s="4" t="s">
        <v>4146</v>
      </c>
      <c r="D383" s="4" t="s">
        <v>2996</v>
      </c>
      <c r="E383" s="4" t="s">
        <v>4151</v>
      </c>
      <c r="F383" s="4" t="s">
        <v>4152</v>
      </c>
      <c r="G383" s="4" t="s">
        <v>4153</v>
      </c>
      <c r="H383" s="4" t="s">
        <v>4156</v>
      </c>
      <c r="I383" s="4" t="s">
        <v>824</v>
      </c>
    </row>
    <row r="384" spans="1:9" x14ac:dyDescent="0.3">
      <c r="A384">
        <v>387</v>
      </c>
      <c r="B384" s="4" t="s">
        <v>4161</v>
      </c>
      <c r="C384" s="4" t="s">
        <v>4154</v>
      </c>
      <c r="D384" s="4" t="s">
        <v>2999</v>
      </c>
      <c r="E384" s="4" t="s">
        <v>4151</v>
      </c>
      <c r="F384" s="4" t="s">
        <v>4159</v>
      </c>
      <c r="G384" s="4" t="s">
        <v>4149</v>
      </c>
      <c r="H384" s="4" t="s">
        <v>4158</v>
      </c>
      <c r="I384" s="4" t="s">
        <v>824</v>
      </c>
    </row>
    <row r="385" spans="1:9" x14ac:dyDescent="0.3">
      <c r="A385">
        <v>388</v>
      </c>
      <c r="B385" s="4" t="s">
        <v>4161</v>
      </c>
      <c r="C385" s="4" t="s">
        <v>4146</v>
      </c>
      <c r="D385" s="4" t="s">
        <v>3001</v>
      </c>
      <c r="E385" s="4" t="s">
        <v>4147</v>
      </c>
      <c r="F385" s="4" t="s">
        <v>4155</v>
      </c>
      <c r="G385" s="4" t="s">
        <v>4153</v>
      </c>
      <c r="H385" s="4" t="s">
        <v>4156</v>
      </c>
      <c r="I385" s="4" t="s">
        <v>824</v>
      </c>
    </row>
    <row r="386" spans="1:9" x14ac:dyDescent="0.3">
      <c r="A386">
        <v>389</v>
      </c>
      <c r="B386" s="4" t="s">
        <v>4161</v>
      </c>
      <c r="C386" s="4" t="s">
        <v>4146</v>
      </c>
      <c r="D386" s="4" t="s">
        <v>2994</v>
      </c>
      <c r="E386" s="4" t="s">
        <v>4147</v>
      </c>
      <c r="F386" s="4" t="s">
        <v>4148</v>
      </c>
      <c r="G386" s="4" t="s">
        <v>4149</v>
      </c>
      <c r="H386" s="4" t="s">
        <v>4156</v>
      </c>
      <c r="I386" s="4" t="s">
        <v>824</v>
      </c>
    </row>
    <row r="387" spans="1:9" x14ac:dyDescent="0.3">
      <c r="A387">
        <v>390</v>
      </c>
      <c r="B387" s="4" t="s">
        <v>4161</v>
      </c>
      <c r="C387" s="4" t="s">
        <v>4154</v>
      </c>
      <c r="D387" s="4" t="s">
        <v>2999</v>
      </c>
      <c r="E387" s="4" t="s">
        <v>4151</v>
      </c>
      <c r="F387" s="4" t="s">
        <v>4155</v>
      </c>
      <c r="G387" s="4" t="s">
        <v>4149</v>
      </c>
      <c r="H387" s="4" t="s">
        <v>4156</v>
      </c>
      <c r="I387" s="4" t="s">
        <v>824</v>
      </c>
    </row>
    <row r="388" spans="1:9" x14ac:dyDescent="0.3">
      <c r="A388">
        <v>391</v>
      </c>
      <c r="B388" s="4" t="s">
        <v>4161</v>
      </c>
      <c r="C388" s="4" t="s">
        <v>4154</v>
      </c>
      <c r="D388" s="4" t="s">
        <v>2999</v>
      </c>
      <c r="E388" s="4" t="s">
        <v>4151</v>
      </c>
      <c r="F388" s="4" t="s">
        <v>4159</v>
      </c>
      <c r="G388" s="4" t="s">
        <v>4149</v>
      </c>
      <c r="H388" s="4" t="s">
        <v>4158</v>
      </c>
      <c r="I388" s="4" t="s">
        <v>824</v>
      </c>
    </row>
    <row r="389" spans="1:9" x14ac:dyDescent="0.3">
      <c r="A389">
        <v>392</v>
      </c>
      <c r="B389" s="4" t="s">
        <v>4161</v>
      </c>
      <c r="C389" s="4" t="s">
        <v>4154</v>
      </c>
      <c r="D389" s="4" t="s">
        <v>2999</v>
      </c>
      <c r="E389" s="4" t="s">
        <v>4151</v>
      </c>
      <c r="F389" s="4" t="s">
        <v>4148</v>
      </c>
      <c r="G389" s="4" t="s">
        <v>4153</v>
      </c>
      <c r="H389" s="4" t="s">
        <v>4156</v>
      </c>
      <c r="I389" s="4" t="s">
        <v>4178</v>
      </c>
    </row>
    <row r="390" spans="1:9" x14ac:dyDescent="0.3">
      <c r="A390">
        <v>393</v>
      </c>
      <c r="B390" s="4" t="s">
        <v>4161</v>
      </c>
      <c r="C390" s="4" t="s">
        <v>4146</v>
      </c>
      <c r="D390" s="4" t="s">
        <v>3001</v>
      </c>
      <c r="E390" s="4" t="s">
        <v>4147</v>
      </c>
      <c r="F390" s="4" t="s">
        <v>4148</v>
      </c>
      <c r="G390" s="4" t="s">
        <v>4153</v>
      </c>
      <c r="H390" s="4" t="s">
        <v>4156</v>
      </c>
      <c r="I390" s="4" t="s">
        <v>4178</v>
      </c>
    </row>
    <row r="391" spans="1:9" x14ac:dyDescent="0.3">
      <c r="A391">
        <v>394</v>
      </c>
      <c r="B391" s="4" t="s">
        <v>4161</v>
      </c>
      <c r="C391" s="4" t="s">
        <v>4154</v>
      </c>
      <c r="D391" s="4" t="s">
        <v>2999</v>
      </c>
      <c r="E391" s="4" t="s">
        <v>4151</v>
      </c>
      <c r="F391" s="4" t="s">
        <v>4148</v>
      </c>
      <c r="G391" s="4" t="s">
        <v>4149</v>
      </c>
      <c r="H391" s="4" t="s">
        <v>4156</v>
      </c>
      <c r="I391" s="4" t="s">
        <v>824</v>
      </c>
    </row>
    <row r="392" spans="1:9" x14ac:dyDescent="0.3">
      <c r="A392">
        <v>395</v>
      </c>
      <c r="B392" s="4" t="s">
        <v>4161</v>
      </c>
      <c r="C392" s="4" t="s">
        <v>4154</v>
      </c>
      <c r="D392" s="4" t="s">
        <v>2999</v>
      </c>
      <c r="E392" s="4" t="s">
        <v>4151</v>
      </c>
      <c r="F392" s="4" t="s">
        <v>4159</v>
      </c>
      <c r="G392" s="4" t="s">
        <v>4149</v>
      </c>
      <c r="H392" s="4" t="s">
        <v>4158</v>
      </c>
      <c r="I392" s="4" t="s">
        <v>824</v>
      </c>
    </row>
    <row r="393" spans="1:9" x14ac:dyDescent="0.3">
      <c r="A393">
        <v>396</v>
      </c>
      <c r="B393" s="4" t="s">
        <v>4161</v>
      </c>
      <c r="C393" s="4" t="s">
        <v>4146</v>
      </c>
      <c r="D393" s="4" t="s">
        <v>2994</v>
      </c>
      <c r="E393" s="4" t="s">
        <v>4147</v>
      </c>
      <c r="F393" s="4" t="s">
        <v>4159</v>
      </c>
      <c r="G393" s="4" t="s">
        <v>4153</v>
      </c>
      <c r="H393" s="4" t="s">
        <v>4156</v>
      </c>
      <c r="I393" s="4" t="s">
        <v>824</v>
      </c>
    </row>
    <row r="394" spans="1:9" x14ac:dyDescent="0.3">
      <c r="A394">
        <v>397</v>
      </c>
      <c r="B394" s="4" t="s">
        <v>4161</v>
      </c>
      <c r="C394" s="4" t="s">
        <v>4146</v>
      </c>
      <c r="D394" s="4" t="s">
        <v>3001</v>
      </c>
      <c r="E394" s="4" t="s">
        <v>4147</v>
      </c>
      <c r="F394" s="4" t="s">
        <v>4155</v>
      </c>
      <c r="G394" s="4" t="s">
        <v>4153</v>
      </c>
      <c r="H394" s="4" t="s">
        <v>4156</v>
      </c>
      <c r="I394" s="4" t="s">
        <v>824</v>
      </c>
    </row>
    <row r="395" spans="1:9" x14ac:dyDescent="0.3">
      <c r="A395">
        <v>398</v>
      </c>
      <c r="B395" s="4" t="s">
        <v>4161</v>
      </c>
      <c r="C395" s="4" t="s">
        <v>4154</v>
      </c>
      <c r="D395" s="4" t="s">
        <v>2999</v>
      </c>
      <c r="E395" s="4" t="s">
        <v>4151</v>
      </c>
      <c r="F395" s="4" t="s">
        <v>4157</v>
      </c>
      <c r="G395" s="4" t="s">
        <v>4149</v>
      </c>
      <c r="H395" s="4" t="s">
        <v>4156</v>
      </c>
      <c r="I395" s="4" t="s">
        <v>824</v>
      </c>
    </row>
    <row r="396" spans="1:9" x14ac:dyDescent="0.3">
      <c r="A396">
        <v>399</v>
      </c>
      <c r="B396" s="4" t="s">
        <v>4161</v>
      </c>
      <c r="C396" s="4" t="s">
        <v>4146</v>
      </c>
      <c r="D396" s="4" t="s">
        <v>2996</v>
      </c>
      <c r="E396" s="4" t="s">
        <v>4151</v>
      </c>
      <c r="F396" s="4" t="s">
        <v>4152</v>
      </c>
      <c r="G396" s="4" t="s">
        <v>4153</v>
      </c>
      <c r="H396" s="4" t="s">
        <v>4156</v>
      </c>
      <c r="I396" s="4" t="s">
        <v>824</v>
      </c>
    </row>
    <row r="397" spans="1:9" x14ac:dyDescent="0.3">
      <c r="A397">
        <v>400</v>
      </c>
      <c r="B397" s="4" t="s">
        <v>4161</v>
      </c>
      <c r="C397" s="4" t="s">
        <v>4154</v>
      </c>
      <c r="D397" s="4" t="s">
        <v>2999</v>
      </c>
      <c r="E397" s="4" t="s">
        <v>4151</v>
      </c>
      <c r="F397" s="4" t="s">
        <v>4155</v>
      </c>
      <c r="G397" s="4" t="s">
        <v>4153</v>
      </c>
      <c r="H397" s="4" t="s">
        <v>4156</v>
      </c>
      <c r="I397" s="4" t="s">
        <v>824</v>
      </c>
    </row>
    <row r="398" spans="1:9" x14ac:dyDescent="0.3">
      <c r="A398">
        <v>401</v>
      </c>
      <c r="B398" s="4" t="s">
        <v>4161</v>
      </c>
      <c r="C398" s="4" t="s">
        <v>4146</v>
      </c>
      <c r="D398" s="4" t="s">
        <v>3001</v>
      </c>
      <c r="E398" s="4" t="s">
        <v>4147</v>
      </c>
      <c r="F398" s="4" t="s">
        <v>4155</v>
      </c>
      <c r="G398" s="4" t="s">
        <v>4153</v>
      </c>
      <c r="H398" s="4" t="s">
        <v>4156</v>
      </c>
      <c r="I398" s="4" t="s">
        <v>824</v>
      </c>
    </row>
    <row r="399" spans="1:9" x14ac:dyDescent="0.3">
      <c r="A399">
        <v>402</v>
      </c>
      <c r="B399" s="4" t="s">
        <v>4161</v>
      </c>
      <c r="C399" s="4" t="s">
        <v>4146</v>
      </c>
      <c r="D399" s="4" t="s">
        <v>2994</v>
      </c>
      <c r="E399" s="4" t="s">
        <v>4147</v>
      </c>
      <c r="F399" s="4" t="s">
        <v>4148</v>
      </c>
      <c r="G399" s="4" t="s">
        <v>4153</v>
      </c>
      <c r="H399" s="4" t="s">
        <v>4156</v>
      </c>
      <c r="I399" s="4" t="s">
        <v>4178</v>
      </c>
    </row>
    <row r="400" spans="1:9" x14ac:dyDescent="0.3">
      <c r="A400">
        <v>403</v>
      </c>
      <c r="B400" s="4" t="s">
        <v>4161</v>
      </c>
      <c r="C400" s="4" t="s">
        <v>4146</v>
      </c>
      <c r="D400" s="4" t="s">
        <v>2994</v>
      </c>
      <c r="E400" s="4" t="s">
        <v>4147</v>
      </c>
      <c r="F400" s="4" t="s">
        <v>4148</v>
      </c>
      <c r="G400" s="4" t="s">
        <v>4153</v>
      </c>
      <c r="H400" s="4" t="s">
        <v>4156</v>
      </c>
      <c r="I400" s="4" t="s">
        <v>4178</v>
      </c>
    </row>
    <row r="401" spans="1:9" x14ac:dyDescent="0.3">
      <c r="A401">
        <v>404</v>
      </c>
      <c r="B401" s="4" t="s">
        <v>4161</v>
      </c>
      <c r="C401" s="4" t="s">
        <v>4154</v>
      </c>
      <c r="D401" s="4" t="s">
        <v>2999</v>
      </c>
      <c r="E401" s="4" t="s">
        <v>4151</v>
      </c>
      <c r="F401" s="4" t="s">
        <v>4148</v>
      </c>
      <c r="G401" s="4" t="s">
        <v>4149</v>
      </c>
      <c r="H401" s="4" t="s">
        <v>4156</v>
      </c>
      <c r="I401" s="4" t="s">
        <v>824</v>
      </c>
    </row>
    <row r="402" spans="1:9" x14ac:dyDescent="0.3">
      <c r="A402">
        <v>405</v>
      </c>
      <c r="B402" s="4" t="s">
        <v>4161</v>
      </c>
      <c r="C402" s="4" t="s">
        <v>4154</v>
      </c>
      <c r="D402" s="4" t="s">
        <v>2999</v>
      </c>
      <c r="E402" s="4" t="s">
        <v>4151</v>
      </c>
      <c r="F402" s="4" t="s">
        <v>4148</v>
      </c>
      <c r="G402" s="4" t="s">
        <v>4149</v>
      </c>
      <c r="H402" s="4" t="s">
        <v>4156</v>
      </c>
      <c r="I402" s="4" t="s">
        <v>824</v>
      </c>
    </row>
    <row r="403" spans="1:9" x14ac:dyDescent="0.3">
      <c r="A403">
        <v>406</v>
      </c>
      <c r="B403" s="4" t="s">
        <v>4161</v>
      </c>
      <c r="C403" s="4" t="s">
        <v>4154</v>
      </c>
      <c r="D403" s="4" t="s">
        <v>2999</v>
      </c>
      <c r="E403" s="4" t="s">
        <v>4151</v>
      </c>
      <c r="F403" s="4" t="s">
        <v>4159</v>
      </c>
      <c r="G403" s="4" t="s">
        <v>4149</v>
      </c>
      <c r="H403" s="4" t="s">
        <v>4156</v>
      </c>
      <c r="I403" s="4" t="s">
        <v>824</v>
      </c>
    </row>
    <row r="404" spans="1:9" x14ac:dyDescent="0.3">
      <c r="A404">
        <v>407</v>
      </c>
      <c r="B404" s="4" t="s">
        <v>4161</v>
      </c>
      <c r="C404" s="4" t="s">
        <v>4154</v>
      </c>
      <c r="D404" s="4" t="s">
        <v>2999</v>
      </c>
      <c r="E404" s="4" t="s">
        <v>4151</v>
      </c>
      <c r="F404" s="4" t="s">
        <v>4155</v>
      </c>
      <c r="G404" s="4" t="s">
        <v>4153</v>
      </c>
      <c r="H404" s="4" t="s">
        <v>4156</v>
      </c>
      <c r="I404" s="4" t="s">
        <v>824</v>
      </c>
    </row>
    <row r="405" spans="1:9" x14ac:dyDescent="0.3">
      <c r="A405">
        <v>408</v>
      </c>
      <c r="B405" s="4" t="s">
        <v>4161</v>
      </c>
      <c r="C405" s="4" t="s">
        <v>4146</v>
      </c>
      <c r="D405" s="4" t="s">
        <v>3001</v>
      </c>
      <c r="E405" s="4" t="s">
        <v>4147</v>
      </c>
      <c r="F405" s="4" t="s">
        <v>4148</v>
      </c>
      <c r="G405" s="4" t="s">
        <v>4153</v>
      </c>
      <c r="H405" s="4" t="s">
        <v>4156</v>
      </c>
      <c r="I405" s="4" t="s">
        <v>824</v>
      </c>
    </row>
    <row r="406" spans="1:9" x14ac:dyDescent="0.3">
      <c r="A406">
        <v>409</v>
      </c>
      <c r="B406" s="4" t="s">
        <v>4161</v>
      </c>
      <c r="C406" s="4" t="s">
        <v>4154</v>
      </c>
      <c r="D406" s="4" t="s">
        <v>2999</v>
      </c>
      <c r="E406" s="4" t="s">
        <v>4151</v>
      </c>
      <c r="F406" s="4" t="s">
        <v>4159</v>
      </c>
      <c r="G406" s="4" t="s">
        <v>4149</v>
      </c>
      <c r="H406" s="4" t="s">
        <v>4156</v>
      </c>
      <c r="I406" s="4" t="s">
        <v>824</v>
      </c>
    </row>
    <row r="407" spans="1:9" x14ac:dyDescent="0.3">
      <c r="A407">
        <v>410</v>
      </c>
      <c r="B407" s="4" t="s">
        <v>4161</v>
      </c>
      <c r="C407" s="4" t="s">
        <v>4154</v>
      </c>
      <c r="D407" s="4" t="s">
        <v>2999</v>
      </c>
      <c r="E407" s="4" t="s">
        <v>4151</v>
      </c>
      <c r="F407" s="4" t="s">
        <v>4155</v>
      </c>
      <c r="G407" s="4" t="s">
        <v>4149</v>
      </c>
      <c r="H407" s="4" t="s">
        <v>4156</v>
      </c>
      <c r="I407" s="4" t="s">
        <v>824</v>
      </c>
    </row>
    <row r="408" spans="1:9" x14ac:dyDescent="0.3">
      <c r="A408">
        <v>411</v>
      </c>
      <c r="B408" s="4" t="s">
        <v>4161</v>
      </c>
      <c r="C408" s="4" t="s">
        <v>4154</v>
      </c>
      <c r="D408" s="4" t="s">
        <v>2999</v>
      </c>
      <c r="E408" s="4" t="s">
        <v>4151</v>
      </c>
      <c r="F408" s="4" t="s">
        <v>4148</v>
      </c>
      <c r="G408" s="4" t="s">
        <v>4149</v>
      </c>
      <c r="H408" s="4" t="s">
        <v>4156</v>
      </c>
      <c r="I408" s="4" t="s">
        <v>824</v>
      </c>
    </row>
    <row r="409" spans="1:9" x14ac:dyDescent="0.3">
      <c r="A409">
        <v>412</v>
      </c>
      <c r="B409" s="4" t="s">
        <v>4161</v>
      </c>
      <c r="C409" s="4" t="s">
        <v>4154</v>
      </c>
      <c r="D409" s="4" t="s">
        <v>2994</v>
      </c>
      <c r="E409" s="4" t="s">
        <v>4147</v>
      </c>
      <c r="F409" s="4" t="s">
        <v>4155</v>
      </c>
      <c r="G409" s="4" t="s">
        <v>4149</v>
      </c>
      <c r="H409" s="4" t="s">
        <v>4156</v>
      </c>
      <c r="I409" s="4" t="s">
        <v>824</v>
      </c>
    </row>
    <row r="410" spans="1:9" x14ac:dyDescent="0.3">
      <c r="A410">
        <v>413</v>
      </c>
      <c r="B410" s="4" t="s">
        <v>4161</v>
      </c>
      <c r="C410" s="4" t="s">
        <v>4154</v>
      </c>
      <c r="D410" s="4" t="s">
        <v>2999</v>
      </c>
      <c r="E410" s="4" t="s">
        <v>4151</v>
      </c>
      <c r="F410" s="4" t="s">
        <v>4155</v>
      </c>
      <c r="G410" s="4" t="s">
        <v>4149</v>
      </c>
      <c r="H410" s="4" t="s">
        <v>4156</v>
      </c>
      <c r="I410" s="4" t="s">
        <v>824</v>
      </c>
    </row>
    <row r="411" spans="1:9" x14ac:dyDescent="0.3">
      <c r="A411">
        <v>414</v>
      </c>
      <c r="B411" s="4" t="s">
        <v>4161</v>
      </c>
      <c r="C411" s="4" t="s">
        <v>4154</v>
      </c>
      <c r="D411" s="4" t="s">
        <v>2999</v>
      </c>
      <c r="E411" s="4" t="s">
        <v>4151</v>
      </c>
      <c r="F411" s="4" t="s">
        <v>4155</v>
      </c>
      <c r="G411" s="4" t="s">
        <v>4153</v>
      </c>
      <c r="H411" s="4" t="s">
        <v>4156</v>
      </c>
      <c r="I411" s="4" t="s">
        <v>824</v>
      </c>
    </row>
    <row r="412" spans="1:9" x14ac:dyDescent="0.3">
      <c r="A412">
        <v>415</v>
      </c>
      <c r="B412" s="4" t="s">
        <v>4161</v>
      </c>
      <c r="C412" s="4" t="s">
        <v>4154</v>
      </c>
      <c r="D412" s="4" t="s">
        <v>2999</v>
      </c>
      <c r="E412" s="4" t="s">
        <v>4151</v>
      </c>
      <c r="F412" s="4" t="s">
        <v>4155</v>
      </c>
      <c r="G412" s="4" t="s">
        <v>4153</v>
      </c>
      <c r="H412" s="4" t="s">
        <v>4156</v>
      </c>
      <c r="I412" s="4" t="s">
        <v>824</v>
      </c>
    </row>
    <row r="413" spans="1:9" x14ac:dyDescent="0.3">
      <c r="A413">
        <v>416</v>
      </c>
      <c r="B413" s="4" t="s">
        <v>4161</v>
      </c>
      <c r="C413" s="4" t="s">
        <v>4146</v>
      </c>
      <c r="D413" s="4" t="s">
        <v>2994</v>
      </c>
      <c r="E413" s="4" t="s">
        <v>4147</v>
      </c>
      <c r="F413" s="4" t="s">
        <v>4155</v>
      </c>
      <c r="G413" s="4" t="s">
        <v>4149</v>
      </c>
      <c r="H413" s="4" t="s">
        <v>4156</v>
      </c>
      <c r="I413" s="4" t="s">
        <v>824</v>
      </c>
    </row>
    <row r="414" spans="1:9" x14ac:dyDescent="0.3">
      <c r="A414">
        <v>417</v>
      </c>
      <c r="B414" s="4" t="s">
        <v>4161</v>
      </c>
      <c r="C414" s="4" t="s">
        <v>4154</v>
      </c>
      <c r="D414" s="4" t="s">
        <v>2999</v>
      </c>
      <c r="E414" s="4" t="s">
        <v>4151</v>
      </c>
      <c r="F414" s="4" t="s">
        <v>4159</v>
      </c>
      <c r="G414" s="4" t="s">
        <v>4149</v>
      </c>
      <c r="H414" s="4" t="s">
        <v>4156</v>
      </c>
      <c r="I414" s="4" t="s">
        <v>824</v>
      </c>
    </row>
    <row r="415" spans="1:9" x14ac:dyDescent="0.3">
      <c r="A415">
        <v>418</v>
      </c>
      <c r="B415" s="4" t="s">
        <v>4161</v>
      </c>
      <c r="C415" s="4" t="s">
        <v>4154</v>
      </c>
      <c r="D415" s="4" t="s">
        <v>2999</v>
      </c>
      <c r="E415" s="4" t="s">
        <v>4151</v>
      </c>
      <c r="F415" s="4" t="s">
        <v>4148</v>
      </c>
      <c r="G415" s="4" t="s">
        <v>4149</v>
      </c>
      <c r="H415" s="4" t="s">
        <v>4156</v>
      </c>
      <c r="I415" s="4" t="s">
        <v>824</v>
      </c>
    </row>
    <row r="416" spans="1:9" x14ac:dyDescent="0.3">
      <c r="A416">
        <v>419</v>
      </c>
      <c r="B416" s="4" t="s">
        <v>4161</v>
      </c>
      <c r="C416" s="4" t="s">
        <v>4154</v>
      </c>
      <c r="D416" s="4" t="s">
        <v>2999</v>
      </c>
      <c r="E416" s="4" t="s">
        <v>4151</v>
      </c>
      <c r="F416" s="4" t="s">
        <v>4155</v>
      </c>
      <c r="G416" s="4" t="s">
        <v>4149</v>
      </c>
      <c r="H416" s="4" t="s">
        <v>4156</v>
      </c>
      <c r="I416" s="4" t="s">
        <v>824</v>
      </c>
    </row>
    <row r="417" spans="1:9" x14ac:dyDescent="0.3">
      <c r="A417">
        <v>420</v>
      </c>
      <c r="B417" s="4" t="s">
        <v>4161</v>
      </c>
      <c r="C417" s="4" t="s">
        <v>4154</v>
      </c>
      <c r="D417" s="4" t="s">
        <v>2999</v>
      </c>
      <c r="E417" s="4" t="s">
        <v>4151</v>
      </c>
      <c r="F417" s="4" t="s">
        <v>4148</v>
      </c>
      <c r="G417" s="4" t="s">
        <v>4153</v>
      </c>
      <c r="H417" s="4" t="s">
        <v>4156</v>
      </c>
      <c r="I417" s="4" t="s">
        <v>824</v>
      </c>
    </row>
    <row r="418" spans="1:9" x14ac:dyDescent="0.3">
      <c r="A418">
        <v>421</v>
      </c>
      <c r="B418" s="4" t="s">
        <v>4161</v>
      </c>
      <c r="C418" s="4" t="s">
        <v>4154</v>
      </c>
      <c r="D418" s="4" t="s">
        <v>2999</v>
      </c>
      <c r="E418" s="4" t="s">
        <v>4151</v>
      </c>
      <c r="F418" s="4" t="s">
        <v>4148</v>
      </c>
      <c r="G418" s="4" t="s">
        <v>4153</v>
      </c>
      <c r="H418" s="4" t="s">
        <v>4156</v>
      </c>
      <c r="I418" s="4" t="s">
        <v>824</v>
      </c>
    </row>
    <row r="419" spans="1:9" x14ac:dyDescent="0.3">
      <c r="A419">
        <v>422</v>
      </c>
      <c r="B419" s="4" t="s">
        <v>4161</v>
      </c>
      <c r="C419" s="4" t="s">
        <v>4154</v>
      </c>
      <c r="D419" s="4" t="s">
        <v>2999</v>
      </c>
      <c r="E419" s="4" t="s">
        <v>4151</v>
      </c>
      <c r="F419" s="4" t="s">
        <v>4148</v>
      </c>
      <c r="G419" s="4" t="s">
        <v>4149</v>
      </c>
      <c r="H419" s="4" t="s">
        <v>4156</v>
      </c>
      <c r="I419" s="4" t="s">
        <v>824</v>
      </c>
    </row>
    <row r="420" spans="1:9" x14ac:dyDescent="0.3">
      <c r="A420">
        <v>423</v>
      </c>
      <c r="B420" s="4" t="s">
        <v>4161</v>
      </c>
      <c r="C420" s="4" t="s">
        <v>4154</v>
      </c>
      <c r="D420" s="4" t="s">
        <v>2999</v>
      </c>
      <c r="E420" s="4" t="s">
        <v>4151</v>
      </c>
      <c r="F420" s="4" t="s">
        <v>4148</v>
      </c>
      <c r="G420" s="4" t="s">
        <v>4149</v>
      </c>
      <c r="H420" s="4" t="s">
        <v>4156</v>
      </c>
      <c r="I420" s="4" t="s">
        <v>824</v>
      </c>
    </row>
    <row r="421" spans="1:9" x14ac:dyDescent="0.3">
      <c r="A421">
        <v>424</v>
      </c>
      <c r="B421" s="4" t="s">
        <v>4161</v>
      </c>
      <c r="C421" s="4" t="s">
        <v>4154</v>
      </c>
      <c r="D421" s="4" t="s">
        <v>2999</v>
      </c>
      <c r="E421" s="4" t="s">
        <v>4151</v>
      </c>
      <c r="F421" s="4" t="s">
        <v>4155</v>
      </c>
      <c r="G421" s="4" t="s">
        <v>4149</v>
      </c>
      <c r="H421" s="4" t="s">
        <v>4156</v>
      </c>
      <c r="I421" s="4" t="s">
        <v>824</v>
      </c>
    </row>
    <row r="422" spans="1:9" x14ac:dyDescent="0.3">
      <c r="A422">
        <v>425</v>
      </c>
      <c r="B422" s="4" t="s">
        <v>4161</v>
      </c>
      <c r="C422" s="4" t="s">
        <v>4154</v>
      </c>
      <c r="D422" s="4" t="s">
        <v>2999</v>
      </c>
      <c r="E422" s="4" t="s">
        <v>4151</v>
      </c>
      <c r="F422" s="4" t="s">
        <v>4148</v>
      </c>
      <c r="G422" s="4" t="s">
        <v>4149</v>
      </c>
      <c r="H422" s="4" t="s">
        <v>4156</v>
      </c>
      <c r="I422" s="4" t="s">
        <v>824</v>
      </c>
    </row>
    <row r="423" spans="1:9" x14ac:dyDescent="0.3">
      <c r="A423">
        <v>426</v>
      </c>
      <c r="B423" s="4" t="s">
        <v>4161</v>
      </c>
      <c r="C423" s="4" t="s">
        <v>4154</v>
      </c>
      <c r="D423" s="4" t="s">
        <v>2999</v>
      </c>
      <c r="E423" s="4" t="s">
        <v>4151</v>
      </c>
      <c r="F423" s="4" t="s">
        <v>4157</v>
      </c>
      <c r="G423" s="4" t="s">
        <v>4149</v>
      </c>
      <c r="H423" s="4" t="s">
        <v>4156</v>
      </c>
      <c r="I423" s="4" t="s">
        <v>824</v>
      </c>
    </row>
    <row r="424" spans="1:9" x14ac:dyDescent="0.3">
      <c r="A424">
        <v>427</v>
      </c>
      <c r="B424" s="4" t="s">
        <v>4161</v>
      </c>
      <c r="C424" s="4" t="s">
        <v>4154</v>
      </c>
      <c r="D424" s="4" t="s">
        <v>2999</v>
      </c>
      <c r="E424" s="4" t="s">
        <v>4151</v>
      </c>
      <c r="F424" s="4" t="s">
        <v>4148</v>
      </c>
      <c r="G424" s="4" t="s">
        <v>4149</v>
      </c>
      <c r="H424" s="4" t="s">
        <v>4156</v>
      </c>
      <c r="I424" s="4" t="s">
        <v>824</v>
      </c>
    </row>
    <row r="425" spans="1:9" x14ac:dyDescent="0.3">
      <c r="A425">
        <v>428</v>
      </c>
      <c r="B425" s="4" t="s">
        <v>4161</v>
      </c>
      <c r="C425" s="4" t="s">
        <v>4146</v>
      </c>
      <c r="D425" s="4" t="s">
        <v>2996</v>
      </c>
      <c r="E425" s="4" t="s">
        <v>4151</v>
      </c>
      <c r="F425" s="4" t="s">
        <v>4152</v>
      </c>
      <c r="G425" s="4" t="s">
        <v>4153</v>
      </c>
      <c r="H425" s="4" t="s">
        <v>4156</v>
      </c>
      <c r="I425" s="4" t="s">
        <v>824</v>
      </c>
    </row>
    <row r="426" spans="1:9" x14ac:dyDescent="0.3">
      <c r="A426">
        <v>429</v>
      </c>
      <c r="B426" s="4" t="s">
        <v>4161</v>
      </c>
      <c r="C426" s="4" t="s">
        <v>4146</v>
      </c>
      <c r="D426" s="4" t="s">
        <v>3001</v>
      </c>
      <c r="E426" s="4" t="s">
        <v>4147</v>
      </c>
      <c r="F426" s="4" t="s">
        <v>4148</v>
      </c>
      <c r="G426" s="4" t="s">
        <v>4153</v>
      </c>
      <c r="H426" s="4" t="s">
        <v>4156</v>
      </c>
      <c r="I426" s="4" t="s">
        <v>824</v>
      </c>
    </row>
    <row r="427" spans="1:9" x14ac:dyDescent="0.3">
      <c r="A427">
        <v>430</v>
      </c>
      <c r="B427" s="4" t="s">
        <v>4161</v>
      </c>
      <c r="C427" s="4" t="s">
        <v>4154</v>
      </c>
      <c r="D427" s="4" t="s">
        <v>2999</v>
      </c>
      <c r="E427" s="4" t="s">
        <v>4151</v>
      </c>
      <c r="F427" s="4" t="s">
        <v>4155</v>
      </c>
      <c r="G427" s="4" t="s">
        <v>4149</v>
      </c>
      <c r="H427" s="4" t="s">
        <v>4156</v>
      </c>
      <c r="I427" s="4" t="s">
        <v>824</v>
      </c>
    </row>
    <row r="428" spans="1:9" x14ac:dyDescent="0.3">
      <c r="A428">
        <v>431</v>
      </c>
      <c r="B428" s="4" t="s">
        <v>4161</v>
      </c>
      <c r="C428" s="4" t="s">
        <v>4146</v>
      </c>
      <c r="D428" s="4" t="s">
        <v>2994</v>
      </c>
      <c r="E428" s="4" t="s">
        <v>4147</v>
      </c>
      <c r="F428" s="4" t="s">
        <v>4152</v>
      </c>
      <c r="G428" s="4" t="s">
        <v>4153</v>
      </c>
      <c r="H428" s="4" t="s">
        <v>4156</v>
      </c>
      <c r="I428" s="4" t="s">
        <v>824</v>
      </c>
    </row>
    <row r="429" spans="1:9" x14ac:dyDescent="0.3">
      <c r="A429">
        <v>432</v>
      </c>
      <c r="B429" s="4" t="s">
        <v>4161</v>
      </c>
      <c r="C429" s="4" t="s">
        <v>4154</v>
      </c>
      <c r="D429" s="4" t="s">
        <v>3338</v>
      </c>
      <c r="E429" s="4" t="s">
        <v>4151</v>
      </c>
      <c r="F429" s="4" t="s">
        <v>4148</v>
      </c>
      <c r="G429" s="4" t="s">
        <v>4153</v>
      </c>
      <c r="H429" s="4" t="s">
        <v>4156</v>
      </c>
      <c r="I429" s="4" t="s">
        <v>824</v>
      </c>
    </row>
    <row r="430" spans="1:9" x14ac:dyDescent="0.3">
      <c r="A430">
        <v>433</v>
      </c>
      <c r="B430" s="4" t="s">
        <v>4161</v>
      </c>
      <c r="C430" s="4" t="s">
        <v>4146</v>
      </c>
      <c r="D430" s="4" t="s">
        <v>2999</v>
      </c>
      <c r="E430" s="4" t="s">
        <v>4151</v>
      </c>
      <c r="F430" s="4" t="s">
        <v>4157</v>
      </c>
      <c r="G430" s="4" t="s">
        <v>4149</v>
      </c>
      <c r="H430" s="4" t="s">
        <v>4156</v>
      </c>
      <c r="I430" s="4" t="s">
        <v>824</v>
      </c>
    </row>
    <row r="431" spans="1:9" x14ac:dyDescent="0.3">
      <c r="A431">
        <v>434</v>
      </c>
      <c r="B431" s="4" t="s">
        <v>4161</v>
      </c>
      <c r="C431" s="4" t="s">
        <v>4154</v>
      </c>
      <c r="D431" s="4" t="s">
        <v>2999</v>
      </c>
      <c r="E431" s="4" t="s">
        <v>4151</v>
      </c>
      <c r="F431" s="4" t="s">
        <v>4148</v>
      </c>
      <c r="G431" s="4" t="s">
        <v>4149</v>
      </c>
      <c r="H431" s="4" t="s">
        <v>4156</v>
      </c>
      <c r="I431" s="4" t="s">
        <v>824</v>
      </c>
    </row>
    <row r="432" spans="1:9" x14ac:dyDescent="0.3">
      <c r="A432">
        <v>435</v>
      </c>
      <c r="B432" s="4" t="s">
        <v>4161</v>
      </c>
      <c r="C432" s="4" t="s">
        <v>4146</v>
      </c>
      <c r="D432" s="4" t="s">
        <v>2994</v>
      </c>
      <c r="E432" s="4" t="s">
        <v>4147</v>
      </c>
      <c r="F432" s="4" t="s">
        <v>4152</v>
      </c>
      <c r="G432" s="4" t="s">
        <v>4153</v>
      </c>
      <c r="H432" s="4" t="s">
        <v>4156</v>
      </c>
      <c r="I432" s="4" t="s">
        <v>824</v>
      </c>
    </row>
    <row r="433" spans="1:9" x14ac:dyDescent="0.3">
      <c r="A433">
        <v>436</v>
      </c>
      <c r="B433" s="4" t="s">
        <v>4161</v>
      </c>
      <c r="C433" s="4" t="s">
        <v>4154</v>
      </c>
      <c r="D433" s="4" t="s">
        <v>2999</v>
      </c>
      <c r="E433" s="4" t="s">
        <v>4151</v>
      </c>
      <c r="F433" s="4" t="s">
        <v>4155</v>
      </c>
      <c r="G433" s="4" t="s">
        <v>4153</v>
      </c>
      <c r="H433" s="4" t="s">
        <v>4156</v>
      </c>
      <c r="I433" s="4" t="s">
        <v>824</v>
      </c>
    </row>
    <row r="434" spans="1:9" x14ac:dyDescent="0.3">
      <c r="A434">
        <v>437</v>
      </c>
      <c r="B434" s="4" t="s">
        <v>4161</v>
      </c>
      <c r="C434" s="4" t="s">
        <v>4146</v>
      </c>
      <c r="D434" s="4" t="s">
        <v>3001</v>
      </c>
      <c r="E434" s="4" t="s">
        <v>4147</v>
      </c>
      <c r="F434" s="4" t="s">
        <v>4155</v>
      </c>
      <c r="G434" s="4" t="s">
        <v>4153</v>
      </c>
      <c r="H434" s="4" t="s">
        <v>4156</v>
      </c>
      <c r="I434" s="4" t="s">
        <v>824</v>
      </c>
    </row>
    <row r="435" spans="1:9" x14ac:dyDescent="0.3">
      <c r="A435">
        <v>438</v>
      </c>
      <c r="B435" s="4" t="s">
        <v>4161</v>
      </c>
      <c r="C435" s="4" t="s">
        <v>4146</v>
      </c>
      <c r="D435" s="4" t="s">
        <v>2994</v>
      </c>
      <c r="E435" s="4" t="s">
        <v>4147</v>
      </c>
      <c r="F435" s="4" t="s">
        <v>4148</v>
      </c>
      <c r="G435" s="4" t="s">
        <v>4153</v>
      </c>
      <c r="H435" s="4" t="s">
        <v>4158</v>
      </c>
      <c r="I435" s="4" t="s">
        <v>824</v>
      </c>
    </row>
    <row r="436" spans="1:9" x14ac:dyDescent="0.3">
      <c r="A436">
        <v>439</v>
      </c>
      <c r="B436" s="4" t="s">
        <v>4161</v>
      </c>
      <c r="C436" s="4" t="s">
        <v>4146</v>
      </c>
      <c r="D436" s="4" t="s">
        <v>2994</v>
      </c>
      <c r="E436" s="4" t="s">
        <v>4147</v>
      </c>
      <c r="F436" s="4" t="s">
        <v>4148</v>
      </c>
      <c r="G436" s="4" t="s">
        <v>4153</v>
      </c>
      <c r="H436" s="4" t="s">
        <v>4158</v>
      </c>
      <c r="I436" s="4" t="s">
        <v>824</v>
      </c>
    </row>
    <row r="437" spans="1:9" x14ac:dyDescent="0.3">
      <c r="A437">
        <v>440</v>
      </c>
      <c r="B437" s="4" t="s">
        <v>4161</v>
      </c>
      <c r="C437" s="4" t="s">
        <v>4154</v>
      </c>
      <c r="D437" s="4" t="s">
        <v>2999</v>
      </c>
      <c r="E437" s="4" t="s">
        <v>4151</v>
      </c>
      <c r="F437" s="4" t="s">
        <v>4155</v>
      </c>
      <c r="G437" s="4" t="s">
        <v>4153</v>
      </c>
      <c r="H437" s="4" t="s">
        <v>4158</v>
      </c>
      <c r="I437" s="4" t="s">
        <v>824</v>
      </c>
    </row>
    <row r="438" spans="1:9" x14ac:dyDescent="0.3">
      <c r="A438">
        <v>441</v>
      </c>
      <c r="B438" s="4" t="s">
        <v>4161</v>
      </c>
      <c r="C438" s="4" t="s">
        <v>4146</v>
      </c>
      <c r="D438" s="4" t="s">
        <v>3001</v>
      </c>
      <c r="E438" s="4" t="s">
        <v>4147</v>
      </c>
      <c r="F438" s="4" t="s">
        <v>4155</v>
      </c>
      <c r="G438" s="4" t="s">
        <v>4153</v>
      </c>
      <c r="H438" s="4" t="s">
        <v>4158</v>
      </c>
      <c r="I438" s="4" t="s">
        <v>824</v>
      </c>
    </row>
    <row r="439" spans="1:9" x14ac:dyDescent="0.3">
      <c r="A439">
        <v>442</v>
      </c>
      <c r="B439" s="4" t="s">
        <v>4161</v>
      </c>
      <c r="C439" s="4" t="s">
        <v>4146</v>
      </c>
      <c r="D439" s="4" t="s">
        <v>3001</v>
      </c>
      <c r="E439" s="4" t="s">
        <v>4147</v>
      </c>
      <c r="F439" s="4" t="s">
        <v>4157</v>
      </c>
      <c r="G439" s="4" t="s">
        <v>4149</v>
      </c>
      <c r="H439" s="4" t="s">
        <v>4156</v>
      </c>
      <c r="I439" s="4" t="s">
        <v>824</v>
      </c>
    </row>
    <row r="440" spans="1:9" x14ac:dyDescent="0.3">
      <c r="A440">
        <v>443</v>
      </c>
      <c r="B440" s="4" t="s">
        <v>4161</v>
      </c>
      <c r="C440" s="4" t="s">
        <v>4154</v>
      </c>
      <c r="D440" s="4" t="s">
        <v>2999</v>
      </c>
      <c r="E440" s="4" t="s">
        <v>4151</v>
      </c>
      <c r="F440" s="4" t="s">
        <v>4148</v>
      </c>
      <c r="G440" s="4" t="s">
        <v>4153</v>
      </c>
      <c r="H440" s="4" t="s">
        <v>4158</v>
      </c>
      <c r="I440" s="4" t="s">
        <v>824</v>
      </c>
    </row>
    <row r="441" spans="1:9" x14ac:dyDescent="0.3">
      <c r="A441">
        <v>444</v>
      </c>
      <c r="B441" s="4" t="s">
        <v>4161</v>
      </c>
      <c r="C441" s="4" t="s">
        <v>4154</v>
      </c>
      <c r="D441" s="4" t="s">
        <v>2999</v>
      </c>
      <c r="E441" s="4" t="s">
        <v>4151</v>
      </c>
      <c r="F441" s="4" t="s">
        <v>4155</v>
      </c>
      <c r="G441" s="4" t="s">
        <v>4153</v>
      </c>
      <c r="H441" s="4" t="s">
        <v>4158</v>
      </c>
      <c r="I441" s="4" t="s">
        <v>824</v>
      </c>
    </row>
    <row r="442" spans="1:9" x14ac:dyDescent="0.3">
      <c r="A442">
        <v>445</v>
      </c>
      <c r="B442" s="4" t="s">
        <v>4161</v>
      </c>
      <c r="C442" s="4" t="s">
        <v>4154</v>
      </c>
      <c r="D442" s="4" t="s">
        <v>2999</v>
      </c>
      <c r="E442" s="4" t="s">
        <v>4151</v>
      </c>
      <c r="F442" s="4" t="s">
        <v>4148</v>
      </c>
      <c r="G442" s="4" t="s">
        <v>4153</v>
      </c>
      <c r="H442" s="4" t="s">
        <v>4158</v>
      </c>
      <c r="I442" s="4" t="s">
        <v>824</v>
      </c>
    </row>
    <row r="443" spans="1:9" x14ac:dyDescent="0.3">
      <c r="A443">
        <v>446</v>
      </c>
      <c r="B443" s="4" t="s">
        <v>4161</v>
      </c>
      <c r="C443" s="4" t="s">
        <v>4154</v>
      </c>
      <c r="D443" s="4" t="s">
        <v>2994</v>
      </c>
      <c r="E443" s="4" t="s">
        <v>4147</v>
      </c>
      <c r="F443" s="4" t="s">
        <v>4159</v>
      </c>
      <c r="G443" s="4" t="s">
        <v>4153</v>
      </c>
      <c r="H443" s="4" t="s">
        <v>4156</v>
      </c>
      <c r="I443" s="4" t="s">
        <v>824</v>
      </c>
    </row>
    <row r="444" spans="1:9" x14ac:dyDescent="0.3">
      <c r="A444">
        <v>447</v>
      </c>
      <c r="B444" s="4" t="s">
        <v>4161</v>
      </c>
      <c r="C444" s="4" t="s">
        <v>4146</v>
      </c>
      <c r="D444" s="4" t="s">
        <v>2994</v>
      </c>
      <c r="E444" s="4" t="s">
        <v>4147</v>
      </c>
      <c r="F444" s="4" t="s">
        <v>4148</v>
      </c>
      <c r="G444" s="4" t="s">
        <v>4153</v>
      </c>
      <c r="H444" s="4" t="s">
        <v>4156</v>
      </c>
      <c r="I444" s="4" t="s">
        <v>824</v>
      </c>
    </row>
    <row r="445" spans="1:9" x14ac:dyDescent="0.3">
      <c r="A445">
        <v>448</v>
      </c>
      <c r="B445" s="4" t="s">
        <v>4161</v>
      </c>
      <c r="C445" s="4" t="s">
        <v>4154</v>
      </c>
      <c r="D445" s="4" t="s">
        <v>2999</v>
      </c>
      <c r="E445" s="4" t="s">
        <v>4151</v>
      </c>
      <c r="F445" s="4" t="s">
        <v>4148</v>
      </c>
      <c r="G445" s="4" t="s">
        <v>4153</v>
      </c>
      <c r="H445" s="4" t="s">
        <v>4156</v>
      </c>
      <c r="I445" s="4" t="s">
        <v>824</v>
      </c>
    </row>
    <row r="446" spans="1:9" x14ac:dyDescent="0.3">
      <c r="A446">
        <v>449</v>
      </c>
      <c r="B446" s="4" t="s">
        <v>4161</v>
      </c>
      <c r="C446" s="4" t="s">
        <v>4154</v>
      </c>
      <c r="D446" s="4" t="s">
        <v>2999</v>
      </c>
      <c r="E446" s="4" t="s">
        <v>4151</v>
      </c>
      <c r="F446" s="4" t="s">
        <v>4155</v>
      </c>
      <c r="G446" s="4" t="s">
        <v>4149</v>
      </c>
      <c r="H446" s="4" t="s">
        <v>4156</v>
      </c>
      <c r="I446" s="4" t="s">
        <v>824</v>
      </c>
    </row>
    <row r="447" spans="1:9" x14ac:dyDescent="0.3">
      <c r="A447">
        <v>450</v>
      </c>
      <c r="B447" s="4" t="s">
        <v>4161</v>
      </c>
      <c r="C447" s="4" t="s">
        <v>4146</v>
      </c>
      <c r="D447" s="4" t="s">
        <v>3001</v>
      </c>
      <c r="E447" s="4" t="s">
        <v>4147</v>
      </c>
      <c r="F447" s="4" t="s">
        <v>4157</v>
      </c>
      <c r="G447" s="4" t="s">
        <v>4153</v>
      </c>
      <c r="H447" s="4" t="s">
        <v>4156</v>
      </c>
      <c r="I447" s="4" t="s">
        <v>824</v>
      </c>
    </row>
    <row r="448" spans="1:9" x14ac:dyDescent="0.3">
      <c r="A448">
        <v>451</v>
      </c>
      <c r="B448" s="4" t="s">
        <v>4161</v>
      </c>
      <c r="C448" s="4" t="s">
        <v>4154</v>
      </c>
      <c r="D448" s="4" t="s">
        <v>2999</v>
      </c>
      <c r="E448" s="4" t="s">
        <v>4151</v>
      </c>
      <c r="F448" s="4" t="s">
        <v>4155</v>
      </c>
      <c r="G448" s="4" t="s">
        <v>4149</v>
      </c>
      <c r="H448" s="4" t="s">
        <v>4156</v>
      </c>
      <c r="I448" s="4" t="s">
        <v>824</v>
      </c>
    </row>
    <row r="449" spans="1:9" x14ac:dyDescent="0.3">
      <c r="A449">
        <v>452</v>
      </c>
      <c r="B449" s="4" t="s">
        <v>4161</v>
      </c>
      <c r="C449" s="4" t="s">
        <v>4154</v>
      </c>
      <c r="D449" s="4" t="s">
        <v>2999</v>
      </c>
      <c r="E449" s="4" t="s">
        <v>4151</v>
      </c>
      <c r="F449" s="4" t="s">
        <v>4155</v>
      </c>
      <c r="G449" s="4" t="s">
        <v>4153</v>
      </c>
      <c r="H449" s="4" t="s">
        <v>4156</v>
      </c>
      <c r="I449" s="4" t="s">
        <v>824</v>
      </c>
    </row>
    <row r="450" spans="1:9" x14ac:dyDescent="0.3">
      <c r="A450">
        <v>453</v>
      </c>
      <c r="B450" s="4" t="s">
        <v>4161</v>
      </c>
      <c r="C450" s="4" t="s">
        <v>4146</v>
      </c>
      <c r="D450" s="4" t="s">
        <v>3001</v>
      </c>
      <c r="E450" s="4" t="s">
        <v>4147</v>
      </c>
      <c r="F450" s="4" t="s">
        <v>4148</v>
      </c>
      <c r="G450" s="4" t="s">
        <v>4153</v>
      </c>
      <c r="H450" s="4" t="s">
        <v>4156</v>
      </c>
      <c r="I450" s="4" t="s">
        <v>824</v>
      </c>
    </row>
    <row r="451" spans="1:9" x14ac:dyDescent="0.3">
      <c r="A451">
        <v>454</v>
      </c>
      <c r="B451" s="4" t="s">
        <v>4161</v>
      </c>
      <c r="C451" s="4" t="s">
        <v>4154</v>
      </c>
      <c r="D451" s="4" t="s">
        <v>2999</v>
      </c>
      <c r="E451" s="4" t="s">
        <v>4151</v>
      </c>
      <c r="F451" s="4" t="s">
        <v>4148</v>
      </c>
      <c r="G451" s="4" t="s">
        <v>4149</v>
      </c>
      <c r="H451" s="4" t="s">
        <v>4158</v>
      </c>
      <c r="I451" s="4" t="s">
        <v>824</v>
      </c>
    </row>
    <row r="452" spans="1:9" x14ac:dyDescent="0.3">
      <c r="A452">
        <v>455</v>
      </c>
      <c r="B452" s="4" t="s">
        <v>4161</v>
      </c>
      <c r="C452" s="4" t="s">
        <v>4146</v>
      </c>
      <c r="D452" s="4" t="s">
        <v>2999</v>
      </c>
      <c r="E452" s="4" t="s">
        <v>4151</v>
      </c>
      <c r="F452" s="4" t="s">
        <v>4155</v>
      </c>
      <c r="G452" s="4" t="s">
        <v>4149</v>
      </c>
      <c r="H452" s="4" t="s">
        <v>4156</v>
      </c>
      <c r="I452" s="4" t="s">
        <v>824</v>
      </c>
    </row>
    <row r="453" spans="1:9" x14ac:dyDescent="0.3">
      <c r="A453">
        <v>456</v>
      </c>
      <c r="B453" s="4" t="s">
        <v>4161</v>
      </c>
      <c r="C453" s="4" t="s">
        <v>4154</v>
      </c>
      <c r="D453" s="4" t="s">
        <v>2999</v>
      </c>
      <c r="E453" s="4" t="s">
        <v>4151</v>
      </c>
      <c r="F453" s="4" t="s">
        <v>4157</v>
      </c>
      <c r="G453" s="4" t="s">
        <v>4153</v>
      </c>
      <c r="H453" s="4" t="s">
        <v>4156</v>
      </c>
      <c r="I453" s="4" t="s">
        <v>824</v>
      </c>
    </row>
    <row r="454" spans="1:9" x14ac:dyDescent="0.3">
      <c r="A454">
        <v>457</v>
      </c>
      <c r="B454" s="4" t="s">
        <v>4161</v>
      </c>
      <c r="C454" s="4" t="s">
        <v>4154</v>
      </c>
      <c r="D454" s="4" t="s">
        <v>3001</v>
      </c>
      <c r="E454" s="4" t="s">
        <v>4147</v>
      </c>
      <c r="F454" s="4" t="s">
        <v>4157</v>
      </c>
      <c r="G454" s="4" t="s">
        <v>4153</v>
      </c>
      <c r="H454" s="4" t="s">
        <v>4156</v>
      </c>
      <c r="I454" s="4" t="s">
        <v>824</v>
      </c>
    </row>
    <row r="455" spans="1:9" x14ac:dyDescent="0.3">
      <c r="A455">
        <v>458</v>
      </c>
      <c r="B455" s="4" t="s">
        <v>4161</v>
      </c>
      <c r="C455" s="4" t="s">
        <v>4154</v>
      </c>
      <c r="D455" s="4" t="s">
        <v>2999</v>
      </c>
      <c r="E455" s="4" t="s">
        <v>4151</v>
      </c>
      <c r="F455" s="4" t="s">
        <v>4155</v>
      </c>
      <c r="G455" s="4" t="s">
        <v>4149</v>
      </c>
      <c r="H455" s="4" t="s">
        <v>4156</v>
      </c>
      <c r="I455" s="4" t="s">
        <v>824</v>
      </c>
    </row>
    <row r="456" spans="1:9" x14ac:dyDescent="0.3">
      <c r="A456">
        <v>459</v>
      </c>
      <c r="B456" s="4" t="s">
        <v>4161</v>
      </c>
      <c r="C456" s="4" t="s">
        <v>4146</v>
      </c>
      <c r="D456" s="4" t="s">
        <v>2994</v>
      </c>
      <c r="E456" s="4" t="s">
        <v>4147</v>
      </c>
      <c r="F456" s="4" t="s">
        <v>4159</v>
      </c>
      <c r="G456" s="4" t="s">
        <v>4149</v>
      </c>
      <c r="H456" s="4" t="s">
        <v>4156</v>
      </c>
      <c r="I456" s="4" t="s">
        <v>824</v>
      </c>
    </row>
    <row r="457" spans="1:9" x14ac:dyDescent="0.3">
      <c r="A457">
        <v>460</v>
      </c>
      <c r="B457" s="4" t="s">
        <v>4161</v>
      </c>
      <c r="C457" s="4" t="s">
        <v>4154</v>
      </c>
      <c r="D457" s="4" t="s">
        <v>2999</v>
      </c>
      <c r="E457" s="4" t="s">
        <v>4151</v>
      </c>
      <c r="F457" s="4" t="s">
        <v>4155</v>
      </c>
      <c r="G457" s="4" t="s">
        <v>4153</v>
      </c>
      <c r="H457" s="4" t="s">
        <v>4156</v>
      </c>
      <c r="I457" s="4" t="s">
        <v>824</v>
      </c>
    </row>
    <row r="458" spans="1:9" x14ac:dyDescent="0.3">
      <c r="A458">
        <v>461</v>
      </c>
      <c r="B458" s="4" t="s">
        <v>4161</v>
      </c>
      <c r="C458" s="4" t="s">
        <v>4146</v>
      </c>
      <c r="D458" s="4" t="s">
        <v>3001</v>
      </c>
      <c r="E458" s="4" t="s">
        <v>4147</v>
      </c>
      <c r="F458" s="4" t="s">
        <v>4148</v>
      </c>
      <c r="G458" s="4" t="s">
        <v>4153</v>
      </c>
      <c r="H458" s="4" t="s">
        <v>4156</v>
      </c>
      <c r="I458" s="4" t="s">
        <v>824</v>
      </c>
    </row>
    <row r="459" spans="1:9" x14ac:dyDescent="0.3">
      <c r="A459">
        <v>462</v>
      </c>
      <c r="B459" s="4" t="s">
        <v>4161</v>
      </c>
      <c r="C459" s="4" t="s">
        <v>4154</v>
      </c>
      <c r="D459" s="4" t="s">
        <v>2999</v>
      </c>
      <c r="E459" s="4" t="s">
        <v>4151</v>
      </c>
      <c r="F459" s="4" t="s">
        <v>4155</v>
      </c>
      <c r="G459" s="4" t="s">
        <v>4149</v>
      </c>
      <c r="H459" s="4" t="s">
        <v>4156</v>
      </c>
      <c r="I459" s="4" t="s">
        <v>824</v>
      </c>
    </row>
    <row r="460" spans="1:9" x14ac:dyDescent="0.3">
      <c r="A460">
        <v>463</v>
      </c>
      <c r="B460" s="4" t="s">
        <v>4161</v>
      </c>
      <c r="C460" s="4" t="s">
        <v>4154</v>
      </c>
      <c r="D460" s="4" t="s">
        <v>2999</v>
      </c>
      <c r="E460" s="4" t="s">
        <v>4151</v>
      </c>
      <c r="F460" s="4" t="s">
        <v>4148</v>
      </c>
      <c r="G460" s="4" t="s">
        <v>4153</v>
      </c>
      <c r="H460" s="4" t="s">
        <v>4156</v>
      </c>
      <c r="I460" s="4" t="s">
        <v>824</v>
      </c>
    </row>
    <row r="461" spans="1:9" x14ac:dyDescent="0.3">
      <c r="A461">
        <v>464</v>
      </c>
      <c r="B461" s="4" t="s">
        <v>4161</v>
      </c>
      <c r="C461" s="4" t="s">
        <v>4154</v>
      </c>
      <c r="D461" s="4" t="s">
        <v>2999</v>
      </c>
      <c r="E461" s="4" t="s">
        <v>4151</v>
      </c>
      <c r="F461" s="4" t="s">
        <v>4148</v>
      </c>
      <c r="G461" s="4" t="s">
        <v>4153</v>
      </c>
      <c r="H461" s="4" t="s">
        <v>4156</v>
      </c>
      <c r="I461" s="4" t="s">
        <v>824</v>
      </c>
    </row>
    <row r="462" spans="1:9" x14ac:dyDescent="0.3">
      <c r="A462">
        <v>465</v>
      </c>
      <c r="B462" s="4" t="s">
        <v>4161</v>
      </c>
      <c r="C462" s="4" t="s">
        <v>4154</v>
      </c>
      <c r="D462" s="4" t="s">
        <v>2999</v>
      </c>
      <c r="E462" s="4" t="s">
        <v>4151</v>
      </c>
      <c r="F462" s="4" t="s">
        <v>4155</v>
      </c>
      <c r="G462" s="4" t="s">
        <v>4149</v>
      </c>
      <c r="H462" s="4" t="s">
        <v>4156</v>
      </c>
      <c r="I462" s="4" t="s">
        <v>824</v>
      </c>
    </row>
    <row r="463" spans="1:9" x14ac:dyDescent="0.3">
      <c r="A463">
        <v>466</v>
      </c>
      <c r="B463" s="4" t="s">
        <v>4161</v>
      </c>
      <c r="C463" s="4" t="s">
        <v>4146</v>
      </c>
      <c r="D463" s="4" t="s">
        <v>3001</v>
      </c>
      <c r="E463" s="4" t="s">
        <v>4147</v>
      </c>
      <c r="F463" s="4" t="s">
        <v>4148</v>
      </c>
      <c r="G463" s="4" t="s">
        <v>4149</v>
      </c>
      <c r="H463" s="4" t="s">
        <v>4156</v>
      </c>
      <c r="I463" s="4" t="s">
        <v>4178</v>
      </c>
    </row>
    <row r="464" spans="1:9" x14ac:dyDescent="0.3">
      <c r="A464">
        <v>467</v>
      </c>
      <c r="B464" s="4" t="s">
        <v>4161</v>
      </c>
      <c r="C464" s="4" t="s">
        <v>4154</v>
      </c>
      <c r="D464" s="4" t="s">
        <v>2999</v>
      </c>
      <c r="E464" s="4" t="s">
        <v>4151</v>
      </c>
      <c r="F464" s="4" t="s">
        <v>4155</v>
      </c>
      <c r="G464" s="4" t="s">
        <v>4153</v>
      </c>
      <c r="H464" s="4" t="s">
        <v>4156</v>
      </c>
      <c r="I464" s="4" t="s">
        <v>824</v>
      </c>
    </row>
    <row r="465" spans="1:9" x14ac:dyDescent="0.3">
      <c r="A465">
        <v>468</v>
      </c>
      <c r="B465" s="4" t="s">
        <v>4161</v>
      </c>
      <c r="C465" s="4" t="s">
        <v>4146</v>
      </c>
      <c r="D465" s="4" t="s">
        <v>3001</v>
      </c>
      <c r="E465" s="4" t="s">
        <v>4147</v>
      </c>
      <c r="F465" s="4" t="s">
        <v>4148</v>
      </c>
      <c r="G465" s="4" t="s">
        <v>4153</v>
      </c>
      <c r="H465" s="4" t="s">
        <v>4156</v>
      </c>
      <c r="I465" s="4" t="s">
        <v>824</v>
      </c>
    </row>
    <row r="466" spans="1:9" x14ac:dyDescent="0.3">
      <c r="A466">
        <v>469</v>
      </c>
      <c r="B466" s="4" t="s">
        <v>4161</v>
      </c>
      <c r="C466" s="4" t="s">
        <v>4154</v>
      </c>
      <c r="D466" s="4" t="s">
        <v>3001</v>
      </c>
      <c r="E466" s="4" t="s">
        <v>4147</v>
      </c>
      <c r="F466" s="4" t="s">
        <v>4148</v>
      </c>
      <c r="G466" s="4" t="s">
        <v>4149</v>
      </c>
      <c r="H466" s="4" t="s">
        <v>4156</v>
      </c>
      <c r="I466" s="4" t="s">
        <v>824</v>
      </c>
    </row>
    <row r="467" spans="1:9" x14ac:dyDescent="0.3">
      <c r="A467">
        <v>470</v>
      </c>
      <c r="B467" s="4" t="s">
        <v>4161</v>
      </c>
      <c r="C467" s="4" t="s">
        <v>4146</v>
      </c>
      <c r="D467" s="4" t="s">
        <v>2994</v>
      </c>
      <c r="E467" s="4" t="s">
        <v>4147</v>
      </c>
      <c r="F467" s="4" t="s">
        <v>4148</v>
      </c>
      <c r="G467" s="4" t="s">
        <v>4149</v>
      </c>
      <c r="H467" s="4" t="s">
        <v>4156</v>
      </c>
      <c r="I467" s="4" t="s">
        <v>4160</v>
      </c>
    </row>
    <row r="468" spans="1:9" x14ac:dyDescent="0.3">
      <c r="A468">
        <v>471</v>
      </c>
      <c r="B468" s="4" t="s">
        <v>4161</v>
      </c>
      <c r="C468" s="4" t="s">
        <v>4154</v>
      </c>
      <c r="D468" s="4" t="s">
        <v>2999</v>
      </c>
      <c r="E468" s="4" t="s">
        <v>4151</v>
      </c>
      <c r="F468" s="4" t="s">
        <v>4155</v>
      </c>
      <c r="G468" s="4" t="s">
        <v>4149</v>
      </c>
      <c r="H468" s="4" t="s">
        <v>4156</v>
      </c>
      <c r="I468" s="4" t="s">
        <v>4160</v>
      </c>
    </row>
    <row r="469" spans="1:9" x14ac:dyDescent="0.3">
      <c r="A469">
        <v>472</v>
      </c>
      <c r="B469" s="4" t="s">
        <v>4161</v>
      </c>
      <c r="C469" s="4" t="s">
        <v>4146</v>
      </c>
      <c r="D469" s="4" t="s">
        <v>3001</v>
      </c>
      <c r="E469" s="4" t="s">
        <v>4147</v>
      </c>
      <c r="F469" s="4" t="s">
        <v>4155</v>
      </c>
      <c r="G469" s="4" t="s">
        <v>4149</v>
      </c>
      <c r="H469" s="4" t="s">
        <v>4156</v>
      </c>
      <c r="I469" s="4" t="s">
        <v>824</v>
      </c>
    </row>
    <row r="470" spans="1:9" x14ac:dyDescent="0.3">
      <c r="A470">
        <v>473</v>
      </c>
      <c r="B470" s="4" t="s">
        <v>4161</v>
      </c>
      <c r="C470" s="4" t="s">
        <v>4154</v>
      </c>
      <c r="D470" s="4" t="s">
        <v>3338</v>
      </c>
      <c r="E470" s="4" t="s">
        <v>4151</v>
      </c>
      <c r="F470" s="4" t="s">
        <v>4157</v>
      </c>
      <c r="G470" s="4" t="s">
        <v>4149</v>
      </c>
      <c r="H470" s="4" t="s">
        <v>4156</v>
      </c>
      <c r="I470" s="4" t="s">
        <v>4160</v>
      </c>
    </row>
    <row r="471" spans="1:9" x14ac:dyDescent="0.3">
      <c r="A471">
        <v>474</v>
      </c>
      <c r="B471" s="4" t="s">
        <v>4161</v>
      </c>
      <c r="C471" s="4" t="s">
        <v>4154</v>
      </c>
      <c r="D471" s="4" t="s">
        <v>2999</v>
      </c>
      <c r="E471" s="4" t="s">
        <v>4151</v>
      </c>
      <c r="F471" s="4" t="s">
        <v>4148</v>
      </c>
      <c r="G471" s="4" t="s">
        <v>4149</v>
      </c>
      <c r="H471" s="4" t="s">
        <v>4156</v>
      </c>
      <c r="I471" s="4" t="s">
        <v>824</v>
      </c>
    </row>
    <row r="472" spans="1:9" x14ac:dyDescent="0.3">
      <c r="A472">
        <v>475</v>
      </c>
      <c r="B472" s="4" t="s">
        <v>4161</v>
      </c>
      <c r="C472" s="4" t="s">
        <v>4154</v>
      </c>
      <c r="D472" s="4" t="s">
        <v>2999</v>
      </c>
      <c r="E472" s="4" t="s">
        <v>4151</v>
      </c>
      <c r="F472" s="4" t="s">
        <v>4155</v>
      </c>
      <c r="G472" s="4" t="s">
        <v>4149</v>
      </c>
      <c r="H472" s="4" t="s">
        <v>4156</v>
      </c>
      <c r="I472" s="4" t="s">
        <v>824</v>
      </c>
    </row>
    <row r="473" spans="1:9" x14ac:dyDescent="0.3">
      <c r="A473">
        <v>476</v>
      </c>
      <c r="B473" s="4" t="s">
        <v>4161</v>
      </c>
      <c r="C473" s="4" t="s">
        <v>4154</v>
      </c>
      <c r="D473" s="4" t="s">
        <v>3001</v>
      </c>
      <c r="E473" s="4" t="s">
        <v>4147</v>
      </c>
      <c r="F473" s="4" t="s">
        <v>4148</v>
      </c>
      <c r="G473" s="4" t="s">
        <v>4153</v>
      </c>
      <c r="H473" s="4" t="s">
        <v>4156</v>
      </c>
      <c r="I473" s="4" t="s">
        <v>824</v>
      </c>
    </row>
    <row r="474" spans="1:9" x14ac:dyDescent="0.3">
      <c r="A474">
        <v>477</v>
      </c>
      <c r="B474" s="4" t="s">
        <v>4161</v>
      </c>
      <c r="C474" s="4" t="s">
        <v>4154</v>
      </c>
      <c r="D474" s="4" t="s">
        <v>3338</v>
      </c>
      <c r="E474" s="4" t="s">
        <v>4151</v>
      </c>
      <c r="F474" s="4" t="s">
        <v>4148</v>
      </c>
      <c r="G474" s="4" t="s">
        <v>4153</v>
      </c>
      <c r="H474" s="4" t="s">
        <v>4156</v>
      </c>
      <c r="I474" s="4" t="s">
        <v>824</v>
      </c>
    </row>
    <row r="475" spans="1:9" x14ac:dyDescent="0.3">
      <c r="A475">
        <v>478</v>
      </c>
      <c r="B475" s="4" t="s">
        <v>4161</v>
      </c>
      <c r="C475" s="4" t="s">
        <v>4154</v>
      </c>
      <c r="D475" s="4" t="s">
        <v>2999</v>
      </c>
      <c r="E475" s="4" t="s">
        <v>4151</v>
      </c>
      <c r="F475" s="4" t="s">
        <v>4148</v>
      </c>
      <c r="G475" s="4" t="s">
        <v>4149</v>
      </c>
      <c r="H475" s="4" t="s">
        <v>4156</v>
      </c>
      <c r="I475" s="4" t="s">
        <v>4160</v>
      </c>
    </row>
    <row r="476" spans="1:9" x14ac:dyDescent="0.3">
      <c r="A476">
        <v>479</v>
      </c>
      <c r="B476" s="4" t="s">
        <v>4161</v>
      </c>
      <c r="C476" s="4" t="s">
        <v>4146</v>
      </c>
      <c r="D476" s="4" t="s">
        <v>2994</v>
      </c>
      <c r="E476" s="4" t="s">
        <v>4147</v>
      </c>
      <c r="F476" s="4" t="s">
        <v>4152</v>
      </c>
      <c r="G476" s="4" t="s">
        <v>4153</v>
      </c>
      <c r="H476" s="4" t="s">
        <v>4156</v>
      </c>
      <c r="I476" s="4" t="s">
        <v>4178</v>
      </c>
    </row>
    <row r="477" spans="1:9" x14ac:dyDescent="0.3">
      <c r="A477">
        <v>480</v>
      </c>
      <c r="B477" s="4" t="s">
        <v>4161</v>
      </c>
      <c r="C477" s="4" t="s">
        <v>4146</v>
      </c>
      <c r="D477" s="4" t="s">
        <v>2994</v>
      </c>
      <c r="E477" s="4" t="s">
        <v>4147</v>
      </c>
      <c r="F477" s="4" t="s">
        <v>4152</v>
      </c>
      <c r="G477" s="4" t="s">
        <v>4153</v>
      </c>
      <c r="H477" s="4" t="s">
        <v>4156</v>
      </c>
      <c r="I477" s="4" t="s">
        <v>4178</v>
      </c>
    </row>
    <row r="478" spans="1:9" x14ac:dyDescent="0.3">
      <c r="A478">
        <v>481</v>
      </c>
      <c r="B478" s="4" t="s">
        <v>4161</v>
      </c>
      <c r="C478" s="4" t="s">
        <v>4154</v>
      </c>
      <c r="D478" s="4" t="s">
        <v>2999</v>
      </c>
      <c r="E478" s="4" t="s">
        <v>4151</v>
      </c>
      <c r="F478" s="4" t="s">
        <v>4148</v>
      </c>
      <c r="G478" s="4" t="s">
        <v>4153</v>
      </c>
      <c r="H478" s="4" t="s">
        <v>4156</v>
      </c>
      <c r="I478" s="4" t="s">
        <v>4178</v>
      </c>
    </row>
    <row r="479" spans="1:9" x14ac:dyDescent="0.3">
      <c r="A479">
        <v>482</v>
      </c>
      <c r="B479" s="4" t="s">
        <v>4161</v>
      </c>
      <c r="C479" s="4" t="s">
        <v>4146</v>
      </c>
      <c r="D479" s="4" t="s">
        <v>3001</v>
      </c>
      <c r="E479" s="4" t="s">
        <v>4147</v>
      </c>
      <c r="F479" s="4" t="s">
        <v>4148</v>
      </c>
      <c r="G479" s="4" t="s">
        <v>4153</v>
      </c>
      <c r="H479" s="4" t="s">
        <v>4156</v>
      </c>
      <c r="I479" s="4" t="s">
        <v>4178</v>
      </c>
    </row>
    <row r="480" spans="1:9" x14ac:dyDescent="0.3">
      <c r="A480">
        <v>483</v>
      </c>
      <c r="B480" s="4" t="s">
        <v>4161</v>
      </c>
      <c r="C480" s="4" t="s">
        <v>4146</v>
      </c>
      <c r="D480" s="4" t="s">
        <v>2994</v>
      </c>
      <c r="E480" s="4" t="s">
        <v>4147</v>
      </c>
      <c r="F480" s="4" t="s">
        <v>4159</v>
      </c>
      <c r="G480" s="4" t="s">
        <v>4149</v>
      </c>
      <c r="H480" s="4" t="s">
        <v>4156</v>
      </c>
      <c r="I480" s="4" t="s">
        <v>4178</v>
      </c>
    </row>
    <row r="481" spans="1:9" x14ac:dyDescent="0.3">
      <c r="A481">
        <v>484</v>
      </c>
      <c r="B481" s="4" t="s">
        <v>4161</v>
      </c>
      <c r="C481" s="4" t="s">
        <v>4146</v>
      </c>
      <c r="D481" s="4" t="s">
        <v>2994</v>
      </c>
      <c r="E481" s="4" t="s">
        <v>4147</v>
      </c>
      <c r="F481" s="4" t="s">
        <v>4148</v>
      </c>
      <c r="G481" s="4" t="s">
        <v>4149</v>
      </c>
      <c r="H481" s="4" t="s">
        <v>4156</v>
      </c>
      <c r="I481" s="4" t="s">
        <v>824</v>
      </c>
    </row>
    <row r="482" spans="1:9" x14ac:dyDescent="0.3">
      <c r="A482">
        <v>485</v>
      </c>
      <c r="B482" s="4" t="s">
        <v>4161</v>
      </c>
      <c r="C482" s="4" t="s">
        <v>4146</v>
      </c>
      <c r="D482" s="4" t="s">
        <v>3001</v>
      </c>
      <c r="E482" s="4" t="s">
        <v>4147</v>
      </c>
      <c r="F482" s="4" t="s">
        <v>4155</v>
      </c>
      <c r="G482" s="4" t="s">
        <v>4149</v>
      </c>
      <c r="H482" s="4" t="s">
        <v>4156</v>
      </c>
      <c r="I482" s="4" t="s">
        <v>824</v>
      </c>
    </row>
    <row r="483" spans="1:9" x14ac:dyDescent="0.3">
      <c r="A483">
        <v>486</v>
      </c>
      <c r="B483" s="4" t="s">
        <v>4161</v>
      </c>
      <c r="C483" s="4" t="s">
        <v>4154</v>
      </c>
      <c r="D483" s="4" t="s">
        <v>2999</v>
      </c>
      <c r="E483" s="4" t="s">
        <v>4151</v>
      </c>
      <c r="F483" s="4" t="s">
        <v>4155</v>
      </c>
      <c r="G483" s="4" t="s">
        <v>4149</v>
      </c>
      <c r="H483" s="4" t="s">
        <v>4156</v>
      </c>
      <c r="I483" s="4" t="s">
        <v>4178</v>
      </c>
    </row>
    <row r="484" spans="1:9" x14ac:dyDescent="0.3">
      <c r="A484">
        <v>487</v>
      </c>
      <c r="B484" s="4" t="s">
        <v>4161</v>
      </c>
      <c r="C484" s="4" t="s">
        <v>4154</v>
      </c>
      <c r="D484" s="4" t="s">
        <v>2999</v>
      </c>
      <c r="E484" s="4" t="s">
        <v>4151</v>
      </c>
      <c r="F484" s="4" t="s">
        <v>4148</v>
      </c>
      <c r="G484" s="4" t="s">
        <v>4149</v>
      </c>
      <c r="H484" s="4" t="s">
        <v>4156</v>
      </c>
      <c r="I484" s="4" t="s">
        <v>824</v>
      </c>
    </row>
    <row r="485" spans="1:9" x14ac:dyDescent="0.3">
      <c r="A485">
        <v>488</v>
      </c>
      <c r="B485" s="4" t="s">
        <v>4161</v>
      </c>
      <c r="C485" s="4" t="s">
        <v>4154</v>
      </c>
      <c r="D485" s="4" t="s">
        <v>2999</v>
      </c>
      <c r="E485" s="4" t="s">
        <v>4151</v>
      </c>
      <c r="F485" s="4" t="s">
        <v>4157</v>
      </c>
      <c r="G485" s="4" t="s">
        <v>4149</v>
      </c>
      <c r="H485" s="4" t="s">
        <v>4156</v>
      </c>
      <c r="I485" s="4" t="s">
        <v>4160</v>
      </c>
    </row>
    <row r="486" spans="1:9" x14ac:dyDescent="0.3">
      <c r="A486">
        <v>489</v>
      </c>
      <c r="B486" s="4" t="s">
        <v>4161</v>
      </c>
      <c r="C486" s="4" t="s">
        <v>4154</v>
      </c>
      <c r="D486" s="4" t="s">
        <v>2999</v>
      </c>
      <c r="E486" s="4" t="s">
        <v>4151</v>
      </c>
      <c r="F486" s="4" t="s">
        <v>4155</v>
      </c>
      <c r="G486" s="4" t="s">
        <v>4153</v>
      </c>
      <c r="H486" s="4" t="s">
        <v>4156</v>
      </c>
      <c r="I486" s="4" t="s">
        <v>824</v>
      </c>
    </row>
    <row r="487" spans="1:9" x14ac:dyDescent="0.3">
      <c r="A487">
        <v>490</v>
      </c>
      <c r="B487" s="4" t="s">
        <v>4161</v>
      </c>
      <c r="C487" s="4" t="s">
        <v>4146</v>
      </c>
      <c r="D487" s="4" t="s">
        <v>3001</v>
      </c>
      <c r="E487" s="4" t="s">
        <v>4147</v>
      </c>
      <c r="F487" s="4" t="s">
        <v>4155</v>
      </c>
      <c r="G487" s="4" t="s">
        <v>4153</v>
      </c>
      <c r="H487" s="4" t="s">
        <v>4156</v>
      </c>
      <c r="I487" s="4" t="s">
        <v>824</v>
      </c>
    </row>
    <row r="488" spans="1:9" x14ac:dyDescent="0.3">
      <c r="A488">
        <v>491</v>
      </c>
      <c r="B488" s="4" t="s">
        <v>4161</v>
      </c>
      <c r="C488" s="4" t="s">
        <v>4154</v>
      </c>
      <c r="D488" s="4" t="s">
        <v>3001</v>
      </c>
      <c r="E488" s="4" t="s">
        <v>4147</v>
      </c>
      <c r="F488" s="4" t="s">
        <v>4157</v>
      </c>
      <c r="G488" s="4" t="s">
        <v>4149</v>
      </c>
      <c r="H488" s="4" t="s">
        <v>4156</v>
      </c>
      <c r="I488" s="4" t="s">
        <v>824</v>
      </c>
    </row>
    <row r="489" spans="1:9" x14ac:dyDescent="0.3">
      <c r="A489">
        <v>492</v>
      </c>
      <c r="B489" s="4" t="s">
        <v>4161</v>
      </c>
      <c r="C489" s="4" t="s">
        <v>4154</v>
      </c>
      <c r="D489" s="4" t="s">
        <v>2999</v>
      </c>
      <c r="E489" s="4" t="s">
        <v>4151</v>
      </c>
      <c r="F489" s="4" t="s">
        <v>4148</v>
      </c>
      <c r="G489" s="4" t="s">
        <v>4149</v>
      </c>
      <c r="H489" s="4" t="s">
        <v>4156</v>
      </c>
      <c r="I489" s="4" t="s">
        <v>4178</v>
      </c>
    </row>
    <row r="490" spans="1:9" x14ac:dyDescent="0.3">
      <c r="A490">
        <v>493</v>
      </c>
      <c r="B490" s="4" t="s">
        <v>4161</v>
      </c>
      <c r="C490" s="4" t="s">
        <v>4146</v>
      </c>
      <c r="D490" s="4" t="s">
        <v>2996</v>
      </c>
      <c r="E490" s="4" t="s">
        <v>4151</v>
      </c>
      <c r="F490" s="4" t="s">
        <v>4152</v>
      </c>
      <c r="G490" s="4" t="s">
        <v>4153</v>
      </c>
      <c r="H490" s="4" t="s">
        <v>4156</v>
      </c>
      <c r="I490" s="4" t="s">
        <v>4178</v>
      </c>
    </row>
    <row r="491" spans="1:9" x14ac:dyDescent="0.3">
      <c r="A491">
        <v>494</v>
      </c>
      <c r="B491" s="4" t="s">
        <v>4161</v>
      </c>
      <c r="C491" s="4" t="s">
        <v>4154</v>
      </c>
      <c r="D491" s="4" t="s">
        <v>2999</v>
      </c>
      <c r="E491" s="4" t="s">
        <v>4151</v>
      </c>
      <c r="F491" s="4" t="s">
        <v>4155</v>
      </c>
      <c r="G491" s="4" t="s">
        <v>4153</v>
      </c>
      <c r="H491" s="4" t="s">
        <v>4156</v>
      </c>
      <c r="I491" s="4" t="s">
        <v>4178</v>
      </c>
    </row>
    <row r="492" spans="1:9" x14ac:dyDescent="0.3">
      <c r="A492">
        <v>495</v>
      </c>
      <c r="B492" s="4" t="s">
        <v>4161</v>
      </c>
      <c r="C492" s="4" t="s">
        <v>4146</v>
      </c>
      <c r="D492" s="4" t="s">
        <v>3001</v>
      </c>
      <c r="E492" s="4" t="s">
        <v>4147</v>
      </c>
      <c r="F492" s="4" t="s">
        <v>4148</v>
      </c>
      <c r="G492" s="4" t="s">
        <v>4153</v>
      </c>
      <c r="H492" s="4" t="s">
        <v>4156</v>
      </c>
      <c r="I492" s="4" t="s">
        <v>4178</v>
      </c>
    </row>
    <row r="493" spans="1:9" x14ac:dyDescent="0.3">
      <c r="A493">
        <v>496</v>
      </c>
      <c r="B493" s="4" t="s">
        <v>4161</v>
      </c>
      <c r="C493" s="4" t="s">
        <v>4154</v>
      </c>
      <c r="D493" s="4" t="s">
        <v>2999</v>
      </c>
      <c r="E493" s="4" t="s">
        <v>4151</v>
      </c>
      <c r="F493" s="4" t="s">
        <v>4148</v>
      </c>
      <c r="G493" s="4" t="s">
        <v>4149</v>
      </c>
      <c r="H493" s="4" t="s">
        <v>4156</v>
      </c>
      <c r="I493" s="4" t="s">
        <v>4178</v>
      </c>
    </row>
    <row r="494" spans="1:9" x14ac:dyDescent="0.3">
      <c r="A494">
        <v>497</v>
      </c>
      <c r="B494" s="4" t="s">
        <v>4161</v>
      </c>
      <c r="C494" s="4" t="s">
        <v>4154</v>
      </c>
      <c r="D494" s="4" t="s">
        <v>2999</v>
      </c>
      <c r="E494" s="4" t="s">
        <v>4151</v>
      </c>
      <c r="F494" s="4" t="s">
        <v>4148</v>
      </c>
      <c r="G494" s="4" t="s">
        <v>4149</v>
      </c>
      <c r="H494" s="4" t="s">
        <v>4156</v>
      </c>
      <c r="I494" s="4" t="s">
        <v>824</v>
      </c>
    </row>
    <row r="495" spans="1:9" x14ac:dyDescent="0.3">
      <c r="A495">
        <v>498</v>
      </c>
      <c r="B495" s="4" t="s">
        <v>4161</v>
      </c>
      <c r="C495" s="4" t="s">
        <v>4154</v>
      </c>
      <c r="D495" s="4" t="s">
        <v>2999</v>
      </c>
      <c r="E495" s="4" t="s">
        <v>4151</v>
      </c>
      <c r="F495" s="4" t="s">
        <v>4155</v>
      </c>
      <c r="G495" s="4" t="s">
        <v>4149</v>
      </c>
      <c r="H495" s="4" t="s">
        <v>4156</v>
      </c>
      <c r="I495" s="4" t="s">
        <v>824</v>
      </c>
    </row>
    <row r="496" spans="1:9" x14ac:dyDescent="0.3">
      <c r="A496">
        <v>499</v>
      </c>
      <c r="B496" s="4" t="s">
        <v>4161</v>
      </c>
      <c r="C496" s="4" t="s">
        <v>4154</v>
      </c>
      <c r="D496" s="4" t="s">
        <v>2999</v>
      </c>
      <c r="E496" s="4" t="s">
        <v>4151</v>
      </c>
      <c r="F496" s="4" t="s">
        <v>4155</v>
      </c>
      <c r="G496" s="4" t="s">
        <v>4149</v>
      </c>
      <c r="H496" s="4" t="s">
        <v>4156</v>
      </c>
      <c r="I496" s="4" t="s">
        <v>824</v>
      </c>
    </row>
    <row r="497" spans="1:9" x14ac:dyDescent="0.3">
      <c r="A497">
        <v>500</v>
      </c>
      <c r="B497" s="4" t="s">
        <v>4161</v>
      </c>
      <c r="C497" s="4" t="s">
        <v>4154</v>
      </c>
      <c r="D497" s="4" t="s">
        <v>2999</v>
      </c>
      <c r="E497" s="4" t="s">
        <v>4151</v>
      </c>
      <c r="F497" s="4" t="s">
        <v>4148</v>
      </c>
      <c r="G497" s="4" t="s">
        <v>4149</v>
      </c>
      <c r="H497" s="4" t="s">
        <v>4156</v>
      </c>
      <c r="I497" s="4" t="s">
        <v>824</v>
      </c>
    </row>
    <row r="498" spans="1:9" x14ac:dyDescent="0.3">
      <c r="A498">
        <v>501</v>
      </c>
      <c r="B498" s="4" t="s">
        <v>4161</v>
      </c>
      <c r="C498" s="4" t="s">
        <v>4154</v>
      </c>
      <c r="D498" s="4" t="s">
        <v>2999</v>
      </c>
      <c r="E498" s="4" t="s">
        <v>4151</v>
      </c>
      <c r="F498" s="4" t="s">
        <v>4155</v>
      </c>
      <c r="G498" s="4" t="s">
        <v>4149</v>
      </c>
      <c r="H498" s="4" t="s">
        <v>4156</v>
      </c>
      <c r="I498" s="4" t="s">
        <v>824</v>
      </c>
    </row>
    <row r="499" spans="1:9" x14ac:dyDescent="0.3">
      <c r="A499">
        <v>502</v>
      </c>
      <c r="B499" s="4" t="s">
        <v>4161</v>
      </c>
      <c r="C499" s="4" t="s">
        <v>4146</v>
      </c>
      <c r="D499" s="4" t="s">
        <v>2994</v>
      </c>
      <c r="E499" s="4" t="s">
        <v>4147</v>
      </c>
      <c r="F499" s="4" t="s">
        <v>4152</v>
      </c>
      <c r="G499" s="4" t="s">
        <v>4153</v>
      </c>
      <c r="H499" s="4" t="s">
        <v>4156</v>
      </c>
      <c r="I499" s="4" t="s">
        <v>824</v>
      </c>
    </row>
    <row r="500" spans="1:9" x14ac:dyDescent="0.3">
      <c r="A500">
        <v>503</v>
      </c>
      <c r="B500" s="4" t="s">
        <v>4161</v>
      </c>
      <c r="C500" s="4" t="s">
        <v>4146</v>
      </c>
      <c r="D500" s="4" t="s">
        <v>3001</v>
      </c>
      <c r="E500" s="4" t="s">
        <v>4147</v>
      </c>
      <c r="F500" s="4" t="s">
        <v>4155</v>
      </c>
      <c r="G500" s="4" t="s">
        <v>4153</v>
      </c>
      <c r="H500" s="4" t="s">
        <v>4156</v>
      </c>
      <c r="I500" s="4" t="s">
        <v>824</v>
      </c>
    </row>
    <row r="501" spans="1:9" x14ac:dyDescent="0.3">
      <c r="A501">
        <v>504</v>
      </c>
      <c r="B501" s="4" t="s">
        <v>4161</v>
      </c>
      <c r="C501" s="4" t="s">
        <v>4146</v>
      </c>
      <c r="D501" s="4" t="s">
        <v>2999</v>
      </c>
      <c r="E501" s="4" t="s">
        <v>4151</v>
      </c>
      <c r="F501" s="4" t="s">
        <v>4148</v>
      </c>
      <c r="G501" s="4" t="s">
        <v>4149</v>
      </c>
      <c r="H501" s="4" t="s">
        <v>4156</v>
      </c>
      <c r="I501" s="4" t="s">
        <v>824</v>
      </c>
    </row>
    <row r="502" spans="1:9" x14ac:dyDescent="0.3">
      <c r="A502">
        <v>505</v>
      </c>
      <c r="B502" s="4" t="s">
        <v>4161</v>
      </c>
      <c r="C502" s="4" t="s">
        <v>4154</v>
      </c>
      <c r="D502" s="4" t="s">
        <v>2999</v>
      </c>
      <c r="E502" s="4" t="s">
        <v>4151</v>
      </c>
      <c r="F502" s="4" t="s">
        <v>4155</v>
      </c>
      <c r="G502" s="4" t="s">
        <v>4149</v>
      </c>
      <c r="H502" s="4" t="s">
        <v>4156</v>
      </c>
      <c r="I502" s="4" t="s">
        <v>824</v>
      </c>
    </row>
    <row r="503" spans="1:9" x14ac:dyDescent="0.3">
      <c r="A503">
        <v>506</v>
      </c>
      <c r="B503" s="4" t="s">
        <v>4161</v>
      </c>
      <c r="C503" s="4" t="s">
        <v>4154</v>
      </c>
      <c r="D503" s="4" t="s">
        <v>2999</v>
      </c>
      <c r="E503" s="4" t="s">
        <v>4151</v>
      </c>
      <c r="F503" s="4" t="s">
        <v>4155</v>
      </c>
      <c r="G503" s="4" t="s">
        <v>4149</v>
      </c>
      <c r="H503" s="4" t="s">
        <v>4156</v>
      </c>
      <c r="I503" s="4" t="s">
        <v>824</v>
      </c>
    </row>
    <row r="504" spans="1:9" x14ac:dyDescent="0.3">
      <c r="A504">
        <v>507</v>
      </c>
      <c r="B504" s="4" t="s">
        <v>4161</v>
      </c>
      <c r="C504" s="4" t="s">
        <v>4154</v>
      </c>
      <c r="D504" s="4" t="s">
        <v>2999</v>
      </c>
      <c r="E504" s="4" t="s">
        <v>4151</v>
      </c>
      <c r="F504" s="4" t="s">
        <v>4157</v>
      </c>
      <c r="G504" s="4" t="s">
        <v>4149</v>
      </c>
      <c r="H504" s="4" t="s">
        <v>4156</v>
      </c>
      <c r="I504" s="4" t="s">
        <v>824</v>
      </c>
    </row>
    <row r="505" spans="1:9" x14ac:dyDescent="0.3">
      <c r="A505">
        <v>508</v>
      </c>
      <c r="B505" s="4" t="s">
        <v>4161</v>
      </c>
      <c r="C505" s="4" t="s">
        <v>4154</v>
      </c>
      <c r="D505" s="4" t="s">
        <v>3338</v>
      </c>
      <c r="E505" s="4" t="s">
        <v>4151</v>
      </c>
      <c r="F505" s="4" t="s">
        <v>4148</v>
      </c>
      <c r="G505" s="4" t="s">
        <v>4149</v>
      </c>
      <c r="H505" s="4" t="s">
        <v>4156</v>
      </c>
      <c r="I505" s="4" t="s">
        <v>824</v>
      </c>
    </row>
    <row r="506" spans="1:9" x14ac:dyDescent="0.3">
      <c r="A506">
        <v>509</v>
      </c>
      <c r="B506" s="4" t="s">
        <v>4161</v>
      </c>
      <c r="C506" s="4" t="s">
        <v>4154</v>
      </c>
      <c r="D506" s="4" t="s">
        <v>3040</v>
      </c>
      <c r="E506" s="4" t="s">
        <v>4151</v>
      </c>
      <c r="F506" s="4" t="s">
        <v>4157</v>
      </c>
      <c r="G506" s="4" t="s">
        <v>4149</v>
      </c>
      <c r="H506" s="4" t="s">
        <v>4156</v>
      </c>
      <c r="I506" s="4" t="s">
        <v>824</v>
      </c>
    </row>
    <row r="507" spans="1:9" x14ac:dyDescent="0.3">
      <c r="A507">
        <v>510</v>
      </c>
      <c r="B507" s="4" t="s">
        <v>4161</v>
      </c>
      <c r="C507" s="4" t="s">
        <v>4154</v>
      </c>
      <c r="D507" s="4" t="s">
        <v>2999</v>
      </c>
      <c r="E507" s="4" t="s">
        <v>4151</v>
      </c>
      <c r="F507" s="4" t="s">
        <v>4155</v>
      </c>
      <c r="G507" s="4" t="s">
        <v>4149</v>
      </c>
      <c r="H507" s="4" t="s">
        <v>4156</v>
      </c>
      <c r="I507" s="4" t="s">
        <v>824</v>
      </c>
    </row>
    <row r="508" spans="1:9" x14ac:dyDescent="0.3">
      <c r="A508">
        <v>511</v>
      </c>
      <c r="B508" s="4" t="s">
        <v>4161</v>
      </c>
      <c r="C508" s="4" t="s">
        <v>4154</v>
      </c>
      <c r="D508" s="4" t="s">
        <v>2999</v>
      </c>
      <c r="E508" s="4" t="s">
        <v>4151</v>
      </c>
      <c r="F508" s="4" t="s">
        <v>4159</v>
      </c>
      <c r="G508" s="4" t="s">
        <v>4149</v>
      </c>
      <c r="H508" s="4" t="s">
        <v>4156</v>
      </c>
      <c r="I508" s="4" t="s">
        <v>824</v>
      </c>
    </row>
    <row r="509" spans="1:9" x14ac:dyDescent="0.3">
      <c r="A509">
        <v>512</v>
      </c>
      <c r="B509" s="4" t="s">
        <v>4161</v>
      </c>
      <c r="C509" s="4" t="s">
        <v>4154</v>
      </c>
      <c r="D509" s="4" t="s">
        <v>2999</v>
      </c>
      <c r="E509" s="4" t="s">
        <v>4151</v>
      </c>
      <c r="F509" s="4" t="s">
        <v>4157</v>
      </c>
      <c r="G509" s="4" t="s">
        <v>4149</v>
      </c>
      <c r="H509" s="4" t="s">
        <v>4156</v>
      </c>
      <c r="I509" s="4" t="s">
        <v>4160</v>
      </c>
    </row>
    <row r="510" spans="1:9" x14ac:dyDescent="0.3">
      <c r="A510">
        <v>513</v>
      </c>
      <c r="B510" s="4" t="s">
        <v>4161</v>
      </c>
      <c r="C510" s="4" t="s">
        <v>4154</v>
      </c>
      <c r="D510" s="4" t="s">
        <v>2999</v>
      </c>
      <c r="E510" s="4" t="s">
        <v>4151</v>
      </c>
      <c r="F510" s="4" t="s">
        <v>4155</v>
      </c>
      <c r="G510" s="4" t="s">
        <v>4153</v>
      </c>
      <c r="H510" s="4" t="s">
        <v>4156</v>
      </c>
      <c r="I510" s="4" t="s">
        <v>4178</v>
      </c>
    </row>
    <row r="511" spans="1:9" x14ac:dyDescent="0.3">
      <c r="A511">
        <v>514</v>
      </c>
      <c r="B511" s="4" t="s">
        <v>4161</v>
      </c>
      <c r="C511" s="4" t="s">
        <v>4146</v>
      </c>
      <c r="D511" s="4" t="s">
        <v>3001</v>
      </c>
      <c r="E511" s="4" t="s">
        <v>4147</v>
      </c>
      <c r="F511" s="4" t="s">
        <v>4159</v>
      </c>
      <c r="G511" s="4" t="s">
        <v>4153</v>
      </c>
      <c r="H511" s="4" t="s">
        <v>4156</v>
      </c>
      <c r="I511" s="4" t="s">
        <v>4178</v>
      </c>
    </row>
    <row r="512" spans="1:9" x14ac:dyDescent="0.3">
      <c r="A512">
        <v>515</v>
      </c>
      <c r="B512" s="4" t="s">
        <v>4161</v>
      </c>
      <c r="C512" s="4" t="s">
        <v>4146</v>
      </c>
      <c r="D512" s="4" t="s">
        <v>2996</v>
      </c>
      <c r="E512" s="4" t="s">
        <v>4151</v>
      </c>
      <c r="F512" s="4" t="s">
        <v>4152</v>
      </c>
      <c r="G512" s="4" t="s">
        <v>4153</v>
      </c>
      <c r="H512" s="4" t="s">
        <v>4156</v>
      </c>
      <c r="I512" s="4" t="s">
        <v>824</v>
      </c>
    </row>
    <row r="513" spans="1:9" x14ac:dyDescent="0.3">
      <c r="A513">
        <v>516</v>
      </c>
      <c r="B513" s="4" t="s">
        <v>4161</v>
      </c>
      <c r="C513" s="4" t="s">
        <v>4146</v>
      </c>
      <c r="D513" s="4" t="s">
        <v>2996</v>
      </c>
      <c r="E513" s="4" t="s">
        <v>4151</v>
      </c>
      <c r="F513" s="4" t="s">
        <v>4152</v>
      </c>
      <c r="G513" s="4" t="s">
        <v>4153</v>
      </c>
      <c r="H513" s="4" t="s">
        <v>4156</v>
      </c>
      <c r="I513" s="4" t="s">
        <v>824</v>
      </c>
    </row>
    <row r="514" spans="1:9" x14ac:dyDescent="0.3">
      <c r="A514">
        <v>517</v>
      </c>
      <c r="B514" s="4" t="s">
        <v>4161</v>
      </c>
      <c r="C514" s="4" t="s">
        <v>4154</v>
      </c>
      <c r="D514" s="4" t="s">
        <v>2999</v>
      </c>
      <c r="E514" s="4" t="s">
        <v>4151</v>
      </c>
      <c r="F514" s="4" t="s">
        <v>4155</v>
      </c>
      <c r="G514" s="4" t="s">
        <v>4153</v>
      </c>
      <c r="H514" s="4" t="s">
        <v>4156</v>
      </c>
      <c r="I514" s="4" t="s">
        <v>824</v>
      </c>
    </row>
    <row r="515" spans="1:9" x14ac:dyDescent="0.3">
      <c r="A515">
        <v>518</v>
      </c>
      <c r="B515" s="4" t="s">
        <v>4161</v>
      </c>
      <c r="C515" s="4" t="s">
        <v>4154</v>
      </c>
      <c r="D515" s="4" t="s">
        <v>2999</v>
      </c>
      <c r="E515" s="4" t="s">
        <v>4151</v>
      </c>
      <c r="F515" s="4" t="s">
        <v>4148</v>
      </c>
      <c r="G515" s="4" t="s">
        <v>4149</v>
      </c>
      <c r="H515" s="4" t="s">
        <v>4156</v>
      </c>
      <c r="I515" s="4" t="s">
        <v>824</v>
      </c>
    </row>
    <row r="516" spans="1:9" x14ac:dyDescent="0.3">
      <c r="A516">
        <v>519</v>
      </c>
      <c r="B516" s="4" t="s">
        <v>4161</v>
      </c>
      <c r="C516" s="4" t="s">
        <v>4154</v>
      </c>
      <c r="D516" s="4" t="s">
        <v>2999</v>
      </c>
      <c r="E516" s="4" t="s">
        <v>4151</v>
      </c>
      <c r="F516" s="4" t="s">
        <v>4148</v>
      </c>
      <c r="G516" s="4" t="s">
        <v>4153</v>
      </c>
      <c r="H516" s="4" t="s">
        <v>4156</v>
      </c>
      <c r="I516" s="4" t="s">
        <v>824</v>
      </c>
    </row>
    <row r="517" spans="1:9" x14ac:dyDescent="0.3">
      <c r="A517">
        <v>520</v>
      </c>
      <c r="B517" s="4" t="s">
        <v>4161</v>
      </c>
      <c r="C517" s="4" t="s">
        <v>4154</v>
      </c>
      <c r="D517" s="4" t="s">
        <v>2999</v>
      </c>
      <c r="E517" s="4" t="s">
        <v>4151</v>
      </c>
      <c r="F517" s="4" t="s">
        <v>4148</v>
      </c>
      <c r="G517" s="4" t="s">
        <v>4149</v>
      </c>
      <c r="H517" s="4" t="s">
        <v>4156</v>
      </c>
      <c r="I517" s="4" t="s">
        <v>824</v>
      </c>
    </row>
    <row r="518" spans="1:9" x14ac:dyDescent="0.3">
      <c r="A518">
        <v>521</v>
      </c>
      <c r="B518" s="4" t="s">
        <v>4161</v>
      </c>
      <c r="C518" s="4" t="s">
        <v>4146</v>
      </c>
      <c r="D518" s="4" t="s">
        <v>2999</v>
      </c>
      <c r="E518" s="4" t="s">
        <v>4151</v>
      </c>
      <c r="F518" s="4" t="s">
        <v>4148</v>
      </c>
      <c r="G518" s="4" t="s">
        <v>4149</v>
      </c>
      <c r="H518" s="4" t="s">
        <v>4156</v>
      </c>
      <c r="I518" s="4" t="s">
        <v>4178</v>
      </c>
    </row>
    <row r="519" spans="1:9" x14ac:dyDescent="0.3">
      <c r="A519">
        <v>522</v>
      </c>
      <c r="B519" s="4" t="s">
        <v>4161</v>
      </c>
      <c r="C519" s="4" t="s">
        <v>4146</v>
      </c>
      <c r="D519" s="4" t="s">
        <v>3001</v>
      </c>
      <c r="E519" s="4" t="s">
        <v>4147</v>
      </c>
      <c r="F519" s="4" t="s">
        <v>4148</v>
      </c>
      <c r="G519" s="4" t="s">
        <v>4149</v>
      </c>
      <c r="H519" s="4" t="s">
        <v>4156</v>
      </c>
      <c r="I519" s="4" t="s">
        <v>824</v>
      </c>
    </row>
    <row r="520" spans="1:9" x14ac:dyDescent="0.3">
      <c r="A520">
        <v>523</v>
      </c>
      <c r="B520" s="4" t="s">
        <v>4161</v>
      </c>
      <c r="C520" s="4" t="s">
        <v>4154</v>
      </c>
      <c r="D520" s="4" t="s">
        <v>2999</v>
      </c>
      <c r="E520" s="4" t="s">
        <v>4151</v>
      </c>
      <c r="F520" s="4" t="s">
        <v>4155</v>
      </c>
      <c r="G520" s="4" t="s">
        <v>4149</v>
      </c>
      <c r="H520" s="4" t="s">
        <v>4156</v>
      </c>
      <c r="I520" s="4" t="s">
        <v>824</v>
      </c>
    </row>
    <row r="521" spans="1:9" x14ac:dyDescent="0.3">
      <c r="A521">
        <v>524</v>
      </c>
      <c r="B521" s="4" t="s">
        <v>4161</v>
      </c>
      <c r="C521" s="4" t="s">
        <v>4146</v>
      </c>
      <c r="D521" s="4" t="s">
        <v>2999</v>
      </c>
      <c r="E521" s="4" t="s">
        <v>4151</v>
      </c>
      <c r="F521" s="4" t="s">
        <v>4148</v>
      </c>
      <c r="G521" s="4" t="s">
        <v>4149</v>
      </c>
      <c r="H521" s="4" t="s">
        <v>4156</v>
      </c>
      <c r="I521" s="4" t="s">
        <v>824</v>
      </c>
    </row>
    <row r="522" spans="1:9" x14ac:dyDescent="0.3">
      <c r="A522">
        <v>525</v>
      </c>
      <c r="B522" s="4" t="s">
        <v>4161</v>
      </c>
      <c r="C522" s="4" t="s">
        <v>4146</v>
      </c>
      <c r="D522" s="4" t="s">
        <v>2999</v>
      </c>
      <c r="E522" s="4" t="s">
        <v>4151</v>
      </c>
      <c r="F522" s="4" t="s">
        <v>4148</v>
      </c>
      <c r="G522" s="4" t="s">
        <v>4149</v>
      </c>
      <c r="H522" s="4" t="s">
        <v>4156</v>
      </c>
      <c r="I522" s="4" t="s">
        <v>4178</v>
      </c>
    </row>
    <row r="523" spans="1:9" x14ac:dyDescent="0.3">
      <c r="A523">
        <v>526</v>
      </c>
      <c r="B523" s="4" t="s">
        <v>4161</v>
      </c>
      <c r="C523" s="4" t="s">
        <v>4154</v>
      </c>
      <c r="D523" s="4" t="s">
        <v>3040</v>
      </c>
      <c r="E523" s="4" t="s">
        <v>4151</v>
      </c>
      <c r="F523" s="4" t="s">
        <v>4148</v>
      </c>
      <c r="G523" s="4" t="s">
        <v>4149</v>
      </c>
      <c r="H523" s="4" t="s">
        <v>4156</v>
      </c>
      <c r="I523" s="4" t="s">
        <v>824</v>
      </c>
    </row>
    <row r="524" spans="1:9" x14ac:dyDescent="0.3">
      <c r="A524">
        <v>527</v>
      </c>
      <c r="B524" s="4" t="s">
        <v>4161</v>
      </c>
      <c r="C524" s="4" t="s">
        <v>4146</v>
      </c>
      <c r="D524" s="4" t="s">
        <v>2999</v>
      </c>
      <c r="E524" s="4" t="s">
        <v>4151</v>
      </c>
      <c r="F524" s="4" t="s">
        <v>4148</v>
      </c>
      <c r="G524" s="4" t="s">
        <v>4149</v>
      </c>
      <c r="H524" s="4" t="s">
        <v>4156</v>
      </c>
      <c r="I524" s="4" t="s">
        <v>4178</v>
      </c>
    </row>
    <row r="525" spans="1:9" x14ac:dyDescent="0.3">
      <c r="A525">
        <v>528</v>
      </c>
      <c r="B525" s="4" t="s">
        <v>4161</v>
      </c>
      <c r="C525" s="4" t="s">
        <v>4154</v>
      </c>
      <c r="D525" s="4" t="s">
        <v>2999</v>
      </c>
      <c r="E525" s="4" t="s">
        <v>4151</v>
      </c>
      <c r="F525" s="4" t="s">
        <v>4148</v>
      </c>
      <c r="G525" s="4" t="s">
        <v>4149</v>
      </c>
      <c r="H525" s="4" t="s">
        <v>4156</v>
      </c>
      <c r="I525" s="4" t="s">
        <v>824</v>
      </c>
    </row>
    <row r="526" spans="1:9" x14ac:dyDescent="0.3">
      <c r="A526">
        <v>529</v>
      </c>
      <c r="B526" s="4" t="s">
        <v>4161</v>
      </c>
      <c r="C526" s="4" t="s">
        <v>4154</v>
      </c>
      <c r="D526" s="4" t="s">
        <v>2999</v>
      </c>
      <c r="E526" s="4" t="s">
        <v>4151</v>
      </c>
      <c r="F526" s="4" t="s">
        <v>4148</v>
      </c>
      <c r="G526" s="4" t="s">
        <v>4149</v>
      </c>
      <c r="H526" s="4" t="s">
        <v>4156</v>
      </c>
      <c r="I526" s="4" t="s">
        <v>824</v>
      </c>
    </row>
    <row r="527" spans="1:9" x14ac:dyDescent="0.3">
      <c r="A527">
        <v>530</v>
      </c>
      <c r="B527" s="4" t="s">
        <v>4161</v>
      </c>
      <c r="C527" s="4" t="s">
        <v>4146</v>
      </c>
      <c r="D527" s="4" t="s">
        <v>3001</v>
      </c>
      <c r="E527" s="4" t="s">
        <v>4147</v>
      </c>
      <c r="F527" s="4" t="s">
        <v>4155</v>
      </c>
      <c r="G527" s="4" t="s">
        <v>4153</v>
      </c>
      <c r="H527" s="4" t="s">
        <v>4156</v>
      </c>
      <c r="I527" s="4" t="s">
        <v>824</v>
      </c>
    </row>
    <row r="528" spans="1:9" x14ac:dyDescent="0.3">
      <c r="A528">
        <v>531</v>
      </c>
      <c r="B528" s="4" t="s">
        <v>4161</v>
      </c>
      <c r="C528" s="4" t="s">
        <v>4154</v>
      </c>
      <c r="D528" s="4" t="s">
        <v>2999</v>
      </c>
      <c r="E528" s="4" t="s">
        <v>4151</v>
      </c>
      <c r="F528" s="4" t="s">
        <v>4148</v>
      </c>
      <c r="G528" s="4" t="s">
        <v>4149</v>
      </c>
      <c r="H528" s="4" t="s">
        <v>4156</v>
      </c>
      <c r="I528" s="4" t="s">
        <v>824</v>
      </c>
    </row>
    <row r="529" spans="1:9" x14ac:dyDescent="0.3">
      <c r="A529">
        <v>532</v>
      </c>
      <c r="B529" s="4" t="s">
        <v>4161</v>
      </c>
      <c r="C529" s="4" t="s">
        <v>4154</v>
      </c>
      <c r="D529" s="4" t="s">
        <v>2999</v>
      </c>
      <c r="E529" s="4" t="s">
        <v>4151</v>
      </c>
      <c r="F529" s="4" t="s">
        <v>4148</v>
      </c>
      <c r="G529" s="4" t="s">
        <v>4149</v>
      </c>
      <c r="H529" s="4" t="s">
        <v>4156</v>
      </c>
      <c r="I529" s="4" t="s">
        <v>4178</v>
      </c>
    </row>
    <row r="530" spans="1:9" x14ac:dyDescent="0.3">
      <c r="A530">
        <v>533</v>
      </c>
      <c r="B530" s="4" t="s">
        <v>4161</v>
      </c>
      <c r="C530" s="4" t="s">
        <v>4154</v>
      </c>
      <c r="D530" s="4" t="s">
        <v>3338</v>
      </c>
      <c r="E530" s="4" t="s">
        <v>4151</v>
      </c>
      <c r="F530" s="4" t="s">
        <v>4155</v>
      </c>
      <c r="G530" s="4" t="s">
        <v>4149</v>
      </c>
      <c r="H530" s="4" t="s">
        <v>4156</v>
      </c>
      <c r="I530" s="4" t="s">
        <v>824</v>
      </c>
    </row>
    <row r="531" spans="1:9" x14ac:dyDescent="0.3">
      <c r="A531">
        <v>534</v>
      </c>
      <c r="B531" s="4" t="s">
        <v>4161</v>
      </c>
      <c r="C531" s="4" t="s">
        <v>4146</v>
      </c>
      <c r="D531" s="4" t="s">
        <v>2994</v>
      </c>
      <c r="E531" s="4" t="s">
        <v>4147</v>
      </c>
      <c r="F531" s="4" t="s">
        <v>4148</v>
      </c>
      <c r="G531" s="4" t="s">
        <v>4153</v>
      </c>
      <c r="H531" s="4" t="s">
        <v>4156</v>
      </c>
      <c r="I531" s="4" t="s">
        <v>824</v>
      </c>
    </row>
    <row r="532" spans="1:9" x14ac:dyDescent="0.3">
      <c r="A532">
        <v>535</v>
      </c>
      <c r="B532" s="4" t="s">
        <v>4161</v>
      </c>
      <c r="C532" s="4" t="s">
        <v>4146</v>
      </c>
      <c r="D532" s="4" t="s">
        <v>2994</v>
      </c>
      <c r="E532" s="4" t="s">
        <v>4147</v>
      </c>
      <c r="F532" s="4" t="s">
        <v>4148</v>
      </c>
      <c r="G532" s="4" t="s">
        <v>4149</v>
      </c>
      <c r="H532" s="4" t="s">
        <v>4156</v>
      </c>
      <c r="I532" s="4" t="s">
        <v>824</v>
      </c>
    </row>
    <row r="533" spans="1:9" x14ac:dyDescent="0.3">
      <c r="A533">
        <v>536</v>
      </c>
      <c r="B533" s="4" t="s">
        <v>4161</v>
      </c>
      <c r="C533" s="4" t="s">
        <v>4154</v>
      </c>
      <c r="D533" s="4" t="s">
        <v>2999</v>
      </c>
      <c r="E533" s="4" t="s">
        <v>4151</v>
      </c>
      <c r="F533" s="4" t="s">
        <v>4155</v>
      </c>
      <c r="G533" s="4" t="s">
        <v>4153</v>
      </c>
      <c r="H533" s="4" t="s">
        <v>4156</v>
      </c>
      <c r="I533" s="4" t="s">
        <v>824</v>
      </c>
    </row>
    <row r="534" spans="1:9" x14ac:dyDescent="0.3">
      <c r="A534">
        <v>537</v>
      </c>
      <c r="B534" s="4" t="s">
        <v>4161</v>
      </c>
      <c r="C534" s="4" t="s">
        <v>4146</v>
      </c>
      <c r="D534" s="4" t="s">
        <v>3001</v>
      </c>
      <c r="E534" s="4" t="s">
        <v>4147</v>
      </c>
      <c r="F534" s="4" t="s">
        <v>4155</v>
      </c>
      <c r="G534" s="4" t="s">
        <v>4149</v>
      </c>
      <c r="H534" s="4" t="s">
        <v>4156</v>
      </c>
      <c r="I534" s="4" t="s">
        <v>824</v>
      </c>
    </row>
    <row r="535" spans="1:9" x14ac:dyDescent="0.3">
      <c r="A535">
        <v>538</v>
      </c>
      <c r="B535" s="4" t="s">
        <v>4161</v>
      </c>
      <c r="C535" s="4" t="s">
        <v>4154</v>
      </c>
      <c r="D535" s="4" t="s">
        <v>2999</v>
      </c>
      <c r="E535" s="4" t="s">
        <v>4151</v>
      </c>
      <c r="F535" s="4" t="s">
        <v>4155</v>
      </c>
      <c r="G535" s="4" t="s">
        <v>4149</v>
      </c>
      <c r="H535" s="4" t="s">
        <v>4156</v>
      </c>
      <c r="I535" s="4" t="s">
        <v>824</v>
      </c>
    </row>
    <row r="536" spans="1:9" x14ac:dyDescent="0.3">
      <c r="A536">
        <v>539</v>
      </c>
      <c r="B536" s="4" t="s">
        <v>4161</v>
      </c>
      <c r="C536" s="4" t="s">
        <v>4146</v>
      </c>
      <c r="D536" s="4" t="s">
        <v>2999</v>
      </c>
      <c r="E536" s="4" t="s">
        <v>4151</v>
      </c>
      <c r="F536" s="4" t="s">
        <v>4148</v>
      </c>
      <c r="G536" s="4" t="s">
        <v>4149</v>
      </c>
      <c r="H536" s="4" t="s">
        <v>4156</v>
      </c>
      <c r="I536" s="4" t="s">
        <v>4178</v>
      </c>
    </row>
    <row r="537" spans="1:9" x14ac:dyDescent="0.3">
      <c r="A537">
        <v>540</v>
      </c>
      <c r="B537" s="4" t="s">
        <v>4161</v>
      </c>
      <c r="C537" s="4" t="s">
        <v>4154</v>
      </c>
      <c r="D537" s="4" t="s">
        <v>2999</v>
      </c>
      <c r="E537" s="4" t="s">
        <v>4151</v>
      </c>
      <c r="F537" s="4" t="s">
        <v>4148</v>
      </c>
      <c r="G537" s="4" t="s">
        <v>4149</v>
      </c>
      <c r="H537" s="4" t="s">
        <v>4156</v>
      </c>
      <c r="I537" s="4" t="s">
        <v>4178</v>
      </c>
    </row>
    <row r="538" spans="1:9" x14ac:dyDescent="0.3">
      <c r="A538">
        <v>541</v>
      </c>
      <c r="B538" s="4" t="s">
        <v>4161</v>
      </c>
      <c r="C538" s="4" t="s">
        <v>4146</v>
      </c>
      <c r="D538" s="4" t="s">
        <v>2994</v>
      </c>
      <c r="E538" s="4" t="s">
        <v>4147</v>
      </c>
      <c r="F538" s="4" t="s">
        <v>4152</v>
      </c>
      <c r="G538" s="4" t="s">
        <v>4153</v>
      </c>
      <c r="H538" s="4" t="s">
        <v>4156</v>
      </c>
      <c r="I538" s="4" t="s">
        <v>824</v>
      </c>
    </row>
    <row r="539" spans="1:9" x14ac:dyDescent="0.3">
      <c r="A539">
        <v>542</v>
      </c>
      <c r="B539" s="4" t="s">
        <v>4161</v>
      </c>
      <c r="C539" s="4" t="s">
        <v>4146</v>
      </c>
      <c r="D539" s="4" t="s">
        <v>2994</v>
      </c>
      <c r="E539" s="4" t="s">
        <v>4147</v>
      </c>
      <c r="F539" s="4" t="s">
        <v>4152</v>
      </c>
      <c r="G539" s="4" t="s">
        <v>4153</v>
      </c>
      <c r="H539" s="4" t="s">
        <v>4156</v>
      </c>
      <c r="I539" s="4" t="s">
        <v>824</v>
      </c>
    </row>
    <row r="540" spans="1:9" x14ac:dyDescent="0.3">
      <c r="A540">
        <v>543</v>
      </c>
      <c r="B540" s="4" t="s">
        <v>4161</v>
      </c>
      <c r="C540" s="4" t="s">
        <v>4146</v>
      </c>
      <c r="D540" s="4" t="s">
        <v>3001</v>
      </c>
      <c r="E540" s="4" t="s">
        <v>4147</v>
      </c>
      <c r="F540" s="4" t="s">
        <v>4155</v>
      </c>
      <c r="G540" s="4" t="s">
        <v>4153</v>
      </c>
      <c r="H540" s="4" t="s">
        <v>4156</v>
      </c>
      <c r="I540" s="4" t="s">
        <v>824</v>
      </c>
    </row>
    <row r="541" spans="1:9" x14ac:dyDescent="0.3">
      <c r="A541">
        <v>544</v>
      </c>
      <c r="B541" s="4" t="s">
        <v>4161</v>
      </c>
      <c r="C541" s="4" t="s">
        <v>4154</v>
      </c>
      <c r="D541" s="4" t="s">
        <v>2999</v>
      </c>
      <c r="E541" s="4" t="s">
        <v>4151</v>
      </c>
      <c r="F541" s="4" t="s">
        <v>4155</v>
      </c>
      <c r="G541" s="4" t="s">
        <v>4149</v>
      </c>
      <c r="H541" s="4" t="s">
        <v>4156</v>
      </c>
      <c r="I541" s="4" t="s">
        <v>824</v>
      </c>
    </row>
    <row r="542" spans="1:9" x14ac:dyDescent="0.3">
      <c r="A542">
        <v>545</v>
      </c>
      <c r="B542" s="4" t="s">
        <v>4161</v>
      </c>
      <c r="C542" s="4" t="s">
        <v>4154</v>
      </c>
      <c r="D542" s="4" t="s">
        <v>2999</v>
      </c>
      <c r="E542" s="4" t="s">
        <v>4151</v>
      </c>
      <c r="F542" s="4" t="s">
        <v>4155</v>
      </c>
      <c r="G542" s="4" t="s">
        <v>4153</v>
      </c>
      <c r="H542" s="4" t="s">
        <v>4156</v>
      </c>
      <c r="I542" s="4" t="s">
        <v>824</v>
      </c>
    </row>
    <row r="543" spans="1:9" x14ac:dyDescent="0.3">
      <c r="A543">
        <v>546</v>
      </c>
      <c r="B543" s="4" t="s">
        <v>4161</v>
      </c>
      <c r="C543" s="4" t="s">
        <v>4146</v>
      </c>
      <c r="D543" s="4" t="s">
        <v>3001</v>
      </c>
      <c r="E543" s="4" t="s">
        <v>4147</v>
      </c>
      <c r="F543" s="4" t="s">
        <v>4148</v>
      </c>
      <c r="G543" s="4" t="s">
        <v>4153</v>
      </c>
      <c r="H543" s="4" t="s">
        <v>4156</v>
      </c>
      <c r="I543" s="4" t="s">
        <v>824</v>
      </c>
    </row>
    <row r="544" spans="1:9" x14ac:dyDescent="0.3">
      <c r="A544">
        <v>547</v>
      </c>
      <c r="B544" s="4" t="s">
        <v>4161</v>
      </c>
      <c r="C544" s="4" t="s">
        <v>4146</v>
      </c>
      <c r="D544" s="4" t="s">
        <v>3520</v>
      </c>
      <c r="E544" s="4" t="s">
        <v>4147</v>
      </c>
      <c r="F544" s="4" t="s">
        <v>4148</v>
      </c>
      <c r="G544" s="4" t="s">
        <v>4149</v>
      </c>
      <c r="H544" s="4" t="s">
        <v>4156</v>
      </c>
      <c r="I544" s="4" t="s">
        <v>824</v>
      </c>
    </row>
    <row r="545" spans="1:9" x14ac:dyDescent="0.3">
      <c r="A545">
        <v>548</v>
      </c>
      <c r="B545" s="4" t="s">
        <v>4161</v>
      </c>
      <c r="C545" s="4" t="s">
        <v>4154</v>
      </c>
      <c r="D545" s="4" t="s">
        <v>2999</v>
      </c>
      <c r="E545" s="4" t="s">
        <v>4151</v>
      </c>
      <c r="F545" s="4" t="s">
        <v>4148</v>
      </c>
      <c r="G545" s="4" t="s">
        <v>4149</v>
      </c>
      <c r="H545" s="4" t="s">
        <v>4156</v>
      </c>
      <c r="I545" s="4" t="s">
        <v>4178</v>
      </c>
    </row>
    <row r="546" spans="1:9" x14ac:dyDescent="0.3">
      <c r="A546">
        <v>549</v>
      </c>
      <c r="B546" s="4" t="s">
        <v>4161</v>
      </c>
      <c r="C546" s="4" t="s">
        <v>4146</v>
      </c>
      <c r="D546" s="4" t="s">
        <v>2996</v>
      </c>
      <c r="E546" s="4" t="s">
        <v>4151</v>
      </c>
      <c r="F546" s="4" t="s">
        <v>4152</v>
      </c>
      <c r="G546" s="4" t="s">
        <v>4153</v>
      </c>
      <c r="H546" s="4" t="s">
        <v>4156</v>
      </c>
      <c r="I546" s="4" t="s">
        <v>824</v>
      </c>
    </row>
    <row r="547" spans="1:9" x14ac:dyDescent="0.3">
      <c r="A547">
        <v>550</v>
      </c>
      <c r="B547" s="4" t="s">
        <v>4161</v>
      </c>
      <c r="C547" s="4" t="s">
        <v>4146</v>
      </c>
      <c r="D547" s="4" t="s">
        <v>2996</v>
      </c>
      <c r="E547" s="4" t="s">
        <v>4151</v>
      </c>
      <c r="F547" s="4" t="s">
        <v>4152</v>
      </c>
      <c r="G547" s="4" t="s">
        <v>4153</v>
      </c>
      <c r="H547" s="4" t="s">
        <v>4156</v>
      </c>
      <c r="I547" s="4" t="s">
        <v>824</v>
      </c>
    </row>
    <row r="548" spans="1:9" x14ac:dyDescent="0.3">
      <c r="A548">
        <v>551</v>
      </c>
      <c r="B548" s="4" t="s">
        <v>4161</v>
      </c>
      <c r="C548" s="4" t="s">
        <v>4146</v>
      </c>
      <c r="D548" s="4" t="s">
        <v>3001</v>
      </c>
      <c r="E548" s="4" t="s">
        <v>4147</v>
      </c>
      <c r="F548" s="4" t="s">
        <v>4148</v>
      </c>
      <c r="G548" s="4" t="s">
        <v>4153</v>
      </c>
      <c r="H548" s="4" t="s">
        <v>4156</v>
      </c>
      <c r="I548" s="4" t="s">
        <v>824</v>
      </c>
    </row>
    <row r="549" spans="1:9" x14ac:dyDescent="0.3">
      <c r="A549">
        <v>552</v>
      </c>
      <c r="B549" s="4" t="s">
        <v>4161</v>
      </c>
      <c r="C549" s="4" t="s">
        <v>4146</v>
      </c>
      <c r="D549" s="4" t="s">
        <v>2994</v>
      </c>
      <c r="E549" s="4" t="s">
        <v>4147</v>
      </c>
      <c r="F549" s="4" t="s">
        <v>4155</v>
      </c>
      <c r="G549" s="4" t="s">
        <v>4149</v>
      </c>
      <c r="H549" s="4" t="s">
        <v>4156</v>
      </c>
      <c r="I549" s="4" t="s">
        <v>824</v>
      </c>
    </row>
    <row r="550" spans="1:9" x14ac:dyDescent="0.3">
      <c r="A550">
        <v>553</v>
      </c>
      <c r="B550" s="4" t="s">
        <v>4161</v>
      </c>
      <c r="C550" s="4" t="s">
        <v>4154</v>
      </c>
      <c r="D550" s="4" t="s">
        <v>2999</v>
      </c>
      <c r="E550" s="4" t="s">
        <v>4151</v>
      </c>
      <c r="F550" s="4" t="s">
        <v>4148</v>
      </c>
      <c r="G550" s="4" t="s">
        <v>4149</v>
      </c>
      <c r="H550" s="4" t="s">
        <v>4156</v>
      </c>
      <c r="I550" s="4" t="s">
        <v>824</v>
      </c>
    </row>
    <row r="551" spans="1:9" x14ac:dyDescent="0.3">
      <c r="A551">
        <v>554</v>
      </c>
      <c r="B551" s="4" t="s">
        <v>4161</v>
      </c>
      <c r="C551" s="4" t="s">
        <v>4146</v>
      </c>
      <c r="D551" s="4" t="s">
        <v>2994</v>
      </c>
      <c r="E551" s="4" t="s">
        <v>4147</v>
      </c>
      <c r="F551" s="4" t="s">
        <v>4148</v>
      </c>
      <c r="G551" s="4" t="s">
        <v>4149</v>
      </c>
      <c r="H551" s="4" t="s">
        <v>4156</v>
      </c>
      <c r="I551" s="4" t="s">
        <v>824</v>
      </c>
    </row>
    <row r="552" spans="1:9" x14ac:dyDescent="0.3">
      <c r="A552">
        <v>555</v>
      </c>
      <c r="B552" s="4" t="s">
        <v>4161</v>
      </c>
      <c r="C552" s="4" t="s">
        <v>4154</v>
      </c>
      <c r="D552" s="4" t="s">
        <v>2999</v>
      </c>
      <c r="E552" s="4" t="s">
        <v>4151</v>
      </c>
      <c r="F552" s="4" t="s">
        <v>4148</v>
      </c>
      <c r="G552" s="4" t="s">
        <v>4149</v>
      </c>
      <c r="H552" s="4" t="s">
        <v>4156</v>
      </c>
      <c r="I552" s="4" t="s">
        <v>824</v>
      </c>
    </row>
    <row r="553" spans="1:9" x14ac:dyDescent="0.3">
      <c r="A553">
        <v>556</v>
      </c>
      <c r="B553" s="4" t="s">
        <v>4161</v>
      </c>
      <c r="C553" s="4" t="s">
        <v>4154</v>
      </c>
      <c r="D553" s="4" t="s">
        <v>2999</v>
      </c>
      <c r="E553" s="4" t="s">
        <v>4151</v>
      </c>
      <c r="F553" s="4" t="s">
        <v>4148</v>
      </c>
      <c r="G553" s="4" t="s">
        <v>4149</v>
      </c>
      <c r="H553" s="4" t="s">
        <v>4156</v>
      </c>
      <c r="I553" s="4" t="s">
        <v>824</v>
      </c>
    </row>
    <row r="554" spans="1:9" x14ac:dyDescent="0.3">
      <c r="A554">
        <v>557</v>
      </c>
      <c r="B554" s="4" t="s">
        <v>4161</v>
      </c>
      <c r="C554" s="4" t="s">
        <v>4154</v>
      </c>
      <c r="D554" s="4" t="s">
        <v>2999</v>
      </c>
      <c r="E554" s="4" t="s">
        <v>4151</v>
      </c>
      <c r="F554" s="4" t="s">
        <v>4148</v>
      </c>
      <c r="G554" s="4" t="s">
        <v>4149</v>
      </c>
      <c r="H554" s="4" t="s">
        <v>4156</v>
      </c>
      <c r="I554" s="4" t="s">
        <v>824</v>
      </c>
    </row>
    <row r="555" spans="1:9" x14ac:dyDescent="0.3">
      <c r="A555">
        <v>558</v>
      </c>
      <c r="B555" s="4" t="s">
        <v>4161</v>
      </c>
      <c r="C555" s="4" t="s">
        <v>4146</v>
      </c>
      <c r="D555" s="4" t="s">
        <v>3001</v>
      </c>
      <c r="E555" s="4" t="s">
        <v>4147</v>
      </c>
      <c r="F555" s="4" t="s">
        <v>4148</v>
      </c>
      <c r="G555" s="4" t="s">
        <v>4153</v>
      </c>
      <c r="H555" s="4" t="s">
        <v>4156</v>
      </c>
      <c r="I555" s="4" t="s">
        <v>824</v>
      </c>
    </row>
    <row r="556" spans="1:9" x14ac:dyDescent="0.3">
      <c r="A556">
        <v>559</v>
      </c>
      <c r="B556" s="4" t="s">
        <v>4161</v>
      </c>
      <c r="C556" s="4" t="s">
        <v>4146</v>
      </c>
      <c r="D556" s="4" t="s">
        <v>2994</v>
      </c>
      <c r="E556" s="4" t="s">
        <v>4147</v>
      </c>
      <c r="F556" s="4" t="s">
        <v>4159</v>
      </c>
      <c r="G556" s="4" t="s">
        <v>4153</v>
      </c>
      <c r="H556" s="4" t="s">
        <v>4156</v>
      </c>
      <c r="I556" s="4" t="s">
        <v>824</v>
      </c>
    </row>
    <row r="557" spans="1:9" x14ac:dyDescent="0.3">
      <c r="A557">
        <v>560</v>
      </c>
      <c r="B557" s="4" t="s">
        <v>4161</v>
      </c>
      <c r="C557" s="4" t="s">
        <v>4146</v>
      </c>
      <c r="D557" s="4" t="s">
        <v>2994</v>
      </c>
      <c r="E557" s="4" t="s">
        <v>4147</v>
      </c>
      <c r="F557" s="4" t="s">
        <v>4148</v>
      </c>
      <c r="G557" s="4" t="s">
        <v>4149</v>
      </c>
      <c r="H557" s="4" t="s">
        <v>4156</v>
      </c>
      <c r="I557" s="4" t="s">
        <v>824</v>
      </c>
    </row>
    <row r="558" spans="1:9" x14ac:dyDescent="0.3">
      <c r="A558">
        <v>561</v>
      </c>
      <c r="B558" s="4" t="s">
        <v>4161</v>
      </c>
      <c r="C558" s="4" t="s">
        <v>4146</v>
      </c>
      <c r="D558" s="4" t="s">
        <v>2994</v>
      </c>
      <c r="E558" s="4" t="s">
        <v>4147</v>
      </c>
      <c r="F558" s="4" t="s">
        <v>4148</v>
      </c>
      <c r="G558" s="4" t="s">
        <v>4149</v>
      </c>
      <c r="H558" s="4" t="s">
        <v>4156</v>
      </c>
      <c r="I558" s="4" t="s">
        <v>824</v>
      </c>
    </row>
    <row r="559" spans="1:9" x14ac:dyDescent="0.3">
      <c r="A559">
        <v>562</v>
      </c>
      <c r="B559" s="4" t="s">
        <v>4161</v>
      </c>
      <c r="C559" s="4" t="s">
        <v>4154</v>
      </c>
      <c r="D559" s="4" t="s">
        <v>2999</v>
      </c>
      <c r="E559" s="4" t="s">
        <v>4151</v>
      </c>
      <c r="F559" s="4" t="s">
        <v>4157</v>
      </c>
      <c r="G559" s="4" t="s">
        <v>4149</v>
      </c>
      <c r="H559" s="4" t="s">
        <v>4156</v>
      </c>
      <c r="I559" s="4" t="s">
        <v>824</v>
      </c>
    </row>
    <row r="560" spans="1:9" x14ac:dyDescent="0.3">
      <c r="A560">
        <v>563</v>
      </c>
      <c r="B560" s="4" t="s">
        <v>4161</v>
      </c>
      <c r="C560" s="4" t="s">
        <v>4146</v>
      </c>
      <c r="D560" s="4" t="s">
        <v>2994</v>
      </c>
      <c r="E560" s="4" t="s">
        <v>4147</v>
      </c>
      <c r="F560" s="4" t="s">
        <v>4148</v>
      </c>
      <c r="G560" s="4" t="s">
        <v>4149</v>
      </c>
      <c r="H560" s="4" t="s">
        <v>4156</v>
      </c>
      <c r="I560" s="4" t="s">
        <v>4160</v>
      </c>
    </row>
    <row r="561" spans="1:9" x14ac:dyDescent="0.3">
      <c r="A561">
        <v>564</v>
      </c>
      <c r="B561" s="4" t="s">
        <v>4161</v>
      </c>
      <c r="C561" s="4" t="s">
        <v>4154</v>
      </c>
      <c r="D561" s="4" t="s">
        <v>2999</v>
      </c>
      <c r="E561" s="4" t="s">
        <v>4151</v>
      </c>
      <c r="F561" s="4" t="s">
        <v>4155</v>
      </c>
      <c r="G561" s="4" t="s">
        <v>4149</v>
      </c>
      <c r="H561" s="4" t="s">
        <v>4156</v>
      </c>
      <c r="I561" s="4" t="s">
        <v>824</v>
      </c>
    </row>
    <row r="562" spans="1:9" x14ac:dyDescent="0.3">
      <c r="A562">
        <v>565</v>
      </c>
      <c r="B562" s="4" t="s">
        <v>4161</v>
      </c>
      <c r="C562" s="4" t="s">
        <v>4146</v>
      </c>
      <c r="D562" s="4" t="s">
        <v>2994</v>
      </c>
      <c r="E562" s="4" t="s">
        <v>4147</v>
      </c>
      <c r="F562" s="4" t="s">
        <v>4155</v>
      </c>
      <c r="G562" s="4" t="s">
        <v>4149</v>
      </c>
      <c r="H562" s="4" t="s">
        <v>4156</v>
      </c>
      <c r="I562" s="4" t="s">
        <v>824</v>
      </c>
    </row>
    <row r="563" spans="1:9" x14ac:dyDescent="0.3">
      <c r="A563">
        <v>566</v>
      </c>
      <c r="B563" s="4" t="s">
        <v>4161</v>
      </c>
      <c r="C563" s="4" t="s">
        <v>4154</v>
      </c>
      <c r="D563" s="4" t="s">
        <v>2999</v>
      </c>
      <c r="E563" s="4" t="s">
        <v>4151</v>
      </c>
      <c r="F563" s="4" t="s">
        <v>4148</v>
      </c>
      <c r="G563" s="4" t="s">
        <v>4149</v>
      </c>
      <c r="H563" s="4" t="s">
        <v>4156</v>
      </c>
      <c r="I563" s="4" t="s">
        <v>824</v>
      </c>
    </row>
    <row r="564" spans="1:9" x14ac:dyDescent="0.3">
      <c r="A564">
        <v>567</v>
      </c>
      <c r="B564" s="4" t="s">
        <v>4161</v>
      </c>
      <c r="C564" s="4" t="s">
        <v>4154</v>
      </c>
      <c r="D564" s="4" t="s">
        <v>2999</v>
      </c>
      <c r="E564" s="4" t="s">
        <v>4151</v>
      </c>
      <c r="F564" s="4" t="s">
        <v>4155</v>
      </c>
      <c r="G564" s="4" t="s">
        <v>4149</v>
      </c>
      <c r="H564" s="4" t="s">
        <v>4156</v>
      </c>
      <c r="I564" s="4" t="s">
        <v>4178</v>
      </c>
    </row>
    <row r="565" spans="1:9" x14ac:dyDescent="0.3">
      <c r="A565">
        <v>568</v>
      </c>
      <c r="B565" s="4" t="s">
        <v>4161</v>
      </c>
      <c r="C565" s="4" t="s">
        <v>4154</v>
      </c>
      <c r="D565" s="4" t="s">
        <v>2999</v>
      </c>
      <c r="E565" s="4" t="s">
        <v>4151</v>
      </c>
      <c r="F565" s="4" t="s">
        <v>4148</v>
      </c>
      <c r="G565" s="4" t="s">
        <v>4149</v>
      </c>
      <c r="H565" s="4" t="s">
        <v>4156</v>
      </c>
      <c r="I565" s="4" t="s">
        <v>824</v>
      </c>
    </row>
    <row r="566" spans="1:9" x14ac:dyDescent="0.3">
      <c r="A566">
        <v>569</v>
      </c>
      <c r="B566" s="4" t="s">
        <v>4161</v>
      </c>
      <c r="C566" s="4" t="s">
        <v>4154</v>
      </c>
      <c r="D566" s="4" t="s">
        <v>2999</v>
      </c>
      <c r="E566" s="4" t="s">
        <v>4151</v>
      </c>
      <c r="F566" s="4" t="s">
        <v>4159</v>
      </c>
      <c r="G566" s="4" t="s">
        <v>4149</v>
      </c>
      <c r="H566" s="4" t="s">
        <v>4156</v>
      </c>
      <c r="I566" s="4" t="s">
        <v>824</v>
      </c>
    </row>
    <row r="567" spans="1:9" x14ac:dyDescent="0.3">
      <c r="A567">
        <v>570</v>
      </c>
      <c r="B567" s="4" t="s">
        <v>4161</v>
      </c>
      <c r="C567" s="4" t="s">
        <v>4154</v>
      </c>
      <c r="D567" s="4" t="s">
        <v>2999</v>
      </c>
      <c r="E567" s="4" t="s">
        <v>4151</v>
      </c>
      <c r="F567" s="4" t="s">
        <v>4159</v>
      </c>
      <c r="G567" s="4" t="s">
        <v>4149</v>
      </c>
      <c r="H567" s="4" t="s">
        <v>4158</v>
      </c>
      <c r="I567" s="4" t="s">
        <v>824</v>
      </c>
    </row>
    <row r="568" spans="1:9" x14ac:dyDescent="0.3">
      <c r="A568">
        <v>571</v>
      </c>
      <c r="B568" s="4" t="s">
        <v>4161</v>
      </c>
      <c r="C568" s="4" t="s">
        <v>4146</v>
      </c>
      <c r="D568" s="4" t="s">
        <v>2994</v>
      </c>
      <c r="E568" s="4" t="s">
        <v>4147</v>
      </c>
      <c r="F568" s="4" t="s">
        <v>4155</v>
      </c>
      <c r="G568" s="4" t="s">
        <v>4149</v>
      </c>
      <c r="H568" s="4" t="s">
        <v>4156</v>
      </c>
      <c r="I568" s="4" t="s">
        <v>824</v>
      </c>
    </row>
    <row r="569" spans="1:9" x14ac:dyDescent="0.3">
      <c r="A569">
        <v>572</v>
      </c>
      <c r="B569" s="4" t="s">
        <v>4161</v>
      </c>
      <c r="C569" s="4" t="s">
        <v>4154</v>
      </c>
      <c r="D569" s="4" t="s">
        <v>2999</v>
      </c>
      <c r="E569" s="4" t="s">
        <v>4151</v>
      </c>
      <c r="F569" s="4" t="s">
        <v>4148</v>
      </c>
      <c r="G569" s="4" t="s">
        <v>4149</v>
      </c>
      <c r="H569" s="4" t="s">
        <v>4156</v>
      </c>
      <c r="I569" s="4" t="s">
        <v>824</v>
      </c>
    </row>
    <row r="570" spans="1:9" x14ac:dyDescent="0.3">
      <c r="A570">
        <v>573</v>
      </c>
      <c r="B570" s="4" t="s">
        <v>4161</v>
      </c>
      <c r="C570" s="4" t="s">
        <v>4146</v>
      </c>
      <c r="D570" s="4" t="s">
        <v>3001</v>
      </c>
      <c r="E570" s="4" t="s">
        <v>4147</v>
      </c>
      <c r="F570" s="4" t="s">
        <v>4148</v>
      </c>
      <c r="G570" s="4" t="s">
        <v>4149</v>
      </c>
      <c r="H570" s="4" t="s">
        <v>4156</v>
      </c>
      <c r="I570" s="4" t="s">
        <v>824</v>
      </c>
    </row>
    <row r="571" spans="1:9" x14ac:dyDescent="0.3">
      <c r="A571">
        <v>574</v>
      </c>
      <c r="B571" s="4" t="s">
        <v>4161</v>
      </c>
      <c r="C571" s="4" t="s">
        <v>4146</v>
      </c>
      <c r="D571" s="4" t="s">
        <v>2994</v>
      </c>
      <c r="E571" s="4" t="s">
        <v>4147</v>
      </c>
      <c r="F571" s="4" t="s">
        <v>4148</v>
      </c>
      <c r="G571" s="4" t="s">
        <v>4149</v>
      </c>
      <c r="H571" s="4" t="s">
        <v>4156</v>
      </c>
      <c r="I571" s="4" t="s">
        <v>824</v>
      </c>
    </row>
    <row r="572" spans="1:9" x14ac:dyDescent="0.3">
      <c r="A572">
        <v>575</v>
      </c>
      <c r="B572" s="4" t="s">
        <v>4161</v>
      </c>
      <c r="C572" s="4" t="s">
        <v>4154</v>
      </c>
      <c r="D572" s="4" t="s">
        <v>2999</v>
      </c>
      <c r="E572" s="4" t="s">
        <v>4151</v>
      </c>
      <c r="F572" s="4" t="s">
        <v>4148</v>
      </c>
      <c r="G572" s="4" t="s">
        <v>4153</v>
      </c>
      <c r="H572" s="4" t="s">
        <v>4156</v>
      </c>
      <c r="I572" s="4" t="s">
        <v>824</v>
      </c>
    </row>
    <row r="573" spans="1:9" x14ac:dyDescent="0.3">
      <c r="A573">
        <v>576</v>
      </c>
      <c r="B573" s="4" t="s">
        <v>4161</v>
      </c>
      <c r="C573" s="4" t="s">
        <v>4154</v>
      </c>
      <c r="D573" s="4" t="s">
        <v>3001</v>
      </c>
      <c r="E573" s="4" t="s">
        <v>4147</v>
      </c>
      <c r="F573" s="4" t="s">
        <v>4148</v>
      </c>
      <c r="G573" s="4" t="s">
        <v>4153</v>
      </c>
      <c r="H573" s="4" t="s">
        <v>4156</v>
      </c>
      <c r="I573" s="4" t="s">
        <v>824</v>
      </c>
    </row>
    <row r="574" spans="1:9" x14ac:dyDescent="0.3">
      <c r="A574">
        <v>577</v>
      </c>
      <c r="B574" s="4" t="s">
        <v>4161</v>
      </c>
      <c r="C574" s="4" t="s">
        <v>4154</v>
      </c>
      <c r="D574" s="4" t="s">
        <v>2999</v>
      </c>
      <c r="E574" s="4" t="s">
        <v>4151</v>
      </c>
      <c r="F574" s="4" t="s">
        <v>4155</v>
      </c>
      <c r="G574" s="4" t="s">
        <v>4149</v>
      </c>
      <c r="H574" s="4" t="s">
        <v>4156</v>
      </c>
      <c r="I574" s="4" t="s">
        <v>824</v>
      </c>
    </row>
    <row r="575" spans="1:9" x14ac:dyDescent="0.3">
      <c r="A575">
        <v>578</v>
      </c>
      <c r="B575" s="4" t="s">
        <v>4161</v>
      </c>
      <c r="C575" s="4" t="s">
        <v>4146</v>
      </c>
      <c r="D575" s="4" t="s">
        <v>2994</v>
      </c>
      <c r="E575" s="4" t="s">
        <v>4147</v>
      </c>
      <c r="F575" s="4" t="s">
        <v>4155</v>
      </c>
      <c r="G575" s="4" t="s">
        <v>4149</v>
      </c>
      <c r="H575" s="4" t="s">
        <v>4156</v>
      </c>
      <c r="I575" s="4" t="s">
        <v>824</v>
      </c>
    </row>
    <row r="576" spans="1:9" x14ac:dyDescent="0.3">
      <c r="A576">
        <v>579</v>
      </c>
      <c r="B576" s="4" t="s">
        <v>4161</v>
      </c>
      <c r="C576" s="4" t="s">
        <v>4154</v>
      </c>
      <c r="D576" s="4" t="s">
        <v>2999</v>
      </c>
      <c r="E576" s="4" t="s">
        <v>4151</v>
      </c>
      <c r="F576" s="4" t="s">
        <v>4148</v>
      </c>
      <c r="G576" s="4" t="s">
        <v>4153</v>
      </c>
      <c r="H576" s="4" t="s">
        <v>4156</v>
      </c>
      <c r="I576" s="4" t="s">
        <v>824</v>
      </c>
    </row>
    <row r="577" spans="1:9" x14ac:dyDescent="0.3">
      <c r="A577">
        <v>580</v>
      </c>
      <c r="B577" s="4" t="s">
        <v>4161</v>
      </c>
      <c r="C577" s="4" t="s">
        <v>4154</v>
      </c>
      <c r="D577" s="4" t="s">
        <v>2999</v>
      </c>
      <c r="E577" s="4" t="s">
        <v>4151</v>
      </c>
      <c r="F577" s="4" t="s">
        <v>4148</v>
      </c>
      <c r="G577" s="4" t="s">
        <v>4153</v>
      </c>
      <c r="H577" s="4" t="s">
        <v>4156</v>
      </c>
      <c r="I577" s="4" t="s">
        <v>824</v>
      </c>
    </row>
    <row r="578" spans="1:9" x14ac:dyDescent="0.3">
      <c r="A578">
        <v>581</v>
      </c>
      <c r="B578" s="4" t="s">
        <v>4161</v>
      </c>
      <c r="C578" s="4" t="s">
        <v>4146</v>
      </c>
      <c r="D578" s="4" t="s">
        <v>3001</v>
      </c>
      <c r="E578" s="4" t="s">
        <v>4147</v>
      </c>
      <c r="F578" s="4" t="s">
        <v>4155</v>
      </c>
      <c r="G578" s="4" t="s">
        <v>4149</v>
      </c>
      <c r="H578" s="4" t="s">
        <v>4156</v>
      </c>
      <c r="I578" s="4" t="s">
        <v>824</v>
      </c>
    </row>
    <row r="579" spans="1:9" x14ac:dyDescent="0.3">
      <c r="A579">
        <v>582</v>
      </c>
      <c r="B579" s="4" t="s">
        <v>4161</v>
      </c>
      <c r="C579" s="4" t="s">
        <v>4154</v>
      </c>
      <c r="D579" s="4" t="s">
        <v>2999</v>
      </c>
      <c r="E579" s="4" t="s">
        <v>4151</v>
      </c>
      <c r="F579" s="4" t="s">
        <v>4148</v>
      </c>
      <c r="G579" s="4" t="s">
        <v>4149</v>
      </c>
      <c r="H579" s="4" t="s">
        <v>4156</v>
      </c>
      <c r="I579" s="4" t="s">
        <v>824</v>
      </c>
    </row>
    <row r="580" spans="1:9" x14ac:dyDescent="0.3">
      <c r="A580">
        <v>583</v>
      </c>
      <c r="B580" s="4" t="s">
        <v>4161</v>
      </c>
      <c r="C580" s="4" t="s">
        <v>4146</v>
      </c>
      <c r="D580" s="4" t="s">
        <v>2994</v>
      </c>
      <c r="E580" s="4" t="s">
        <v>4147</v>
      </c>
      <c r="F580" s="4" t="s">
        <v>4152</v>
      </c>
      <c r="G580" s="4" t="s">
        <v>4149</v>
      </c>
      <c r="H580" s="4" t="s">
        <v>4156</v>
      </c>
      <c r="I580" s="4" t="s">
        <v>824</v>
      </c>
    </row>
    <row r="581" spans="1:9" x14ac:dyDescent="0.3">
      <c r="A581">
        <v>584</v>
      </c>
      <c r="B581" s="4" t="s">
        <v>4161</v>
      </c>
      <c r="C581" s="4" t="s">
        <v>4146</v>
      </c>
      <c r="D581" s="4" t="s">
        <v>3001</v>
      </c>
      <c r="E581" s="4" t="s">
        <v>4147</v>
      </c>
      <c r="F581" s="4" t="s">
        <v>4155</v>
      </c>
      <c r="G581" s="4" t="s">
        <v>4149</v>
      </c>
      <c r="H581" s="4" t="s">
        <v>4156</v>
      </c>
      <c r="I581" s="4" t="s">
        <v>824</v>
      </c>
    </row>
    <row r="582" spans="1:9" x14ac:dyDescent="0.3">
      <c r="A582">
        <v>585</v>
      </c>
      <c r="B582" s="4" t="s">
        <v>4161</v>
      </c>
      <c r="C582" s="4" t="s">
        <v>4146</v>
      </c>
      <c r="D582" s="4" t="s">
        <v>2994</v>
      </c>
      <c r="E582" s="4" t="s">
        <v>4147</v>
      </c>
      <c r="F582" s="4" t="s">
        <v>4155</v>
      </c>
      <c r="G582" s="4" t="s">
        <v>4149</v>
      </c>
      <c r="H582" s="4" t="s">
        <v>4156</v>
      </c>
      <c r="I582" s="4" t="s">
        <v>824</v>
      </c>
    </row>
    <row r="583" spans="1:9" x14ac:dyDescent="0.3">
      <c r="A583">
        <v>586</v>
      </c>
      <c r="B583" s="4" t="s">
        <v>4161</v>
      </c>
      <c r="C583" s="4" t="s">
        <v>4154</v>
      </c>
      <c r="D583" s="4" t="s">
        <v>2999</v>
      </c>
      <c r="E583" s="4" t="s">
        <v>4151</v>
      </c>
      <c r="F583" s="4" t="s">
        <v>4148</v>
      </c>
      <c r="G583" s="4" t="s">
        <v>4153</v>
      </c>
      <c r="H583" s="4" t="s">
        <v>4156</v>
      </c>
      <c r="I583" s="4" t="s">
        <v>824</v>
      </c>
    </row>
    <row r="584" spans="1:9" x14ac:dyDescent="0.3">
      <c r="A584">
        <v>587</v>
      </c>
      <c r="B584" s="4" t="s">
        <v>4161</v>
      </c>
      <c r="C584" s="4" t="s">
        <v>4146</v>
      </c>
      <c r="D584" s="4" t="s">
        <v>3001</v>
      </c>
      <c r="E584" s="4" t="s">
        <v>4147</v>
      </c>
      <c r="F584" s="4" t="s">
        <v>4148</v>
      </c>
      <c r="G584" s="4" t="s">
        <v>4153</v>
      </c>
      <c r="H584" s="4" t="s">
        <v>4156</v>
      </c>
      <c r="I584" s="4" t="s">
        <v>824</v>
      </c>
    </row>
    <row r="585" spans="1:9" x14ac:dyDescent="0.3">
      <c r="A585">
        <v>588</v>
      </c>
      <c r="B585" s="4" t="s">
        <v>4161</v>
      </c>
      <c r="C585" s="4" t="s">
        <v>4146</v>
      </c>
      <c r="D585" s="4" t="s">
        <v>2996</v>
      </c>
      <c r="E585" s="4" t="s">
        <v>4151</v>
      </c>
      <c r="F585" s="4" t="s">
        <v>4152</v>
      </c>
      <c r="G585" s="4" t="s">
        <v>4153</v>
      </c>
      <c r="H585" s="4" t="s">
        <v>4156</v>
      </c>
      <c r="I585" s="4" t="s">
        <v>824</v>
      </c>
    </row>
    <row r="586" spans="1:9" x14ac:dyDescent="0.3">
      <c r="A586">
        <v>589</v>
      </c>
      <c r="B586" s="4" t="s">
        <v>4161</v>
      </c>
      <c r="C586" s="4" t="s">
        <v>4146</v>
      </c>
      <c r="D586" s="4" t="s">
        <v>2994</v>
      </c>
      <c r="E586" s="4" t="s">
        <v>4147</v>
      </c>
      <c r="F586" s="4" t="s">
        <v>4152</v>
      </c>
      <c r="G586" s="4" t="s">
        <v>4153</v>
      </c>
      <c r="H586" s="4" t="s">
        <v>4156</v>
      </c>
      <c r="I586" s="4" t="s">
        <v>824</v>
      </c>
    </row>
    <row r="587" spans="1:9" x14ac:dyDescent="0.3">
      <c r="A587">
        <v>590</v>
      </c>
      <c r="B587" s="4" t="s">
        <v>4161</v>
      </c>
      <c r="C587" s="4" t="s">
        <v>4146</v>
      </c>
      <c r="D587" s="4" t="s">
        <v>3001</v>
      </c>
      <c r="E587" s="4" t="s">
        <v>4147</v>
      </c>
      <c r="F587" s="4" t="s">
        <v>4148</v>
      </c>
      <c r="G587" s="4" t="s">
        <v>4153</v>
      </c>
      <c r="H587" s="4" t="s">
        <v>4156</v>
      </c>
      <c r="I587" s="4" t="s">
        <v>824</v>
      </c>
    </row>
    <row r="588" spans="1:9" x14ac:dyDescent="0.3">
      <c r="A588">
        <v>591</v>
      </c>
      <c r="B588" s="4" t="s">
        <v>4161</v>
      </c>
      <c r="C588" s="4" t="s">
        <v>4146</v>
      </c>
      <c r="D588" s="4" t="s">
        <v>2994</v>
      </c>
      <c r="E588" s="4" t="s">
        <v>4147</v>
      </c>
      <c r="F588" s="4" t="s">
        <v>4152</v>
      </c>
      <c r="G588" s="4" t="s">
        <v>4153</v>
      </c>
      <c r="H588" s="4" t="s">
        <v>4156</v>
      </c>
      <c r="I588" s="4" t="s">
        <v>824</v>
      </c>
    </row>
    <row r="589" spans="1:9" x14ac:dyDescent="0.3">
      <c r="A589">
        <v>592</v>
      </c>
      <c r="B589" s="4" t="s">
        <v>4161</v>
      </c>
      <c r="C589" s="4" t="s">
        <v>4146</v>
      </c>
      <c r="D589" s="4" t="s">
        <v>2994</v>
      </c>
      <c r="E589" s="4" t="s">
        <v>4147</v>
      </c>
      <c r="F589" s="4" t="s">
        <v>4152</v>
      </c>
      <c r="G589" s="4" t="s">
        <v>4153</v>
      </c>
      <c r="H589" s="4" t="s">
        <v>4156</v>
      </c>
      <c r="I589" s="4" t="s">
        <v>824</v>
      </c>
    </row>
    <row r="590" spans="1:9" x14ac:dyDescent="0.3">
      <c r="A590">
        <v>593</v>
      </c>
      <c r="B590" s="4" t="s">
        <v>4161</v>
      </c>
      <c r="C590" s="4" t="s">
        <v>4154</v>
      </c>
      <c r="D590" s="4" t="s">
        <v>2999</v>
      </c>
      <c r="E590" s="4" t="s">
        <v>4151</v>
      </c>
      <c r="F590" s="4" t="s">
        <v>4155</v>
      </c>
      <c r="G590" s="4" t="s">
        <v>4153</v>
      </c>
      <c r="H590" s="4" t="s">
        <v>4156</v>
      </c>
      <c r="I590" s="4" t="s">
        <v>824</v>
      </c>
    </row>
    <row r="591" spans="1:9" x14ac:dyDescent="0.3">
      <c r="A591">
        <v>594</v>
      </c>
      <c r="B591" s="4" t="s">
        <v>4161</v>
      </c>
      <c r="C591" s="4" t="s">
        <v>4146</v>
      </c>
      <c r="D591" s="4" t="s">
        <v>3001</v>
      </c>
      <c r="E591" s="4" t="s">
        <v>4147</v>
      </c>
      <c r="F591" s="4" t="s">
        <v>4155</v>
      </c>
      <c r="G591" s="4" t="s">
        <v>4153</v>
      </c>
      <c r="H591" s="4" t="s">
        <v>4156</v>
      </c>
      <c r="I591" s="4" t="s">
        <v>824</v>
      </c>
    </row>
    <row r="592" spans="1:9" x14ac:dyDescent="0.3">
      <c r="A592">
        <v>595</v>
      </c>
      <c r="B592" s="4" t="s">
        <v>4161</v>
      </c>
      <c r="C592" s="4" t="s">
        <v>4154</v>
      </c>
      <c r="D592" s="4" t="s">
        <v>2999</v>
      </c>
      <c r="E592" s="4" t="s">
        <v>4151</v>
      </c>
      <c r="F592" s="4" t="s">
        <v>4157</v>
      </c>
      <c r="G592" s="4" t="s">
        <v>4149</v>
      </c>
      <c r="H592" s="4" t="s">
        <v>4156</v>
      </c>
      <c r="I592" s="4" t="s">
        <v>824</v>
      </c>
    </row>
    <row r="593" spans="1:9" x14ac:dyDescent="0.3">
      <c r="A593">
        <v>596</v>
      </c>
      <c r="B593" s="4" t="s">
        <v>4161</v>
      </c>
      <c r="C593" s="4" t="s">
        <v>4154</v>
      </c>
      <c r="D593" s="4" t="s">
        <v>2999</v>
      </c>
      <c r="E593" s="4" t="s">
        <v>4151</v>
      </c>
      <c r="F593" s="4" t="s">
        <v>4148</v>
      </c>
      <c r="G593" s="4" t="s">
        <v>4149</v>
      </c>
      <c r="H593" s="4" t="s">
        <v>4156</v>
      </c>
      <c r="I593" s="4" t="s">
        <v>824</v>
      </c>
    </row>
    <row r="594" spans="1:9" x14ac:dyDescent="0.3">
      <c r="A594">
        <v>597</v>
      </c>
      <c r="B594" s="4" t="s">
        <v>4161</v>
      </c>
      <c r="C594" s="4" t="s">
        <v>4146</v>
      </c>
      <c r="D594" s="4" t="s">
        <v>2999</v>
      </c>
      <c r="E594" s="4" t="s">
        <v>4151</v>
      </c>
      <c r="F594" s="4" t="s">
        <v>4155</v>
      </c>
      <c r="G594" s="4" t="s">
        <v>4149</v>
      </c>
      <c r="H594" s="4" t="s">
        <v>4156</v>
      </c>
      <c r="I594" s="4" t="s">
        <v>824</v>
      </c>
    </row>
    <row r="595" spans="1:9" x14ac:dyDescent="0.3">
      <c r="A595">
        <v>598</v>
      </c>
      <c r="B595" s="4" t="s">
        <v>4161</v>
      </c>
      <c r="C595" s="4" t="s">
        <v>4146</v>
      </c>
      <c r="D595" s="4" t="s">
        <v>2999</v>
      </c>
      <c r="E595" s="4" t="s">
        <v>4151</v>
      </c>
      <c r="F595" s="4" t="s">
        <v>4148</v>
      </c>
      <c r="G595" s="4" t="s">
        <v>4149</v>
      </c>
      <c r="H595" s="4" t="s">
        <v>4156</v>
      </c>
      <c r="I595" s="4" t="s">
        <v>824</v>
      </c>
    </row>
    <row r="596" spans="1:9" x14ac:dyDescent="0.3">
      <c r="A596">
        <v>599</v>
      </c>
      <c r="B596" s="4" t="s">
        <v>4161</v>
      </c>
      <c r="C596" s="4" t="s">
        <v>4146</v>
      </c>
      <c r="D596" s="4" t="s">
        <v>2994</v>
      </c>
      <c r="E596" s="4" t="s">
        <v>4147</v>
      </c>
      <c r="F596" s="4" t="s">
        <v>4148</v>
      </c>
      <c r="G596" s="4" t="s">
        <v>4149</v>
      </c>
      <c r="H596" s="4" t="s">
        <v>4156</v>
      </c>
      <c r="I596" s="4" t="s">
        <v>824</v>
      </c>
    </row>
    <row r="597" spans="1:9" x14ac:dyDescent="0.3">
      <c r="A597">
        <v>600</v>
      </c>
      <c r="B597" s="4" t="s">
        <v>4161</v>
      </c>
      <c r="C597" s="4" t="s">
        <v>4154</v>
      </c>
      <c r="D597" s="4" t="s">
        <v>2994</v>
      </c>
      <c r="E597" s="4" t="s">
        <v>4147</v>
      </c>
      <c r="F597" s="4" t="s">
        <v>4148</v>
      </c>
      <c r="G597" s="4" t="s">
        <v>4149</v>
      </c>
      <c r="H597" s="4" t="s">
        <v>4156</v>
      </c>
      <c r="I597" s="4" t="s">
        <v>824</v>
      </c>
    </row>
    <row r="598" spans="1:9" x14ac:dyDescent="0.3">
      <c r="A598">
        <v>601</v>
      </c>
      <c r="B598" s="4" t="s">
        <v>4162</v>
      </c>
      <c r="C598" s="4" t="s">
        <v>4154</v>
      </c>
      <c r="D598" s="4" t="s">
        <v>2999</v>
      </c>
      <c r="E598" s="4" t="s">
        <v>4151</v>
      </c>
      <c r="F598" s="4" t="s">
        <v>4155</v>
      </c>
      <c r="G598" s="4" t="s">
        <v>4149</v>
      </c>
      <c r="H598" s="4" t="s">
        <v>4156</v>
      </c>
      <c r="I598" s="4" t="s">
        <v>824</v>
      </c>
    </row>
    <row r="599" spans="1:9" x14ac:dyDescent="0.3">
      <c r="A599">
        <v>602</v>
      </c>
      <c r="B599" s="4" t="s">
        <v>4162</v>
      </c>
      <c r="C599" s="4" t="s">
        <v>4154</v>
      </c>
      <c r="D599" s="4" t="s">
        <v>2996</v>
      </c>
      <c r="E599" s="4" t="s">
        <v>4151</v>
      </c>
      <c r="F599" s="4" t="s">
        <v>4152</v>
      </c>
      <c r="G599" s="4" t="s">
        <v>4153</v>
      </c>
      <c r="H599" s="4" t="s">
        <v>4156</v>
      </c>
      <c r="I599" s="4" t="s">
        <v>824</v>
      </c>
    </row>
    <row r="600" spans="1:9" x14ac:dyDescent="0.3">
      <c r="A600">
        <v>603</v>
      </c>
      <c r="B600" s="4" t="s">
        <v>4162</v>
      </c>
      <c r="C600" s="4" t="s">
        <v>4154</v>
      </c>
      <c r="D600" s="4" t="s">
        <v>2999</v>
      </c>
      <c r="E600" s="4" t="s">
        <v>4151</v>
      </c>
      <c r="F600" s="4" t="s">
        <v>4159</v>
      </c>
      <c r="G600" s="4" t="s">
        <v>4153</v>
      </c>
      <c r="H600" s="4" t="s">
        <v>4156</v>
      </c>
      <c r="I600" s="4" t="s">
        <v>824</v>
      </c>
    </row>
    <row r="601" spans="1:9" x14ac:dyDescent="0.3">
      <c r="A601">
        <v>604</v>
      </c>
      <c r="B601" s="4" t="s">
        <v>4162</v>
      </c>
      <c r="C601" s="4" t="s">
        <v>4146</v>
      </c>
      <c r="D601" s="4" t="s">
        <v>3001</v>
      </c>
      <c r="E601" s="4" t="s">
        <v>4147</v>
      </c>
      <c r="F601" s="4" t="s">
        <v>4155</v>
      </c>
      <c r="G601" s="4" t="s">
        <v>4153</v>
      </c>
      <c r="H601" s="4" t="s">
        <v>4156</v>
      </c>
      <c r="I601" s="4" t="s">
        <v>824</v>
      </c>
    </row>
    <row r="602" spans="1:9" x14ac:dyDescent="0.3">
      <c r="A602">
        <v>605</v>
      </c>
      <c r="B602" s="4" t="s">
        <v>4162</v>
      </c>
      <c r="C602" s="4" t="s">
        <v>4146</v>
      </c>
      <c r="D602" s="4" t="s">
        <v>2994</v>
      </c>
      <c r="E602" s="4" t="s">
        <v>4147</v>
      </c>
      <c r="F602" s="4" t="s">
        <v>4159</v>
      </c>
      <c r="G602" s="4" t="s">
        <v>4149</v>
      </c>
      <c r="H602" s="4" t="s">
        <v>4156</v>
      </c>
      <c r="I602" s="4" t="s">
        <v>824</v>
      </c>
    </row>
    <row r="603" spans="1:9" x14ac:dyDescent="0.3">
      <c r="A603">
        <v>606</v>
      </c>
      <c r="B603" s="4" t="s">
        <v>4162</v>
      </c>
      <c r="C603" s="4" t="s">
        <v>4146</v>
      </c>
      <c r="D603" s="4" t="s">
        <v>2999</v>
      </c>
      <c r="E603" s="4" t="s">
        <v>4151</v>
      </c>
      <c r="F603" s="4" t="s">
        <v>4148</v>
      </c>
      <c r="G603" s="4" t="s">
        <v>4149</v>
      </c>
      <c r="H603" s="4" t="s">
        <v>4156</v>
      </c>
      <c r="I603" s="4" t="s">
        <v>824</v>
      </c>
    </row>
    <row r="604" spans="1:9" x14ac:dyDescent="0.3">
      <c r="A604">
        <v>607</v>
      </c>
      <c r="B604" s="4" t="s">
        <v>4162</v>
      </c>
      <c r="C604" s="4" t="s">
        <v>4146</v>
      </c>
      <c r="D604" s="4" t="s">
        <v>2999</v>
      </c>
      <c r="E604" s="4" t="s">
        <v>4151</v>
      </c>
      <c r="F604" s="4" t="s">
        <v>4148</v>
      </c>
      <c r="G604" s="4" t="s">
        <v>4149</v>
      </c>
      <c r="H604" s="4" t="s">
        <v>4156</v>
      </c>
      <c r="I604" s="4" t="s">
        <v>824</v>
      </c>
    </row>
    <row r="605" spans="1:9" x14ac:dyDescent="0.3">
      <c r="A605">
        <v>608</v>
      </c>
      <c r="B605" s="4" t="s">
        <v>4162</v>
      </c>
      <c r="C605" s="4" t="s">
        <v>4146</v>
      </c>
      <c r="D605" s="4" t="s">
        <v>3001</v>
      </c>
      <c r="E605" s="4" t="s">
        <v>4147</v>
      </c>
      <c r="F605" s="4" t="s">
        <v>4159</v>
      </c>
      <c r="G605" s="4" t="s">
        <v>4149</v>
      </c>
      <c r="H605" s="4" t="s">
        <v>4156</v>
      </c>
      <c r="I605" s="4" t="s">
        <v>4178</v>
      </c>
    </row>
    <row r="606" spans="1:9" x14ac:dyDescent="0.3">
      <c r="A606">
        <v>609</v>
      </c>
      <c r="B606" s="4" t="s">
        <v>4162</v>
      </c>
      <c r="C606" s="4" t="s">
        <v>4154</v>
      </c>
      <c r="D606" s="4" t="s">
        <v>2999</v>
      </c>
      <c r="E606" s="4" t="s">
        <v>4151</v>
      </c>
      <c r="F606" s="4" t="s">
        <v>4148</v>
      </c>
      <c r="G606" s="4" t="s">
        <v>4149</v>
      </c>
      <c r="H606" s="4" t="s">
        <v>4156</v>
      </c>
      <c r="I606" s="4" t="s">
        <v>824</v>
      </c>
    </row>
    <row r="607" spans="1:9" x14ac:dyDescent="0.3">
      <c r="A607">
        <v>610</v>
      </c>
      <c r="B607" s="4" t="s">
        <v>4162</v>
      </c>
      <c r="C607" s="4" t="s">
        <v>4154</v>
      </c>
      <c r="D607" s="4" t="s">
        <v>2999</v>
      </c>
      <c r="E607" s="4" t="s">
        <v>4151</v>
      </c>
      <c r="F607" s="4" t="s">
        <v>4148</v>
      </c>
      <c r="G607" s="4" t="s">
        <v>4149</v>
      </c>
      <c r="H607" s="4" t="s">
        <v>4156</v>
      </c>
      <c r="I607" s="4" t="s">
        <v>824</v>
      </c>
    </row>
    <row r="608" spans="1:9" x14ac:dyDescent="0.3">
      <c r="A608">
        <v>611</v>
      </c>
      <c r="B608" s="4" t="s">
        <v>4162</v>
      </c>
      <c r="C608" s="4" t="s">
        <v>4154</v>
      </c>
      <c r="D608" s="4" t="s">
        <v>3001</v>
      </c>
      <c r="E608" s="4" t="s">
        <v>4147</v>
      </c>
      <c r="F608" s="4" t="s">
        <v>4155</v>
      </c>
      <c r="G608" s="4" t="s">
        <v>4153</v>
      </c>
      <c r="H608" s="4" t="s">
        <v>4156</v>
      </c>
      <c r="I608" s="4" t="s">
        <v>824</v>
      </c>
    </row>
    <row r="609" spans="1:9" x14ac:dyDescent="0.3">
      <c r="A609">
        <v>612</v>
      </c>
      <c r="B609" s="4" t="s">
        <v>4162</v>
      </c>
      <c r="C609" s="4" t="s">
        <v>4146</v>
      </c>
      <c r="D609" s="4" t="s">
        <v>2996</v>
      </c>
      <c r="E609" s="4" t="s">
        <v>4151</v>
      </c>
      <c r="F609" s="4" t="s">
        <v>4152</v>
      </c>
      <c r="G609" s="4" t="s">
        <v>4153</v>
      </c>
      <c r="H609" s="4" t="s">
        <v>4156</v>
      </c>
      <c r="I609" s="4" t="s">
        <v>824</v>
      </c>
    </row>
    <row r="610" spans="1:9" x14ac:dyDescent="0.3">
      <c r="A610">
        <v>613</v>
      </c>
      <c r="B610" s="4" t="s">
        <v>4162</v>
      </c>
      <c r="C610" s="4" t="s">
        <v>4146</v>
      </c>
      <c r="D610" s="4" t="s">
        <v>3001</v>
      </c>
      <c r="E610" s="4" t="s">
        <v>4147</v>
      </c>
      <c r="F610" s="4" t="s">
        <v>4159</v>
      </c>
      <c r="G610" s="4" t="s">
        <v>4153</v>
      </c>
      <c r="H610" s="4" t="s">
        <v>4156</v>
      </c>
      <c r="I610" s="4" t="s">
        <v>824</v>
      </c>
    </row>
    <row r="611" spans="1:9" x14ac:dyDescent="0.3">
      <c r="A611">
        <v>614</v>
      </c>
      <c r="B611" s="4" t="s">
        <v>4162</v>
      </c>
      <c r="C611" s="4" t="s">
        <v>4146</v>
      </c>
      <c r="D611" s="4" t="s">
        <v>2999</v>
      </c>
      <c r="E611" s="4" t="s">
        <v>4151</v>
      </c>
      <c r="F611" s="4" t="s">
        <v>4148</v>
      </c>
      <c r="G611" s="4" t="s">
        <v>4149</v>
      </c>
      <c r="H611" s="4" t="s">
        <v>4156</v>
      </c>
      <c r="I611" s="4" t="s">
        <v>4178</v>
      </c>
    </row>
    <row r="612" spans="1:9" x14ac:dyDescent="0.3">
      <c r="A612">
        <v>615</v>
      </c>
      <c r="B612" s="4" t="s">
        <v>4162</v>
      </c>
      <c r="C612" s="4" t="s">
        <v>4154</v>
      </c>
      <c r="D612" s="4" t="s">
        <v>2999</v>
      </c>
      <c r="E612" s="4" t="s">
        <v>4151</v>
      </c>
      <c r="F612" s="4" t="s">
        <v>4148</v>
      </c>
      <c r="G612" s="4" t="s">
        <v>4149</v>
      </c>
      <c r="H612" s="4" t="s">
        <v>4156</v>
      </c>
      <c r="I612" s="4" t="s">
        <v>824</v>
      </c>
    </row>
    <row r="613" spans="1:9" x14ac:dyDescent="0.3">
      <c r="A613">
        <v>616</v>
      </c>
      <c r="B613" s="4" t="s">
        <v>4162</v>
      </c>
      <c r="C613" s="4" t="s">
        <v>4154</v>
      </c>
      <c r="D613" s="4" t="s">
        <v>2999</v>
      </c>
      <c r="E613" s="4" t="s">
        <v>4151</v>
      </c>
      <c r="F613" s="4" t="s">
        <v>4148</v>
      </c>
      <c r="G613" s="4" t="s">
        <v>4149</v>
      </c>
      <c r="H613" s="4" t="s">
        <v>4156</v>
      </c>
      <c r="I613" s="4" t="s">
        <v>824</v>
      </c>
    </row>
    <row r="614" spans="1:9" x14ac:dyDescent="0.3">
      <c r="A614">
        <v>617</v>
      </c>
      <c r="B614" s="4" t="s">
        <v>4162</v>
      </c>
      <c r="C614" s="4" t="s">
        <v>4154</v>
      </c>
      <c r="D614" s="4" t="s">
        <v>2999</v>
      </c>
      <c r="E614" s="4" t="s">
        <v>4151</v>
      </c>
      <c r="F614" s="4" t="s">
        <v>4148</v>
      </c>
      <c r="G614" s="4" t="s">
        <v>4149</v>
      </c>
      <c r="H614" s="4" t="s">
        <v>4156</v>
      </c>
      <c r="I614" s="4" t="s">
        <v>824</v>
      </c>
    </row>
    <row r="615" spans="1:9" x14ac:dyDescent="0.3">
      <c r="A615">
        <v>618</v>
      </c>
      <c r="B615" s="4" t="s">
        <v>4162</v>
      </c>
      <c r="C615" s="4" t="s">
        <v>4154</v>
      </c>
      <c r="D615" s="4" t="s">
        <v>2999</v>
      </c>
      <c r="E615" s="4" t="s">
        <v>4151</v>
      </c>
      <c r="F615" s="4" t="s">
        <v>4148</v>
      </c>
      <c r="G615" s="4" t="s">
        <v>4149</v>
      </c>
      <c r="H615" s="4" t="s">
        <v>4156</v>
      </c>
      <c r="I615" s="4" t="s">
        <v>824</v>
      </c>
    </row>
    <row r="616" spans="1:9" x14ac:dyDescent="0.3">
      <c r="A616">
        <v>619</v>
      </c>
      <c r="B616" s="4" t="s">
        <v>4162</v>
      </c>
      <c r="C616" s="4" t="s">
        <v>4154</v>
      </c>
      <c r="D616" s="4" t="s">
        <v>2999</v>
      </c>
      <c r="E616" s="4" t="s">
        <v>4151</v>
      </c>
      <c r="F616" s="4" t="s">
        <v>4155</v>
      </c>
      <c r="G616" s="4" t="s">
        <v>4149</v>
      </c>
      <c r="H616" s="4" t="s">
        <v>4156</v>
      </c>
      <c r="I616" s="4" t="s">
        <v>824</v>
      </c>
    </row>
    <row r="617" spans="1:9" x14ac:dyDescent="0.3">
      <c r="A617">
        <v>620</v>
      </c>
      <c r="B617" s="4" t="s">
        <v>4162</v>
      </c>
      <c r="C617" s="4" t="s">
        <v>4154</v>
      </c>
      <c r="D617" s="4" t="s">
        <v>2999</v>
      </c>
      <c r="E617" s="4" t="s">
        <v>4151</v>
      </c>
      <c r="F617" s="4" t="s">
        <v>4159</v>
      </c>
      <c r="G617" s="4" t="s">
        <v>4149</v>
      </c>
      <c r="H617" s="4" t="s">
        <v>4156</v>
      </c>
      <c r="I617" s="4" t="s">
        <v>824</v>
      </c>
    </row>
    <row r="618" spans="1:9" x14ac:dyDescent="0.3">
      <c r="A618">
        <v>621</v>
      </c>
      <c r="B618" s="4" t="s">
        <v>4162</v>
      </c>
      <c r="C618" s="4" t="s">
        <v>4154</v>
      </c>
      <c r="D618" s="4" t="s">
        <v>2999</v>
      </c>
      <c r="E618" s="4" t="s">
        <v>4151</v>
      </c>
      <c r="F618" s="4" t="s">
        <v>4155</v>
      </c>
      <c r="G618" s="4" t="s">
        <v>4149</v>
      </c>
      <c r="H618" s="4" t="s">
        <v>4156</v>
      </c>
      <c r="I618" s="4" t="s">
        <v>824</v>
      </c>
    </row>
    <row r="619" spans="1:9" x14ac:dyDescent="0.3">
      <c r="A619">
        <v>622</v>
      </c>
      <c r="B619" s="4" t="s">
        <v>4162</v>
      </c>
      <c r="C619" s="4" t="s">
        <v>4146</v>
      </c>
      <c r="D619" s="4" t="s">
        <v>2994</v>
      </c>
      <c r="E619" s="4" t="s">
        <v>4147</v>
      </c>
      <c r="F619" s="4" t="s">
        <v>4148</v>
      </c>
      <c r="G619" s="4" t="s">
        <v>4153</v>
      </c>
      <c r="H619" s="4" t="s">
        <v>4156</v>
      </c>
      <c r="I619" s="4" t="s">
        <v>824</v>
      </c>
    </row>
    <row r="620" spans="1:9" x14ac:dyDescent="0.3">
      <c r="A620">
        <v>623</v>
      </c>
      <c r="B620" s="4" t="s">
        <v>4162</v>
      </c>
      <c r="C620" s="4" t="s">
        <v>4154</v>
      </c>
      <c r="D620" s="4" t="s">
        <v>2996</v>
      </c>
      <c r="E620" s="4" t="s">
        <v>4151</v>
      </c>
      <c r="F620" s="4" t="s">
        <v>4152</v>
      </c>
      <c r="G620" s="4" t="s">
        <v>4153</v>
      </c>
      <c r="H620" s="4" t="s">
        <v>4156</v>
      </c>
      <c r="I620" s="4" t="s">
        <v>824</v>
      </c>
    </row>
    <row r="621" spans="1:9" x14ac:dyDescent="0.3">
      <c r="A621">
        <v>624</v>
      </c>
      <c r="B621" s="4" t="s">
        <v>4162</v>
      </c>
      <c r="C621" s="4" t="s">
        <v>4154</v>
      </c>
      <c r="D621" s="4" t="s">
        <v>2994</v>
      </c>
      <c r="E621" s="4" t="s">
        <v>4147</v>
      </c>
      <c r="F621" s="4" t="s">
        <v>4152</v>
      </c>
      <c r="G621" s="4" t="s">
        <v>4153</v>
      </c>
      <c r="H621" s="4" t="s">
        <v>4156</v>
      </c>
      <c r="I621" s="4" t="s">
        <v>824</v>
      </c>
    </row>
    <row r="622" spans="1:9" x14ac:dyDescent="0.3">
      <c r="A622">
        <v>625</v>
      </c>
      <c r="B622" s="4" t="s">
        <v>4162</v>
      </c>
      <c r="C622" s="4" t="s">
        <v>4154</v>
      </c>
      <c r="D622" s="4" t="s">
        <v>2994</v>
      </c>
      <c r="E622" s="4" t="s">
        <v>4147</v>
      </c>
      <c r="F622" s="4" t="s">
        <v>4152</v>
      </c>
      <c r="G622" s="4" t="s">
        <v>4153</v>
      </c>
      <c r="H622" s="4" t="s">
        <v>4156</v>
      </c>
      <c r="I622" s="4" t="s">
        <v>824</v>
      </c>
    </row>
    <row r="623" spans="1:9" x14ac:dyDescent="0.3">
      <c r="A623">
        <v>626</v>
      </c>
      <c r="B623" s="4" t="s">
        <v>4162</v>
      </c>
      <c r="C623" s="4" t="s">
        <v>4146</v>
      </c>
      <c r="D623" s="4" t="s">
        <v>2994</v>
      </c>
      <c r="E623" s="4" t="s">
        <v>4147</v>
      </c>
      <c r="F623" s="4" t="s">
        <v>4159</v>
      </c>
      <c r="G623" s="4" t="s">
        <v>4153</v>
      </c>
      <c r="H623" s="4" t="s">
        <v>4156</v>
      </c>
      <c r="I623" s="4" t="s">
        <v>824</v>
      </c>
    </row>
    <row r="624" spans="1:9" x14ac:dyDescent="0.3">
      <c r="A624">
        <v>627</v>
      </c>
      <c r="B624" s="4" t="s">
        <v>4162</v>
      </c>
      <c r="C624" s="4" t="s">
        <v>4154</v>
      </c>
      <c r="D624" s="4" t="s">
        <v>2994</v>
      </c>
      <c r="E624" s="4" t="s">
        <v>4147</v>
      </c>
      <c r="F624" s="4" t="s">
        <v>4155</v>
      </c>
      <c r="G624" s="4" t="s">
        <v>4153</v>
      </c>
      <c r="H624" s="4" t="s">
        <v>4156</v>
      </c>
      <c r="I624" s="4" t="s">
        <v>824</v>
      </c>
    </row>
    <row r="625" spans="1:9" x14ac:dyDescent="0.3">
      <c r="A625">
        <v>628</v>
      </c>
      <c r="B625" s="4" t="s">
        <v>4162</v>
      </c>
      <c r="C625" s="4" t="s">
        <v>4154</v>
      </c>
      <c r="D625" s="4" t="s">
        <v>2994</v>
      </c>
      <c r="E625" s="4" t="s">
        <v>4147</v>
      </c>
      <c r="F625" s="4" t="s">
        <v>4152</v>
      </c>
      <c r="G625" s="4" t="s">
        <v>4153</v>
      </c>
      <c r="H625" s="4" t="s">
        <v>4156</v>
      </c>
      <c r="I625" s="4" t="s">
        <v>824</v>
      </c>
    </row>
    <row r="626" spans="1:9" x14ac:dyDescent="0.3">
      <c r="A626">
        <v>629</v>
      </c>
      <c r="B626" s="4" t="s">
        <v>4162</v>
      </c>
      <c r="C626" s="4" t="s">
        <v>4154</v>
      </c>
      <c r="D626" s="4" t="s">
        <v>2994</v>
      </c>
      <c r="E626" s="4" t="s">
        <v>4147</v>
      </c>
      <c r="F626" s="4" t="s">
        <v>4152</v>
      </c>
      <c r="G626" s="4" t="s">
        <v>4153</v>
      </c>
      <c r="H626" s="4" t="s">
        <v>4156</v>
      </c>
      <c r="I626" s="4" t="s">
        <v>824</v>
      </c>
    </row>
    <row r="627" spans="1:9" x14ac:dyDescent="0.3">
      <c r="A627">
        <v>630</v>
      </c>
      <c r="B627" s="4" t="s">
        <v>4162</v>
      </c>
      <c r="C627" s="4" t="s">
        <v>4154</v>
      </c>
      <c r="D627" s="4" t="s">
        <v>2999</v>
      </c>
      <c r="E627" s="4" t="s">
        <v>4151</v>
      </c>
      <c r="F627" s="4" t="s">
        <v>4155</v>
      </c>
      <c r="G627" s="4" t="s">
        <v>4153</v>
      </c>
      <c r="H627" s="4" t="s">
        <v>4156</v>
      </c>
      <c r="I627" s="4" t="s">
        <v>824</v>
      </c>
    </row>
    <row r="628" spans="1:9" x14ac:dyDescent="0.3">
      <c r="A628">
        <v>631</v>
      </c>
      <c r="B628" s="4" t="s">
        <v>4162</v>
      </c>
      <c r="C628" s="4" t="s">
        <v>4146</v>
      </c>
      <c r="D628" s="4" t="s">
        <v>2999</v>
      </c>
      <c r="E628" s="4" t="s">
        <v>4151</v>
      </c>
      <c r="F628" s="4" t="s">
        <v>4148</v>
      </c>
      <c r="G628" s="4" t="s">
        <v>4149</v>
      </c>
      <c r="H628" s="4" t="s">
        <v>4156</v>
      </c>
      <c r="I628" s="4" t="s">
        <v>824</v>
      </c>
    </row>
    <row r="629" spans="1:9" x14ac:dyDescent="0.3">
      <c r="A629">
        <v>632</v>
      </c>
      <c r="B629" s="4" t="s">
        <v>4162</v>
      </c>
      <c r="C629" s="4" t="s">
        <v>4154</v>
      </c>
      <c r="D629" s="4" t="s">
        <v>2999</v>
      </c>
      <c r="E629" s="4" t="s">
        <v>4151</v>
      </c>
      <c r="F629" s="4" t="s">
        <v>4148</v>
      </c>
      <c r="G629" s="4" t="s">
        <v>4149</v>
      </c>
      <c r="H629" s="4" t="s">
        <v>4156</v>
      </c>
      <c r="I629" s="4" t="s">
        <v>824</v>
      </c>
    </row>
    <row r="630" spans="1:9" x14ac:dyDescent="0.3">
      <c r="A630">
        <v>633</v>
      </c>
      <c r="B630" s="4" t="s">
        <v>4162</v>
      </c>
      <c r="C630" s="4" t="s">
        <v>4154</v>
      </c>
      <c r="D630" s="4" t="s">
        <v>3001</v>
      </c>
      <c r="E630" s="4" t="s">
        <v>4147</v>
      </c>
      <c r="F630" s="4" t="s">
        <v>4155</v>
      </c>
      <c r="G630" s="4" t="s">
        <v>4153</v>
      </c>
      <c r="H630" s="4" t="s">
        <v>4156</v>
      </c>
      <c r="I630" s="4" t="s">
        <v>824</v>
      </c>
    </row>
    <row r="631" spans="1:9" x14ac:dyDescent="0.3">
      <c r="A631">
        <v>634</v>
      </c>
      <c r="B631" s="4" t="s">
        <v>4162</v>
      </c>
      <c r="C631" s="4" t="s">
        <v>4154</v>
      </c>
      <c r="D631" s="4" t="s">
        <v>2999</v>
      </c>
      <c r="E631" s="4" t="s">
        <v>4151</v>
      </c>
      <c r="F631" s="4" t="s">
        <v>4148</v>
      </c>
      <c r="G631" s="4" t="s">
        <v>4149</v>
      </c>
      <c r="H631" s="4" t="s">
        <v>4156</v>
      </c>
      <c r="I631" s="4" t="s">
        <v>824</v>
      </c>
    </row>
    <row r="632" spans="1:9" x14ac:dyDescent="0.3">
      <c r="A632">
        <v>635</v>
      </c>
      <c r="B632" s="4" t="s">
        <v>4162</v>
      </c>
      <c r="C632" s="4" t="s">
        <v>4154</v>
      </c>
      <c r="D632" s="4" t="s">
        <v>2999</v>
      </c>
      <c r="E632" s="4" t="s">
        <v>4151</v>
      </c>
      <c r="F632" s="4" t="s">
        <v>4148</v>
      </c>
      <c r="G632" s="4" t="s">
        <v>4149</v>
      </c>
      <c r="H632" s="4" t="s">
        <v>4156</v>
      </c>
      <c r="I632" s="4" t="s">
        <v>824</v>
      </c>
    </row>
    <row r="633" spans="1:9" x14ac:dyDescent="0.3">
      <c r="A633">
        <v>636</v>
      </c>
      <c r="B633" s="4" t="s">
        <v>4162</v>
      </c>
      <c r="C633" s="4" t="s">
        <v>4154</v>
      </c>
      <c r="D633" s="4" t="s">
        <v>2999</v>
      </c>
      <c r="E633" s="4" t="s">
        <v>4151</v>
      </c>
      <c r="F633" s="4" t="s">
        <v>4148</v>
      </c>
      <c r="G633" s="4" t="s">
        <v>4153</v>
      </c>
      <c r="H633" s="4" t="s">
        <v>4156</v>
      </c>
      <c r="I633" s="4" t="s">
        <v>824</v>
      </c>
    </row>
    <row r="634" spans="1:9" x14ac:dyDescent="0.3">
      <c r="A634">
        <v>637</v>
      </c>
      <c r="B634" s="4" t="s">
        <v>4162</v>
      </c>
      <c r="C634" s="4" t="s">
        <v>4154</v>
      </c>
      <c r="D634" s="4" t="s">
        <v>3001</v>
      </c>
      <c r="E634" s="4" t="s">
        <v>4147</v>
      </c>
      <c r="F634" s="4" t="s">
        <v>4159</v>
      </c>
      <c r="G634" s="4" t="s">
        <v>4153</v>
      </c>
      <c r="H634" s="4" t="s">
        <v>4156</v>
      </c>
      <c r="I634" s="4" t="s">
        <v>824</v>
      </c>
    </row>
    <row r="635" spans="1:9" x14ac:dyDescent="0.3">
      <c r="A635">
        <v>638</v>
      </c>
      <c r="B635" s="4" t="s">
        <v>4162</v>
      </c>
      <c r="C635" s="4" t="s">
        <v>4154</v>
      </c>
      <c r="D635" s="4" t="s">
        <v>2999</v>
      </c>
      <c r="E635" s="4" t="s">
        <v>4151</v>
      </c>
      <c r="F635" s="4" t="s">
        <v>4148</v>
      </c>
      <c r="G635" s="4" t="s">
        <v>4149</v>
      </c>
      <c r="H635" s="4" t="s">
        <v>4156</v>
      </c>
      <c r="I635" s="4" t="s">
        <v>824</v>
      </c>
    </row>
    <row r="636" spans="1:9" x14ac:dyDescent="0.3">
      <c r="A636">
        <v>639</v>
      </c>
      <c r="B636" s="4" t="s">
        <v>4162</v>
      </c>
      <c r="C636" s="4" t="s">
        <v>4154</v>
      </c>
      <c r="D636" s="4" t="s">
        <v>2999</v>
      </c>
      <c r="E636" s="4" t="s">
        <v>4151</v>
      </c>
      <c r="F636" s="4" t="s">
        <v>4155</v>
      </c>
      <c r="G636" s="4" t="s">
        <v>4149</v>
      </c>
      <c r="H636" s="4" t="s">
        <v>4156</v>
      </c>
      <c r="I636" s="4" t="s">
        <v>824</v>
      </c>
    </row>
    <row r="637" spans="1:9" x14ac:dyDescent="0.3">
      <c r="A637">
        <v>640</v>
      </c>
      <c r="B637" s="4" t="s">
        <v>4162</v>
      </c>
      <c r="C637" s="4" t="s">
        <v>4154</v>
      </c>
      <c r="D637" s="4" t="s">
        <v>2996</v>
      </c>
      <c r="E637" s="4" t="s">
        <v>4151</v>
      </c>
      <c r="F637" s="4" t="s">
        <v>4152</v>
      </c>
      <c r="G637" s="4" t="s">
        <v>4153</v>
      </c>
      <c r="H637" s="4" t="s">
        <v>4156</v>
      </c>
      <c r="I637" s="4" t="s">
        <v>824</v>
      </c>
    </row>
    <row r="638" spans="1:9" x14ac:dyDescent="0.3">
      <c r="A638">
        <v>641</v>
      </c>
      <c r="B638" s="4" t="s">
        <v>4162</v>
      </c>
      <c r="C638" s="4" t="s">
        <v>4154</v>
      </c>
      <c r="D638" s="4" t="s">
        <v>2996</v>
      </c>
      <c r="E638" s="4" t="s">
        <v>4151</v>
      </c>
      <c r="F638" s="4" t="s">
        <v>4152</v>
      </c>
      <c r="G638" s="4" t="s">
        <v>4153</v>
      </c>
      <c r="H638" s="4" t="s">
        <v>4156</v>
      </c>
      <c r="I638" s="4" t="s">
        <v>824</v>
      </c>
    </row>
    <row r="639" spans="1:9" x14ac:dyDescent="0.3">
      <c r="A639">
        <v>642</v>
      </c>
      <c r="B639" s="4" t="s">
        <v>4162</v>
      </c>
      <c r="C639" s="4" t="s">
        <v>4146</v>
      </c>
      <c r="D639" s="4" t="s">
        <v>2996</v>
      </c>
      <c r="E639" s="4" t="s">
        <v>4151</v>
      </c>
      <c r="F639" s="4" t="s">
        <v>4152</v>
      </c>
      <c r="G639" s="4" t="s">
        <v>4153</v>
      </c>
      <c r="H639" s="4" t="s">
        <v>4156</v>
      </c>
      <c r="I639" s="4" t="s">
        <v>824</v>
      </c>
    </row>
    <row r="640" spans="1:9" x14ac:dyDescent="0.3">
      <c r="A640">
        <v>643</v>
      </c>
      <c r="B640" s="4" t="s">
        <v>4162</v>
      </c>
      <c r="C640" s="4" t="s">
        <v>4154</v>
      </c>
      <c r="D640" s="4" t="s">
        <v>2996</v>
      </c>
      <c r="E640" s="4" t="s">
        <v>4151</v>
      </c>
      <c r="F640" s="4" t="s">
        <v>4152</v>
      </c>
      <c r="G640" s="4" t="s">
        <v>4153</v>
      </c>
      <c r="H640" s="4" t="s">
        <v>4156</v>
      </c>
      <c r="I640" s="4" t="s">
        <v>824</v>
      </c>
    </row>
    <row r="641" spans="1:9" x14ac:dyDescent="0.3">
      <c r="A641">
        <v>644</v>
      </c>
      <c r="B641" s="4" t="s">
        <v>4162</v>
      </c>
      <c r="C641" s="4" t="s">
        <v>4146</v>
      </c>
      <c r="D641" s="4" t="s">
        <v>2994</v>
      </c>
      <c r="E641" s="4" t="s">
        <v>4147</v>
      </c>
      <c r="F641" s="4" t="s">
        <v>4152</v>
      </c>
      <c r="G641" s="4" t="s">
        <v>4153</v>
      </c>
      <c r="H641" s="4" t="s">
        <v>4156</v>
      </c>
      <c r="I641" s="4" t="s">
        <v>824</v>
      </c>
    </row>
    <row r="642" spans="1:9" x14ac:dyDescent="0.3">
      <c r="A642">
        <v>645</v>
      </c>
      <c r="B642" s="4" t="s">
        <v>4162</v>
      </c>
      <c r="C642" s="4" t="s">
        <v>4154</v>
      </c>
      <c r="D642" s="4" t="s">
        <v>2999</v>
      </c>
      <c r="E642" s="4" t="s">
        <v>4151</v>
      </c>
      <c r="F642" s="4" t="s">
        <v>4155</v>
      </c>
      <c r="G642" s="4" t="s">
        <v>4153</v>
      </c>
      <c r="H642" s="4" t="s">
        <v>4156</v>
      </c>
      <c r="I642" s="4" t="s">
        <v>824</v>
      </c>
    </row>
    <row r="643" spans="1:9" x14ac:dyDescent="0.3">
      <c r="A643">
        <v>646</v>
      </c>
      <c r="B643" s="4" t="s">
        <v>4162</v>
      </c>
      <c r="C643" s="4" t="s">
        <v>4146</v>
      </c>
      <c r="D643" s="4" t="s">
        <v>2999</v>
      </c>
      <c r="E643" s="4" t="s">
        <v>4151</v>
      </c>
      <c r="F643" s="4" t="s">
        <v>4148</v>
      </c>
      <c r="G643" s="4" t="s">
        <v>4149</v>
      </c>
      <c r="H643" s="4" t="s">
        <v>4156</v>
      </c>
      <c r="I643" s="4" t="s">
        <v>824</v>
      </c>
    </row>
    <row r="644" spans="1:9" x14ac:dyDescent="0.3">
      <c r="A644">
        <v>647</v>
      </c>
      <c r="B644" s="4" t="s">
        <v>4162</v>
      </c>
      <c r="C644" s="4" t="s">
        <v>4146</v>
      </c>
      <c r="D644" s="4" t="s">
        <v>3001</v>
      </c>
      <c r="E644" s="4" t="s">
        <v>4147</v>
      </c>
      <c r="F644" s="4" t="s">
        <v>4155</v>
      </c>
      <c r="G644" s="4" t="s">
        <v>4153</v>
      </c>
      <c r="H644" s="4" t="s">
        <v>4156</v>
      </c>
      <c r="I644" s="4" t="s">
        <v>824</v>
      </c>
    </row>
    <row r="645" spans="1:9" x14ac:dyDescent="0.3">
      <c r="A645">
        <v>648</v>
      </c>
      <c r="B645" s="4" t="s">
        <v>4162</v>
      </c>
      <c r="C645" s="4" t="s">
        <v>4146</v>
      </c>
      <c r="D645" s="4" t="s">
        <v>3001</v>
      </c>
      <c r="E645" s="4" t="s">
        <v>4147</v>
      </c>
      <c r="F645" s="4" t="s">
        <v>4155</v>
      </c>
      <c r="G645" s="4" t="s">
        <v>4149</v>
      </c>
      <c r="H645" s="4" t="s">
        <v>4156</v>
      </c>
      <c r="I645" s="4" t="s">
        <v>4178</v>
      </c>
    </row>
    <row r="646" spans="1:9" x14ac:dyDescent="0.3">
      <c r="A646">
        <v>649</v>
      </c>
      <c r="B646" s="4" t="s">
        <v>4162</v>
      </c>
      <c r="C646" s="4" t="s">
        <v>4154</v>
      </c>
      <c r="D646" s="4" t="s">
        <v>2999</v>
      </c>
      <c r="E646" s="4" t="s">
        <v>4151</v>
      </c>
      <c r="F646" s="4" t="s">
        <v>4148</v>
      </c>
      <c r="G646" s="4" t="s">
        <v>4149</v>
      </c>
      <c r="H646" s="4" t="s">
        <v>4156</v>
      </c>
      <c r="I646" s="4" t="s">
        <v>4178</v>
      </c>
    </row>
    <row r="647" spans="1:9" x14ac:dyDescent="0.3">
      <c r="A647">
        <v>650</v>
      </c>
      <c r="B647" s="4" t="s">
        <v>4162</v>
      </c>
      <c r="C647" s="4" t="s">
        <v>4154</v>
      </c>
      <c r="D647" s="4" t="s">
        <v>2999</v>
      </c>
      <c r="E647" s="4" t="s">
        <v>4151</v>
      </c>
      <c r="F647" s="4" t="s">
        <v>4148</v>
      </c>
      <c r="G647" s="4" t="s">
        <v>4149</v>
      </c>
      <c r="H647" s="4" t="s">
        <v>4156</v>
      </c>
      <c r="I647" s="4" t="s">
        <v>824</v>
      </c>
    </row>
    <row r="648" spans="1:9" x14ac:dyDescent="0.3">
      <c r="A648">
        <v>651</v>
      </c>
      <c r="B648" s="4" t="s">
        <v>4162</v>
      </c>
      <c r="C648" s="4" t="s">
        <v>4154</v>
      </c>
      <c r="D648" s="4" t="s">
        <v>2994</v>
      </c>
      <c r="E648" s="4" t="s">
        <v>4147</v>
      </c>
      <c r="F648" s="4" t="s">
        <v>4159</v>
      </c>
      <c r="G648" s="4" t="s">
        <v>4149</v>
      </c>
      <c r="H648" s="4" t="s">
        <v>4156</v>
      </c>
      <c r="I648" s="4" t="s">
        <v>4178</v>
      </c>
    </row>
    <row r="649" spans="1:9" x14ac:dyDescent="0.3">
      <c r="A649">
        <v>652</v>
      </c>
      <c r="B649" s="4" t="s">
        <v>4162</v>
      </c>
      <c r="C649" s="4" t="s">
        <v>4154</v>
      </c>
      <c r="D649" s="4" t="s">
        <v>2999</v>
      </c>
      <c r="E649" s="4" t="s">
        <v>4151</v>
      </c>
      <c r="F649" s="4" t="s">
        <v>4148</v>
      </c>
      <c r="G649" s="4" t="s">
        <v>4149</v>
      </c>
      <c r="H649" s="4" t="s">
        <v>4156</v>
      </c>
      <c r="I649" s="4" t="s">
        <v>4178</v>
      </c>
    </row>
    <row r="650" spans="1:9" x14ac:dyDescent="0.3">
      <c r="A650">
        <v>653</v>
      </c>
      <c r="B650" s="4" t="s">
        <v>4162</v>
      </c>
      <c r="C650" s="4" t="s">
        <v>4154</v>
      </c>
      <c r="D650" s="4" t="s">
        <v>2999</v>
      </c>
      <c r="E650" s="4" t="s">
        <v>4151</v>
      </c>
      <c r="F650" s="4" t="s">
        <v>4148</v>
      </c>
      <c r="G650" s="4" t="s">
        <v>4149</v>
      </c>
      <c r="H650" s="4" t="s">
        <v>4156</v>
      </c>
      <c r="I650" s="4" t="s">
        <v>824</v>
      </c>
    </row>
    <row r="651" spans="1:9" x14ac:dyDescent="0.3">
      <c r="A651">
        <v>654</v>
      </c>
      <c r="B651" s="4" t="s">
        <v>4162</v>
      </c>
      <c r="C651" s="4" t="s">
        <v>4146</v>
      </c>
      <c r="D651" s="4" t="s">
        <v>2994</v>
      </c>
      <c r="E651" s="4" t="s">
        <v>4147</v>
      </c>
      <c r="F651" s="4" t="s">
        <v>4152</v>
      </c>
      <c r="G651" s="4" t="s">
        <v>4149</v>
      </c>
      <c r="H651" s="4" t="s">
        <v>4156</v>
      </c>
      <c r="I651" s="4" t="s">
        <v>4178</v>
      </c>
    </row>
    <row r="652" spans="1:9" x14ac:dyDescent="0.3">
      <c r="A652">
        <v>655</v>
      </c>
      <c r="B652" s="4" t="s">
        <v>4162</v>
      </c>
      <c r="C652" s="4" t="s">
        <v>4154</v>
      </c>
      <c r="D652" s="4" t="s">
        <v>2999</v>
      </c>
      <c r="E652" s="4" t="s">
        <v>4151</v>
      </c>
      <c r="F652" s="4" t="s">
        <v>4148</v>
      </c>
      <c r="G652" s="4" t="s">
        <v>4149</v>
      </c>
      <c r="H652" s="4" t="s">
        <v>4156</v>
      </c>
      <c r="I652" s="4" t="s">
        <v>4178</v>
      </c>
    </row>
    <row r="653" spans="1:9" x14ac:dyDescent="0.3">
      <c r="A653">
        <v>656</v>
      </c>
      <c r="B653" s="4" t="s">
        <v>4162</v>
      </c>
      <c r="C653" s="4" t="s">
        <v>4154</v>
      </c>
      <c r="D653" s="4" t="s">
        <v>2999</v>
      </c>
      <c r="E653" s="4" t="s">
        <v>4151</v>
      </c>
      <c r="F653" s="4" t="s">
        <v>4155</v>
      </c>
      <c r="G653" s="4" t="s">
        <v>4153</v>
      </c>
      <c r="H653" s="4" t="s">
        <v>4156</v>
      </c>
      <c r="I653" s="4" t="s">
        <v>824</v>
      </c>
    </row>
    <row r="654" spans="1:9" x14ac:dyDescent="0.3">
      <c r="A654">
        <v>657</v>
      </c>
      <c r="B654" s="4" t="s">
        <v>4162</v>
      </c>
      <c r="C654" s="4" t="s">
        <v>4146</v>
      </c>
      <c r="D654" s="4" t="s">
        <v>3001</v>
      </c>
      <c r="E654" s="4" t="s">
        <v>4147</v>
      </c>
      <c r="F654" s="4" t="s">
        <v>4155</v>
      </c>
      <c r="G654" s="4" t="s">
        <v>4153</v>
      </c>
      <c r="H654" s="4" t="s">
        <v>4156</v>
      </c>
      <c r="I654" s="4" t="s">
        <v>824</v>
      </c>
    </row>
    <row r="655" spans="1:9" x14ac:dyDescent="0.3">
      <c r="A655">
        <v>658</v>
      </c>
      <c r="B655" s="4" t="s">
        <v>4162</v>
      </c>
      <c r="C655" s="4" t="s">
        <v>4146</v>
      </c>
      <c r="D655" s="4" t="s">
        <v>2994</v>
      </c>
      <c r="E655" s="4" t="s">
        <v>4147</v>
      </c>
      <c r="F655" s="4" t="s">
        <v>4152</v>
      </c>
      <c r="G655" s="4" t="s">
        <v>4153</v>
      </c>
      <c r="H655" s="4" t="s">
        <v>4156</v>
      </c>
      <c r="I655" s="4" t="s">
        <v>4178</v>
      </c>
    </row>
    <row r="656" spans="1:9" x14ac:dyDescent="0.3">
      <c r="A656">
        <v>659</v>
      </c>
      <c r="B656" s="4" t="s">
        <v>4162</v>
      </c>
      <c r="C656" s="4" t="s">
        <v>4146</v>
      </c>
      <c r="D656" s="4" t="s">
        <v>2994</v>
      </c>
      <c r="E656" s="4" t="s">
        <v>4147</v>
      </c>
      <c r="F656" s="4" t="s">
        <v>4152</v>
      </c>
      <c r="G656" s="4" t="s">
        <v>4153</v>
      </c>
      <c r="H656" s="4" t="s">
        <v>4156</v>
      </c>
      <c r="I656" s="4" t="s">
        <v>4178</v>
      </c>
    </row>
    <row r="657" spans="1:9" x14ac:dyDescent="0.3">
      <c r="A657">
        <v>660</v>
      </c>
      <c r="B657" s="4" t="s">
        <v>4162</v>
      </c>
      <c r="C657" s="4" t="s">
        <v>4146</v>
      </c>
      <c r="D657" s="4" t="s">
        <v>2994</v>
      </c>
      <c r="E657" s="4" t="s">
        <v>4147</v>
      </c>
      <c r="F657" s="4" t="s">
        <v>4152</v>
      </c>
      <c r="G657" s="4" t="s">
        <v>4153</v>
      </c>
      <c r="H657" s="4" t="s">
        <v>4156</v>
      </c>
      <c r="I657" s="4" t="s">
        <v>4178</v>
      </c>
    </row>
    <row r="658" spans="1:9" x14ac:dyDescent="0.3">
      <c r="A658">
        <v>661</v>
      </c>
      <c r="B658" s="4" t="s">
        <v>4162</v>
      </c>
      <c r="C658" s="4" t="s">
        <v>4146</v>
      </c>
      <c r="D658" s="4" t="s">
        <v>3001</v>
      </c>
      <c r="E658" s="4" t="s">
        <v>4147</v>
      </c>
      <c r="F658" s="4" t="s">
        <v>4148</v>
      </c>
      <c r="G658" s="4" t="s">
        <v>4153</v>
      </c>
      <c r="H658" s="4" t="s">
        <v>4156</v>
      </c>
      <c r="I658" s="4" t="s">
        <v>4178</v>
      </c>
    </row>
    <row r="659" spans="1:9" x14ac:dyDescent="0.3">
      <c r="A659">
        <v>662</v>
      </c>
      <c r="B659" s="4" t="s">
        <v>4162</v>
      </c>
      <c r="C659" s="4" t="s">
        <v>4146</v>
      </c>
      <c r="D659" s="4" t="s">
        <v>2994</v>
      </c>
      <c r="E659" s="4" t="s">
        <v>4147</v>
      </c>
      <c r="F659" s="4" t="s">
        <v>4159</v>
      </c>
      <c r="G659" s="4" t="s">
        <v>4149</v>
      </c>
      <c r="H659" s="4" t="s">
        <v>4156</v>
      </c>
      <c r="I659" s="4" t="s">
        <v>824</v>
      </c>
    </row>
    <row r="660" spans="1:9" x14ac:dyDescent="0.3">
      <c r="A660">
        <v>663</v>
      </c>
      <c r="B660" s="4" t="s">
        <v>4162</v>
      </c>
      <c r="C660" s="4" t="s">
        <v>4154</v>
      </c>
      <c r="D660" s="4" t="s">
        <v>2999</v>
      </c>
      <c r="E660" s="4" t="s">
        <v>4151</v>
      </c>
      <c r="F660" s="4" t="s">
        <v>4155</v>
      </c>
      <c r="G660" s="4" t="s">
        <v>4149</v>
      </c>
      <c r="H660" s="4" t="s">
        <v>4156</v>
      </c>
      <c r="I660" s="4" t="s">
        <v>4178</v>
      </c>
    </row>
    <row r="661" spans="1:9" x14ac:dyDescent="0.3">
      <c r="A661">
        <v>664</v>
      </c>
      <c r="B661" s="4" t="s">
        <v>4162</v>
      </c>
      <c r="C661" s="4" t="s">
        <v>4154</v>
      </c>
      <c r="D661" s="4" t="s">
        <v>2999</v>
      </c>
      <c r="E661" s="4" t="s">
        <v>4151</v>
      </c>
      <c r="F661" s="4" t="s">
        <v>4148</v>
      </c>
      <c r="G661" s="4" t="s">
        <v>4149</v>
      </c>
      <c r="H661" s="4" t="s">
        <v>4156</v>
      </c>
      <c r="I661" s="4" t="s">
        <v>824</v>
      </c>
    </row>
    <row r="662" spans="1:9" x14ac:dyDescent="0.3">
      <c r="A662">
        <v>665</v>
      </c>
      <c r="B662" s="4" t="s">
        <v>4162</v>
      </c>
      <c r="C662" s="4" t="s">
        <v>4146</v>
      </c>
      <c r="D662" s="4" t="s">
        <v>2999</v>
      </c>
      <c r="E662" s="4" t="s">
        <v>4151</v>
      </c>
      <c r="F662" s="4" t="s">
        <v>4148</v>
      </c>
      <c r="G662" s="4" t="s">
        <v>4149</v>
      </c>
      <c r="H662" s="4" t="s">
        <v>4156</v>
      </c>
      <c r="I662" s="4" t="s">
        <v>4178</v>
      </c>
    </row>
    <row r="663" spans="1:9" x14ac:dyDescent="0.3">
      <c r="A663">
        <v>666</v>
      </c>
      <c r="B663" s="4" t="s">
        <v>4162</v>
      </c>
      <c r="C663" s="4" t="s">
        <v>4154</v>
      </c>
      <c r="D663" s="4" t="s">
        <v>2994</v>
      </c>
      <c r="E663" s="4" t="s">
        <v>4147</v>
      </c>
      <c r="F663" s="4" t="s">
        <v>4159</v>
      </c>
      <c r="G663" s="4" t="s">
        <v>4153</v>
      </c>
      <c r="H663" s="4" t="s">
        <v>4156</v>
      </c>
      <c r="I663" s="4" t="s">
        <v>4178</v>
      </c>
    </row>
    <row r="664" spans="1:9" x14ac:dyDescent="0.3">
      <c r="A664">
        <v>667</v>
      </c>
      <c r="B664" s="4" t="s">
        <v>4162</v>
      </c>
      <c r="C664" s="4" t="s">
        <v>4154</v>
      </c>
      <c r="D664" s="4" t="s">
        <v>3001</v>
      </c>
      <c r="E664" s="4" t="s">
        <v>4147</v>
      </c>
      <c r="F664" s="4" t="s">
        <v>4155</v>
      </c>
      <c r="G664" s="4" t="s">
        <v>4153</v>
      </c>
      <c r="H664" s="4" t="s">
        <v>4156</v>
      </c>
      <c r="I664" s="4" t="s">
        <v>4178</v>
      </c>
    </row>
    <row r="665" spans="1:9" x14ac:dyDescent="0.3">
      <c r="A665">
        <v>668</v>
      </c>
      <c r="B665" s="4" t="s">
        <v>4162</v>
      </c>
      <c r="C665" s="4" t="s">
        <v>4154</v>
      </c>
      <c r="D665" s="4" t="s">
        <v>2994</v>
      </c>
      <c r="E665" s="4" t="s">
        <v>4147</v>
      </c>
      <c r="F665" s="4" t="s">
        <v>4148</v>
      </c>
      <c r="G665" s="4" t="s">
        <v>4149</v>
      </c>
      <c r="H665" s="4" t="s">
        <v>4156</v>
      </c>
      <c r="I665" s="4" t="s">
        <v>4160</v>
      </c>
    </row>
    <row r="666" spans="1:9" x14ac:dyDescent="0.3">
      <c r="A666">
        <v>669</v>
      </c>
      <c r="B666" s="4" t="s">
        <v>4162</v>
      </c>
      <c r="C666" s="4" t="s">
        <v>4154</v>
      </c>
      <c r="D666" s="4" t="s">
        <v>2999</v>
      </c>
      <c r="E666" s="4" t="s">
        <v>4151</v>
      </c>
      <c r="F666" s="4" t="s">
        <v>4148</v>
      </c>
      <c r="G666" s="4" t="s">
        <v>4149</v>
      </c>
      <c r="H666" s="4" t="s">
        <v>4156</v>
      </c>
      <c r="I666" s="4" t="s">
        <v>824</v>
      </c>
    </row>
    <row r="667" spans="1:9" x14ac:dyDescent="0.3">
      <c r="A667">
        <v>670</v>
      </c>
      <c r="B667" s="4" t="s">
        <v>4162</v>
      </c>
      <c r="C667" s="4" t="s">
        <v>4154</v>
      </c>
      <c r="D667" s="4" t="s">
        <v>2999</v>
      </c>
      <c r="E667" s="4" t="s">
        <v>4151</v>
      </c>
      <c r="F667" s="4" t="s">
        <v>4148</v>
      </c>
      <c r="G667" s="4" t="s">
        <v>4149</v>
      </c>
      <c r="H667" s="4" t="s">
        <v>4156</v>
      </c>
      <c r="I667" s="4" t="s">
        <v>824</v>
      </c>
    </row>
    <row r="668" spans="1:9" x14ac:dyDescent="0.3">
      <c r="A668">
        <v>671</v>
      </c>
      <c r="B668" s="4" t="s">
        <v>4162</v>
      </c>
      <c r="C668" s="4" t="s">
        <v>4154</v>
      </c>
      <c r="D668" s="4" t="s">
        <v>2999</v>
      </c>
      <c r="E668" s="4" t="s">
        <v>4151</v>
      </c>
      <c r="F668" s="4" t="s">
        <v>4148</v>
      </c>
      <c r="G668" s="4" t="s">
        <v>4149</v>
      </c>
      <c r="H668" s="4" t="s">
        <v>4156</v>
      </c>
      <c r="I668" s="4" t="s">
        <v>824</v>
      </c>
    </row>
    <row r="669" spans="1:9" x14ac:dyDescent="0.3">
      <c r="A669">
        <v>672</v>
      </c>
      <c r="B669" s="4" t="s">
        <v>4162</v>
      </c>
      <c r="C669" s="4" t="s">
        <v>4154</v>
      </c>
      <c r="D669" s="4" t="s">
        <v>2999</v>
      </c>
      <c r="E669" s="4" t="s">
        <v>4151</v>
      </c>
      <c r="F669" s="4" t="s">
        <v>4148</v>
      </c>
      <c r="G669" s="4" t="s">
        <v>4149</v>
      </c>
      <c r="H669" s="4" t="s">
        <v>4156</v>
      </c>
      <c r="I669" s="4" t="s">
        <v>824</v>
      </c>
    </row>
    <row r="670" spans="1:9" x14ac:dyDescent="0.3">
      <c r="A670">
        <v>673</v>
      </c>
      <c r="B670" s="4" t="s">
        <v>4162</v>
      </c>
      <c r="C670" s="4" t="s">
        <v>4154</v>
      </c>
      <c r="D670" s="4" t="s">
        <v>2996</v>
      </c>
      <c r="E670" s="4" t="s">
        <v>4151</v>
      </c>
      <c r="F670" s="4" t="s">
        <v>4148</v>
      </c>
      <c r="G670" s="4" t="s">
        <v>4149</v>
      </c>
      <c r="H670" s="4" t="s">
        <v>4156</v>
      </c>
      <c r="I670" s="4" t="s">
        <v>4178</v>
      </c>
    </row>
    <row r="671" spans="1:9" x14ac:dyDescent="0.3">
      <c r="A671">
        <v>674</v>
      </c>
      <c r="B671" s="4" t="s">
        <v>4162</v>
      </c>
      <c r="C671" s="4" t="s">
        <v>4154</v>
      </c>
      <c r="D671" s="4" t="s">
        <v>2999</v>
      </c>
      <c r="E671" s="4" t="s">
        <v>4151</v>
      </c>
      <c r="F671" s="4" t="s">
        <v>4148</v>
      </c>
      <c r="G671" s="4" t="s">
        <v>4149</v>
      </c>
      <c r="H671" s="4" t="s">
        <v>4156</v>
      </c>
      <c r="I671" s="4" t="s">
        <v>4178</v>
      </c>
    </row>
    <row r="672" spans="1:9" x14ac:dyDescent="0.3">
      <c r="A672">
        <v>675</v>
      </c>
      <c r="B672" s="4" t="s">
        <v>4162</v>
      </c>
      <c r="C672" s="4" t="s">
        <v>4146</v>
      </c>
      <c r="D672" s="4" t="s">
        <v>2999</v>
      </c>
      <c r="E672" s="4" t="s">
        <v>4151</v>
      </c>
      <c r="F672" s="4" t="s">
        <v>4155</v>
      </c>
      <c r="G672" s="4" t="s">
        <v>4149</v>
      </c>
      <c r="H672" s="4" t="s">
        <v>4158</v>
      </c>
      <c r="I672" s="4" t="s">
        <v>824</v>
      </c>
    </row>
    <row r="673" spans="1:9" x14ac:dyDescent="0.3">
      <c r="A673">
        <v>676</v>
      </c>
      <c r="B673" s="4" t="s">
        <v>4162</v>
      </c>
      <c r="C673" s="4" t="s">
        <v>4154</v>
      </c>
      <c r="D673" s="4" t="s">
        <v>2999</v>
      </c>
      <c r="E673" s="4" t="s">
        <v>4151</v>
      </c>
      <c r="F673" s="4" t="s">
        <v>4148</v>
      </c>
      <c r="G673" s="4" t="s">
        <v>4149</v>
      </c>
      <c r="H673" s="4" t="s">
        <v>4156</v>
      </c>
      <c r="I673" s="4" t="s">
        <v>824</v>
      </c>
    </row>
    <row r="674" spans="1:9" x14ac:dyDescent="0.3">
      <c r="A674">
        <v>677</v>
      </c>
      <c r="B674" s="4" t="s">
        <v>4162</v>
      </c>
      <c r="C674" s="4" t="s">
        <v>4154</v>
      </c>
      <c r="D674" s="4" t="s">
        <v>2999</v>
      </c>
      <c r="E674" s="4" t="s">
        <v>4151</v>
      </c>
      <c r="F674" s="4" t="s">
        <v>4159</v>
      </c>
      <c r="G674" s="4" t="s">
        <v>4149</v>
      </c>
      <c r="H674" s="4" t="s">
        <v>4156</v>
      </c>
      <c r="I674" s="4" t="s">
        <v>824</v>
      </c>
    </row>
    <row r="675" spans="1:9" x14ac:dyDescent="0.3">
      <c r="A675">
        <v>678</v>
      </c>
      <c r="B675" s="4" t="s">
        <v>4162</v>
      </c>
      <c r="C675" s="4" t="s">
        <v>4154</v>
      </c>
      <c r="D675" s="4" t="s">
        <v>2999</v>
      </c>
      <c r="E675" s="4" t="s">
        <v>4151</v>
      </c>
      <c r="F675" s="4" t="s">
        <v>4148</v>
      </c>
      <c r="G675" s="4" t="s">
        <v>4149</v>
      </c>
      <c r="H675" s="4" t="s">
        <v>4156</v>
      </c>
      <c r="I675" s="4" t="s">
        <v>824</v>
      </c>
    </row>
    <row r="676" spans="1:9" x14ac:dyDescent="0.3">
      <c r="A676">
        <v>679</v>
      </c>
      <c r="B676" s="4" t="s">
        <v>4162</v>
      </c>
      <c r="C676" s="4" t="s">
        <v>4154</v>
      </c>
      <c r="D676" s="4" t="s">
        <v>2996</v>
      </c>
      <c r="E676" s="4" t="s">
        <v>4151</v>
      </c>
      <c r="F676" s="4" t="s">
        <v>4152</v>
      </c>
      <c r="G676" s="4" t="s">
        <v>4153</v>
      </c>
      <c r="H676" s="4" t="s">
        <v>4156</v>
      </c>
      <c r="I676" s="4" t="s">
        <v>4178</v>
      </c>
    </row>
    <row r="677" spans="1:9" x14ac:dyDescent="0.3">
      <c r="A677">
        <v>680</v>
      </c>
      <c r="B677" s="4" t="s">
        <v>4162</v>
      </c>
      <c r="C677" s="4" t="s">
        <v>4154</v>
      </c>
      <c r="D677" s="4" t="s">
        <v>2994</v>
      </c>
      <c r="E677" s="4" t="s">
        <v>4147</v>
      </c>
      <c r="F677" s="4" t="s">
        <v>4152</v>
      </c>
      <c r="G677" s="4" t="s">
        <v>4153</v>
      </c>
      <c r="H677" s="4" t="s">
        <v>4156</v>
      </c>
      <c r="I677" s="4" t="s">
        <v>4178</v>
      </c>
    </row>
    <row r="678" spans="1:9" x14ac:dyDescent="0.3">
      <c r="A678">
        <v>681</v>
      </c>
      <c r="B678" s="4" t="s">
        <v>4162</v>
      </c>
      <c r="C678" s="4" t="s">
        <v>4154</v>
      </c>
      <c r="D678" s="4" t="s">
        <v>2999</v>
      </c>
      <c r="E678" s="4" t="s">
        <v>4151</v>
      </c>
      <c r="F678" s="4" t="s">
        <v>4148</v>
      </c>
      <c r="G678" s="4" t="s">
        <v>4149</v>
      </c>
      <c r="H678" s="4" t="s">
        <v>4156</v>
      </c>
      <c r="I678" s="4" t="s">
        <v>4178</v>
      </c>
    </row>
    <row r="679" spans="1:9" x14ac:dyDescent="0.3">
      <c r="A679">
        <v>682</v>
      </c>
      <c r="B679" s="4" t="s">
        <v>4162</v>
      </c>
      <c r="C679" s="4" t="s">
        <v>4154</v>
      </c>
      <c r="D679" s="4" t="s">
        <v>3001</v>
      </c>
      <c r="E679" s="4" t="s">
        <v>4147</v>
      </c>
      <c r="F679" s="4" t="s">
        <v>4148</v>
      </c>
      <c r="G679" s="4" t="s">
        <v>4153</v>
      </c>
      <c r="H679" s="4" t="s">
        <v>4156</v>
      </c>
      <c r="I679" s="4" t="s">
        <v>4178</v>
      </c>
    </row>
    <row r="680" spans="1:9" x14ac:dyDescent="0.3">
      <c r="A680">
        <v>683</v>
      </c>
      <c r="B680" s="4" t="s">
        <v>4162</v>
      </c>
      <c r="C680" s="4" t="s">
        <v>4154</v>
      </c>
      <c r="D680" s="4" t="s">
        <v>2994</v>
      </c>
      <c r="E680" s="4" t="s">
        <v>4147</v>
      </c>
      <c r="F680" s="4" t="s">
        <v>4148</v>
      </c>
      <c r="G680" s="4" t="s">
        <v>4153</v>
      </c>
      <c r="H680" s="4" t="s">
        <v>4156</v>
      </c>
      <c r="I680" s="4" t="s">
        <v>4160</v>
      </c>
    </row>
    <row r="681" spans="1:9" x14ac:dyDescent="0.3">
      <c r="A681">
        <v>684</v>
      </c>
      <c r="B681" s="4" t="s">
        <v>4162</v>
      </c>
      <c r="C681" s="4" t="s">
        <v>4154</v>
      </c>
      <c r="D681" s="4" t="s">
        <v>2999</v>
      </c>
      <c r="E681" s="4" t="s">
        <v>4151</v>
      </c>
      <c r="F681" s="4" t="s">
        <v>4155</v>
      </c>
      <c r="G681" s="4" t="s">
        <v>4153</v>
      </c>
      <c r="H681" s="4" t="s">
        <v>4156</v>
      </c>
      <c r="I681" s="4" t="s">
        <v>4160</v>
      </c>
    </row>
    <row r="682" spans="1:9" x14ac:dyDescent="0.3">
      <c r="A682">
        <v>685</v>
      </c>
      <c r="B682" s="4" t="s">
        <v>4162</v>
      </c>
      <c r="C682" s="4" t="s">
        <v>4154</v>
      </c>
      <c r="D682" s="4" t="s">
        <v>3001</v>
      </c>
      <c r="E682" s="4" t="s">
        <v>4147</v>
      </c>
      <c r="F682" s="4" t="s">
        <v>4155</v>
      </c>
      <c r="G682" s="4" t="s">
        <v>4153</v>
      </c>
      <c r="H682" s="4" t="s">
        <v>4156</v>
      </c>
      <c r="I682" s="4" t="s">
        <v>4160</v>
      </c>
    </row>
    <row r="683" spans="1:9" x14ac:dyDescent="0.3">
      <c r="A683">
        <v>686</v>
      </c>
      <c r="B683" s="4" t="s">
        <v>4162</v>
      </c>
      <c r="C683" s="4" t="s">
        <v>4154</v>
      </c>
      <c r="D683" s="4" t="s">
        <v>2999</v>
      </c>
      <c r="E683" s="4" t="s">
        <v>4151</v>
      </c>
      <c r="F683" s="4" t="s">
        <v>4148</v>
      </c>
      <c r="G683" s="4" t="s">
        <v>4149</v>
      </c>
      <c r="H683" s="4" t="s">
        <v>4156</v>
      </c>
      <c r="I683" s="4" t="s">
        <v>824</v>
      </c>
    </row>
    <row r="684" spans="1:9" x14ac:dyDescent="0.3">
      <c r="A684">
        <v>687</v>
      </c>
      <c r="B684" s="4" t="s">
        <v>4162</v>
      </c>
      <c r="C684" s="4" t="s">
        <v>4146</v>
      </c>
      <c r="D684" s="4" t="s">
        <v>2994</v>
      </c>
      <c r="E684" s="4" t="s">
        <v>4147</v>
      </c>
      <c r="F684" s="4" t="s">
        <v>4148</v>
      </c>
      <c r="G684" s="4" t="s">
        <v>4149</v>
      </c>
      <c r="H684" s="4" t="s">
        <v>4156</v>
      </c>
      <c r="I684" s="4" t="s">
        <v>4160</v>
      </c>
    </row>
    <row r="685" spans="1:9" x14ac:dyDescent="0.3">
      <c r="A685">
        <v>688</v>
      </c>
      <c r="B685" s="4" t="s">
        <v>4162</v>
      </c>
      <c r="C685" s="4" t="s">
        <v>4154</v>
      </c>
      <c r="D685" s="4" t="s">
        <v>2994</v>
      </c>
      <c r="E685" s="4" t="s">
        <v>4147</v>
      </c>
      <c r="F685" s="4" t="s">
        <v>4148</v>
      </c>
      <c r="G685" s="4" t="s">
        <v>4149</v>
      </c>
      <c r="H685" s="4" t="s">
        <v>4156</v>
      </c>
      <c r="I685" s="4" t="s">
        <v>824</v>
      </c>
    </row>
    <row r="686" spans="1:9" x14ac:dyDescent="0.3">
      <c r="A686">
        <v>689</v>
      </c>
      <c r="B686" s="4" t="s">
        <v>4162</v>
      </c>
      <c r="C686" s="4" t="s">
        <v>4154</v>
      </c>
      <c r="D686" s="4" t="s">
        <v>2999</v>
      </c>
      <c r="E686" s="4" t="s">
        <v>4151</v>
      </c>
      <c r="F686" s="4" t="s">
        <v>4148</v>
      </c>
      <c r="G686" s="4" t="s">
        <v>4153</v>
      </c>
      <c r="H686" s="4" t="s">
        <v>4156</v>
      </c>
      <c r="I686" s="4" t="s">
        <v>824</v>
      </c>
    </row>
    <row r="687" spans="1:9" x14ac:dyDescent="0.3">
      <c r="A687">
        <v>690</v>
      </c>
      <c r="B687" s="4" t="s">
        <v>4162</v>
      </c>
      <c r="C687" s="4" t="s">
        <v>4154</v>
      </c>
      <c r="D687" s="4" t="s">
        <v>2999</v>
      </c>
      <c r="E687" s="4" t="s">
        <v>4151</v>
      </c>
      <c r="F687" s="4" t="s">
        <v>4148</v>
      </c>
      <c r="G687" s="4" t="s">
        <v>4153</v>
      </c>
      <c r="H687" s="4" t="s">
        <v>4156</v>
      </c>
      <c r="I687" s="4" t="s">
        <v>824</v>
      </c>
    </row>
    <row r="688" spans="1:9" x14ac:dyDescent="0.3">
      <c r="A688">
        <v>691</v>
      </c>
      <c r="B688" s="4" t="s">
        <v>4162</v>
      </c>
      <c r="C688" s="4" t="s">
        <v>4154</v>
      </c>
      <c r="D688" s="4" t="s">
        <v>2999</v>
      </c>
      <c r="E688" s="4" t="s">
        <v>4151</v>
      </c>
      <c r="F688" s="4" t="s">
        <v>4148</v>
      </c>
      <c r="G688" s="4" t="s">
        <v>4149</v>
      </c>
      <c r="H688" s="4" t="s">
        <v>4156</v>
      </c>
      <c r="I688" s="4" t="s">
        <v>824</v>
      </c>
    </row>
    <row r="689" spans="1:9" x14ac:dyDescent="0.3">
      <c r="A689">
        <v>692</v>
      </c>
      <c r="B689" s="4" t="s">
        <v>4162</v>
      </c>
      <c r="C689" s="4" t="s">
        <v>4154</v>
      </c>
      <c r="D689" s="4" t="s">
        <v>2999</v>
      </c>
      <c r="E689" s="4" t="s">
        <v>4151</v>
      </c>
      <c r="F689" s="4" t="s">
        <v>4155</v>
      </c>
      <c r="G689" s="4" t="s">
        <v>4149</v>
      </c>
      <c r="H689" s="4" t="s">
        <v>4156</v>
      </c>
      <c r="I689" s="4" t="s">
        <v>824</v>
      </c>
    </row>
    <row r="690" spans="1:9" x14ac:dyDescent="0.3">
      <c r="A690">
        <v>693</v>
      </c>
      <c r="B690" s="4" t="s">
        <v>4162</v>
      </c>
      <c r="C690" s="4" t="s">
        <v>4154</v>
      </c>
      <c r="D690" s="4" t="s">
        <v>2994</v>
      </c>
      <c r="E690" s="4" t="s">
        <v>4147</v>
      </c>
      <c r="F690" s="4" t="s">
        <v>4159</v>
      </c>
      <c r="G690" s="4" t="s">
        <v>4149</v>
      </c>
      <c r="H690" s="4" t="s">
        <v>4156</v>
      </c>
      <c r="I690" s="4" t="s">
        <v>4160</v>
      </c>
    </row>
    <row r="691" spans="1:9" x14ac:dyDescent="0.3">
      <c r="A691">
        <v>694</v>
      </c>
      <c r="B691" s="4" t="s">
        <v>4162</v>
      </c>
      <c r="C691" s="4" t="s">
        <v>4146</v>
      </c>
      <c r="D691" s="4" t="s">
        <v>2999</v>
      </c>
      <c r="E691" s="4" t="s">
        <v>4151</v>
      </c>
      <c r="F691" s="4" t="s">
        <v>4148</v>
      </c>
      <c r="G691" s="4" t="s">
        <v>4149</v>
      </c>
      <c r="H691" s="4" t="s">
        <v>4156</v>
      </c>
      <c r="I691" s="4" t="s">
        <v>4160</v>
      </c>
    </row>
    <row r="692" spans="1:9" x14ac:dyDescent="0.3">
      <c r="A692">
        <v>695</v>
      </c>
      <c r="B692" s="4" t="s">
        <v>4162</v>
      </c>
      <c r="C692" s="4" t="s">
        <v>4154</v>
      </c>
      <c r="D692" s="4" t="s">
        <v>2999</v>
      </c>
      <c r="E692" s="4" t="s">
        <v>4151</v>
      </c>
      <c r="F692" s="4" t="s">
        <v>4148</v>
      </c>
      <c r="G692" s="4" t="s">
        <v>4149</v>
      </c>
      <c r="H692" s="4" t="s">
        <v>4156</v>
      </c>
      <c r="I692" s="4" t="s">
        <v>4160</v>
      </c>
    </row>
    <row r="693" spans="1:9" x14ac:dyDescent="0.3">
      <c r="A693">
        <v>696</v>
      </c>
      <c r="B693" s="4" t="s">
        <v>4162</v>
      </c>
      <c r="C693" s="4" t="s">
        <v>4154</v>
      </c>
      <c r="D693" s="4" t="s">
        <v>2994</v>
      </c>
      <c r="E693" s="4" t="s">
        <v>4147</v>
      </c>
      <c r="F693" s="4" t="s">
        <v>4159</v>
      </c>
      <c r="G693" s="4" t="s">
        <v>4149</v>
      </c>
      <c r="H693" s="4" t="s">
        <v>4156</v>
      </c>
      <c r="I693" s="4" t="s">
        <v>4160</v>
      </c>
    </row>
    <row r="694" spans="1:9" x14ac:dyDescent="0.3">
      <c r="A694">
        <v>697</v>
      </c>
      <c r="B694" s="4" t="s">
        <v>4162</v>
      </c>
      <c r="C694" s="4" t="s">
        <v>4154</v>
      </c>
      <c r="D694" s="4" t="s">
        <v>2994</v>
      </c>
      <c r="E694" s="4" t="s">
        <v>4147</v>
      </c>
      <c r="F694" s="4" t="s">
        <v>4148</v>
      </c>
      <c r="G694" s="4" t="s">
        <v>4149</v>
      </c>
      <c r="H694" s="4" t="s">
        <v>4156</v>
      </c>
      <c r="I694" s="4" t="s">
        <v>824</v>
      </c>
    </row>
    <row r="695" spans="1:9" x14ac:dyDescent="0.3">
      <c r="A695">
        <v>698</v>
      </c>
      <c r="B695" s="4" t="s">
        <v>4162</v>
      </c>
      <c r="C695" s="4" t="s">
        <v>4154</v>
      </c>
      <c r="D695" s="4" t="s">
        <v>2994</v>
      </c>
      <c r="E695" s="4" t="s">
        <v>4147</v>
      </c>
      <c r="F695" s="4" t="s">
        <v>4148</v>
      </c>
      <c r="G695" s="4" t="s">
        <v>4149</v>
      </c>
      <c r="H695" s="4" t="s">
        <v>4156</v>
      </c>
      <c r="I695" s="4" t="s">
        <v>824</v>
      </c>
    </row>
    <row r="696" spans="1:9" x14ac:dyDescent="0.3">
      <c r="A696">
        <v>699</v>
      </c>
      <c r="B696" s="4" t="s">
        <v>4162</v>
      </c>
      <c r="C696" s="4" t="s">
        <v>4154</v>
      </c>
      <c r="D696" s="4" t="s">
        <v>2999</v>
      </c>
      <c r="E696" s="4" t="s">
        <v>4151</v>
      </c>
      <c r="F696" s="4" t="s">
        <v>4159</v>
      </c>
      <c r="G696" s="4" t="s">
        <v>4149</v>
      </c>
      <c r="H696" s="4" t="s">
        <v>4156</v>
      </c>
      <c r="I696" s="4" t="s">
        <v>824</v>
      </c>
    </row>
    <row r="697" spans="1:9" x14ac:dyDescent="0.3">
      <c r="A697">
        <v>700</v>
      </c>
      <c r="B697" s="4" t="s">
        <v>4162</v>
      </c>
      <c r="C697" s="4" t="s">
        <v>4154</v>
      </c>
      <c r="D697" s="4" t="s">
        <v>2999</v>
      </c>
      <c r="E697" s="4" t="s">
        <v>4151</v>
      </c>
      <c r="F697" s="4" t="s">
        <v>4155</v>
      </c>
      <c r="G697" s="4" t="s">
        <v>4149</v>
      </c>
      <c r="H697" s="4" t="s">
        <v>4156</v>
      </c>
      <c r="I697" s="4" t="s">
        <v>824</v>
      </c>
    </row>
    <row r="698" spans="1:9" x14ac:dyDescent="0.3">
      <c r="A698">
        <v>701</v>
      </c>
      <c r="B698" s="4" t="s">
        <v>4162</v>
      </c>
      <c r="C698" s="4" t="s">
        <v>4154</v>
      </c>
      <c r="D698" s="4" t="s">
        <v>2999</v>
      </c>
      <c r="E698" s="4" t="s">
        <v>4151</v>
      </c>
      <c r="F698" s="4" t="s">
        <v>4159</v>
      </c>
      <c r="G698" s="4" t="s">
        <v>4149</v>
      </c>
      <c r="H698" s="4" t="s">
        <v>4156</v>
      </c>
      <c r="I698" s="4" t="s">
        <v>824</v>
      </c>
    </row>
    <row r="699" spans="1:9" x14ac:dyDescent="0.3">
      <c r="A699">
        <v>702</v>
      </c>
      <c r="B699" s="4" t="s">
        <v>4162</v>
      </c>
      <c r="C699" s="4" t="s">
        <v>4154</v>
      </c>
      <c r="D699" s="4" t="s">
        <v>2999</v>
      </c>
      <c r="E699" s="4" t="s">
        <v>4151</v>
      </c>
      <c r="F699" s="4" t="s">
        <v>4159</v>
      </c>
      <c r="G699" s="4" t="s">
        <v>4149</v>
      </c>
      <c r="H699" s="4" t="s">
        <v>4156</v>
      </c>
      <c r="I699" s="4" t="s">
        <v>824</v>
      </c>
    </row>
    <row r="700" spans="1:9" x14ac:dyDescent="0.3">
      <c r="A700">
        <v>703</v>
      </c>
      <c r="B700" s="4" t="s">
        <v>4162</v>
      </c>
      <c r="C700" s="4" t="s">
        <v>4154</v>
      </c>
      <c r="D700" s="4" t="s">
        <v>2994</v>
      </c>
      <c r="E700" s="4" t="s">
        <v>4147</v>
      </c>
      <c r="F700" s="4" t="s">
        <v>4148</v>
      </c>
      <c r="G700" s="4" t="s">
        <v>4149</v>
      </c>
      <c r="H700" s="4" t="s">
        <v>4156</v>
      </c>
      <c r="I700" s="4" t="s">
        <v>4160</v>
      </c>
    </row>
    <row r="701" spans="1:9" x14ac:dyDescent="0.3">
      <c r="A701">
        <v>704</v>
      </c>
      <c r="B701" s="4" t="s">
        <v>4162</v>
      </c>
      <c r="C701" s="4" t="s">
        <v>4154</v>
      </c>
      <c r="D701" s="4" t="s">
        <v>2999</v>
      </c>
      <c r="E701" s="4" t="s">
        <v>4151</v>
      </c>
      <c r="F701" s="4" t="s">
        <v>4148</v>
      </c>
      <c r="G701" s="4" t="s">
        <v>4149</v>
      </c>
      <c r="H701" s="4" t="s">
        <v>4156</v>
      </c>
      <c r="I701" s="4" t="s">
        <v>4160</v>
      </c>
    </row>
    <row r="702" spans="1:9" x14ac:dyDescent="0.3">
      <c r="A702">
        <v>705</v>
      </c>
      <c r="B702" s="4" t="s">
        <v>4162</v>
      </c>
      <c r="C702" s="4" t="s">
        <v>4154</v>
      </c>
      <c r="D702" s="4" t="s">
        <v>2999</v>
      </c>
      <c r="E702" s="4" t="s">
        <v>4151</v>
      </c>
      <c r="F702" s="4" t="s">
        <v>4148</v>
      </c>
      <c r="G702" s="4" t="s">
        <v>4149</v>
      </c>
      <c r="H702" s="4" t="s">
        <v>4156</v>
      </c>
      <c r="I702" s="4" t="s">
        <v>824</v>
      </c>
    </row>
    <row r="703" spans="1:9" x14ac:dyDescent="0.3">
      <c r="A703">
        <v>706</v>
      </c>
      <c r="B703" s="4" t="s">
        <v>4162</v>
      </c>
      <c r="C703" s="4" t="s">
        <v>4154</v>
      </c>
      <c r="D703" s="4" t="s">
        <v>2999</v>
      </c>
      <c r="E703" s="4" t="s">
        <v>4151</v>
      </c>
      <c r="F703" s="4" t="s">
        <v>4148</v>
      </c>
      <c r="G703" s="4" t="s">
        <v>4153</v>
      </c>
      <c r="H703" s="4" t="s">
        <v>4156</v>
      </c>
      <c r="I703" s="4" t="s">
        <v>4178</v>
      </c>
    </row>
    <row r="704" spans="1:9" x14ac:dyDescent="0.3">
      <c r="A704">
        <v>707</v>
      </c>
      <c r="B704" s="4" t="s">
        <v>4162</v>
      </c>
      <c r="C704" s="4" t="s">
        <v>4154</v>
      </c>
      <c r="D704" s="4" t="s">
        <v>3001</v>
      </c>
      <c r="E704" s="4" t="s">
        <v>4147</v>
      </c>
      <c r="F704" s="4" t="s">
        <v>4148</v>
      </c>
      <c r="G704" s="4" t="s">
        <v>4153</v>
      </c>
      <c r="H704" s="4" t="s">
        <v>4156</v>
      </c>
      <c r="I704" s="4" t="s">
        <v>4178</v>
      </c>
    </row>
    <row r="705" spans="1:9" x14ac:dyDescent="0.3">
      <c r="A705">
        <v>708</v>
      </c>
      <c r="B705" s="4" t="s">
        <v>4162</v>
      </c>
      <c r="C705" s="4" t="s">
        <v>4154</v>
      </c>
      <c r="D705" s="4" t="s">
        <v>2999</v>
      </c>
      <c r="E705" s="4" t="s">
        <v>4151</v>
      </c>
      <c r="F705" s="4" t="s">
        <v>4148</v>
      </c>
      <c r="G705" s="4" t="s">
        <v>4149</v>
      </c>
      <c r="H705" s="4" t="s">
        <v>4156</v>
      </c>
      <c r="I705" s="4" t="s">
        <v>824</v>
      </c>
    </row>
    <row r="706" spans="1:9" x14ac:dyDescent="0.3">
      <c r="A706">
        <v>709</v>
      </c>
      <c r="B706" s="4" t="s">
        <v>4162</v>
      </c>
      <c r="C706" s="4" t="s">
        <v>4154</v>
      </c>
      <c r="D706" s="4" t="s">
        <v>2999</v>
      </c>
      <c r="E706" s="4" t="s">
        <v>4151</v>
      </c>
      <c r="F706" s="4" t="s">
        <v>4148</v>
      </c>
      <c r="G706" s="4" t="s">
        <v>4149</v>
      </c>
      <c r="H706" s="4" t="s">
        <v>4156</v>
      </c>
      <c r="I706" s="4" t="s">
        <v>824</v>
      </c>
    </row>
    <row r="707" spans="1:9" x14ac:dyDescent="0.3">
      <c r="A707">
        <v>710</v>
      </c>
      <c r="B707" s="4" t="s">
        <v>4162</v>
      </c>
      <c r="C707" s="4" t="s">
        <v>4146</v>
      </c>
      <c r="D707" s="4" t="s">
        <v>2994</v>
      </c>
      <c r="E707" s="4" t="s">
        <v>4147</v>
      </c>
      <c r="F707" s="4" t="s">
        <v>4159</v>
      </c>
      <c r="G707" s="4" t="s">
        <v>4149</v>
      </c>
      <c r="H707" s="4" t="s">
        <v>4156</v>
      </c>
      <c r="I707" s="4" t="s">
        <v>4160</v>
      </c>
    </row>
    <row r="708" spans="1:9" x14ac:dyDescent="0.3">
      <c r="A708">
        <v>711</v>
      </c>
      <c r="B708" s="4" t="s">
        <v>4162</v>
      </c>
      <c r="C708" s="4" t="s">
        <v>4154</v>
      </c>
      <c r="D708" s="4" t="s">
        <v>2994</v>
      </c>
      <c r="E708" s="4" t="s">
        <v>4147</v>
      </c>
      <c r="F708" s="4" t="s">
        <v>4155</v>
      </c>
      <c r="G708" s="4" t="s">
        <v>4149</v>
      </c>
      <c r="H708" s="4" t="s">
        <v>4156</v>
      </c>
      <c r="I708" s="4" t="s">
        <v>4160</v>
      </c>
    </row>
    <row r="709" spans="1:9" x14ac:dyDescent="0.3">
      <c r="A709">
        <v>712</v>
      </c>
      <c r="B709" s="4" t="s">
        <v>4162</v>
      </c>
      <c r="C709" s="4" t="s">
        <v>4154</v>
      </c>
      <c r="D709" s="4" t="s">
        <v>2999</v>
      </c>
      <c r="E709" s="4" t="s">
        <v>4151</v>
      </c>
      <c r="F709" s="4" t="s">
        <v>4148</v>
      </c>
      <c r="G709" s="4" t="s">
        <v>4149</v>
      </c>
      <c r="H709" s="4" t="s">
        <v>4156</v>
      </c>
      <c r="I709" s="4" t="s">
        <v>824</v>
      </c>
    </row>
    <row r="710" spans="1:9" x14ac:dyDescent="0.3">
      <c r="A710">
        <v>713</v>
      </c>
      <c r="B710" s="4" t="s">
        <v>4162</v>
      </c>
      <c r="C710" s="4" t="s">
        <v>4154</v>
      </c>
      <c r="D710" s="4" t="s">
        <v>2999</v>
      </c>
      <c r="E710" s="4" t="s">
        <v>4151</v>
      </c>
      <c r="F710" s="4" t="s">
        <v>4148</v>
      </c>
      <c r="G710" s="4" t="s">
        <v>4149</v>
      </c>
      <c r="H710" s="4" t="s">
        <v>4156</v>
      </c>
      <c r="I710" s="4" t="s">
        <v>824</v>
      </c>
    </row>
    <row r="711" spans="1:9" x14ac:dyDescent="0.3">
      <c r="A711">
        <v>714</v>
      </c>
      <c r="B711" s="4" t="s">
        <v>4162</v>
      </c>
      <c r="C711" s="4" t="s">
        <v>4154</v>
      </c>
      <c r="D711" s="4" t="s">
        <v>2999</v>
      </c>
      <c r="E711" s="4" t="s">
        <v>4151</v>
      </c>
      <c r="F711" s="4" t="s">
        <v>4148</v>
      </c>
      <c r="G711" s="4" t="s">
        <v>4149</v>
      </c>
      <c r="H711" s="4" t="s">
        <v>4156</v>
      </c>
      <c r="I711" s="4" t="s">
        <v>4160</v>
      </c>
    </row>
    <row r="712" spans="1:9" x14ac:dyDescent="0.3">
      <c r="A712">
        <v>715</v>
      </c>
      <c r="B712" s="4" t="s">
        <v>4162</v>
      </c>
      <c r="C712" s="4" t="s">
        <v>4146</v>
      </c>
      <c r="D712" s="4" t="s">
        <v>2999</v>
      </c>
      <c r="E712" s="4" t="s">
        <v>4151</v>
      </c>
      <c r="F712" s="4" t="s">
        <v>4155</v>
      </c>
      <c r="G712" s="4" t="s">
        <v>4149</v>
      </c>
      <c r="H712" s="4" t="s">
        <v>4158</v>
      </c>
      <c r="I712" s="4" t="s">
        <v>824</v>
      </c>
    </row>
    <row r="713" spans="1:9" x14ac:dyDescent="0.3">
      <c r="A713">
        <v>716</v>
      </c>
      <c r="B713" s="4" t="s">
        <v>4162</v>
      </c>
      <c r="C713" s="4" t="s">
        <v>4154</v>
      </c>
      <c r="D713" s="4" t="s">
        <v>2999</v>
      </c>
      <c r="E713" s="4" t="s">
        <v>4151</v>
      </c>
      <c r="F713" s="4" t="s">
        <v>4148</v>
      </c>
      <c r="G713" s="4" t="s">
        <v>4149</v>
      </c>
      <c r="H713" s="4" t="s">
        <v>4156</v>
      </c>
      <c r="I713" s="4" t="s">
        <v>824</v>
      </c>
    </row>
    <row r="714" spans="1:9" x14ac:dyDescent="0.3">
      <c r="A714">
        <v>717</v>
      </c>
      <c r="B714" s="4" t="s">
        <v>4162</v>
      </c>
      <c r="C714" s="4" t="s">
        <v>4154</v>
      </c>
      <c r="D714" s="4" t="s">
        <v>2999</v>
      </c>
      <c r="E714" s="4" t="s">
        <v>4151</v>
      </c>
      <c r="F714" s="4" t="s">
        <v>4148</v>
      </c>
      <c r="G714" s="4" t="s">
        <v>4153</v>
      </c>
      <c r="H714" s="4" t="s">
        <v>4156</v>
      </c>
      <c r="I714" s="4" t="s">
        <v>4178</v>
      </c>
    </row>
    <row r="715" spans="1:9" x14ac:dyDescent="0.3">
      <c r="A715">
        <v>718</v>
      </c>
      <c r="B715" s="4" t="s">
        <v>4162</v>
      </c>
      <c r="C715" s="4" t="s">
        <v>4154</v>
      </c>
      <c r="D715" s="4" t="s">
        <v>2999</v>
      </c>
      <c r="E715" s="4" t="s">
        <v>4151</v>
      </c>
      <c r="F715" s="4" t="s">
        <v>4159</v>
      </c>
      <c r="G715" s="4" t="s">
        <v>4153</v>
      </c>
      <c r="H715" s="4" t="s">
        <v>4156</v>
      </c>
      <c r="I715" s="4" t="s">
        <v>4178</v>
      </c>
    </row>
    <row r="716" spans="1:9" x14ac:dyDescent="0.3">
      <c r="A716">
        <v>719</v>
      </c>
      <c r="B716" s="4" t="s">
        <v>4162</v>
      </c>
      <c r="C716" s="4" t="s">
        <v>4154</v>
      </c>
      <c r="D716" s="4" t="s">
        <v>2999</v>
      </c>
      <c r="E716" s="4" t="s">
        <v>4151</v>
      </c>
      <c r="F716" s="4" t="s">
        <v>4148</v>
      </c>
      <c r="G716" s="4" t="s">
        <v>4149</v>
      </c>
      <c r="H716" s="4" t="s">
        <v>4156</v>
      </c>
      <c r="I716" s="4" t="s">
        <v>824</v>
      </c>
    </row>
    <row r="717" spans="1:9" x14ac:dyDescent="0.3">
      <c r="A717">
        <v>720</v>
      </c>
      <c r="B717" s="4" t="s">
        <v>4162</v>
      </c>
      <c r="C717" s="4" t="s">
        <v>4146</v>
      </c>
      <c r="D717" s="4" t="s">
        <v>2999</v>
      </c>
      <c r="E717" s="4" t="s">
        <v>4151</v>
      </c>
      <c r="F717" s="4" t="s">
        <v>4159</v>
      </c>
      <c r="G717" s="4" t="s">
        <v>4149</v>
      </c>
      <c r="H717" s="4" t="s">
        <v>4156</v>
      </c>
      <c r="I717" s="4" t="s">
        <v>824</v>
      </c>
    </row>
    <row r="718" spans="1:9" x14ac:dyDescent="0.3">
      <c r="A718">
        <v>721</v>
      </c>
      <c r="B718" s="4" t="s">
        <v>4162</v>
      </c>
      <c r="C718" s="4" t="s">
        <v>4154</v>
      </c>
      <c r="D718" s="4" t="s">
        <v>2999</v>
      </c>
      <c r="E718" s="4" t="s">
        <v>4151</v>
      </c>
      <c r="F718" s="4" t="s">
        <v>4148</v>
      </c>
      <c r="G718" s="4" t="s">
        <v>4149</v>
      </c>
      <c r="H718" s="4" t="s">
        <v>4156</v>
      </c>
      <c r="I718" s="4" t="s">
        <v>4160</v>
      </c>
    </row>
    <row r="719" spans="1:9" x14ac:dyDescent="0.3">
      <c r="A719">
        <v>722</v>
      </c>
      <c r="B719" s="4" t="s">
        <v>4162</v>
      </c>
      <c r="C719" s="4" t="s">
        <v>4154</v>
      </c>
      <c r="D719" s="4" t="s">
        <v>2999</v>
      </c>
      <c r="E719" s="4" t="s">
        <v>4151</v>
      </c>
      <c r="F719" s="4" t="s">
        <v>4155</v>
      </c>
      <c r="G719" s="4" t="s">
        <v>4149</v>
      </c>
      <c r="H719" s="4" t="s">
        <v>4156</v>
      </c>
      <c r="I719" s="4" t="s">
        <v>824</v>
      </c>
    </row>
    <row r="720" spans="1:9" x14ac:dyDescent="0.3">
      <c r="A720">
        <v>723</v>
      </c>
      <c r="B720" s="4" t="s">
        <v>4162</v>
      </c>
      <c r="C720" s="4" t="s">
        <v>4154</v>
      </c>
      <c r="D720" s="4" t="s">
        <v>2999</v>
      </c>
      <c r="E720" s="4" t="s">
        <v>4151</v>
      </c>
      <c r="F720" s="4" t="s">
        <v>4148</v>
      </c>
      <c r="G720" s="4" t="s">
        <v>4149</v>
      </c>
      <c r="H720" s="4" t="s">
        <v>4156</v>
      </c>
      <c r="I720" s="4" t="s">
        <v>824</v>
      </c>
    </row>
    <row r="721" spans="1:9" x14ac:dyDescent="0.3">
      <c r="A721">
        <v>724</v>
      </c>
      <c r="B721" s="4" t="s">
        <v>4162</v>
      </c>
      <c r="C721" s="4" t="s">
        <v>4154</v>
      </c>
      <c r="D721" s="4" t="s">
        <v>2999</v>
      </c>
      <c r="E721" s="4" t="s">
        <v>4151</v>
      </c>
      <c r="F721" s="4" t="s">
        <v>4155</v>
      </c>
      <c r="G721" s="4" t="s">
        <v>4149</v>
      </c>
      <c r="H721" s="4" t="s">
        <v>4156</v>
      </c>
      <c r="I721" s="4" t="s">
        <v>4160</v>
      </c>
    </row>
    <row r="722" spans="1:9" x14ac:dyDescent="0.3">
      <c r="A722">
        <v>725</v>
      </c>
      <c r="B722" s="4" t="s">
        <v>4162</v>
      </c>
      <c r="C722" s="4" t="s">
        <v>4154</v>
      </c>
      <c r="D722" s="4" t="s">
        <v>2999</v>
      </c>
      <c r="E722" s="4" t="s">
        <v>4151</v>
      </c>
      <c r="F722" s="4" t="s">
        <v>4155</v>
      </c>
      <c r="G722" s="4" t="s">
        <v>4149</v>
      </c>
      <c r="H722" s="4" t="s">
        <v>4156</v>
      </c>
      <c r="I722" s="4" t="s">
        <v>4160</v>
      </c>
    </row>
    <row r="723" spans="1:9" x14ac:dyDescent="0.3">
      <c r="A723">
        <v>726</v>
      </c>
      <c r="B723" s="4" t="s">
        <v>4162</v>
      </c>
      <c r="C723" s="4" t="s">
        <v>4146</v>
      </c>
      <c r="D723" s="4" t="s">
        <v>2994</v>
      </c>
      <c r="E723" s="4" t="s">
        <v>4147</v>
      </c>
      <c r="F723" s="4" t="s">
        <v>4148</v>
      </c>
      <c r="G723" s="4" t="s">
        <v>4149</v>
      </c>
      <c r="H723" s="4" t="s">
        <v>4156</v>
      </c>
      <c r="I723" s="4" t="s">
        <v>4160</v>
      </c>
    </row>
    <row r="724" spans="1:9" x14ac:dyDescent="0.3">
      <c r="A724">
        <v>727</v>
      </c>
      <c r="B724" s="4" t="s">
        <v>4162</v>
      </c>
      <c r="C724" s="4" t="s">
        <v>4154</v>
      </c>
      <c r="D724" s="4" t="s">
        <v>2994</v>
      </c>
      <c r="E724" s="4" t="s">
        <v>4147</v>
      </c>
      <c r="F724" s="4" t="s">
        <v>4148</v>
      </c>
      <c r="G724" s="4" t="s">
        <v>4149</v>
      </c>
      <c r="H724" s="4" t="s">
        <v>4156</v>
      </c>
      <c r="I724" s="4" t="s">
        <v>4160</v>
      </c>
    </row>
    <row r="725" spans="1:9" x14ac:dyDescent="0.3">
      <c r="A725">
        <v>728</v>
      </c>
      <c r="B725" s="4" t="s">
        <v>4162</v>
      </c>
      <c r="C725" s="4" t="s">
        <v>4154</v>
      </c>
      <c r="D725" s="4" t="s">
        <v>2999</v>
      </c>
      <c r="E725" s="4" t="s">
        <v>4151</v>
      </c>
      <c r="F725" s="4" t="s">
        <v>4157</v>
      </c>
      <c r="G725" s="4" t="s">
        <v>4149</v>
      </c>
      <c r="H725" s="4" t="s">
        <v>4156</v>
      </c>
      <c r="I725" s="4" t="s">
        <v>4160</v>
      </c>
    </row>
    <row r="726" spans="1:9" x14ac:dyDescent="0.3">
      <c r="A726">
        <v>729</v>
      </c>
      <c r="B726" s="4" t="s">
        <v>4162</v>
      </c>
      <c r="C726" s="4" t="s">
        <v>4154</v>
      </c>
      <c r="D726" s="4" t="s">
        <v>2999</v>
      </c>
      <c r="E726" s="4" t="s">
        <v>4151</v>
      </c>
      <c r="F726" s="4" t="s">
        <v>4155</v>
      </c>
      <c r="G726" s="4" t="s">
        <v>4149</v>
      </c>
      <c r="H726" s="4" t="s">
        <v>4156</v>
      </c>
      <c r="I726" s="4" t="s">
        <v>824</v>
      </c>
    </row>
    <row r="727" spans="1:9" x14ac:dyDescent="0.3">
      <c r="A727">
        <v>730</v>
      </c>
      <c r="B727" s="4" t="s">
        <v>4162</v>
      </c>
      <c r="C727" s="4" t="s">
        <v>4154</v>
      </c>
      <c r="D727" s="4" t="s">
        <v>2999</v>
      </c>
      <c r="E727" s="4" t="s">
        <v>4151</v>
      </c>
      <c r="F727" s="4" t="s">
        <v>4155</v>
      </c>
      <c r="G727" s="4" t="s">
        <v>4149</v>
      </c>
      <c r="H727" s="4" t="s">
        <v>4156</v>
      </c>
      <c r="I727" s="4" t="s">
        <v>824</v>
      </c>
    </row>
    <row r="728" spans="1:9" x14ac:dyDescent="0.3">
      <c r="A728">
        <v>731</v>
      </c>
      <c r="B728" s="4" t="s">
        <v>4162</v>
      </c>
      <c r="C728" s="4" t="s">
        <v>4154</v>
      </c>
      <c r="D728" s="4" t="s">
        <v>2999</v>
      </c>
      <c r="E728" s="4" t="s">
        <v>4151</v>
      </c>
      <c r="F728" s="4" t="s">
        <v>4148</v>
      </c>
      <c r="G728" s="4" t="s">
        <v>4149</v>
      </c>
      <c r="H728" s="4" t="s">
        <v>4156</v>
      </c>
      <c r="I728" s="4" t="s">
        <v>824</v>
      </c>
    </row>
    <row r="729" spans="1:9" x14ac:dyDescent="0.3">
      <c r="A729">
        <v>732</v>
      </c>
      <c r="B729" s="4" t="s">
        <v>4162</v>
      </c>
      <c r="C729" s="4" t="s">
        <v>4154</v>
      </c>
      <c r="D729" s="4" t="s">
        <v>2999</v>
      </c>
      <c r="E729" s="4" t="s">
        <v>4151</v>
      </c>
      <c r="F729" s="4" t="s">
        <v>4148</v>
      </c>
      <c r="G729" s="4" t="s">
        <v>4149</v>
      </c>
      <c r="H729" s="4" t="s">
        <v>4156</v>
      </c>
      <c r="I729" s="4" t="s">
        <v>824</v>
      </c>
    </row>
    <row r="730" spans="1:9" x14ac:dyDescent="0.3">
      <c r="A730">
        <v>733</v>
      </c>
      <c r="B730" s="4" t="s">
        <v>4162</v>
      </c>
      <c r="C730" s="4" t="s">
        <v>4154</v>
      </c>
      <c r="D730" s="4" t="s">
        <v>2999</v>
      </c>
      <c r="E730" s="4" t="s">
        <v>4151</v>
      </c>
      <c r="F730" s="4" t="s">
        <v>4148</v>
      </c>
      <c r="G730" s="4" t="s">
        <v>4149</v>
      </c>
      <c r="H730" s="4" t="s">
        <v>4156</v>
      </c>
      <c r="I730" s="4" t="s">
        <v>824</v>
      </c>
    </row>
    <row r="731" spans="1:9" x14ac:dyDescent="0.3">
      <c r="A731">
        <v>734</v>
      </c>
      <c r="B731" s="4" t="s">
        <v>4162</v>
      </c>
      <c r="C731" s="4" t="s">
        <v>4146</v>
      </c>
      <c r="D731" s="4" t="s">
        <v>2996</v>
      </c>
      <c r="E731" s="4" t="s">
        <v>4151</v>
      </c>
      <c r="F731" s="4" t="s">
        <v>4152</v>
      </c>
      <c r="G731" s="4" t="s">
        <v>4153</v>
      </c>
      <c r="H731" s="4" t="s">
        <v>4156</v>
      </c>
      <c r="I731" s="4" t="s">
        <v>824</v>
      </c>
    </row>
    <row r="732" spans="1:9" x14ac:dyDescent="0.3">
      <c r="A732">
        <v>735</v>
      </c>
      <c r="B732" s="4" t="s">
        <v>4162</v>
      </c>
      <c r="C732" s="4" t="s">
        <v>4146</v>
      </c>
      <c r="D732" s="4" t="s">
        <v>2996</v>
      </c>
      <c r="E732" s="4" t="s">
        <v>4151</v>
      </c>
      <c r="F732" s="4" t="s">
        <v>4152</v>
      </c>
      <c r="G732" s="4" t="s">
        <v>4153</v>
      </c>
      <c r="H732" s="4" t="s">
        <v>4156</v>
      </c>
      <c r="I732" s="4" t="s">
        <v>824</v>
      </c>
    </row>
    <row r="733" spans="1:9" x14ac:dyDescent="0.3">
      <c r="A733">
        <v>736</v>
      </c>
      <c r="B733" s="4" t="s">
        <v>4162</v>
      </c>
      <c r="C733" s="4" t="s">
        <v>4146</v>
      </c>
      <c r="D733" s="4" t="s">
        <v>3001</v>
      </c>
      <c r="E733" s="4" t="s">
        <v>4147</v>
      </c>
      <c r="F733" s="4" t="s">
        <v>4155</v>
      </c>
      <c r="G733" s="4" t="s">
        <v>4153</v>
      </c>
      <c r="H733" s="4" t="s">
        <v>4156</v>
      </c>
      <c r="I733" s="4" t="s">
        <v>824</v>
      </c>
    </row>
    <row r="734" spans="1:9" x14ac:dyDescent="0.3">
      <c r="A734">
        <v>737</v>
      </c>
      <c r="B734" s="4" t="s">
        <v>4162</v>
      </c>
      <c r="C734" s="4" t="s">
        <v>4154</v>
      </c>
      <c r="D734" s="4" t="s">
        <v>2999</v>
      </c>
      <c r="E734" s="4" t="s">
        <v>4151</v>
      </c>
      <c r="F734" s="4" t="s">
        <v>4157</v>
      </c>
      <c r="G734" s="4" t="s">
        <v>4149</v>
      </c>
      <c r="H734" s="4" t="s">
        <v>4156</v>
      </c>
      <c r="I734" s="4" t="s">
        <v>824</v>
      </c>
    </row>
    <row r="735" spans="1:9" x14ac:dyDescent="0.3">
      <c r="A735">
        <v>738</v>
      </c>
      <c r="B735" s="4" t="s">
        <v>4162</v>
      </c>
      <c r="C735" s="4" t="s">
        <v>4154</v>
      </c>
      <c r="D735" s="4" t="s">
        <v>2999</v>
      </c>
      <c r="E735" s="4" t="s">
        <v>4151</v>
      </c>
      <c r="F735" s="4" t="s">
        <v>4148</v>
      </c>
      <c r="G735" s="4" t="s">
        <v>4149</v>
      </c>
      <c r="H735" s="4" t="s">
        <v>4156</v>
      </c>
      <c r="I735" s="4" t="s">
        <v>824</v>
      </c>
    </row>
    <row r="736" spans="1:9" x14ac:dyDescent="0.3">
      <c r="A736">
        <v>739</v>
      </c>
      <c r="B736" s="4" t="s">
        <v>4162</v>
      </c>
      <c r="C736" s="4" t="s">
        <v>4146</v>
      </c>
      <c r="D736" s="4" t="s">
        <v>2994</v>
      </c>
      <c r="E736" s="4" t="s">
        <v>4147</v>
      </c>
      <c r="F736" s="4" t="s">
        <v>4159</v>
      </c>
      <c r="G736" s="4" t="s">
        <v>4153</v>
      </c>
      <c r="H736" s="4" t="s">
        <v>4156</v>
      </c>
      <c r="I736" s="4" t="s">
        <v>824</v>
      </c>
    </row>
    <row r="737" spans="1:9" x14ac:dyDescent="0.3">
      <c r="A737">
        <v>740</v>
      </c>
      <c r="B737" s="4" t="s">
        <v>4162</v>
      </c>
      <c r="C737" s="4" t="s">
        <v>4154</v>
      </c>
      <c r="D737" s="4" t="s">
        <v>2999</v>
      </c>
      <c r="E737" s="4" t="s">
        <v>4151</v>
      </c>
      <c r="F737" s="4" t="s">
        <v>4155</v>
      </c>
      <c r="G737" s="4" t="s">
        <v>4153</v>
      </c>
      <c r="H737" s="4" t="s">
        <v>4156</v>
      </c>
      <c r="I737" s="4" t="s">
        <v>824</v>
      </c>
    </row>
    <row r="738" spans="1:9" x14ac:dyDescent="0.3">
      <c r="A738">
        <v>741</v>
      </c>
      <c r="B738" s="4" t="s">
        <v>4162</v>
      </c>
      <c r="C738" s="4" t="s">
        <v>4154</v>
      </c>
      <c r="D738" s="4" t="s">
        <v>2999</v>
      </c>
      <c r="E738" s="4" t="s">
        <v>4151</v>
      </c>
      <c r="F738" s="4" t="s">
        <v>4159</v>
      </c>
      <c r="G738" s="4" t="s">
        <v>4149</v>
      </c>
      <c r="H738" s="4" t="s">
        <v>4156</v>
      </c>
      <c r="I738" s="4" t="s">
        <v>824</v>
      </c>
    </row>
    <row r="739" spans="1:9" x14ac:dyDescent="0.3">
      <c r="A739">
        <v>742</v>
      </c>
      <c r="B739" s="4" t="s">
        <v>4162</v>
      </c>
      <c r="C739" s="4" t="s">
        <v>4154</v>
      </c>
      <c r="D739" s="4" t="s">
        <v>2999</v>
      </c>
      <c r="E739" s="4" t="s">
        <v>4151</v>
      </c>
      <c r="F739" s="4" t="s">
        <v>4148</v>
      </c>
      <c r="G739" s="4" t="s">
        <v>4149</v>
      </c>
      <c r="H739" s="4" t="s">
        <v>4156</v>
      </c>
      <c r="I739" s="4" t="s">
        <v>4178</v>
      </c>
    </row>
    <row r="740" spans="1:9" x14ac:dyDescent="0.3">
      <c r="A740">
        <v>743</v>
      </c>
      <c r="B740" s="4" t="s">
        <v>4162</v>
      </c>
      <c r="C740" s="4" t="s">
        <v>4146</v>
      </c>
      <c r="D740" s="4" t="s">
        <v>2999</v>
      </c>
      <c r="E740" s="4" t="s">
        <v>4151</v>
      </c>
      <c r="F740" s="4" t="s">
        <v>4155</v>
      </c>
      <c r="G740" s="4" t="s">
        <v>4149</v>
      </c>
      <c r="H740" s="4" t="s">
        <v>4156</v>
      </c>
      <c r="I740" s="4" t="s">
        <v>824</v>
      </c>
    </row>
    <row r="741" spans="1:9" x14ac:dyDescent="0.3">
      <c r="A741">
        <v>744</v>
      </c>
      <c r="B741" s="4" t="s">
        <v>4162</v>
      </c>
      <c r="C741" s="4" t="s">
        <v>4154</v>
      </c>
      <c r="D741" s="4" t="s">
        <v>2994</v>
      </c>
      <c r="E741" s="4" t="s">
        <v>4147</v>
      </c>
      <c r="F741" s="4" t="s">
        <v>4148</v>
      </c>
      <c r="G741" s="4" t="s">
        <v>4149</v>
      </c>
      <c r="H741" s="4" t="s">
        <v>4156</v>
      </c>
      <c r="I741" s="4" t="s">
        <v>824</v>
      </c>
    </row>
    <row r="742" spans="1:9" x14ac:dyDescent="0.3">
      <c r="A742">
        <v>745</v>
      </c>
      <c r="B742" s="4" t="s">
        <v>4162</v>
      </c>
      <c r="C742" s="4" t="s">
        <v>4154</v>
      </c>
      <c r="D742" s="4" t="s">
        <v>2999</v>
      </c>
      <c r="E742" s="4" t="s">
        <v>4151</v>
      </c>
      <c r="F742" s="4" t="s">
        <v>4148</v>
      </c>
      <c r="G742" s="4" t="s">
        <v>4149</v>
      </c>
      <c r="H742" s="4" t="s">
        <v>4156</v>
      </c>
      <c r="I742" s="4" t="s">
        <v>824</v>
      </c>
    </row>
    <row r="743" spans="1:9" x14ac:dyDescent="0.3">
      <c r="A743">
        <v>746</v>
      </c>
      <c r="B743" s="4" t="s">
        <v>4162</v>
      </c>
      <c r="C743" s="4" t="s">
        <v>4146</v>
      </c>
      <c r="D743" s="4" t="s">
        <v>2994</v>
      </c>
      <c r="E743" s="4" t="s">
        <v>4147</v>
      </c>
      <c r="F743" s="4" t="s">
        <v>4148</v>
      </c>
      <c r="G743" s="4" t="s">
        <v>4149</v>
      </c>
      <c r="H743" s="4" t="s">
        <v>4156</v>
      </c>
      <c r="I743" s="4" t="s">
        <v>4160</v>
      </c>
    </row>
    <row r="744" spans="1:9" x14ac:dyDescent="0.3">
      <c r="A744">
        <v>747</v>
      </c>
      <c r="B744" s="4" t="s">
        <v>4162</v>
      </c>
      <c r="C744" s="4" t="s">
        <v>4146</v>
      </c>
      <c r="D744" s="4" t="s">
        <v>2999</v>
      </c>
      <c r="E744" s="4" t="s">
        <v>4151</v>
      </c>
      <c r="F744" s="4" t="s">
        <v>4148</v>
      </c>
      <c r="G744" s="4" t="s">
        <v>4149</v>
      </c>
      <c r="H744" s="4" t="s">
        <v>4156</v>
      </c>
      <c r="I744" s="4" t="s">
        <v>4160</v>
      </c>
    </row>
    <row r="745" spans="1:9" x14ac:dyDescent="0.3">
      <c r="A745">
        <v>748</v>
      </c>
      <c r="B745" s="4" t="s">
        <v>4162</v>
      </c>
      <c r="C745" s="4" t="s">
        <v>4154</v>
      </c>
      <c r="D745" s="4" t="s">
        <v>2996</v>
      </c>
      <c r="E745" s="4" t="s">
        <v>4151</v>
      </c>
      <c r="F745" s="4" t="s">
        <v>4152</v>
      </c>
      <c r="G745" s="4" t="s">
        <v>4153</v>
      </c>
      <c r="H745" s="4" t="s">
        <v>4156</v>
      </c>
      <c r="I745" s="4" t="s">
        <v>824</v>
      </c>
    </row>
    <row r="746" spans="1:9" x14ac:dyDescent="0.3">
      <c r="A746">
        <v>749</v>
      </c>
      <c r="B746" s="4" t="s">
        <v>4162</v>
      </c>
      <c r="C746" s="4" t="s">
        <v>4154</v>
      </c>
      <c r="D746" s="4" t="s">
        <v>2999</v>
      </c>
      <c r="E746" s="4" t="s">
        <v>4151</v>
      </c>
      <c r="F746" s="4" t="s">
        <v>4155</v>
      </c>
      <c r="G746" s="4" t="s">
        <v>4153</v>
      </c>
      <c r="H746" s="4" t="s">
        <v>4156</v>
      </c>
      <c r="I746" s="4" t="s">
        <v>824</v>
      </c>
    </row>
    <row r="747" spans="1:9" x14ac:dyDescent="0.3">
      <c r="A747">
        <v>750</v>
      </c>
      <c r="B747" s="4" t="s">
        <v>4162</v>
      </c>
      <c r="C747" s="4" t="s">
        <v>4154</v>
      </c>
      <c r="D747" s="4" t="s">
        <v>3001</v>
      </c>
      <c r="E747" s="4" t="s">
        <v>4147</v>
      </c>
      <c r="F747" s="4" t="s">
        <v>4148</v>
      </c>
      <c r="G747" s="4" t="s">
        <v>4153</v>
      </c>
      <c r="H747" s="4" t="s">
        <v>4156</v>
      </c>
      <c r="I747" s="4" t="s">
        <v>824</v>
      </c>
    </row>
    <row r="748" spans="1:9" x14ac:dyDescent="0.3">
      <c r="A748">
        <v>751</v>
      </c>
      <c r="B748" s="4" t="s">
        <v>4162</v>
      </c>
      <c r="C748" s="4" t="s">
        <v>4154</v>
      </c>
      <c r="D748" s="4" t="s">
        <v>2999</v>
      </c>
      <c r="E748" s="4" t="s">
        <v>4151</v>
      </c>
      <c r="F748" s="4" t="s">
        <v>4148</v>
      </c>
      <c r="G748" s="4" t="s">
        <v>4149</v>
      </c>
      <c r="H748" s="4" t="s">
        <v>4156</v>
      </c>
      <c r="I748" s="4" t="s">
        <v>824</v>
      </c>
    </row>
    <row r="749" spans="1:9" x14ac:dyDescent="0.3">
      <c r="A749">
        <v>752</v>
      </c>
      <c r="B749" s="4" t="s">
        <v>4162</v>
      </c>
      <c r="C749" s="4" t="s">
        <v>4154</v>
      </c>
      <c r="D749" s="4" t="s">
        <v>2999</v>
      </c>
      <c r="E749" s="4" t="s">
        <v>4151</v>
      </c>
      <c r="F749" s="4" t="s">
        <v>4148</v>
      </c>
      <c r="G749" s="4" t="s">
        <v>4149</v>
      </c>
      <c r="H749" s="4" t="s">
        <v>4156</v>
      </c>
      <c r="I749" s="4" t="s">
        <v>824</v>
      </c>
    </row>
    <row r="750" spans="1:9" x14ac:dyDescent="0.3">
      <c r="A750">
        <v>753</v>
      </c>
      <c r="B750" s="4" t="s">
        <v>4162</v>
      </c>
      <c r="C750" s="4" t="s">
        <v>4154</v>
      </c>
      <c r="D750" s="4" t="s">
        <v>2999</v>
      </c>
      <c r="E750" s="4" t="s">
        <v>4151</v>
      </c>
      <c r="F750" s="4" t="s">
        <v>4148</v>
      </c>
      <c r="G750" s="4" t="s">
        <v>4153</v>
      </c>
      <c r="H750" s="4" t="s">
        <v>4156</v>
      </c>
      <c r="I750" s="4" t="s">
        <v>824</v>
      </c>
    </row>
    <row r="751" spans="1:9" x14ac:dyDescent="0.3">
      <c r="A751">
        <v>754</v>
      </c>
      <c r="B751" s="4" t="s">
        <v>4162</v>
      </c>
      <c r="C751" s="4" t="s">
        <v>4154</v>
      </c>
      <c r="D751" s="4" t="s">
        <v>2999</v>
      </c>
      <c r="E751" s="4" t="s">
        <v>4151</v>
      </c>
      <c r="F751" s="4" t="s">
        <v>4148</v>
      </c>
      <c r="G751" s="4" t="s">
        <v>4149</v>
      </c>
      <c r="H751" s="4" t="s">
        <v>4156</v>
      </c>
      <c r="I751" s="4" t="s">
        <v>824</v>
      </c>
    </row>
    <row r="752" spans="1:9" x14ac:dyDescent="0.3">
      <c r="A752">
        <v>755</v>
      </c>
      <c r="B752" s="4" t="s">
        <v>4162</v>
      </c>
      <c r="C752" s="4" t="s">
        <v>4154</v>
      </c>
      <c r="D752" s="4" t="s">
        <v>2999</v>
      </c>
      <c r="E752" s="4" t="s">
        <v>4151</v>
      </c>
      <c r="F752" s="4" t="s">
        <v>4148</v>
      </c>
      <c r="G752" s="4" t="s">
        <v>4153</v>
      </c>
      <c r="H752" s="4" t="s">
        <v>4156</v>
      </c>
      <c r="I752" s="4" t="s">
        <v>824</v>
      </c>
    </row>
    <row r="753" spans="1:9" x14ac:dyDescent="0.3">
      <c r="A753">
        <v>756</v>
      </c>
      <c r="B753" s="4" t="s">
        <v>4162</v>
      </c>
      <c r="C753" s="4" t="s">
        <v>4154</v>
      </c>
      <c r="D753" s="4" t="s">
        <v>2999</v>
      </c>
      <c r="E753" s="4" t="s">
        <v>4151</v>
      </c>
      <c r="F753" s="4" t="s">
        <v>4159</v>
      </c>
      <c r="G753" s="4" t="s">
        <v>4153</v>
      </c>
      <c r="H753" s="4" t="s">
        <v>4156</v>
      </c>
      <c r="I753" s="4" t="s">
        <v>824</v>
      </c>
    </row>
    <row r="754" spans="1:9" x14ac:dyDescent="0.3">
      <c r="A754">
        <v>757</v>
      </c>
      <c r="B754" s="4" t="s">
        <v>4162</v>
      </c>
      <c r="C754" s="4" t="s">
        <v>4154</v>
      </c>
      <c r="D754" s="4" t="s">
        <v>2999</v>
      </c>
      <c r="E754" s="4" t="s">
        <v>4151</v>
      </c>
      <c r="F754" s="4" t="s">
        <v>4148</v>
      </c>
      <c r="G754" s="4" t="s">
        <v>4153</v>
      </c>
      <c r="H754" s="4" t="s">
        <v>4156</v>
      </c>
      <c r="I754" s="4" t="s">
        <v>824</v>
      </c>
    </row>
    <row r="755" spans="1:9" x14ac:dyDescent="0.3">
      <c r="A755">
        <v>758</v>
      </c>
      <c r="B755" s="4" t="s">
        <v>4162</v>
      </c>
      <c r="C755" s="4" t="s">
        <v>4146</v>
      </c>
      <c r="D755" s="4" t="s">
        <v>3001</v>
      </c>
      <c r="E755" s="4" t="s">
        <v>4147</v>
      </c>
      <c r="F755" s="4" t="s">
        <v>4148</v>
      </c>
      <c r="G755" s="4" t="s">
        <v>4153</v>
      </c>
      <c r="H755" s="4" t="s">
        <v>4156</v>
      </c>
      <c r="I755" s="4" t="s">
        <v>824</v>
      </c>
    </row>
    <row r="756" spans="1:9" x14ac:dyDescent="0.3">
      <c r="A756">
        <v>759</v>
      </c>
      <c r="B756" s="4" t="s">
        <v>4162</v>
      </c>
      <c r="C756" s="4" t="s">
        <v>4146</v>
      </c>
      <c r="D756" s="4" t="s">
        <v>2999</v>
      </c>
      <c r="E756" s="4" t="s">
        <v>4151</v>
      </c>
      <c r="F756" s="4" t="s">
        <v>4155</v>
      </c>
      <c r="G756" s="4" t="s">
        <v>4153</v>
      </c>
      <c r="H756" s="4" t="s">
        <v>4156</v>
      </c>
      <c r="I756" s="4" t="s">
        <v>824</v>
      </c>
    </row>
    <row r="757" spans="1:9" x14ac:dyDescent="0.3">
      <c r="A757">
        <v>760</v>
      </c>
      <c r="B757" s="4" t="s">
        <v>4162</v>
      </c>
      <c r="C757" s="4" t="s">
        <v>4146</v>
      </c>
      <c r="D757" s="4" t="s">
        <v>3001</v>
      </c>
      <c r="E757" s="4" t="s">
        <v>4147</v>
      </c>
      <c r="F757" s="4" t="s">
        <v>4155</v>
      </c>
      <c r="G757" s="4" t="s">
        <v>4153</v>
      </c>
      <c r="H757" s="4" t="s">
        <v>4156</v>
      </c>
      <c r="I757" s="4" t="s">
        <v>824</v>
      </c>
    </row>
    <row r="758" spans="1:9" x14ac:dyDescent="0.3">
      <c r="A758">
        <v>761</v>
      </c>
      <c r="B758" s="4" t="s">
        <v>4162</v>
      </c>
      <c r="C758" s="4" t="s">
        <v>4146</v>
      </c>
      <c r="D758" s="4" t="s">
        <v>2999</v>
      </c>
      <c r="E758" s="4" t="s">
        <v>4151</v>
      </c>
      <c r="F758" s="4" t="s">
        <v>4148</v>
      </c>
      <c r="G758" s="4" t="s">
        <v>4149</v>
      </c>
      <c r="H758" s="4" t="s">
        <v>4156</v>
      </c>
      <c r="I758" s="4" t="s">
        <v>824</v>
      </c>
    </row>
    <row r="759" spans="1:9" x14ac:dyDescent="0.3">
      <c r="A759">
        <v>762</v>
      </c>
      <c r="B759" s="4" t="s">
        <v>4162</v>
      </c>
      <c r="C759" s="4" t="s">
        <v>4154</v>
      </c>
      <c r="D759" s="4" t="s">
        <v>2999</v>
      </c>
      <c r="E759" s="4" t="s">
        <v>4151</v>
      </c>
      <c r="F759" s="4" t="s">
        <v>4159</v>
      </c>
      <c r="G759" s="4" t="s">
        <v>4149</v>
      </c>
      <c r="H759" s="4" t="s">
        <v>4156</v>
      </c>
      <c r="I759" s="4" t="s">
        <v>824</v>
      </c>
    </row>
    <row r="760" spans="1:9" x14ac:dyDescent="0.3">
      <c r="A760">
        <v>763</v>
      </c>
      <c r="B760" s="4" t="s">
        <v>4162</v>
      </c>
      <c r="C760" s="4" t="s">
        <v>4146</v>
      </c>
      <c r="D760" s="4" t="s">
        <v>2996</v>
      </c>
      <c r="E760" s="4" t="s">
        <v>4151</v>
      </c>
      <c r="F760" s="4" t="s">
        <v>4152</v>
      </c>
      <c r="G760" s="4" t="s">
        <v>4153</v>
      </c>
      <c r="H760" s="4" t="s">
        <v>4156</v>
      </c>
      <c r="I760" s="4" t="s">
        <v>824</v>
      </c>
    </row>
    <row r="761" spans="1:9" x14ac:dyDescent="0.3">
      <c r="A761">
        <v>764</v>
      </c>
      <c r="B761" s="4" t="s">
        <v>4162</v>
      </c>
      <c r="C761" s="4" t="s">
        <v>4146</v>
      </c>
      <c r="D761" s="4" t="s">
        <v>2994</v>
      </c>
      <c r="E761" s="4" t="s">
        <v>4147</v>
      </c>
      <c r="F761" s="4" t="s">
        <v>4152</v>
      </c>
      <c r="G761" s="4" t="s">
        <v>4153</v>
      </c>
      <c r="H761" s="4" t="s">
        <v>4156</v>
      </c>
      <c r="I761" s="4" t="s">
        <v>824</v>
      </c>
    </row>
    <row r="762" spans="1:9" x14ac:dyDescent="0.3">
      <c r="A762">
        <v>765</v>
      </c>
      <c r="B762" s="4" t="s">
        <v>4162</v>
      </c>
      <c r="C762" s="4" t="s">
        <v>4154</v>
      </c>
      <c r="D762" s="4" t="s">
        <v>2999</v>
      </c>
      <c r="E762" s="4" t="s">
        <v>4151</v>
      </c>
      <c r="F762" s="4" t="s">
        <v>4148</v>
      </c>
      <c r="G762" s="4" t="s">
        <v>4153</v>
      </c>
      <c r="H762" s="4" t="s">
        <v>4156</v>
      </c>
      <c r="I762" s="4" t="s">
        <v>824</v>
      </c>
    </row>
    <row r="763" spans="1:9" x14ac:dyDescent="0.3">
      <c r="A763">
        <v>766</v>
      </c>
      <c r="B763" s="4" t="s">
        <v>4162</v>
      </c>
      <c r="C763" s="4" t="s">
        <v>4146</v>
      </c>
      <c r="D763" s="4" t="s">
        <v>3001</v>
      </c>
      <c r="E763" s="4" t="s">
        <v>4147</v>
      </c>
      <c r="F763" s="4" t="s">
        <v>4155</v>
      </c>
      <c r="G763" s="4" t="s">
        <v>4153</v>
      </c>
      <c r="H763" s="4" t="s">
        <v>4156</v>
      </c>
      <c r="I763" s="4" t="s">
        <v>824</v>
      </c>
    </row>
    <row r="764" spans="1:9" x14ac:dyDescent="0.3">
      <c r="A764">
        <v>767</v>
      </c>
      <c r="B764" s="4" t="s">
        <v>4162</v>
      </c>
      <c r="C764" s="4" t="s">
        <v>4154</v>
      </c>
      <c r="D764" s="4" t="s">
        <v>2999</v>
      </c>
      <c r="E764" s="4" t="s">
        <v>4151</v>
      </c>
      <c r="F764" s="4" t="s">
        <v>4148</v>
      </c>
      <c r="G764" s="4" t="s">
        <v>4149</v>
      </c>
      <c r="H764" s="4" t="s">
        <v>4156</v>
      </c>
      <c r="I764" s="4" t="s">
        <v>824</v>
      </c>
    </row>
    <row r="765" spans="1:9" x14ac:dyDescent="0.3">
      <c r="A765">
        <v>768</v>
      </c>
      <c r="B765" s="4" t="s">
        <v>4162</v>
      </c>
      <c r="C765" s="4" t="s">
        <v>4154</v>
      </c>
      <c r="D765" s="4" t="s">
        <v>2999</v>
      </c>
      <c r="E765" s="4" t="s">
        <v>4151</v>
      </c>
      <c r="F765" s="4" t="s">
        <v>4148</v>
      </c>
      <c r="G765" s="4" t="s">
        <v>4149</v>
      </c>
      <c r="H765" s="4" t="s">
        <v>4156</v>
      </c>
      <c r="I765" s="4" t="s">
        <v>824</v>
      </c>
    </row>
    <row r="766" spans="1:9" x14ac:dyDescent="0.3">
      <c r="A766">
        <v>769</v>
      </c>
      <c r="B766" s="4" t="s">
        <v>4162</v>
      </c>
      <c r="C766" s="4" t="s">
        <v>4154</v>
      </c>
      <c r="D766" s="4" t="s">
        <v>2999</v>
      </c>
      <c r="E766" s="4" t="s">
        <v>4151</v>
      </c>
      <c r="F766" s="4" t="s">
        <v>4148</v>
      </c>
      <c r="G766" s="4" t="s">
        <v>4149</v>
      </c>
      <c r="H766" s="4" t="s">
        <v>4156</v>
      </c>
      <c r="I766" s="4" t="s">
        <v>824</v>
      </c>
    </row>
    <row r="767" spans="1:9" x14ac:dyDescent="0.3">
      <c r="A767">
        <v>770</v>
      </c>
      <c r="B767" s="4" t="s">
        <v>4162</v>
      </c>
      <c r="C767" s="4" t="s">
        <v>4154</v>
      </c>
      <c r="D767" s="4" t="s">
        <v>2999</v>
      </c>
      <c r="E767" s="4" t="s">
        <v>4151</v>
      </c>
      <c r="F767" s="4" t="s">
        <v>4148</v>
      </c>
      <c r="G767" s="4" t="s">
        <v>4149</v>
      </c>
      <c r="H767" s="4" t="s">
        <v>4156</v>
      </c>
      <c r="I767" s="4" t="s">
        <v>824</v>
      </c>
    </row>
    <row r="768" spans="1:9" x14ac:dyDescent="0.3">
      <c r="A768">
        <v>771</v>
      </c>
      <c r="B768" s="4" t="s">
        <v>4162</v>
      </c>
      <c r="C768" s="4" t="s">
        <v>4154</v>
      </c>
      <c r="D768" s="4" t="s">
        <v>2999</v>
      </c>
      <c r="E768" s="4" t="s">
        <v>4151</v>
      </c>
      <c r="F768" s="4" t="s">
        <v>4155</v>
      </c>
      <c r="G768" s="4" t="s">
        <v>4149</v>
      </c>
      <c r="H768" s="4" t="s">
        <v>4156</v>
      </c>
      <c r="I768" s="4" t="s">
        <v>824</v>
      </c>
    </row>
    <row r="769" spans="1:9" x14ac:dyDescent="0.3">
      <c r="A769">
        <v>772</v>
      </c>
      <c r="B769" s="4" t="s">
        <v>4162</v>
      </c>
      <c r="C769" s="4" t="s">
        <v>4146</v>
      </c>
      <c r="D769" s="4" t="s">
        <v>2994</v>
      </c>
      <c r="E769" s="4" t="s">
        <v>4147</v>
      </c>
      <c r="F769" s="4" t="s">
        <v>4148</v>
      </c>
      <c r="G769" s="4" t="s">
        <v>4149</v>
      </c>
      <c r="H769" s="4" t="s">
        <v>4156</v>
      </c>
      <c r="I769" s="4" t="s">
        <v>4160</v>
      </c>
    </row>
    <row r="770" spans="1:9" x14ac:dyDescent="0.3">
      <c r="A770">
        <v>773</v>
      </c>
      <c r="B770" s="4" t="s">
        <v>4162</v>
      </c>
      <c r="C770" s="4" t="s">
        <v>4154</v>
      </c>
      <c r="D770" s="4" t="s">
        <v>2999</v>
      </c>
      <c r="E770" s="4" t="s">
        <v>4151</v>
      </c>
      <c r="F770" s="4" t="s">
        <v>4159</v>
      </c>
      <c r="G770" s="4" t="s">
        <v>4149</v>
      </c>
      <c r="H770" s="4" t="s">
        <v>4156</v>
      </c>
      <c r="I770" s="4" t="s">
        <v>824</v>
      </c>
    </row>
    <row r="771" spans="1:9" x14ac:dyDescent="0.3">
      <c r="A771">
        <v>774</v>
      </c>
      <c r="B771" s="4" t="s">
        <v>4162</v>
      </c>
      <c r="C771" s="4" t="s">
        <v>4154</v>
      </c>
      <c r="D771" s="4" t="s">
        <v>2999</v>
      </c>
      <c r="E771" s="4" t="s">
        <v>4151</v>
      </c>
      <c r="F771" s="4" t="s">
        <v>4155</v>
      </c>
      <c r="G771" s="4" t="s">
        <v>4149</v>
      </c>
      <c r="H771" s="4" t="s">
        <v>4156</v>
      </c>
      <c r="I771" s="4" t="s">
        <v>824</v>
      </c>
    </row>
    <row r="772" spans="1:9" x14ac:dyDescent="0.3">
      <c r="A772">
        <v>775</v>
      </c>
      <c r="B772" s="4" t="s">
        <v>4162</v>
      </c>
      <c r="C772" s="4" t="s">
        <v>4154</v>
      </c>
      <c r="D772" s="4" t="s">
        <v>2999</v>
      </c>
      <c r="E772" s="4" t="s">
        <v>4151</v>
      </c>
      <c r="F772" s="4" t="s">
        <v>4155</v>
      </c>
      <c r="G772" s="4" t="s">
        <v>4149</v>
      </c>
      <c r="H772" s="4" t="s">
        <v>4156</v>
      </c>
      <c r="I772" s="4" t="s">
        <v>824</v>
      </c>
    </row>
    <row r="773" spans="1:9" x14ac:dyDescent="0.3">
      <c r="A773">
        <v>776</v>
      </c>
      <c r="B773" s="4" t="s">
        <v>4162</v>
      </c>
      <c r="C773" s="4" t="s">
        <v>4154</v>
      </c>
      <c r="D773" s="4" t="s">
        <v>2999</v>
      </c>
      <c r="E773" s="4" t="s">
        <v>4151</v>
      </c>
      <c r="F773" s="4" t="s">
        <v>4148</v>
      </c>
      <c r="G773" s="4" t="s">
        <v>4149</v>
      </c>
      <c r="H773" s="4" t="s">
        <v>4156</v>
      </c>
      <c r="I773" s="4" t="s">
        <v>4178</v>
      </c>
    </row>
    <row r="774" spans="1:9" x14ac:dyDescent="0.3">
      <c r="A774">
        <v>777</v>
      </c>
      <c r="B774" s="4" t="s">
        <v>4162</v>
      </c>
      <c r="C774" s="4" t="s">
        <v>4154</v>
      </c>
      <c r="D774" s="4" t="s">
        <v>2999</v>
      </c>
      <c r="E774" s="4" t="s">
        <v>4151</v>
      </c>
      <c r="F774" s="4" t="s">
        <v>4155</v>
      </c>
      <c r="G774" s="4" t="s">
        <v>4149</v>
      </c>
      <c r="H774" s="4" t="s">
        <v>4156</v>
      </c>
      <c r="I774" s="4" t="s">
        <v>4160</v>
      </c>
    </row>
    <row r="775" spans="1:9" x14ac:dyDescent="0.3">
      <c r="A775">
        <v>778</v>
      </c>
      <c r="B775" s="4" t="s">
        <v>4162</v>
      </c>
      <c r="C775" s="4" t="s">
        <v>4146</v>
      </c>
      <c r="D775" s="4" t="s">
        <v>2999</v>
      </c>
      <c r="E775" s="4" t="s">
        <v>4151</v>
      </c>
      <c r="F775" s="4" t="s">
        <v>4148</v>
      </c>
      <c r="G775" s="4" t="s">
        <v>4149</v>
      </c>
      <c r="H775" s="4" t="s">
        <v>4156</v>
      </c>
      <c r="I775" s="4" t="s">
        <v>824</v>
      </c>
    </row>
    <row r="776" spans="1:9" x14ac:dyDescent="0.3">
      <c r="A776">
        <v>779</v>
      </c>
      <c r="B776" s="4" t="s">
        <v>4162</v>
      </c>
      <c r="C776" s="4" t="s">
        <v>4146</v>
      </c>
      <c r="D776" s="4" t="s">
        <v>2994</v>
      </c>
      <c r="E776" s="4" t="s">
        <v>4147</v>
      </c>
      <c r="F776" s="4" t="s">
        <v>4148</v>
      </c>
      <c r="G776" s="4" t="s">
        <v>4149</v>
      </c>
      <c r="H776" s="4" t="s">
        <v>4156</v>
      </c>
      <c r="I776" s="4" t="s">
        <v>824</v>
      </c>
    </row>
    <row r="777" spans="1:9" x14ac:dyDescent="0.3">
      <c r="A777">
        <v>780</v>
      </c>
      <c r="B777" s="4" t="s">
        <v>4162</v>
      </c>
      <c r="C777" s="4" t="s">
        <v>4154</v>
      </c>
      <c r="D777" s="4" t="s">
        <v>2994</v>
      </c>
      <c r="E777" s="4" t="s">
        <v>4147</v>
      </c>
      <c r="F777" s="4" t="s">
        <v>4148</v>
      </c>
      <c r="G777" s="4" t="s">
        <v>4149</v>
      </c>
      <c r="H777" s="4" t="s">
        <v>4156</v>
      </c>
      <c r="I777" s="4" t="s">
        <v>4160</v>
      </c>
    </row>
    <row r="778" spans="1:9" x14ac:dyDescent="0.3">
      <c r="A778">
        <v>781</v>
      </c>
      <c r="B778" s="4" t="s">
        <v>4162</v>
      </c>
      <c r="C778" s="4" t="s">
        <v>4146</v>
      </c>
      <c r="D778" s="4" t="s">
        <v>2994</v>
      </c>
      <c r="E778" s="4" t="s">
        <v>4147</v>
      </c>
      <c r="F778" s="4" t="s">
        <v>4148</v>
      </c>
      <c r="G778" s="4" t="s">
        <v>4149</v>
      </c>
      <c r="H778" s="4" t="s">
        <v>4156</v>
      </c>
      <c r="I778" s="4" t="s">
        <v>824</v>
      </c>
    </row>
    <row r="779" spans="1:9" x14ac:dyDescent="0.3">
      <c r="A779">
        <v>782</v>
      </c>
      <c r="B779" s="4" t="s">
        <v>4162</v>
      </c>
      <c r="C779" s="4" t="s">
        <v>4154</v>
      </c>
      <c r="D779" s="4" t="s">
        <v>2999</v>
      </c>
      <c r="E779" s="4" t="s">
        <v>4151</v>
      </c>
      <c r="F779" s="4" t="s">
        <v>4155</v>
      </c>
      <c r="G779" s="4" t="s">
        <v>4149</v>
      </c>
      <c r="H779" s="4" t="s">
        <v>4156</v>
      </c>
      <c r="I779" s="4" t="s">
        <v>4178</v>
      </c>
    </row>
    <row r="780" spans="1:9" x14ac:dyDescent="0.3">
      <c r="A780">
        <v>783</v>
      </c>
      <c r="B780" s="4" t="s">
        <v>4162</v>
      </c>
      <c r="C780" s="4" t="s">
        <v>4154</v>
      </c>
      <c r="D780" s="4" t="s">
        <v>2999</v>
      </c>
      <c r="E780" s="4" t="s">
        <v>4151</v>
      </c>
      <c r="F780" s="4" t="s">
        <v>4157</v>
      </c>
      <c r="G780" s="4" t="s">
        <v>4149</v>
      </c>
      <c r="H780" s="4" t="s">
        <v>4156</v>
      </c>
      <c r="I780" s="4" t="s">
        <v>4160</v>
      </c>
    </row>
    <row r="781" spans="1:9" x14ac:dyDescent="0.3">
      <c r="A781">
        <v>784</v>
      </c>
      <c r="B781" s="4" t="s">
        <v>4162</v>
      </c>
      <c r="C781" s="4" t="s">
        <v>4146</v>
      </c>
      <c r="D781" s="4" t="s">
        <v>2999</v>
      </c>
      <c r="E781" s="4" t="s">
        <v>4151</v>
      </c>
      <c r="F781" s="4" t="s">
        <v>4148</v>
      </c>
      <c r="G781" s="4" t="s">
        <v>4149</v>
      </c>
      <c r="H781" s="4" t="s">
        <v>4156</v>
      </c>
      <c r="I781" s="4" t="s">
        <v>824</v>
      </c>
    </row>
    <row r="782" spans="1:9" x14ac:dyDescent="0.3">
      <c r="A782">
        <v>785</v>
      </c>
      <c r="B782" s="4" t="s">
        <v>4162</v>
      </c>
      <c r="C782" s="4" t="s">
        <v>4154</v>
      </c>
      <c r="D782" s="4" t="s">
        <v>2999</v>
      </c>
      <c r="E782" s="4" t="s">
        <v>4151</v>
      </c>
      <c r="F782" s="4" t="s">
        <v>4148</v>
      </c>
      <c r="G782" s="4" t="s">
        <v>4153</v>
      </c>
      <c r="H782" s="4" t="s">
        <v>4156</v>
      </c>
      <c r="I782" s="4" t="s">
        <v>824</v>
      </c>
    </row>
    <row r="783" spans="1:9" x14ac:dyDescent="0.3">
      <c r="A783">
        <v>786</v>
      </c>
      <c r="B783" s="4" t="s">
        <v>4162</v>
      </c>
      <c r="C783" s="4" t="s">
        <v>4146</v>
      </c>
      <c r="D783" s="4" t="s">
        <v>3001</v>
      </c>
      <c r="E783" s="4" t="s">
        <v>4147</v>
      </c>
      <c r="F783" s="4" t="s">
        <v>4148</v>
      </c>
      <c r="G783" s="4" t="s">
        <v>4153</v>
      </c>
      <c r="H783" s="4" t="s">
        <v>4156</v>
      </c>
      <c r="I783" s="4" t="s">
        <v>824</v>
      </c>
    </row>
    <row r="784" spans="1:9" x14ac:dyDescent="0.3">
      <c r="A784">
        <v>787</v>
      </c>
      <c r="B784" s="4" t="s">
        <v>4162</v>
      </c>
      <c r="C784" s="4" t="s">
        <v>4154</v>
      </c>
      <c r="D784" s="4" t="s">
        <v>2999</v>
      </c>
      <c r="E784" s="4" t="s">
        <v>4151</v>
      </c>
      <c r="F784" s="4" t="s">
        <v>4159</v>
      </c>
      <c r="G784" s="4" t="s">
        <v>4149</v>
      </c>
      <c r="H784" s="4" t="s">
        <v>4156</v>
      </c>
      <c r="I784" s="4" t="s">
        <v>824</v>
      </c>
    </row>
    <row r="785" spans="1:9" x14ac:dyDescent="0.3">
      <c r="A785">
        <v>788</v>
      </c>
      <c r="B785" s="4" t="s">
        <v>4162</v>
      </c>
      <c r="C785" s="4" t="s">
        <v>4154</v>
      </c>
      <c r="D785" s="4" t="s">
        <v>2999</v>
      </c>
      <c r="E785" s="4" t="s">
        <v>4151</v>
      </c>
      <c r="F785" s="4" t="s">
        <v>4159</v>
      </c>
      <c r="G785" s="4" t="s">
        <v>4149</v>
      </c>
      <c r="H785" s="4" t="s">
        <v>4156</v>
      </c>
      <c r="I785" s="4" t="s">
        <v>824</v>
      </c>
    </row>
    <row r="786" spans="1:9" x14ac:dyDescent="0.3">
      <c r="A786">
        <v>789</v>
      </c>
      <c r="B786" s="4" t="s">
        <v>4162</v>
      </c>
      <c r="C786" s="4" t="s">
        <v>4154</v>
      </c>
      <c r="D786" s="4" t="s">
        <v>2999</v>
      </c>
      <c r="E786" s="4" t="s">
        <v>4151</v>
      </c>
      <c r="F786" s="4" t="s">
        <v>4155</v>
      </c>
      <c r="G786" s="4" t="s">
        <v>4149</v>
      </c>
      <c r="H786" s="4" t="s">
        <v>4156</v>
      </c>
      <c r="I786" s="4" t="s">
        <v>824</v>
      </c>
    </row>
    <row r="787" spans="1:9" x14ac:dyDescent="0.3">
      <c r="A787">
        <v>790</v>
      </c>
      <c r="B787" s="4" t="s">
        <v>4162</v>
      </c>
      <c r="C787" s="4" t="s">
        <v>4154</v>
      </c>
      <c r="D787" s="4" t="s">
        <v>2999</v>
      </c>
      <c r="E787" s="4" t="s">
        <v>4151</v>
      </c>
      <c r="F787" s="4" t="s">
        <v>4148</v>
      </c>
      <c r="G787" s="4" t="s">
        <v>4149</v>
      </c>
      <c r="H787" s="4" t="s">
        <v>4156</v>
      </c>
      <c r="I787" s="4" t="s">
        <v>4178</v>
      </c>
    </row>
    <row r="788" spans="1:9" x14ac:dyDescent="0.3">
      <c r="A788">
        <v>791</v>
      </c>
      <c r="B788" s="4" t="s">
        <v>4162</v>
      </c>
      <c r="C788" s="4" t="s">
        <v>4154</v>
      </c>
      <c r="D788" s="4" t="s">
        <v>2999</v>
      </c>
      <c r="E788" s="4" t="s">
        <v>4151</v>
      </c>
      <c r="F788" s="4" t="s">
        <v>4155</v>
      </c>
      <c r="G788" s="4" t="s">
        <v>4153</v>
      </c>
      <c r="H788" s="4" t="s">
        <v>4156</v>
      </c>
      <c r="I788" s="4" t="s">
        <v>4178</v>
      </c>
    </row>
    <row r="789" spans="1:9" x14ac:dyDescent="0.3">
      <c r="A789">
        <v>792</v>
      </c>
      <c r="B789" s="4" t="s">
        <v>4162</v>
      </c>
      <c r="C789" s="4" t="s">
        <v>4154</v>
      </c>
      <c r="D789" s="4" t="s">
        <v>2999</v>
      </c>
      <c r="E789" s="4" t="s">
        <v>4151</v>
      </c>
      <c r="F789" s="4" t="s">
        <v>4159</v>
      </c>
      <c r="G789" s="4" t="s">
        <v>4153</v>
      </c>
      <c r="H789" s="4" t="s">
        <v>4156</v>
      </c>
      <c r="I789" s="4" t="s">
        <v>4178</v>
      </c>
    </row>
    <row r="790" spans="1:9" x14ac:dyDescent="0.3">
      <c r="A790">
        <v>793</v>
      </c>
      <c r="B790" s="4" t="s">
        <v>4162</v>
      </c>
      <c r="C790" s="4" t="s">
        <v>4154</v>
      </c>
      <c r="D790" s="4" t="s">
        <v>2999</v>
      </c>
      <c r="E790" s="4" t="s">
        <v>4151</v>
      </c>
      <c r="F790" s="4" t="s">
        <v>4159</v>
      </c>
      <c r="G790" s="4" t="s">
        <v>4153</v>
      </c>
      <c r="H790" s="4" t="s">
        <v>4156</v>
      </c>
      <c r="I790" s="4" t="s">
        <v>4178</v>
      </c>
    </row>
    <row r="791" spans="1:9" x14ac:dyDescent="0.3">
      <c r="A791">
        <v>794</v>
      </c>
      <c r="B791" s="4" t="s">
        <v>4162</v>
      </c>
      <c r="C791" s="4" t="s">
        <v>4154</v>
      </c>
      <c r="D791" s="4" t="s">
        <v>2999</v>
      </c>
      <c r="E791" s="4" t="s">
        <v>4151</v>
      </c>
      <c r="F791" s="4" t="s">
        <v>4155</v>
      </c>
      <c r="G791" s="4" t="s">
        <v>4149</v>
      </c>
      <c r="H791" s="4" t="s">
        <v>4156</v>
      </c>
      <c r="I791" s="4" t="s">
        <v>824</v>
      </c>
    </row>
    <row r="792" spans="1:9" x14ac:dyDescent="0.3">
      <c r="A792">
        <v>795</v>
      </c>
      <c r="B792" s="4" t="s">
        <v>4162</v>
      </c>
      <c r="C792" s="4" t="s">
        <v>4146</v>
      </c>
      <c r="D792" s="4" t="s">
        <v>2994</v>
      </c>
      <c r="E792" s="4" t="s">
        <v>4147</v>
      </c>
      <c r="F792" s="4" t="s">
        <v>4152</v>
      </c>
      <c r="G792" s="4" t="s">
        <v>4149</v>
      </c>
      <c r="H792" s="4" t="s">
        <v>4156</v>
      </c>
      <c r="I792" s="4" t="s">
        <v>824</v>
      </c>
    </row>
    <row r="793" spans="1:9" x14ac:dyDescent="0.3">
      <c r="A793">
        <v>796</v>
      </c>
      <c r="B793" s="4" t="s">
        <v>4162</v>
      </c>
      <c r="C793" s="4" t="s">
        <v>4154</v>
      </c>
      <c r="D793" s="4" t="s">
        <v>2999</v>
      </c>
      <c r="E793" s="4" t="s">
        <v>4151</v>
      </c>
      <c r="F793" s="4" t="s">
        <v>4148</v>
      </c>
      <c r="G793" s="4" t="s">
        <v>4149</v>
      </c>
      <c r="H793" s="4" t="s">
        <v>4156</v>
      </c>
      <c r="I793" s="4" t="s">
        <v>4178</v>
      </c>
    </row>
    <row r="794" spans="1:9" x14ac:dyDescent="0.3">
      <c r="A794">
        <v>797</v>
      </c>
      <c r="B794" s="4" t="s">
        <v>4162</v>
      </c>
      <c r="C794" s="4" t="s">
        <v>4154</v>
      </c>
      <c r="D794" s="4" t="s">
        <v>2999</v>
      </c>
      <c r="E794" s="4" t="s">
        <v>4151</v>
      </c>
      <c r="F794" s="4" t="s">
        <v>4155</v>
      </c>
      <c r="G794" s="4" t="s">
        <v>4149</v>
      </c>
      <c r="H794" s="4" t="s">
        <v>4156</v>
      </c>
      <c r="I794" s="4" t="s">
        <v>824</v>
      </c>
    </row>
    <row r="795" spans="1:9" x14ac:dyDescent="0.3">
      <c r="A795">
        <v>798</v>
      </c>
      <c r="B795" s="4" t="s">
        <v>4162</v>
      </c>
      <c r="C795" s="4" t="s">
        <v>4154</v>
      </c>
      <c r="D795" s="4" t="s">
        <v>2999</v>
      </c>
      <c r="E795" s="4" t="s">
        <v>4151</v>
      </c>
      <c r="F795" s="4" t="s">
        <v>4155</v>
      </c>
      <c r="G795" s="4" t="s">
        <v>4149</v>
      </c>
      <c r="H795" s="4" t="s">
        <v>4156</v>
      </c>
      <c r="I795" s="4" t="s">
        <v>4160</v>
      </c>
    </row>
    <row r="796" spans="1:9" x14ac:dyDescent="0.3">
      <c r="A796">
        <v>799</v>
      </c>
      <c r="B796" s="4" t="s">
        <v>4162</v>
      </c>
      <c r="C796" s="4" t="s">
        <v>4146</v>
      </c>
      <c r="D796" s="4" t="s">
        <v>2999</v>
      </c>
      <c r="E796" s="4" t="s">
        <v>4151</v>
      </c>
      <c r="F796" s="4" t="s">
        <v>4148</v>
      </c>
      <c r="G796" s="4" t="s">
        <v>4149</v>
      </c>
      <c r="H796" s="4" t="s">
        <v>4156</v>
      </c>
      <c r="I796" s="4" t="s">
        <v>824</v>
      </c>
    </row>
    <row r="797" spans="1:9" x14ac:dyDescent="0.3">
      <c r="A797">
        <v>800</v>
      </c>
      <c r="B797" s="4" t="s">
        <v>4162</v>
      </c>
      <c r="C797" s="4" t="s">
        <v>4154</v>
      </c>
      <c r="D797" s="4" t="s">
        <v>2999</v>
      </c>
      <c r="E797" s="4" t="s">
        <v>4151</v>
      </c>
      <c r="F797" s="4" t="s">
        <v>4159</v>
      </c>
      <c r="G797" s="4" t="s">
        <v>4149</v>
      </c>
      <c r="H797" s="4" t="s">
        <v>4156</v>
      </c>
      <c r="I797" s="4" t="s">
        <v>824</v>
      </c>
    </row>
    <row r="798" spans="1:9" x14ac:dyDescent="0.3">
      <c r="A798">
        <v>801</v>
      </c>
      <c r="B798" s="4" t="s">
        <v>4162</v>
      </c>
      <c r="C798" s="4" t="s">
        <v>4154</v>
      </c>
      <c r="D798" s="4" t="s">
        <v>2994</v>
      </c>
      <c r="E798" s="4" t="s">
        <v>4147</v>
      </c>
      <c r="F798" s="4" t="s">
        <v>4148</v>
      </c>
      <c r="G798" s="4" t="s">
        <v>4149</v>
      </c>
      <c r="H798" s="4" t="s">
        <v>4156</v>
      </c>
      <c r="I798" s="4" t="s">
        <v>4160</v>
      </c>
    </row>
    <row r="799" spans="1:9" x14ac:dyDescent="0.3">
      <c r="A799">
        <v>802</v>
      </c>
      <c r="B799" s="4" t="s">
        <v>4162</v>
      </c>
      <c r="C799" s="4" t="s">
        <v>4154</v>
      </c>
      <c r="D799" s="4" t="s">
        <v>2999</v>
      </c>
      <c r="E799" s="4" t="s">
        <v>4151</v>
      </c>
      <c r="F799" s="4" t="s">
        <v>4148</v>
      </c>
      <c r="G799" s="4" t="s">
        <v>4149</v>
      </c>
      <c r="H799" s="4" t="s">
        <v>4156</v>
      </c>
      <c r="I799" s="4" t="s">
        <v>4160</v>
      </c>
    </row>
    <row r="800" spans="1:9" x14ac:dyDescent="0.3">
      <c r="A800">
        <v>803</v>
      </c>
      <c r="B800" s="4" t="s">
        <v>4162</v>
      </c>
      <c r="C800" s="4" t="s">
        <v>4154</v>
      </c>
      <c r="D800" s="4" t="s">
        <v>2999</v>
      </c>
      <c r="E800" s="4" t="s">
        <v>4151</v>
      </c>
      <c r="F800" s="4" t="s">
        <v>4148</v>
      </c>
      <c r="G800" s="4" t="s">
        <v>4149</v>
      </c>
      <c r="H800" s="4" t="s">
        <v>4156</v>
      </c>
      <c r="I800" s="4" t="s">
        <v>4160</v>
      </c>
    </row>
    <row r="801" spans="1:9" x14ac:dyDescent="0.3">
      <c r="A801">
        <v>804</v>
      </c>
      <c r="B801" s="4" t="s">
        <v>4162</v>
      </c>
      <c r="C801" s="4" t="s">
        <v>4154</v>
      </c>
      <c r="D801" s="4" t="s">
        <v>2999</v>
      </c>
      <c r="E801" s="4" t="s">
        <v>4151</v>
      </c>
      <c r="F801" s="4" t="s">
        <v>4148</v>
      </c>
      <c r="G801" s="4" t="s">
        <v>4149</v>
      </c>
      <c r="H801" s="4" t="s">
        <v>4156</v>
      </c>
      <c r="I801" s="4" t="s">
        <v>4160</v>
      </c>
    </row>
    <row r="802" spans="1:9" x14ac:dyDescent="0.3">
      <c r="A802">
        <v>805</v>
      </c>
      <c r="B802" s="4" t="s">
        <v>4162</v>
      </c>
      <c r="C802" s="4" t="s">
        <v>4154</v>
      </c>
      <c r="D802" s="4" t="s">
        <v>2999</v>
      </c>
      <c r="E802" s="4" t="s">
        <v>4151</v>
      </c>
      <c r="F802" s="4" t="s">
        <v>4148</v>
      </c>
      <c r="G802" s="4" t="s">
        <v>4149</v>
      </c>
      <c r="H802" s="4" t="s">
        <v>4156</v>
      </c>
      <c r="I802" s="4" t="s">
        <v>4160</v>
      </c>
    </row>
    <row r="803" spans="1:9" x14ac:dyDescent="0.3">
      <c r="A803">
        <v>806</v>
      </c>
      <c r="B803" s="4" t="s">
        <v>4162</v>
      </c>
      <c r="C803" s="4" t="s">
        <v>4146</v>
      </c>
      <c r="D803" s="4" t="s">
        <v>2999</v>
      </c>
      <c r="E803" s="4" t="s">
        <v>4151</v>
      </c>
      <c r="F803" s="4" t="s">
        <v>4148</v>
      </c>
      <c r="G803" s="4" t="s">
        <v>4149</v>
      </c>
      <c r="H803" s="4" t="s">
        <v>4158</v>
      </c>
      <c r="I803" s="4" t="s">
        <v>824</v>
      </c>
    </row>
    <row r="804" spans="1:9" x14ac:dyDescent="0.3">
      <c r="A804">
        <v>807</v>
      </c>
      <c r="B804" s="4" t="s">
        <v>4162</v>
      </c>
      <c r="C804" s="4" t="s">
        <v>4154</v>
      </c>
      <c r="D804" s="4" t="s">
        <v>2994</v>
      </c>
      <c r="E804" s="4" t="s">
        <v>4147</v>
      </c>
      <c r="F804" s="4" t="s">
        <v>4148</v>
      </c>
      <c r="G804" s="4" t="s">
        <v>4153</v>
      </c>
      <c r="H804" s="4" t="s">
        <v>4156</v>
      </c>
      <c r="I804" s="4" t="s">
        <v>824</v>
      </c>
    </row>
    <row r="805" spans="1:9" x14ac:dyDescent="0.3">
      <c r="A805">
        <v>808</v>
      </c>
      <c r="B805" s="4" t="s">
        <v>4162</v>
      </c>
      <c r="C805" s="4" t="s">
        <v>4154</v>
      </c>
      <c r="D805" s="4" t="s">
        <v>2994</v>
      </c>
      <c r="E805" s="4" t="s">
        <v>4147</v>
      </c>
      <c r="F805" s="4" t="s">
        <v>4152</v>
      </c>
      <c r="G805" s="4" t="s">
        <v>4153</v>
      </c>
      <c r="H805" s="4" t="s">
        <v>4156</v>
      </c>
      <c r="I805" s="4" t="s">
        <v>824</v>
      </c>
    </row>
    <row r="806" spans="1:9" x14ac:dyDescent="0.3">
      <c r="A806">
        <v>809</v>
      </c>
      <c r="B806" s="4" t="s">
        <v>4162</v>
      </c>
      <c r="C806" s="4" t="s">
        <v>4154</v>
      </c>
      <c r="D806" s="4" t="s">
        <v>2999</v>
      </c>
      <c r="E806" s="4" t="s">
        <v>4151</v>
      </c>
      <c r="F806" s="4" t="s">
        <v>4148</v>
      </c>
      <c r="G806" s="4" t="s">
        <v>4149</v>
      </c>
      <c r="H806" s="4" t="s">
        <v>4156</v>
      </c>
      <c r="I806" s="4" t="s">
        <v>824</v>
      </c>
    </row>
    <row r="807" spans="1:9" x14ac:dyDescent="0.3">
      <c r="A807">
        <v>810</v>
      </c>
      <c r="B807" s="4" t="s">
        <v>4162</v>
      </c>
      <c r="C807" s="4" t="s">
        <v>4154</v>
      </c>
      <c r="D807" s="4" t="s">
        <v>2999</v>
      </c>
      <c r="E807" s="4" t="s">
        <v>4151</v>
      </c>
      <c r="F807" s="4" t="s">
        <v>4159</v>
      </c>
      <c r="G807" s="4" t="s">
        <v>4153</v>
      </c>
      <c r="H807" s="4" t="s">
        <v>4156</v>
      </c>
      <c r="I807" s="4" t="s">
        <v>824</v>
      </c>
    </row>
    <row r="808" spans="1:9" x14ac:dyDescent="0.3">
      <c r="A808">
        <v>811</v>
      </c>
      <c r="B808" s="4" t="s">
        <v>4162</v>
      </c>
      <c r="C808" s="4" t="s">
        <v>4154</v>
      </c>
      <c r="D808" s="4" t="s">
        <v>2999</v>
      </c>
      <c r="E808" s="4" t="s">
        <v>4151</v>
      </c>
      <c r="F808" s="4" t="s">
        <v>4159</v>
      </c>
      <c r="G808" s="4" t="s">
        <v>4153</v>
      </c>
      <c r="H808" s="4" t="s">
        <v>4156</v>
      </c>
      <c r="I808" s="4" t="s">
        <v>824</v>
      </c>
    </row>
    <row r="809" spans="1:9" x14ac:dyDescent="0.3">
      <c r="A809">
        <v>812</v>
      </c>
      <c r="B809" s="4" t="s">
        <v>4162</v>
      </c>
      <c r="C809" s="4" t="s">
        <v>4154</v>
      </c>
      <c r="D809" s="4" t="s">
        <v>3001</v>
      </c>
      <c r="E809" s="4" t="s">
        <v>4147</v>
      </c>
      <c r="F809" s="4" t="s">
        <v>4155</v>
      </c>
      <c r="G809" s="4" t="s">
        <v>4153</v>
      </c>
      <c r="H809" s="4" t="s">
        <v>4156</v>
      </c>
      <c r="I809" s="4" t="s">
        <v>824</v>
      </c>
    </row>
    <row r="810" spans="1:9" x14ac:dyDescent="0.3">
      <c r="A810">
        <v>813</v>
      </c>
      <c r="B810" s="4" t="s">
        <v>4162</v>
      </c>
      <c r="C810" s="4" t="s">
        <v>4154</v>
      </c>
      <c r="D810" s="4" t="s">
        <v>2999</v>
      </c>
      <c r="E810" s="4" t="s">
        <v>4151</v>
      </c>
      <c r="F810" s="4" t="s">
        <v>4148</v>
      </c>
      <c r="G810" s="4" t="s">
        <v>4149</v>
      </c>
      <c r="H810" s="4" t="s">
        <v>4156</v>
      </c>
      <c r="I810" s="4" t="s">
        <v>4160</v>
      </c>
    </row>
    <row r="811" spans="1:9" x14ac:dyDescent="0.3">
      <c r="A811">
        <v>814</v>
      </c>
      <c r="B811" s="4" t="s">
        <v>4162</v>
      </c>
      <c r="C811" s="4" t="s">
        <v>4154</v>
      </c>
      <c r="D811" s="4" t="s">
        <v>2999</v>
      </c>
      <c r="E811" s="4" t="s">
        <v>4151</v>
      </c>
      <c r="F811" s="4" t="s">
        <v>4148</v>
      </c>
      <c r="G811" s="4" t="s">
        <v>4149</v>
      </c>
      <c r="H811" s="4" t="s">
        <v>4156</v>
      </c>
      <c r="I811" s="4" t="s">
        <v>824</v>
      </c>
    </row>
    <row r="812" spans="1:9" x14ac:dyDescent="0.3">
      <c r="A812">
        <v>815</v>
      </c>
      <c r="B812" s="4" t="s">
        <v>4162</v>
      </c>
      <c r="C812" s="4" t="s">
        <v>4154</v>
      </c>
      <c r="D812" s="4" t="s">
        <v>2999</v>
      </c>
      <c r="E812" s="4" t="s">
        <v>4151</v>
      </c>
      <c r="F812" s="4" t="s">
        <v>4148</v>
      </c>
      <c r="G812" s="4" t="s">
        <v>4149</v>
      </c>
      <c r="H812" s="4" t="s">
        <v>4156</v>
      </c>
      <c r="I812" s="4" t="s">
        <v>4160</v>
      </c>
    </row>
    <row r="813" spans="1:9" x14ac:dyDescent="0.3">
      <c r="A813">
        <v>816</v>
      </c>
      <c r="B813" s="4" t="s">
        <v>4162</v>
      </c>
      <c r="C813" s="4" t="s">
        <v>4154</v>
      </c>
      <c r="D813" s="4" t="s">
        <v>2999</v>
      </c>
      <c r="E813" s="4" t="s">
        <v>4151</v>
      </c>
      <c r="F813" s="4" t="s">
        <v>4148</v>
      </c>
      <c r="G813" s="4" t="s">
        <v>4149</v>
      </c>
      <c r="H813" s="4" t="s">
        <v>4156</v>
      </c>
      <c r="I813" s="4" t="s">
        <v>824</v>
      </c>
    </row>
    <row r="814" spans="1:9" x14ac:dyDescent="0.3">
      <c r="A814">
        <v>817</v>
      </c>
      <c r="B814" s="4" t="s">
        <v>4162</v>
      </c>
      <c r="C814" s="4" t="s">
        <v>4154</v>
      </c>
      <c r="D814" s="4" t="s">
        <v>2999</v>
      </c>
      <c r="E814" s="4" t="s">
        <v>4151</v>
      </c>
      <c r="F814" s="4" t="s">
        <v>4148</v>
      </c>
      <c r="G814" s="4" t="s">
        <v>4149</v>
      </c>
      <c r="H814" s="4" t="s">
        <v>4156</v>
      </c>
      <c r="I814" s="4" t="s">
        <v>4178</v>
      </c>
    </row>
    <row r="815" spans="1:9" x14ac:dyDescent="0.3">
      <c r="A815">
        <v>818</v>
      </c>
      <c r="B815" s="4" t="s">
        <v>4162</v>
      </c>
      <c r="C815" s="4" t="s">
        <v>4154</v>
      </c>
      <c r="D815" s="4" t="s">
        <v>2999</v>
      </c>
      <c r="E815" s="4" t="s">
        <v>4151</v>
      </c>
      <c r="F815" s="4" t="s">
        <v>4148</v>
      </c>
      <c r="G815" s="4" t="s">
        <v>4149</v>
      </c>
      <c r="H815" s="4" t="s">
        <v>4156</v>
      </c>
      <c r="I815" s="4" t="s">
        <v>824</v>
      </c>
    </row>
    <row r="816" spans="1:9" x14ac:dyDescent="0.3">
      <c r="A816">
        <v>819</v>
      </c>
      <c r="B816" s="4" t="s">
        <v>4162</v>
      </c>
      <c r="C816" s="4" t="s">
        <v>4146</v>
      </c>
      <c r="D816" s="4" t="s">
        <v>2994</v>
      </c>
      <c r="E816" s="4" t="s">
        <v>4147</v>
      </c>
      <c r="F816" s="4" t="s">
        <v>4159</v>
      </c>
      <c r="G816" s="4" t="s">
        <v>4149</v>
      </c>
      <c r="H816" s="4" t="s">
        <v>4156</v>
      </c>
      <c r="I816" s="4" t="s">
        <v>4160</v>
      </c>
    </row>
    <row r="817" spans="1:9" x14ac:dyDescent="0.3">
      <c r="A817">
        <v>820</v>
      </c>
      <c r="B817" s="4" t="s">
        <v>4162</v>
      </c>
      <c r="C817" s="4" t="s">
        <v>4146</v>
      </c>
      <c r="D817" s="4" t="s">
        <v>2994</v>
      </c>
      <c r="E817" s="4" t="s">
        <v>4147</v>
      </c>
      <c r="F817" s="4" t="s">
        <v>4148</v>
      </c>
      <c r="G817" s="4" t="s">
        <v>4149</v>
      </c>
      <c r="H817" s="4" t="s">
        <v>4156</v>
      </c>
      <c r="I817" s="4" t="s">
        <v>4160</v>
      </c>
    </row>
    <row r="818" spans="1:9" x14ac:dyDescent="0.3">
      <c r="A818">
        <v>821</v>
      </c>
      <c r="B818" s="4" t="s">
        <v>4162</v>
      </c>
      <c r="C818" s="4" t="s">
        <v>4146</v>
      </c>
      <c r="D818" s="4" t="s">
        <v>2996</v>
      </c>
      <c r="E818" s="4" t="s">
        <v>4151</v>
      </c>
      <c r="F818" s="4" t="s">
        <v>4152</v>
      </c>
      <c r="G818" s="4" t="s">
        <v>4153</v>
      </c>
      <c r="H818" s="4" t="s">
        <v>4156</v>
      </c>
      <c r="I818" s="4" t="s">
        <v>824</v>
      </c>
    </row>
    <row r="819" spans="1:9" x14ac:dyDescent="0.3">
      <c r="A819">
        <v>822</v>
      </c>
      <c r="B819" s="4" t="s">
        <v>4162</v>
      </c>
      <c r="C819" s="4" t="s">
        <v>4154</v>
      </c>
      <c r="D819" s="4" t="s">
        <v>2999</v>
      </c>
      <c r="E819" s="4" t="s">
        <v>4151</v>
      </c>
      <c r="F819" s="4" t="s">
        <v>4155</v>
      </c>
      <c r="G819" s="4" t="s">
        <v>4153</v>
      </c>
      <c r="H819" s="4" t="s">
        <v>4156</v>
      </c>
      <c r="I819" s="4" t="s">
        <v>824</v>
      </c>
    </row>
    <row r="820" spans="1:9" x14ac:dyDescent="0.3">
      <c r="A820">
        <v>823</v>
      </c>
      <c r="B820" s="4" t="s">
        <v>4162</v>
      </c>
      <c r="C820" s="4" t="s">
        <v>4154</v>
      </c>
      <c r="D820" s="4" t="s">
        <v>2999</v>
      </c>
      <c r="E820" s="4" t="s">
        <v>4151</v>
      </c>
      <c r="F820" s="4" t="s">
        <v>4155</v>
      </c>
      <c r="G820" s="4" t="s">
        <v>4149</v>
      </c>
      <c r="H820" s="4" t="s">
        <v>4156</v>
      </c>
      <c r="I820" s="4" t="s">
        <v>824</v>
      </c>
    </row>
    <row r="821" spans="1:9" x14ac:dyDescent="0.3">
      <c r="A821">
        <v>824</v>
      </c>
      <c r="B821" s="4" t="s">
        <v>4162</v>
      </c>
      <c r="C821" s="4" t="s">
        <v>4146</v>
      </c>
      <c r="D821" s="4" t="s">
        <v>3001</v>
      </c>
      <c r="E821" s="4" t="s">
        <v>4147</v>
      </c>
      <c r="F821" s="4" t="s">
        <v>4155</v>
      </c>
      <c r="G821" s="4" t="s">
        <v>4153</v>
      </c>
      <c r="H821" s="4" t="s">
        <v>4156</v>
      </c>
      <c r="I821" s="4" t="s">
        <v>824</v>
      </c>
    </row>
    <row r="822" spans="1:9" x14ac:dyDescent="0.3">
      <c r="A822">
        <v>825</v>
      </c>
      <c r="B822" s="4" t="s">
        <v>4162</v>
      </c>
      <c r="C822" s="4" t="s">
        <v>4154</v>
      </c>
      <c r="D822" s="4" t="s">
        <v>2999</v>
      </c>
      <c r="E822" s="4" t="s">
        <v>4151</v>
      </c>
      <c r="F822" s="4" t="s">
        <v>4155</v>
      </c>
      <c r="G822" s="4" t="s">
        <v>4149</v>
      </c>
      <c r="H822" s="4" t="s">
        <v>4156</v>
      </c>
      <c r="I822" s="4" t="s">
        <v>824</v>
      </c>
    </row>
    <row r="823" spans="1:9" x14ac:dyDescent="0.3">
      <c r="A823">
        <v>826</v>
      </c>
      <c r="B823" s="4" t="s">
        <v>4162</v>
      </c>
      <c r="C823" s="4" t="s">
        <v>4154</v>
      </c>
      <c r="D823" s="4" t="s">
        <v>2996</v>
      </c>
      <c r="E823" s="4" t="s">
        <v>4151</v>
      </c>
      <c r="F823" s="4" t="s">
        <v>4152</v>
      </c>
      <c r="G823" s="4" t="s">
        <v>4153</v>
      </c>
      <c r="H823" s="4" t="s">
        <v>4156</v>
      </c>
      <c r="I823" s="4" t="s">
        <v>824</v>
      </c>
    </row>
    <row r="824" spans="1:9" x14ac:dyDescent="0.3">
      <c r="A824">
        <v>827</v>
      </c>
      <c r="B824" s="4" t="s">
        <v>4162</v>
      </c>
      <c r="C824" s="4" t="s">
        <v>4154</v>
      </c>
      <c r="D824" s="4" t="s">
        <v>2996</v>
      </c>
      <c r="E824" s="4" t="s">
        <v>4151</v>
      </c>
      <c r="F824" s="4" t="s">
        <v>4152</v>
      </c>
      <c r="G824" s="4" t="s">
        <v>4153</v>
      </c>
      <c r="H824" s="4" t="s">
        <v>4156</v>
      </c>
      <c r="I824" s="4" t="s">
        <v>824</v>
      </c>
    </row>
    <row r="825" spans="1:9" x14ac:dyDescent="0.3">
      <c r="A825">
        <v>828</v>
      </c>
      <c r="B825" s="4" t="s">
        <v>4162</v>
      </c>
      <c r="C825" s="4" t="s">
        <v>4154</v>
      </c>
      <c r="D825" s="4" t="s">
        <v>2996</v>
      </c>
      <c r="E825" s="4" t="s">
        <v>4151</v>
      </c>
      <c r="F825" s="4" t="s">
        <v>4152</v>
      </c>
      <c r="G825" s="4" t="s">
        <v>4153</v>
      </c>
      <c r="H825" s="4" t="s">
        <v>4156</v>
      </c>
      <c r="I825" s="4" t="s">
        <v>824</v>
      </c>
    </row>
    <row r="826" spans="1:9" x14ac:dyDescent="0.3">
      <c r="A826">
        <v>829</v>
      </c>
      <c r="B826" s="4" t="s">
        <v>4162</v>
      </c>
      <c r="C826" s="4" t="s">
        <v>4154</v>
      </c>
      <c r="D826" s="4" t="s">
        <v>2994</v>
      </c>
      <c r="E826" s="4" t="s">
        <v>4147</v>
      </c>
      <c r="F826" s="4" t="s">
        <v>4152</v>
      </c>
      <c r="G826" s="4" t="s">
        <v>4153</v>
      </c>
      <c r="H826" s="4" t="s">
        <v>4156</v>
      </c>
      <c r="I826" s="4" t="s">
        <v>824</v>
      </c>
    </row>
    <row r="827" spans="1:9" x14ac:dyDescent="0.3">
      <c r="A827">
        <v>830</v>
      </c>
      <c r="B827" s="4" t="s">
        <v>4162</v>
      </c>
      <c r="C827" s="4" t="s">
        <v>4154</v>
      </c>
      <c r="D827" s="4" t="s">
        <v>2994</v>
      </c>
      <c r="E827" s="4" t="s">
        <v>4147</v>
      </c>
      <c r="F827" s="4" t="s">
        <v>4159</v>
      </c>
      <c r="G827" s="4" t="s">
        <v>4153</v>
      </c>
      <c r="H827" s="4" t="s">
        <v>4156</v>
      </c>
      <c r="I827" s="4" t="s">
        <v>824</v>
      </c>
    </row>
    <row r="828" spans="1:9" x14ac:dyDescent="0.3">
      <c r="A828">
        <v>831</v>
      </c>
      <c r="B828" s="4" t="s">
        <v>4162</v>
      </c>
      <c r="C828" s="4" t="s">
        <v>4154</v>
      </c>
      <c r="D828" s="4" t="s">
        <v>2999</v>
      </c>
      <c r="E828" s="4" t="s">
        <v>4151</v>
      </c>
      <c r="F828" s="4" t="s">
        <v>4159</v>
      </c>
      <c r="G828" s="4" t="s">
        <v>4153</v>
      </c>
      <c r="H828" s="4" t="s">
        <v>4156</v>
      </c>
      <c r="I828" s="4" t="s">
        <v>824</v>
      </c>
    </row>
    <row r="829" spans="1:9" x14ac:dyDescent="0.3">
      <c r="A829">
        <v>832</v>
      </c>
      <c r="B829" s="4" t="s">
        <v>4162</v>
      </c>
      <c r="C829" s="4" t="s">
        <v>4154</v>
      </c>
      <c r="D829" s="4" t="s">
        <v>2999</v>
      </c>
      <c r="E829" s="4" t="s">
        <v>4151</v>
      </c>
      <c r="F829" s="4" t="s">
        <v>4155</v>
      </c>
      <c r="G829" s="4" t="s">
        <v>4153</v>
      </c>
      <c r="H829" s="4" t="s">
        <v>4156</v>
      </c>
      <c r="I829" s="4" t="s">
        <v>824</v>
      </c>
    </row>
    <row r="830" spans="1:9" x14ac:dyDescent="0.3">
      <c r="A830">
        <v>833</v>
      </c>
      <c r="B830" s="4" t="s">
        <v>4162</v>
      </c>
      <c r="C830" s="4" t="s">
        <v>4154</v>
      </c>
      <c r="D830" s="4" t="s">
        <v>3001</v>
      </c>
      <c r="E830" s="4" t="s">
        <v>4147</v>
      </c>
      <c r="F830" s="4" t="s">
        <v>4155</v>
      </c>
      <c r="G830" s="4" t="s">
        <v>4153</v>
      </c>
      <c r="H830" s="4" t="s">
        <v>4156</v>
      </c>
      <c r="I830" s="4" t="s">
        <v>824</v>
      </c>
    </row>
    <row r="831" spans="1:9" x14ac:dyDescent="0.3">
      <c r="A831">
        <v>834</v>
      </c>
      <c r="B831" s="4" t="s">
        <v>4162</v>
      </c>
      <c r="C831" s="4" t="s">
        <v>4154</v>
      </c>
      <c r="D831" s="4" t="s">
        <v>2999</v>
      </c>
      <c r="E831" s="4" t="s">
        <v>4151</v>
      </c>
      <c r="F831" s="4" t="s">
        <v>4157</v>
      </c>
      <c r="G831" s="4" t="s">
        <v>4149</v>
      </c>
      <c r="H831" s="4" t="s">
        <v>4156</v>
      </c>
      <c r="I831" s="4" t="s">
        <v>824</v>
      </c>
    </row>
    <row r="832" spans="1:9" x14ac:dyDescent="0.3">
      <c r="A832">
        <v>835</v>
      </c>
      <c r="B832" s="4" t="s">
        <v>4162</v>
      </c>
      <c r="C832" s="4" t="s">
        <v>4154</v>
      </c>
      <c r="D832" s="4" t="s">
        <v>2999</v>
      </c>
      <c r="E832" s="4" t="s">
        <v>4151</v>
      </c>
      <c r="F832" s="4" t="s">
        <v>4155</v>
      </c>
      <c r="G832" s="4" t="s">
        <v>4149</v>
      </c>
      <c r="H832" s="4" t="s">
        <v>4156</v>
      </c>
      <c r="I832" s="4" t="s">
        <v>824</v>
      </c>
    </row>
    <row r="833" spans="1:9" x14ac:dyDescent="0.3">
      <c r="A833">
        <v>836</v>
      </c>
      <c r="B833" s="4" t="s">
        <v>4162</v>
      </c>
      <c r="C833" s="4" t="s">
        <v>4154</v>
      </c>
      <c r="D833" s="4" t="s">
        <v>2999</v>
      </c>
      <c r="E833" s="4" t="s">
        <v>4151</v>
      </c>
      <c r="F833" s="4" t="s">
        <v>4148</v>
      </c>
      <c r="G833" s="4" t="s">
        <v>4149</v>
      </c>
      <c r="H833" s="4" t="s">
        <v>4156</v>
      </c>
      <c r="I833" s="4" t="s">
        <v>824</v>
      </c>
    </row>
    <row r="834" spans="1:9" x14ac:dyDescent="0.3">
      <c r="A834">
        <v>837</v>
      </c>
      <c r="B834" s="4" t="s">
        <v>4162</v>
      </c>
      <c r="C834" s="4" t="s">
        <v>4154</v>
      </c>
      <c r="D834" s="4" t="s">
        <v>2999</v>
      </c>
      <c r="E834" s="4" t="s">
        <v>4151</v>
      </c>
      <c r="F834" s="4" t="s">
        <v>4148</v>
      </c>
      <c r="G834" s="4" t="s">
        <v>4149</v>
      </c>
      <c r="H834" s="4" t="s">
        <v>4156</v>
      </c>
      <c r="I834" s="4" t="s">
        <v>824</v>
      </c>
    </row>
    <row r="835" spans="1:9" x14ac:dyDescent="0.3">
      <c r="A835">
        <v>838</v>
      </c>
      <c r="B835" s="4" t="s">
        <v>4162</v>
      </c>
      <c r="C835" s="4" t="s">
        <v>4154</v>
      </c>
      <c r="D835" s="4" t="s">
        <v>2999</v>
      </c>
      <c r="E835" s="4" t="s">
        <v>4151</v>
      </c>
      <c r="F835" s="4" t="s">
        <v>4155</v>
      </c>
      <c r="G835" s="4" t="s">
        <v>4153</v>
      </c>
      <c r="H835" s="4" t="s">
        <v>4156</v>
      </c>
      <c r="I835" s="4" t="s">
        <v>824</v>
      </c>
    </row>
    <row r="836" spans="1:9" x14ac:dyDescent="0.3">
      <c r="A836">
        <v>839</v>
      </c>
      <c r="B836" s="4" t="s">
        <v>4162</v>
      </c>
      <c r="C836" s="4" t="s">
        <v>4154</v>
      </c>
      <c r="D836" s="4" t="s">
        <v>2999</v>
      </c>
      <c r="E836" s="4" t="s">
        <v>4151</v>
      </c>
      <c r="F836" s="4" t="s">
        <v>4148</v>
      </c>
      <c r="G836" s="4" t="s">
        <v>4153</v>
      </c>
      <c r="H836" s="4" t="s">
        <v>4156</v>
      </c>
      <c r="I836" s="4" t="s">
        <v>824</v>
      </c>
    </row>
    <row r="837" spans="1:9" x14ac:dyDescent="0.3">
      <c r="A837">
        <v>840</v>
      </c>
      <c r="B837" s="4" t="s">
        <v>4162</v>
      </c>
      <c r="C837" s="4" t="s">
        <v>4154</v>
      </c>
      <c r="D837" s="4" t="s">
        <v>2999</v>
      </c>
      <c r="E837" s="4" t="s">
        <v>4151</v>
      </c>
      <c r="F837" s="4" t="s">
        <v>4148</v>
      </c>
      <c r="G837" s="4" t="s">
        <v>4149</v>
      </c>
      <c r="H837" s="4" t="s">
        <v>4156</v>
      </c>
      <c r="I837" s="4" t="s">
        <v>824</v>
      </c>
    </row>
    <row r="838" spans="1:9" x14ac:dyDescent="0.3">
      <c r="A838">
        <v>841</v>
      </c>
      <c r="B838" s="4" t="s">
        <v>4162</v>
      </c>
      <c r="C838" s="4" t="s">
        <v>4154</v>
      </c>
      <c r="D838" s="4" t="s">
        <v>2994</v>
      </c>
      <c r="E838" s="4" t="s">
        <v>4147</v>
      </c>
      <c r="F838" s="4" t="s">
        <v>4148</v>
      </c>
      <c r="G838" s="4" t="s">
        <v>4149</v>
      </c>
      <c r="H838" s="4" t="s">
        <v>4156</v>
      </c>
      <c r="I838" s="4" t="s">
        <v>824</v>
      </c>
    </row>
    <row r="839" spans="1:9" x14ac:dyDescent="0.3">
      <c r="A839">
        <v>842</v>
      </c>
      <c r="B839" s="4" t="s">
        <v>4162</v>
      </c>
      <c r="C839" s="4" t="s">
        <v>4154</v>
      </c>
      <c r="D839" s="4" t="s">
        <v>2994</v>
      </c>
      <c r="E839" s="4" t="s">
        <v>4147</v>
      </c>
      <c r="F839" s="4" t="s">
        <v>4159</v>
      </c>
      <c r="G839" s="4" t="s">
        <v>4149</v>
      </c>
      <c r="H839" s="4" t="s">
        <v>4156</v>
      </c>
      <c r="I839" s="4" t="s">
        <v>4160</v>
      </c>
    </row>
    <row r="840" spans="1:9" x14ac:dyDescent="0.3">
      <c r="A840">
        <v>843</v>
      </c>
      <c r="B840" s="4" t="s">
        <v>4162</v>
      </c>
      <c r="C840" s="4" t="s">
        <v>4154</v>
      </c>
      <c r="D840" s="4" t="s">
        <v>2999</v>
      </c>
      <c r="E840" s="4" t="s">
        <v>4151</v>
      </c>
      <c r="F840" s="4" t="s">
        <v>4148</v>
      </c>
      <c r="G840" s="4" t="s">
        <v>4153</v>
      </c>
      <c r="H840" s="4" t="s">
        <v>4156</v>
      </c>
      <c r="I840" s="4" t="s">
        <v>824</v>
      </c>
    </row>
    <row r="841" spans="1:9" x14ac:dyDescent="0.3">
      <c r="A841">
        <v>844</v>
      </c>
      <c r="B841" s="4" t="s">
        <v>4162</v>
      </c>
      <c r="C841" s="4" t="s">
        <v>4154</v>
      </c>
      <c r="D841" s="4" t="s">
        <v>2999</v>
      </c>
      <c r="E841" s="4" t="s">
        <v>4151</v>
      </c>
      <c r="F841" s="4" t="s">
        <v>4148</v>
      </c>
      <c r="G841" s="4" t="s">
        <v>4153</v>
      </c>
      <c r="H841" s="4" t="s">
        <v>4156</v>
      </c>
      <c r="I841" s="4" t="s">
        <v>824</v>
      </c>
    </row>
    <row r="842" spans="1:9" x14ac:dyDescent="0.3">
      <c r="A842">
        <v>845</v>
      </c>
      <c r="B842" s="4" t="s">
        <v>4162</v>
      </c>
      <c r="C842" s="4" t="s">
        <v>4154</v>
      </c>
      <c r="D842" s="4" t="s">
        <v>2999</v>
      </c>
      <c r="E842" s="4" t="s">
        <v>4151</v>
      </c>
      <c r="F842" s="4" t="s">
        <v>4148</v>
      </c>
      <c r="G842" s="4" t="s">
        <v>4153</v>
      </c>
      <c r="H842" s="4" t="s">
        <v>4156</v>
      </c>
      <c r="I842" s="4" t="s">
        <v>824</v>
      </c>
    </row>
    <row r="843" spans="1:9" x14ac:dyDescent="0.3">
      <c r="A843">
        <v>846</v>
      </c>
      <c r="B843" s="4" t="s">
        <v>4162</v>
      </c>
      <c r="C843" s="4" t="s">
        <v>4146</v>
      </c>
      <c r="D843" s="4" t="s">
        <v>3001</v>
      </c>
      <c r="E843" s="4" t="s">
        <v>4147</v>
      </c>
      <c r="F843" s="4" t="s">
        <v>4148</v>
      </c>
      <c r="G843" s="4" t="s">
        <v>4153</v>
      </c>
      <c r="H843" s="4" t="s">
        <v>4156</v>
      </c>
      <c r="I843" s="4" t="s">
        <v>824</v>
      </c>
    </row>
    <row r="844" spans="1:9" x14ac:dyDescent="0.3">
      <c r="A844">
        <v>847</v>
      </c>
      <c r="B844" s="4" t="s">
        <v>4162</v>
      </c>
      <c r="C844" s="4" t="s">
        <v>4154</v>
      </c>
      <c r="D844" s="4" t="s">
        <v>2999</v>
      </c>
      <c r="E844" s="4" t="s">
        <v>4151</v>
      </c>
      <c r="F844" s="4" t="s">
        <v>4148</v>
      </c>
      <c r="G844" s="4" t="s">
        <v>4149</v>
      </c>
      <c r="H844" s="4" t="s">
        <v>4156</v>
      </c>
      <c r="I844" s="4" t="s">
        <v>824</v>
      </c>
    </row>
    <row r="845" spans="1:9" x14ac:dyDescent="0.3">
      <c r="A845">
        <v>848</v>
      </c>
      <c r="B845" s="4" t="s">
        <v>4162</v>
      </c>
      <c r="C845" s="4" t="s">
        <v>4154</v>
      </c>
      <c r="D845" s="4" t="s">
        <v>2999</v>
      </c>
      <c r="E845" s="4" t="s">
        <v>4151</v>
      </c>
      <c r="F845" s="4" t="s">
        <v>4148</v>
      </c>
      <c r="G845" s="4" t="s">
        <v>4149</v>
      </c>
      <c r="H845" s="4" t="s">
        <v>4156</v>
      </c>
      <c r="I845" s="4" t="s">
        <v>4178</v>
      </c>
    </row>
    <row r="846" spans="1:9" x14ac:dyDescent="0.3">
      <c r="A846">
        <v>849</v>
      </c>
      <c r="B846" s="4" t="s">
        <v>4162</v>
      </c>
      <c r="C846" s="4" t="s">
        <v>4154</v>
      </c>
      <c r="D846" s="4" t="s">
        <v>2999</v>
      </c>
      <c r="E846" s="4" t="s">
        <v>4151</v>
      </c>
      <c r="F846" s="4" t="s">
        <v>4155</v>
      </c>
      <c r="G846" s="4" t="s">
        <v>4153</v>
      </c>
      <c r="H846" s="4" t="s">
        <v>4156</v>
      </c>
      <c r="I846" s="4" t="s">
        <v>824</v>
      </c>
    </row>
    <row r="847" spans="1:9" x14ac:dyDescent="0.3">
      <c r="A847">
        <v>850</v>
      </c>
      <c r="B847" s="4" t="s">
        <v>4162</v>
      </c>
      <c r="C847" s="4" t="s">
        <v>4154</v>
      </c>
      <c r="D847" s="4" t="s">
        <v>2999</v>
      </c>
      <c r="E847" s="4" t="s">
        <v>4151</v>
      </c>
      <c r="F847" s="4" t="s">
        <v>4148</v>
      </c>
      <c r="G847" s="4" t="s">
        <v>4153</v>
      </c>
      <c r="H847" s="4" t="s">
        <v>4156</v>
      </c>
      <c r="I847" s="4" t="s">
        <v>824</v>
      </c>
    </row>
    <row r="848" spans="1:9" x14ac:dyDescent="0.3">
      <c r="A848">
        <v>851</v>
      </c>
      <c r="B848" s="4" t="s">
        <v>4162</v>
      </c>
      <c r="C848" s="4" t="s">
        <v>4154</v>
      </c>
      <c r="D848" s="4" t="s">
        <v>2999</v>
      </c>
      <c r="E848" s="4" t="s">
        <v>4151</v>
      </c>
      <c r="F848" s="4" t="s">
        <v>4148</v>
      </c>
      <c r="G848" s="4" t="s">
        <v>4149</v>
      </c>
      <c r="H848" s="4" t="s">
        <v>4156</v>
      </c>
      <c r="I848" s="4" t="s">
        <v>824</v>
      </c>
    </row>
    <row r="849" spans="1:9" x14ac:dyDescent="0.3">
      <c r="A849">
        <v>852</v>
      </c>
      <c r="B849" s="4" t="s">
        <v>4162</v>
      </c>
      <c r="C849" s="4" t="s">
        <v>4146</v>
      </c>
      <c r="D849" s="4" t="s">
        <v>3001</v>
      </c>
      <c r="E849" s="4" t="s">
        <v>4147</v>
      </c>
      <c r="F849" s="4" t="s">
        <v>4155</v>
      </c>
      <c r="G849" s="4" t="s">
        <v>4153</v>
      </c>
      <c r="H849" s="4" t="s">
        <v>4156</v>
      </c>
      <c r="I849" s="4" t="s">
        <v>824</v>
      </c>
    </row>
    <row r="850" spans="1:9" x14ac:dyDescent="0.3">
      <c r="A850">
        <v>853</v>
      </c>
      <c r="B850" s="4" t="s">
        <v>4162</v>
      </c>
      <c r="C850" s="4" t="s">
        <v>4154</v>
      </c>
      <c r="D850" s="4" t="s">
        <v>2994</v>
      </c>
      <c r="E850" s="4" t="s">
        <v>4147</v>
      </c>
      <c r="F850" s="4" t="s">
        <v>4148</v>
      </c>
      <c r="G850" s="4" t="s">
        <v>4149</v>
      </c>
      <c r="H850" s="4" t="s">
        <v>4156</v>
      </c>
      <c r="I850" s="4" t="s">
        <v>824</v>
      </c>
    </row>
    <row r="851" spans="1:9" x14ac:dyDescent="0.3">
      <c r="A851">
        <v>854</v>
      </c>
      <c r="B851" s="4" t="s">
        <v>4162</v>
      </c>
      <c r="C851" s="4" t="s">
        <v>4154</v>
      </c>
      <c r="D851" s="4" t="s">
        <v>2999</v>
      </c>
      <c r="E851" s="4" t="s">
        <v>4151</v>
      </c>
      <c r="F851" s="4" t="s">
        <v>4148</v>
      </c>
      <c r="G851" s="4" t="s">
        <v>4149</v>
      </c>
      <c r="H851" s="4" t="s">
        <v>4156</v>
      </c>
      <c r="I851" s="4" t="s">
        <v>824</v>
      </c>
    </row>
    <row r="852" spans="1:9" x14ac:dyDescent="0.3">
      <c r="A852">
        <v>855</v>
      </c>
      <c r="B852" s="4" t="s">
        <v>4162</v>
      </c>
      <c r="C852" s="4" t="s">
        <v>4154</v>
      </c>
      <c r="D852" s="4" t="s">
        <v>2999</v>
      </c>
      <c r="E852" s="4" t="s">
        <v>4151</v>
      </c>
      <c r="F852" s="4" t="s">
        <v>4148</v>
      </c>
      <c r="G852" s="4" t="s">
        <v>4149</v>
      </c>
      <c r="H852" s="4" t="s">
        <v>4156</v>
      </c>
      <c r="I852" s="4" t="s">
        <v>4160</v>
      </c>
    </row>
    <row r="853" spans="1:9" x14ac:dyDescent="0.3">
      <c r="A853">
        <v>856</v>
      </c>
      <c r="B853" s="4" t="s">
        <v>4162</v>
      </c>
      <c r="C853" s="4" t="s">
        <v>4154</v>
      </c>
      <c r="D853" s="4" t="s">
        <v>2999</v>
      </c>
      <c r="E853" s="4" t="s">
        <v>4151</v>
      </c>
      <c r="F853" s="4" t="s">
        <v>4152</v>
      </c>
      <c r="G853" s="4" t="s">
        <v>4149</v>
      </c>
      <c r="H853" s="4" t="s">
        <v>4156</v>
      </c>
      <c r="I853" s="4" t="s">
        <v>4178</v>
      </c>
    </row>
    <row r="854" spans="1:9" x14ac:dyDescent="0.3">
      <c r="A854">
        <v>857</v>
      </c>
      <c r="B854" s="4" t="s">
        <v>4162</v>
      </c>
      <c r="C854" s="4" t="s">
        <v>4146</v>
      </c>
      <c r="D854" s="4" t="s">
        <v>2994</v>
      </c>
      <c r="E854" s="4" t="s">
        <v>4147</v>
      </c>
      <c r="F854" s="4" t="s">
        <v>4148</v>
      </c>
      <c r="G854" s="4" t="s">
        <v>4149</v>
      </c>
      <c r="H854" s="4" t="s">
        <v>4156</v>
      </c>
      <c r="I854" s="4" t="s">
        <v>4160</v>
      </c>
    </row>
    <row r="855" spans="1:9" x14ac:dyDescent="0.3">
      <c r="A855">
        <v>858</v>
      </c>
      <c r="B855" s="4" t="s">
        <v>4162</v>
      </c>
      <c r="C855" s="4" t="s">
        <v>4146</v>
      </c>
      <c r="D855" s="4" t="s">
        <v>2999</v>
      </c>
      <c r="E855" s="4" t="s">
        <v>4151</v>
      </c>
      <c r="F855" s="4" t="s">
        <v>4148</v>
      </c>
      <c r="G855" s="4" t="s">
        <v>4149</v>
      </c>
      <c r="H855" s="4" t="s">
        <v>4156</v>
      </c>
      <c r="I855" s="4" t="s">
        <v>824</v>
      </c>
    </row>
    <row r="856" spans="1:9" x14ac:dyDescent="0.3">
      <c r="A856">
        <v>859</v>
      </c>
      <c r="B856" s="4" t="s">
        <v>4162</v>
      </c>
      <c r="C856" s="4" t="s">
        <v>4146</v>
      </c>
      <c r="D856" s="4" t="s">
        <v>2999</v>
      </c>
      <c r="E856" s="4" t="s">
        <v>4151</v>
      </c>
      <c r="F856" s="4" t="s">
        <v>4148</v>
      </c>
      <c r="G856" s="4" t="s">
        <v>4149</v>
      </c>
      <c r="H856" s="4" t="s">
        <v>4158</v>
      </c>
      <c r="I856" s="4" t="s">
        <v>824</v>
      </c>
    </row>
    <row r="857" spans="1:9" x14ac:dyDescent="0.3">
      <c r="A857">
        <v>860</v>
      </c>
      <c r="B857" s="4" t="s">
        <v>4162</v>
      </c>
      <c r="C857" s="4" t="s">
        <v>4154</v>
      </c>
      <c r="D857" s="4" t="s">
        <v>2994</v>
      </c>
      <c r="E857" s="4" t="s">
        <v>4147</v>
      </c>
      <c r="F857" s="4" t="s">
        <v>4159</v>
      </c>
      <c r="G857" s="4" t="s">
        <v>4149</v>
      </c>
      <c r="H857" s="4" t="s">
        <v>4156</v>
      </c>
      <c r="I857" s="4" t="s">
        <v>4160</v>
      </c>
    </row>
    <row r="858" spans="1:9" x14ac:dyDescent="0.3">
      <c r="A858">
        <v>861</v>
      </c>
      <c r="B858" s="4" t="s">
        <v>4162</v>
      </c>
      <c r="C858" s="4" t="s">
        <v>4146</v>
      </c>
      <c r="D858" s="4" t="s">
        <v>2994</v>
      </c>
      <c r="E858" s="4" t="s">
        <v>4147</v>
      </c>
      <c r="F858" s="4" t="s">
        <v>4148</v>
      </c>
      <c r="G858" s="4" t="s">
        <v>4149</v>
      </c>
      <c r="H858" s="4" t="s">
        <v>4156</v>
      </c>
      <c r="I858" s="4" t="s">
        <v>824</v>
      </c>
    </row>
    <row r="859" spans="1:9" x14ac:dyDescent="0.3">
      <c r="A859">
        <v>862</v>
      </c>
      <c r="B859" s="4" t="s">
        <v>4162</v>
      </c>
      <c r="C859" s="4" t="s">
        <v>4154</v>
      </c>
      <c r="D859" s="4" t="s">
        <v>2994</v>
      </c>
      <c r="E859" s="4" t="s">
        <v>4147</v>
      </c>
      <c r="F859" s="4" t="s">
        <v>4148</v>
      </c>
      <c r="G859" s="4" t="s">
        <v>4149</v>
      </c>
      <c r="H859" s="4" t="s">
        <v>4156</v>
      </c>
      <c r="I859" s="4" t="s">
        <v>824</v>
      </c>
    </row>
    <row r="860" spans="1:9" x14ac:dyDescent="0.3">
      <c r="A860">
        <v>863</v>
      </c>
      <c r="B860" s="4" t="s">
        <v>4162</v>
      </c>
      <c r="C860" s="4" t="s">
        <v>4146</v>
      </c>
      <c r="D860" s="4" t="s">
        <v>2994</v>
      </c>
      <c r="E860" s="4" t="s">
        <v>4147</v>
      </c>
      <c r="F860" s="4" t="s">
        <v>4148</v>
      </c>
      <c r="G860" s="4" t="s">
        <v>4149</v>
      </c>
      <c r="H860" s="4" t="s">
        <v>4156</v>
      </c>
      <c r="I860" s="4" t="s">
        <v>824</v>
      </c>
    </row>
    <row r="861" spans="1:9" x14ac:dyDescent="0.3">
      <c r="A861">
        <v>864</v>
      </c>
      <c r="B861" s="4" t="s">
        <v>4162</v>
      </c>
      <c r="C861" s="4" t="s">
        <v>4154</v>
      </c>
      <c r="D861" s="4" t="s">
        <v>2999</v>
      </c>
      <c r="E861" s="4" t="s">
        <v>4151</v>
      </c>
      <c r="F861" s="4" t="s">
        <v>4148</v>
      </c>
      <c r="G861" s="4" t="s">
        <v>4149</v>
      </c>
      <c r="H861" s="4" t="s">
        <v>4156</v>
      </c>
      <c r="I861" s="4" t="s">
        <v>824</v>
      </c>
    </row>
    <row r="862" spans="1:9" x14ac:dyDescent="0.3">
      <c r="A862">
        <v>865</v>
      </c>
      <c r="B862" s="4" t="s">
        <v>4162</v>
      </c>
      <c r="C862" s="4" t="s">
        <v>4154</v>
      </c>
      <c r="D862" s="4" t="s">
        <v>2994</v>
      </c>
      <c r="E862" s="4" t="s">
        <v>4147</v>
      </c>
      <c r="F862" s="4" t="s">
        <v>4148</v>
      </c>
      <c r="G862" s="4" t="s">
        <v>4149</v>
      </c>
      <c r="H862" s="4" t="s">
        <v>4156</v>
      </c>
      <c r="I862" s="4" t="s">
        <v>824</v>
      </c>
    </row>
    <row r="863" spans="1:9" x14ac:dyDescent="0.3">
      <c r="A863">
        <v>866</v>
      </c>
      <c r="B863" s="4" t="s">
        <v>4162</v>
      </c>
      <c r="C863" s="4" t="s">
        <v>4154</v>
      </c>
      <c r="D863" s="4" t="s">
        <v>2994</v>
      </c>
      <c r="E863" s="4" t="s">
        <v>4147</v>
      </c>
      <c r="F863" s="4" t="s">
        <v>4148</v>
      </c>
      <c r="G863" s="4" t="s">
        <v>4149</v>
      </c>
      <c r="H863" s="4" t="s">
        <v>4156</v>
      </c>
      <c r="I863" s="4" t="s">
        <v>4160</v>
      </c>
    </row>
    <row r="864" spans="1:9" x14ac:dyDescent="0.3">
      <c r="A864">
        <v>867</v>
      </c>
      <c r="B864" s="4" t="s">
        <v>4162</v>
      </c>
      <c r="C864" s="4" t="s">
        <v>4146</v>
      </c>
      <c r="D864" s="4" t="s">
        <v>2994</v>
      </c>
      <c r="E864" s="4" t="s">
        <v>4147</v>
      </c>
      <c r="F864" s="4" t="s">
        <v>4152</v>
      </c>
      <c r="G864" s="4" t="s">
        <v>4153</v>
      </c>
      <c r="H864" s="4" t="s">
        <v>4156</v>
      </c>
      <c r="I864" s="4" t="s">
        <v>824</v>
      </c>
    </row>
    <row r="865" spans="1:9" x14ac:dyDescent="0.3">
      <c r="A865">
        <v>868</v>
      </c>
      <c r="B865" s="4" t="s">
        <v>4162</v>
      </c>
      <c r="C865" s="4" t="s">
        <v>4146</v>
      </c>
      <c r="D865" s="4" t="s">
        <v>3001</v>
      </c>
      <c r="E865" s="4" t="s">
        <v>4147</v>
      </c>
      <c r="F865" s="4" t="s">
        <v>4148</v>
      </c>
      <c r="G865" s="4" t="s">
        <v>4153</v>
      </c>
      <c r="H865" s="4" t="s">
        <v>4156</v>
      </c>
      <c r="I865" s="4" t="s">
        <v>824</v>
      </c>
    </row>
    <row r="866" spans="1:9" x14ac:dyDescent="0.3">
      <c r="A866">
        <v>869</v>
      </c>
      <c r="B866" s="4" t="s">
        <v>4162</v>
      </c>
      <c r="C866" s="4" t="s">
        <v>4154</v>
      </c>
      <c r="D866" s="4" t="s">
        <v>2999</v>
      </c>
      <c r="E866" s="4" t="s">
        <v>4151</v>
      </c>
      <c r="F866" s="4" t="s">
        <v>4155</v>
      </c>
      <c r="G866" s="4" t="s">
        <v>4149</v>
      </c>
      <c r="H866" s="4" t="s">
        <v>4156</v>
      </c>
      <c r="I866" s="4" t="s">
        <v>824</v>
      </c>
    </row>
    <row r="867" spans="1:9" x14ac:dyDescent="0.3">
      <c r="A867">
        <v>870</v>
      </c>
      <c r="B867" s="4" t="s">
        <v>4162</v>
      </c>
      <c r="C867" s="4" t="s">
        <v>4154</v>
      </c>
      <c r="D867" s="4" t="s">
        <v>2999</v>
      </c>
      <c r="E867" s="4" t="s">
        <v>4151</v>
      </c>
      <c r="F867" s="4" t="s">
        <v>4148</v>
      </c>
      <c r="G867" s="4" t="s">
        <v>4149</v>
      </c>
      <c r="H867" s="4" t="s">
        <v>4156</v>
      </c>
      <c r="I867" s="4" t="s">
        <v>824</v>
      </c>
    </row>
    <row r="868" spans="1:9" x14ac:dyDescent="0.3">
      <c r="A868">
        <v>871</v>
      </c>
      <c r="B868" s="4" t="s">
        <v>4162</v>
      </c>
      <c r="C868" s="4" t="s">
        <v>4146</v>
      </c>
      <c r="D868" s="4" t="s">
        <v>2994</v>
      </c>
      <c r="E868" s="4" t="s">
        <v>4147</v>
      </c>
      <c r="F868" s="4" t="s">
        <v>4148</v>
      </c>
      <c r="G868" s="4" t="s">
        <v>4149</v>
      </c>
      <c r="H868" s="4" t="s">
        <v>4156</v>
      </c>
      <c r="I868" s="4" t="s">
        <v>824</v>
      </c>
    </row>
    <row r="869" spans="1:9" x14ac:dyDescent="0.3">
      <c r="A869">
        <v>872</v>
      </c>
      <c r="B869" s="4" t="s">
        <v>4162</v>
      </c>
      <c r="C869" s="4" t="s">
        <v>4154</v>
      </c>
      <c r="D869" s="4" t="s">
        <v>2999</v>
      </c>
      <c r="E869" s="4" t="s">
        <v>4151</v>
      </c>
      <c r="F869" s="4" t="s">
        <v>4148</v>
      </c>
      <c r="G869" s="4" t="s">
        <v>4149</v>
      </c>
      <c r="H869" s="4" t="s">
        <v>4156</v>
      </c>
      <c r="I869" s="4" t="s">
        <v>4160</v>
      </c>
    </row>
    <row r="870" spans="1:9" x14ac:dyDescent="0.3">
      <c r="A870">
        <v>873</v>
      </c>
      <c r="B870" s="4" t="s">
        <v>4162</v>
      </c>
      <c r="C870" s="4" t="s">
        <v>4146</v>
      </c>
      <c r="D870" s="4" t="s">
        <v>2994</v>
      </c>
      <c r="E870" s="4" t="s">
        <v>4147</v>
      </c>
      <c r="F870" s="4" t="s">
        <v>4148</v>
      </c>
      <c r="G870" s="4" t="s">
        <v>4149</v>
      </c>
      <c r="H870" s="4" t="s">
        <v>4156</v>
      </c>
      <c r="I870" s="4" t="s">
        <v>824</v>
      </c>
    </row>
    <row r="871" spans="1:9" x14ac:dyDescent="0.3">
      <c r="A871">
        <v>874</v>
      </c>
      <c r="B871" s="4" t="s">
        <v>4162</v>
      </c>
      <c r="C871" s="4" t="s">
        <v>4154</v>
      </c>
      <c r="D871" s="4" t="s">
        <v>2999</v>
      </c>
      <c r="E871" s="4" t="s">
        <v>4151</v>
      </c>
      <c r="F871" s="4" t="s">
        <v>4155</v>
      </c>
      <c r="G871" s="4" t="s">
        <v>4149</v>
      </c>
      <c r="H871" s="4" t="s">
        <v>4156</v>
      </c>
      <c r="I871" s="4" t="s">
        <v>824</v>
      </c>
    </row>
    <row r="872" spans="1:9" x14ac:dyDescent="0.3">
      <c r="A872">
        <v>875</v>
      </c>
      <c r="B872" s="4" t="s">
        <v>4162</v>
      </c>
      <c r="C872" s="4" t="s">
        <v>4146</v>
      </c>
      <c r="D872" s="4" t="s">
        <v>2999</v>
      </c>
      <c r="E872" s="4" t="s">
        <v>4151</v>
      </c>
      <c r="F872" s="4" t="s">
        <v>4148</v>
      </c>
      <c r="G872" s="4" t="s">
        <v>4149</v>
      </c>
      <c r="H872" s="4" t="s">
        <v>4156</v>
      </c>
      <c r="I872" s="4" t="s">
        <v>824</v>
      </c>
    </row>
    <row r="873" spans="1:9" x14ac:dyDescent="0.3">
      <c r="A873">
        <v>876</v>
      </c>
      <c r="B873" s="4" t="s">
        <v>4162</v>
      </c>
      <c r="C873" s="4" t="s">
        <v>4154</v>
      </c>
      <c r="D873" s="4" t="s">
        <v>2999</v>
      </c>
      <c r="E873" s="4" t="s">
        <v>4151</v>
      </c>
      <c r="F873" s="4" t="s">
        <v>4148</v>
      </c>
      <c r="G873" s="4" t="s">
        <v>4149</v>
      </c>
      <c r="H873" s="4" t="s">
        <v>4156</v>
      </c>
      <c r="I873" s="4" t="s">
        <v>4178</v>
      </c>
    </row>
    <row r="874" spans="1:9" x14ac:dyDescent="0.3">
      <c r="A874">
        <v>877</v>
      </c>
      <c r="B874" s="4" t="s">
        <v>4162</v>
      </c>
      <c r="C874" s="4" t="s">
        <v>4154</v>
      </c>
      <c r="D874" s="4" t="s">
        <v>2999</v>
      </c>
      <c r="E874" s="4" t="s">
        <v>4151</v>
      </c>
      <c r="F874" s="4" t="s">
        <v>4148</v>
      </c>
      <c r="G874" s="4" t="s">
        <v>4149</v>
      </c>
      <c r="H874" s="4" t="s">
        <v>4156</v>
      </c>
      <c r="I874" s="4" t="s">
        <v>824</v>
      </c>
    </row>
    <row r="875" spans="1:9" x14ac:dyDescent="0.3">
      <c r="A875">
        <v>878</v>
      </c>
      <c r="B875" s="4" t="s">
        <v>4162</v>
      </c>
      <c r="C875" s="4" t="s">
        <v>4154</v>
      </c>
      <c r="D875" s="4" t="s">
        <v>2994</v>
      </c>
      <c r="E875" s="4" t="s">
        <v>4147</v>
      </c>
      <c r="F875" s="4" t="s">
        <v>4148</v>
      </c>
      <c r="G875" s="4" t="s">
        <v>4153</v>
      </c>
      <c r="H875" s="4" t="s">
        <v>4156</v>
      </c>
      <c r="I875" s="4" t="s">
        <v>824</v>
      </c>
    </row>
    <row r="876" spans="1:9" x14ac:dyDescent="0.3">
      <c r="A876">
        <v>879</v>
      </c>
      <c r="B876" s="4" t="s">
        <v>4162</v>
      </c>
      <c r="C876" s="4" t="s">
        <v>4154</v>
      </c>
      <c r="D876" s="4" t="s">
        <v>2994</v>
      </c>
      <c r="E876" s="4" t="s">
        <v>4147</v>
      </c>
      <c r="F876" s="4" t="s">
        <v>4148</v>
      </c>
      <c r="G876" s="4" t="s">
        <v>4153</v>
      </c>
      <c r="H876" s="4" t="s">
        <v>4156</v>
      </c>
      <c r="I876" s="4" t="s">
        <v>824</v>
      </c>
    </row>
    <row r="877" spans="1:9" x14ac:dyDescent="0.3">
      <c r="A877">
        <v>880</v>
      </c>
      <c r="B877" s="4" t="s">
        <v>4162</v>
      </c>
      <c r="C877" s="4" t="s">
        <v>4154</v>
      </c>
      <c r="D877" s="4" t="s">
        <v>2999</v>
      </c>
      <c r="E877" s="4" t="s">
        <v>4151</v>
      </c>
      <c r="F877" s="4" t="s">
        <v>4148</v>
      </c>
      <c r="G877" s="4" t="s">
        <v>4149</v>
      </c>
      <c r="H877" s="4" t="s">
        <v>4156</v>
      </c>
      <c r="I877" s="4" t="s">
        <v>824</v>
      </c>
    </row>
    <row r="878" spans="1:9" x14ac:dyDescent="0.3">
      <c r="A878">
        <v>881</v>
      </c>
      <c r="B878" s="4" t="s">
        <v>4162</v>
      </c>
      <c r="C878" s="4" t="s">
        <v>4146</v>
      </c>
      <c r="D878" s="4" t="s">
        <v>2999</v>
      </c>
      <c r="E878" s="4" t="s">
        <v>4151</v>
      </c>
      <c r="F878" s="4" t="s">
        <v>4148</v>
      </c>
      <c r="G878" s="4" t="s">
        <v>4149</v>
      </c>
      <c r="H878" s="4" t="s">
        <v>4156</v>
      </c>
      <c r="I878" s="4" t="s">
        <v>4178</v>
      </c>
    </row>
    <row r="879" spans="1:9" x14ac:dyDescent="0.3">
      <c r="A879">
        <v>882</v>
      </c>
      <c r="B879" s="4" t="s">
        <v>4162</v>
      </c>
      <c r="C879" s="4" t="s">
        <v>4146</v>
      </c>
      <c r="D879" s="4" t="s">
        <v>2999</v>
      </c>
      <c r="E879" s="4" t="s">
        <v>4151</v>
      </c>
      <c r="F879" s="4" t="s">
        <v>4148</v>
      </c>
      <c r="G879" s="4" t="s">
        <v>4149</v>
      </c>
      <c r="H879" s="4" t="s">
        <v>4156</v>
      </c>
      <c r="I879" s="4" t="s">
        <v>824</v>
      </c>
    </row>
    <row r="880" spans="1:9" x14ac:dyDescent="0.3">
      <c r="A880">
        <v>883</v>
      </c>
      <c r="B880" s="4" t="s">
        <v>4162</v>
      </c>
      <c r="C880" s="4" t="s">
        <v>4154</v>
      </c>
      <c r="D880" s="4" t="s">
        <v>2999</v>
      </c>
      <c r="E880" s="4" t="s">
        <v>4151</v>
      </c>
      <c r="F880" s="4" t="s">
        <v>4148</v>
      </c>
      <c r="G880" s="4" t="s">
        <v>4149</v>
      </c>
      <c r="H880" s="4" t="s">
        <v>4156</v>
      </c>
      <c r="I880" s="4" t="s">
        <v>824</v>
      </c>
    </row>
    <row r="881" spans="1:9" x14ac:dyDescent="0.3">
      <c r="A881">
        <v>884</v>
      </c>
      <c r="B881" s="4" t="s">
        <v>4162</v>
      </c>
      <c r="C881" s="4" t="s">
        <v>4154</v>
      </c>
      <c r="D881" s="4" t="s">
        <v>2999</v>
      </c>
      <c r="E881" s="4" t="s">
        <v>4151</v>
      </c>
      <c r="F881" s="4" t="s">
        <v>4148</v>
      </c>
      <c r="G881" s="4" t="s">
        <v>4149</v>
      </c>
      <c r="H881" s="4" t="s">
        <v>4156</v>
      </c>
      <c r="I881" s="4" t="s">
        <v>824</v>
      </c>
    </row>
    <row r="882" spans="1:9" x14ac:dyDescent="0.3">
      <c r="A882">
        <v>885</v>
      </c>
      <c r="B882" s="4" t="s">
        <v>4162</v>
      </c>
      <c r="C882" s="4" t="s">
        <v>4154</v>
      </c>
      <c r="D882" s="4" t="s">
        <v>2999</v>
      </c>
      <c r="E882" s="4" t="s">
        <v>4151</v>
      </c>
      <c r="F882" s="4" t="s">
        <v>4155</v>
      </c>
      <c r="G882" s="4" t="s">
        <v>4149</v>
      </c>
      <c r="H882" s="4" t="s">
        <v>4156</v>
      </c>
      <c r="I882" s="4" t="s">
        <v>824</v>
      </c>
    </row>
    <row r="883" spans="1:9" x14ac:dyDescent="0.3">
      <c r="A883">
        <v>886</v>
      </c>
      <c r="B883" s="4" t="s">
        <v>4162</v>
      </c>
      <c r="C883" s="4" t="s">
        <v>4154</v>
      </c>
      <c r="D883" s="4" t="s">
        <v>2999</v>
      </c>
      <c r="E883" s="4" t="s">
        <v>4151</v>
      </c>
      <c r="F883" s="4" t="s">
        <v>4159</v>
      </c>
      <c r="G883" s="4" t="s">
        <v>4153</v>
      </c>
      <c r="H883" s="4" t="s">
        <v>4156</v>
      </c>
      <c r="I883" s="4" t="s">
        <v>824</v>
      </c>
    </row>
    <row r="884" spans="1:9" x14ac:dyDescent="0.3">
      <c r="A884">
        <v>887</v>
      </c>
      <c r="B884" s="4" t="s">
        <v>4162</v>
      </c>
      <c r="C884" s="4" t="s">
        <v>4146</v>
      </c>
      <c r="D884" s="4" t="s">
        <v>2994</v>
      </c>
      <c r="E884" s="4" t="s">
        <v>4147</v>
      </c>
      <c r="F884" s="4" t="s">
        <v>4148</v>
      </c>
      <c r="G884" s="4" t="s">
        <v>4149</v>
      </c>
      <c r="H884" s="4" t="s">
        <v>4156</v>
      </c>
      <c r="I884" s="4" t="s">
        <v>4160</v>
      </c>
    </row>
    <row r="885" spans="1:9" x14ac:dyDescent="0.3">
      <c r="A885">
        <v>888</v>
      </c>
      <c r="B885" s="4" t="s">
        <v>4162</v>
      </c>
      <c r="C885" s="4" t="s">
        <v>4146</v>
      </c>
      <c r="D885" s="4" t="s">
        <v>2999</v>
      </c>
      <c r="E885" s="4" t="s">
        <v>4151</v>
      </c>
      <c r="F885" s="4" t="s">
        <v>4148</v>
      </c>
      <c r="G885" s="4" t="s">
        <v>4149</v>
      </c>
      <c r="H885" s="4" t="s">
        <v>4156</v>
      </c>
      <c r="I885" s="4" t="s">
        <v>824</v>
      </c>
    </row>
    <row r="886" spans="1:9" x14ac:dyDescent="0.3">
      <c r="A886">
        <v>889</v>
      </c>
      <c r="B886" s="4" t="s">
        <v>4162</v>
      </c>
      <c r="C886" s="4" t="s">
        <v>4154</v>
      </c>
      <c r="D886" s="4" t="s">
        <v>2999</v>
      </c>
      <c r="E886" s="4" t="s">
        <v>4151</v>
      </c>
      <c r="F886" s="4" t="s">
        <v>4155</v>
      </c>
      <c r="G886" s="4" t="s">
        <v>4149</v>
      </c>
      <c r="H886" s="4" t="s">
        <v>4156</v>
      </c>
      <c r="I886" s="4" t="s">
        <v>824</v>
      </c>
    </row>
    <row r="887" spans="1:9" x14ac:dyDescent="0.3">
      <c r="A887">
        <v>890</v>
      </c>
      <c r="B887" s="4" t="s">
        <v>4162</v>
      </c>
      <c r="C887" s="4" t="s">
        <v>4146</v>
      </c>
      <c r="D887" s="4" t="s">
        <v>2999</v>
      </c>
      <c r="E887" s="4" t="s">
        <v>4151</v>
      </c>
      <c r="F887" s="4" t="s">
        <v>4148</v>
      </c>
      <c r="G887" s="4" t="s">
        <v>4149</v>
      </c>
      <c r="H887" s="4" t="s">
        <v>4156</v>
      </c>
      <c r="I887" s="4" t="s">
        <v>824</v>
      </c>
    </row>
    <row r="888" spans="1:9" x14ac:dyDescent="0.3">
      <c r="A888">
        <v>891</v>
      </c>
      <c r="B888" s="4" t="s">
        <v>4162</v>
      </c>
      <c r="C888" s="4" t="s">
        <v>4154</v>
      </c>
      <c r="D888" s="4" t="s">
        <v>2999</v>
      </c>
      <c r="E888" s="4" t="s">
        <v>4151</v>
      </c>
      <c r="F888" s="4" t="s">
        <v>4148</v>
      </c>
      <c r="G888" s="4" t="s">
        <v>4149</v>
      </c>
      <c r="H888" s="4" t="s">
        <v>4156</v>
      </c>
      <c r="I888" s="4" t="s">
        <v>824</v>
      </c>
    </row>
    <row r="889" spans="1:9" x14ac:dyDescent="0.3">
      <c r="A889">
        <v>892</v>
      </c>
      <c r="B889" s="4" t="s">
        <v>4162</v>
      </c>
      <c r="C889" s="4" t="s">
        <v>4154</v>
      </c>
      <c r="D889" s="4" t="s">
        <v>2999</v>
      </c>
      <c r="E889" s="4" t="s">
        <v>4151</v>
      </c>
      <c r="F889" s="4" t="s">
        <v>4155</v>
      </c>
      <c r="G889" s="4" t="s">
        <v>4149</v>
      </c>
      <c r="H889" s="4" t="s">
        <v>4156</v>
      </c>
      <c r="I889" s="4" t="s">
        <v>824</v>
      </c>
    </row>
    <row r="890" spans="1:9" x14ac:dyDescent="0.3">
      <c r="A890">
        <v>893</v>
      </c>
      <c r="B890" s="4" t="s">
        <v>4162</v>
      </c>
      <c r="C890" s="4" t="s">
        <v>4154</v>
      </c>
      <c r="D890" s="4" t="s">
        <v>2999</v>
      </c>
      <c r="E890" s="4" t="s">
        <v>4151</v>
      </c>
      <c r="F890" s="4" t="s">
        <v>4155</v>
      </c>
      <c r="G890" s="4" t="s">
        <v>4149</v>
      </c>
      <c r="H890" s="4" t="s">
        <v>4156</v>
      </c>
      <c r="I890" s="4" t="s">
        <v>824</v>
      </c>
    </row>
    <row r="891" spans="1:9" x14ac:dyDescent="0.3">
      <c r="A891">
        <v>894</v>
      </c>
      <c r="B891" s="4" t="s">
        <v>4162</v>
      </c>
      <c r="C891" s="4" t="s">
        <v>4154</v>
      </c>
      <c r="D891" s="4" t="s">
        <v>2999</v>
      </c>
      <c r="E891" s="4" t="s">
        <v>4151</v>
      </c>
      <c r="F891" s="4" t="s">
        <v>4148</v>
      </c>
      <c r="G891" s="4" t="s">
        <v>4149</v>
      </c>
      <c r="H891" s="4" t="s">
        <v>4156</v>
      </c>
      <c r="I891" s="4" t="s">
        <v>824</v>
      </c>
    </row>
    <row r="892" spans="1:9" x14ac:dyDescent="0.3">
      <c r="A892">
        <v>895</v>
      </c>
      <c r="B892" s="4" t="s">
        <v>4162</v>
      </c>
      <c r="C892" s="4" t="s">
        <v>4146</v>
      </c>
      <c r="D892" s="4" t="s">
        <v>2996</v>
      </c>
      <c r="E892" s="4" t="s">
        <v>4151</v>
      </c>
      <c r="F892" s="4" t="s">
        <v>4152</v>
      </c>
      <c r="G892" s="4" t="s">
        <v>4153</v>
      </c>
      <c r="H892" s="4" t="s">
        <v>4156</v>
      </c>
      <c r="I892" s="4" t="s">
        <v>824</v>
      </c>
    </row>
    <row r="893" spans="1:9" x14ac:dyDescent="0.3">
      <c r="A893">
        <v>896</v>
      </c>
      <c r="B893" s="4" t="s">
        <v>4162</v>
      </c>
      <c r="C893" s="4" t="s">
        <v>4146</v>
      </c>
      <c r="D893" s="4" t="s">
        <v>2994</v>
      </c>
      <c r="E893" s="4" t="s">
        <v>4147</v>
      </c>
      <c r="F893" s="4" t="s">
        <v>4152</v>
      </c>
      <c r="G893" s="4" t="s">
        <v>4153</v>
      </c>
      <c r="H893" s="4" t="s">
        <v>4156</v>
      </c>
      <c r="I893" s="4" t="s">
        <v>824</v>
      </c>
    </row>
    <row r="894" spans="1:9" x14ac:dyDescent="0.3">
      <c r="A894">
        <v>897</v>
      </c>
      <c r="B894" s="4" t="s">
        <v>4162</v>
      </c>
      <c r="C894" s="4" t="s">
        <v>4154</v>
      </c>
      <c r="D894" s="4" t="s">
        <v>2999</v>
      </c>
      <c r="E894" s="4" t="s">
        <v>4151</v>
      </c>
      <c r="F894" s="4" t="s">
        <v>4155</v>
      </c>
      <c r="G894" s="4" t="s">
        <v>4149</v>
      </c>
      <c r="H894" s="4" t="s">
        <v>4156</v>
      </c>
      <c r="I894" s="4" t="s">
        <v>824</v>
      </c>
    </row>
    <row r="895" spans="1:9" x14ac:dyDescent="0.3">
      <c r="A895">
        <v>898</v>
      </c>
      <c r="B895" s="4" t="s">
        <v>4162</v>
      </c>
      <c r="C895" s="4" t="s">
        <v>4154</v>
      </c>
      <c r="D895" s="4" t="s">
        <v>2999</v>
      </c>
      <c r="E895" s="4" t="s">
        <v>4151</v>
      </c>
      <c r="F895" s="4" t="s">
        <v>4155</v>
      </c>
      <c r="G895" s="4" t="s">
        <v>4149</v>
      </c>
      <c r="H895" s="4" t="s">
        <v>4156</v>
      </c>
      <c r="I895" s="4" t="s">
        <v>824</v>
      </c>
    </row>
    <row r="896" spans="1:9" x14ac:dyDescent="0.3">
      <c r="A896">
        <v>899</v>
      </c>
      <c r="B896" s="4" t="s">
        <v>4162</v>
      </c>
      <c r="C896" s="4" t="s">
        <v>4154</v>
      </c>
      <c r="D896" s="4" t="s">
        <v>2999</v>
      </c>
      <c r="E896" s="4" t="s">
        <v>4151</v>
      </c>
      <c r="F896" s="4" t="s">
        <v>4148</v>
      </c>
      <c r="G896" s="4" t="s">
        <v>4149</v>
      </c>
      <c r="H896" s="4" t="s">
        <v>4156</v>
      </c>
      <c r="I896" s="4" t="s">
        <v>824</v>
      </c>
    </row>
    <row r="897" spans="1:9" x14ac:dyDescent="0.3">
      <c r="A897">
        <v>900</v>
      </c>
      <c r="B897" s="4" t="s">
        <v>4162</v>
      </c>
      <c r="C897" s="4" t="s">
        <v>4146</v>
      </c>
      <c r="D897" s="4" t="s">
        <v>3001</v>
      </c>
      <c r="E897" s="4" t="s">
        <v>4147</v>
      </c>
      <c r="F897" s="4" t="s">
        <v>4148</v>
      </c>
      <c r="G897" s="4" t="s">
        <v>4153</v>
      </c>
      <c r="H897" s="4" t="s">
        <v>4156</v>
      </c>
      <c r="I897" s="4" t="s">
        <v>824</v>
      </c>
    </row>
    <row r="898" spans="1:9" x14ac:dyDescent="0.3">
      <c r="A898">
        <v>901</v>
      </c>
      <c r="B898" s="4" t="s">
        <v>4162</v>
      </c>
      <c r="C898" s="4" t="s">
        <v>4154</v>
      </c>
      <c r="D898" s="4" t="s">
        <v>2996</v>
      </c>
      <c r="E898" s="4" t="s">
        <v>4151</v>
      </c>
      <c r="F898" s="4" t="s">
        <v>4148</v>
      </c>
      <c r="G898" s="4" t="s">
        <v>4153</v>
      </c>
      <c r="H898" s="4" t="s">
        <v>4156</v>
      </c>
      <c r="I898" s="4" t="s">
        <v>824</v>
      </c>
    </row>
    <row r="899" spans="1:9" x14ac:dyDescent="0.3">
      <c r="A899">
        <v>902</v>
      </c>
      <c r="B899" s="4" t="s">
        <v>4162</v>
      </c>
      <c r="C899" s="4" t="s">
        <v>4154</v>
      </c>
      <c r="D899" s="4" t="s">
        <v>2994</v>
      </c>
      <c r="E899" s="4" t="s">
        <v>4147</v>
      </c>
      <c r="F899" s="4" t="s">
        <v>4148</v>
      </c>
      <c r="G899" s="4" t="s">
        <v>4153</v>
      </c>
      <c r="H899" s="4" t="s">
        <v>4156</v>
      </c>
      <c r="I899" s="4" t="s">
        <v>824</v>
      </c>
    </row>
    <row r="900" spans="1:9" x14ac:dyDescent="0.3">
      <c r="A900">
        <v>903</v>
      </c>
      <c r="B900" s="4" t="s">
        <v>4162</v>
      </c>
      <c r="C900" s="4" t="s">
        <v>4154</v>
      </c>
      <c r="D900" s="4" t="s">
        <v>2999</v>
      </c>
      <c r="E900" s="4" t="s">
        <v>4151</v>
      </c>
      <c r="F900" s="4" t="s">
        <v>4148</v>
      </c>
      <c r="G900" s="4" t="s">
        <v>4153</v>
      </c>
      <c r="H900" s="4" t="s">
        <v>4156</v>
      </c>
      <c r="I900" s="4" t="s">
        <v>824</v>
      </c>
    </row>
    <row r="901" spans="1:9" x14ac:dyDescent="0.3">
      <c r="A901">
        <v>904</v>
      </c>
      <c r="B901" s="4" t="s">
        <v>4162</v>
      </c>
      <c r="C901" s="4" t="s">
        <v>4154</v>
      </c>
      <c r="D901" s="4" t="s">
        <v>3001</v>
      </c>
      <c r="E901" s="4" t="s">
        <v>4147</v>
      </c>
      <c r="F901" s="4" t="s">
        <v>4148</v>
      </c>
      <c r="G901" s="4" t="s">
        <v>4153</v>
      </c>
      <c r="H901" s="4" t="s">
        <v>4156</v>
      </c>
      <c r="I901" s="4" t="s">
        <v>824</v>
      </c>
    </row>
    <row r="902" spans="1:9" x14ac:dyDescent="0.3">
      <c r="A902">
        <v>905</v>
      </c>
      <c r="B902" s="4" t="s">
        <v>4162</v>
      </c>
      <c r="C902" s="4" t="s">
        <v>4154</v>
      </c>
      <c r="D902" s="4" t="s">
        <v>2999</v>
      </c>
      <c r="E902" s="4" t="s">
        <v>4151</v>
      </c>
      <c r="F902" s="4" t="s">
        <v>4148</v>
      </c>
      <c r="G902" s="4" t="s">
        <v>4149</v>
      </c>
      <c r="H902" s="4" t="s">
        <v>4156</v>
      </c>
      <c r="I902" s="4" t="s">
        <v>824</v>
      </c>
    </row>
    <row r="903" spans="1:9" x14ac:dyDescent="0.3">
      <c r="A903">
        <v>906</v>
      </c>
      <c r="B903" s="4" t="s">
        <v>4162</v>
      </c>
      <c r="C903" s="4" t="s">
        <v>4146</v>
      </c>
      <c r="D903" s="4" t="s">
        <v>2999</v>
      </c>
      <c r="E903" s="4" t="s">
        <v>4151</v>
      </c>
      <c r="F903" s="4" t="s">
        <v>4155</v>
      </c>
      <c r="G903" s="4" t="s">
        <v>4149</v>
      </c>
      <c r="H903" s="4" t="s">
        <v>4156</v>
      </c>
      <c r="I903" s="4" t="s">
        <v>824</v>
      </c>
    </row>
    <row r="904" spans="1:9" x14ac:dyDescent="0.3">
      <c r="A904">
        <v>907</v>
      </c>
      <c r="B904" s="4" t="s">
        <v>4162</v>
      </c>
      <c r="C904" s="4" t="s">
        <v>4154</v>
      </c>
      <c r="D904" s="4" t="s">
        <v>2999</v>
      </c>
      <c r="E904" s="4" t="s">
        <v>4151</v>
      </c>
      <c r="F904" s="4" t="s">
        <v>4148</v>
      </c>
      <c r="G904" s="4" t="s">
        <v>4149</v>
      </c>
      <c r="H904" s="4" t="s">
        <v>4156</v>
      </c>
      <c r="I904" s="4" t="s">
        <v>824</v>
      </c>
    </row>
    <row r="905" spans="1:9" x14ac:dyDescent="0.3">
      <c r="A905">
        <v>908</v>
      </c>
      <c r="B905" s="4" t="s">
        <v>4162</v>
      </c>
      <c r="C905" s="4" t="s">
        <v>4154</v>
      </c>
      <c r="D905" s="4" t="s">
        <v>2994</v>
      </c>
      <c r="E905" s="4" t="s">
        <v>4147</v>
      </c>
      <c r="F905" s="4" t="s">
        <v>4148</v>
      </c>
      <c r="G905" s="4" t="s">
        <v>4153</v>
      </c>
      <c r="H905" s="4" t="s">
        <v>4156</v>
      </c>
      <c r="I905" s="4" t="s">
        <v>824</v>
      </c>
    </row>
    <row r="906" spans="1:9" x14ac:dyDescent="0.3">
      <c r="A906">
        <v>909</v>
      </c>
      <c r="B906" s="4" t="s">
        <v>4162</v>
      </c>
      <c r="C906" s="4" t="s">
        <v>4154</v>
      </c>
      <c r="D906" s="4" t="s">
        <v>2994</v>
      </c>
      <c r="E906" s="4" t="s">
        <v>4147</v>
      </c>
      <c r="F906" s="4" t="s">
        <v>4148</v>
      </c>
      <c r="G906" s="4" t="s">
        <v>4153</v>
      </c>
      <c r="H906" s="4" t="s">
        <v>4156</v>
      </c>
      <c r="I906" s="4" t="s">
        <v>824</v>
      </c>
    </row>
    <row r="907" spans="1:9" x14ac:dyDescent="0.3">
      <c r="A907">
        <v>910</v>
      </c>
      <c r="B907" s="4" t="s">
        <v>4162</v>
      </c>
      <c r="C907" s="4" t="s">
        <v>4146</v>
      </c>
      <c r="D907" s="4" t="s">
        <v>2999</v>
      </c>
      <c r="E907" s="4" t="s">
        <v>4151</v>
      </c>
      <c r="F907" s="4" t="s">
        <v>4155</v>
      </c>
      <c r="G907" s="4" t="s">
        <v>4149</v>
      </c>
      <c r="H907" s="4" t="s">
        <v>4156</v>
      </c>
      <c r="I907" s="4" t="s">
        <v>824</v>
      </c>
    </row>
    <row r="908" spans="1:9" x14ac:dyDescent="0.3">
      <c r="A908">
        <v>911</v>
      </c>
      <c r="B908" s="4" t="s">
        <v>4162</v>
      </c>
      <c r="C908" s="4" t="s">
        <v>4154</v>
      </c>
      <c r="D908" s="4" t="s">
        <v>2999</v>
      </c>
      <c r="E908" s="4" t="s">
        <v>4151</v>
      </c>
      <c r="F908" s="4" t="s">
        <v>4159</v>
      </c>
      <c r="G908" s="4" t="s">
        <v>4149</v>
      </c>
      <c r="H908" s="4" t="s">
        <v>4156</v>
      </c>
      <c r="I908" s="4" t="s">
        <v>824</v>
      </c>
    </row>
    <row r="909" spans="1:9" x14ac:dyDescent="0.3">
      <c r="A909">
        <v>912</v>
      </c>
      <c r="B909" s="4" t="s">
        <v>4162</v>
      </c>
      <c r="C909" s="4" t="s">
        <v>4154</v>
      </c>
      <c r="D909" s="4" t="s">
        <v>2999</v>
      </c>
      <c r="E909" s="4" t="s">
        <v>4151</v>
      </c>
      <c r="F909" s="4" t="s">
        <v>4148</v>
      </c>
      <c r="G909" s="4" t="s">
        <v>4149</v>
      </c>
      <c r="H909" s="4" t="s">
        <v>4156</v>
      </c>
      <c r="I909" s="4" t="s">
        <v>824</v>
      </c>
    </row>
    <row r="910" spans="1:9" x14ac:dyDescent="0.3">
      <c r="A910">
        <v>913</v>
      </c>
      <c r="B910" s="4" t="s">
        <v>4162</v>
      </c>
      <c r="C910" s="4" t="s">
        <v>4154</v>
      </c>
      <c r="D910" s="4" t="s">
        <v>2999</v>
      </c>
      <c r="E910" s="4" t="s">
        <v>4151</v>
      </c>
      <c r="F910" s="4" t="s">
        <v>4148</v>
      </c>
      <c r="G910" s="4" t="s">
        <v>4149</v>
      </c>
      <c r="H910" s="4" t="s">
        <v>4156</v>
      </c>
      <c r="I910" s="4" t="s">
        <v>824</v>
      </c>
    </row>
    <row r="911" spans="1:9" x14ac:dyDescent="0.3">
      <c r="A911">
        <v>914</v>
      </c>
      <c r="B911" s="4" t="s">
        <v>4162</v>
      </c>
      <c r="C911" s="4" t="s">
        <v>4146</v>
      </c>
      <c r="D911" s="4" t="s">
        <v>2999</v>
      </c>
      <c r="E911" s="4" t="s">
        <v>4151</v>
      </c>
      <c r="F911" s="4" t="s">
        <v>4148</v>
      </c>
      <c r="G911" s="4" t="s">
        <v>4149</v>
      </c>
      <c r="H911" s="4" t="s">
        <v>4156</v>
      </c>
      <c r="I911" s="4" t="s">
        <v>824</v>
      </c>
    </row>
    <row r="912" spans="1:9" x14ac:dyDescent="0.3">
      <c r="A912">
        <v>915</v>
      </c>
      <c r="B912" s="4" t="s">
        <v>4162</v>
      </c>
      <c r="C912" s="4" t="s">
        <v>4154</v>
      </c>
      <c r="D912" s="4" t="s">
        <v>2999</v>
      </c>
      <c r="E912" s="4" t="s">
        <v>4151</v>
      </c>
      <c r="F912" s="4" t="s">
        <v>4155</v>
      </c>
      <c r="G912" s="4" t="s">
        <v>4149</v>
      </c>
      <c r="H912" s="4" t="s">
        <v>4156</v>
      </c>
      <c r="I912" s="4" t="s">
        <v>824</v>
      </c>
    </row>
    <row r="913" spans="1:9" x14ac:dyDescent="0.3">
      <c r="A913">
        <v>916</v>
      </c>
      <c r="B913" s="4" t="s">
        <v>4162</v>
      </c>
      <c r="C913" s="4" t="s">
        <v>4154</v>
      </c>
      <c r="D913" s="4" t="s">
        <v>2999</v>
      </c>
      <c r="E913" s="4" t="s">
        <v>4151</v>
      </c>
      <c r="F913" s="4" t="s">
        <v>4148</v>
      </c>
      <c r="G913" s="4" t="s">
        <v>4149</v>
      </c>
      <c r="H913" s="4" t="s">
        <v>4156</v>
      </c>
      <c r="I913" s="4" t="s">
        <v>824</v>
      </c>
    </row>
    <row r="914" spans="1:9" x14ac:dyDescent="0.3">
      <c r="A914">
        <v>917</v>
      </c>
      <c r="B914" s="4" t="s">
        <v>4162</v>
      </c>
      <c r="C914" s="4" t="s">
        <v>4146</v>
      </c>
      <c r="D914" s="4" t="s">
        <v>2994</v>
      </c>
      <c r="E914" s="4" t="s">
        <v>4147</v>
      </c>
      <c r="F914" s="4" t="s">
        <v>4152</v>
      </c>
      <c r="G914" s="4" t="s">
        <v>4153</v>
      </c>
      <c r="H914" s="4" t="s">
        <v>4156</v>
      </c>
      <c r="I914" s="4" t="s">
        <v>4178</v>
      </c>
    </row>
    <row r="915" spans="1:9" x14ac:dyDescent="0.3">
      <c r="A915">
        <v>918</v>
      </c>
      <c r="B915" s="4" t="s">
        <v>4162</v>
      </c>
      <c r="C915" s="4" t="s">
        <v>4146</v>
      </c>
      <c r="D915" s="4" t="s">
        <v>2999</v>
      </c>
      <c r="E915" s="4" t="s">
        <v>4151</v>
      </c>
      <c r="F915" s="4" t="s">
        <v>4155</v>
      </c>
      <c r="G915" s="4" t="s">
        <v>4153</v>
      </c>
      <c r="H915" s="4" t="s">
        <v>4156</v>
      </c>
      <c r="I915" s="4" t="s">
        <v>4178</v>
      </c>
    </row>
    <row r="916" spans="1:9" x14ac:dyDescent="0.3">
      <c r="A916">
        <v>919</v>
      </c>
      <c r="B916" s="4" t="s">
        <v>4162</v>
      </c>
      <c r="C916" s="4" t="s">
        <v>4154</v>
      </c>
      <c r="D916" s="4" t="s">
        <v>2999</v>
      </c>
      <c r="E916" s="4" t="s">
        <v>4151</v>
      </c>
      <c r="F916" s="4" t="s">
        <v>4148</v>
      </c>
      <c r="G916" s="4" t="s">
        <v>4149</v>
      </c>
      <c r="H916" s="4" t="s">
        <v>4156</v>
      </c>
      <c r="I916" s="4" t="s">
        <v>4178</v>
      </c>
    </row>
    <row r="917" spans="1:9" x14ac:dyDescent="0.3">
      <c r="A917">
        <v>920</v>
      </c>
      <c r="B917" s="4" t="s">
        <v>4162</v>
      </c>
      <c r="C917" s="4" t="s">
        <v>4154</v>
      </c>
      <c r="D917" s="4" t="s">
        <v>2999</v>
      </c>
      <c r="E917" s="4" t="s">
        <v>4151</v>
      </c>
      <c r="F917" s="4" t="s">
        <v>4159</v>
      </c>
      <c r="G917" s="4" t="s">
        <v>4149</v>
      </c>
      <c r="H917" s="4" t="s">
        <v>4156</v>
      </c>
      <c r="I917" s="4" t="s">
        <v>4178</v>
      </c>
    </row>
    <row r="918" spans="1:9" x14ac:dyDescent="0.3">
      <c r="A918">
        <v>921</v>
      </c>
      <c r="B918" s="4" t="s">
        <v>4162</v>
      </c>
      <c r="C918" s="4" t="s">
        <v>4154</v>
      </c>
      <c r="D918" s="4" t="s">
        <v>2999</v>
      </c>
      <c r="E918" s="4" t="s">
        <v>4151</v>
      </c>
      <c r="F918" s="4" t="s">
        <v>4148</v>
      </c>
      <c r="G918" s="4" t="s">
        <v>4149</v>
      </c>
      <c r="H918" s="4" t="s">
        <v>4156</v>
      </c>
      <c r="I918" s="4" t="s">
        <v>4160</v>
      </c>
    </row>
    <row r="919" spans="1:9" x14ac:dyDescent="0.3">
      <c r="A919">
        <v>922</v>
      </c>
      <c r="B919" s="4" t="s">
        <v>4162</v>
      </c>
      <c r="C919" s="4" t="s">
        <v>4154</v>
      </c>
      <c r="D919" s="4" t="s">
        <v>2999</v>
      </c>
      <c r="E919" s="4" t="s">
        <v>4151</v>
      </c>
      <c r="F919" s="4" t="s">
        <v>4148</v>
      </c>
      <c r="G919" s="4" t="s">
        <v>4149</v>
      </c>
      <c r="H919" s="4" t="s">
        <v>4156</v>
      </c>
      <c r="I919" s="4" t="s">
        <v>824</v>
      </c>
    </row>
    <row r="920" spans="1:9" x14ac:dyDescent="0.3">
      <c r="A920">
        <v>923</v>
      </c>
      <c r="B920" s="4" t="s">
        <v>4162</v>
      </c>
      <c r="C920" s="4" t="s">
        <v>4146</v>
      </c>
      <c r="D920" s="4" t="s">
        <v>2994</v>
      </c>
      <c r="E920" s="4" t="s">
        <v>4147</v>
      </c>
      <c r="F920" s="4" t="s">
        <v>4148</v>
      </c>
      <c r="G920" s="4" t="s">
        <v>4149</v>
      </c>
      <c r="H920" s="4" t="s">
        <v>4156</v>
      </c>
      <c r="I920" s="4" t="s">
        <v>4160</v>
      </c>
    </row>
    <row r="921" spans="1:9" x14ac:dyDescent="0.3">
      <c r="A921">
        <v>924</v>
      </c>
      <c r="B921" s="4" t="s">
        <v>4162</v>
      </c>
      <c r="C921" s="4" t="s">
        <v>4146</v>
      </c>
      <c r="D921" s="4" t="s">
        <v>2994</v>
      </c>
      <c r="E921" s="4" t="s">
        <v>4147</v>
      </c>
      <c r="F921" s="4" t="s">
        <v>4148</v>
      </c>
      <c r="G921" s="4" t="s">
        <v>4149</v>
      </c>
      <c r="H921" s="4" t="s">
        <v>4156</v>
      </c>
      <c r="I921" s="4" t="s">
        <v>4160</v>
      </c>
    </row>
    <row r="922" spans="1:9" x14ac:dyDescent="0.3">
      <c r="A922">
        <v>925</v>
      </c>
      <c r="B922" s="4" t="s">
        <v>4162</v>
      </c>
      <c r="C922" s="4" t="s">
        <v>4154</v>
      </c>
      <c r="D922" s="4" t="s">
        <v>2999</v>
      </c>
      <c r="E922" s="4" t="s">
        <v>4151</v>
      </c>
      <c r="F922" s="4" t="s">
        <v>4155</v>
      </c>
      <c r="G922" s="4" t="s">
        <v>4149</v>
      </c>
      <c r="H922" s="4" t="s">
        <v>4156</v>
      </c>
      <c r="I922" s="4" t="s">
        <v>4160</v>
      </c>
    </row>
    <row r="923" spans="1:9" x14ac:dyDescent="0.3">
      <c r="A923">
        <v>926</v>
      </c>
      <c r="B923" s="4" t="s">
        <v>4162</v>
      </c>
      <c r="C923" s="4" t="s">
        <v>4154</v>
      </c>
      <c r="D923" s="4" t="s">
        <v>2999</v>
      </c>
      <c r="E923" s="4" t="s">
        <v>4151</v>
      </c>
      <c r="F923" s="4" t="s">
        <v>4155</v>
      </c>
      <c r="G923" s="4" t="s">
        <v>4149</v>
      </c>
      <c r="H923" s="4" t="s">
        <v>4156</v>
      </c>
      <c r="I923" s="4" t="s">
        <v>824</v>
      </c>
    </row>
    <row r="924" spans="1:9" x14ac:dyDescent="0.3">
      <c r="A924">
        <v>927</v>
      </c>
      <c r="B924" s="4" t="s">
        <v>4162</v>
      </c>
      <c r="C924" s="4" t="s">
        <v>4146</v>
      </c>
      <c r="D924" s="4" t="s">
        <v>2999</v>
      </c>
      <c r="E924" s="4" t="s">
        <v>4151</v>
      </c>
      <c r="F924" s="4" t="s">
        <v>4148</v>
      </c>
      <c r="G924" s="4" t="s">
        <v>4149</v>
      </c>
      <c r="H924" s="4" t="s">
        <v>4156</v>
      </c>
      <c r="I924" s="4" t="s">
        <v>4160</v>
      </c>
    </row>
    <row r="925" spans="1:9" x14ac:dyDescent="0.3">
      <c r="A925">
        <v>928</v>
      </c>
      <c r="B925" s="4" t="s">
        <v>4162</v>
      </c>
      <c r="C925" s="4" t="s">
        <v>4154</v>
      </c>
      <c r="D925" s="4" t="s">
        <v>2999</v>
      </c>
      <c r="E925" s="4" t="s">
        <v>4151</v>
      </c>
      <c r="F925" s="4" t="s">
        <v>4148</v>
      </c>
      <c r="G925" s="4" t="s">
        <v>4153</v>
      </c>
      <c r="H925" s="4" t="s">
        <v>4156</v>
      </c>
      <c r="I925" s="4" t="s">
        <v>4178</v>
      </c>
    </row>
    <row r="926" spans="1:9" x14ac:dyDescent="0.3">
      <c r="A926">
        <v>929</v>
      </c>
      <c r="B926" s="4" t="s">
        <v>4162</v>
      </c>
      <c r="C926" s="4" t="s">
        <v>4154</v>
      </c>
      <c r="D926" s="4" t="s">
        <v>3001</v>
      </c>
      <c r="E926" s="4" t="s">
        <v>4147</v>
      </c>
      <c r="F926" s="4" t="s">
        <v>4148</v>
      </c>
      <c r="G926" s="4" t="s">
        <v>4153</v>
      </c>
      <c r="H926" s="4" t="s">
        <v>4156</v>
      </c>
      <c r="I926" s="4" t="s">
        <v>4178</v>
      </c>
    </row>
    <row r="927" spans="1:9" x14ac:dyDescent="0.3">
      <c r="A927">
        <v>930</v>
      </c>
      <c r="B927" s="4" t="s">
        <v>4162</v>
      </c>
      <c r="C927" s="4" t="s">
        <v>4154</v>
      </c>
      <c r="D927" s="4" t="s">
        <v>2999</v>
      </c>
      <c r="E927" s="4" t="s">
        <v>4151</v>
      </c>
      <c r="F927" s="4" t="s">
        <v>4148</v>
      </c>
      <c r="G927" s="4" t="s">
        <v>4153</v>
      </c>
      <c r="H927" s="4" t="s">
        <v>4156</v>
      </c>
      <c r="I927" s="4" t="s">
        <v>4160</v>
      </c>
    </row>
    <row r="928" spans="1:9" x14ac:dyDescent="0.3">
      <c r="A928">
        <v>931</v>
      </c>
      <c r="B928" s="4" t="s">
        <v>4162</v>
      </c>
      <c r="C928" s="4" t="s">
        <v>4154</v>
      </c>
      <c r="D928" s="4" t="s">
        <v>2999</v>
      </c>
      <c r="E928" s="4" t="s">
        <v>4151</v>
      </c>
      <c r="F928" s="4" t="s">
        <v>4148</v>
      </c>
      <c r="G928" s="4" t="s">
        <v>4153</v>
      </c>
      <c r="H928" s="4" t="s">
        <v>4156</v>
      </c>
      <c r="I928" s="4" t="s">
        <v>4160</v>
      </c>
    </row>
    <row r="929" spans="1:9" x14ac:dyDescent="0.3">
      <c r="A929">
        <v>932</v>
      </c>
      <c r="B929" s="4" t="s">
        <v>4162</v>
      </c>
      <c r="C929" s="4" t="s">
        <v>4154</v>
      </c>
      <c r="D929" s="4" t="s">
        <v>2999</v>
      </c>
      <c r="E929" s="4" t="s">
        <v>4151</v>
      </c>
      <c r="F929" s="4" t="s">
        <v>4148</v>
      </c>
      <c r="G929" s="4" t="s">
        <v>4149</v>
      </c>
      <c r="H929" s="4" t="s">
        <v>4156</v>
      </c>
      <c r="I929" s="4" t="s">
        <v>4160</v>
      </c>
    </row>
    <row r="930" spans="1:9" x14ac:dyDescent="0.3">
      <c r="A930">
        <v>933</v>
      </c>
      <c r="B930" s="4" t="s">
        <v>4162</v>
      </c>
      <c r="C930" s="4" t="s">
        <v>4154</v>
      </c>
      <c r="D930" s="4" t="s">
        <v>2994</v>
      </c>
      <c r="E930" s="4" t="s">
        <v>4147</v>
      </c>
      <c r="F930" s="4" t="s">
        <v>4148</v>
      </c>
      <c r="G930" s="4" t="s">
        <v>4153</v>
      </c>
      <c r="H930" s="4" t="s">
        <v>4156</v>
      </c>
      <c r="I930" s="4" t="s">
        <v>824</v>
      </c>
    </row>
    <row r="931" spans="1:9" x14ac:dyDescent="0.3">
      <c r="A931">
        <v>934</v>
      </c>
      <c r="B931" s="4" t="s">
        <v>4162</v>
      </c>
      <c r="C931" s="4" t="s">
        <v>4154</v>
      </c>
      <c r="D931" s="4" t="s">
        <v>2999</v>
      </c>
      <c r="E931" s="4" t="s">
        <v>4151</v>
      </c>
      <c r="F931" s="4" t="s">
        <v>4148</v>
      </c>
      <c r="G931" s="4" t="s">
        <v>4153</v>
      </c>
      <c r="H931" s="4" t="s">
        <v>4156</v>
      </c>
      <c r="I931" s="4" t="s">
        <v>824</v>
      </c>
    </row>
    <row r="932" spans="1:9" x14ac:dyDescent="0.3">
      <c r="A932">
        <v>935</v>
      </c>
      <c r="B932" s="4" t="s">
        <v>4162</v>
      </c>
      <c r="C932" s="4" t="s">
        <v>4146</v>
      </c>
      <c r="D932" s="4" t="s">
        <v>2994</v>
      </c>
      <c r="E932" s="4" t="s">
        <v>4147</v>
      </c>
      <c r="F932" s="4" t="s">
        <v>4152</v>
      </c>
      <c r="G932" s="4" t="s">
        <v>4153</v>
      </c>
      <c r="H932" s="4" t="s">
        <v>4156</v>
      </c>
      <c r="I932" s="4" t="s">
        <v>824</v>
      </c>
    </row>
    <row r="933" spans="1:9" x14ac:dyDescent="0.3">
      <c r="A933">
        <v>936</v>
      </c>
      <c r="B933" s="4" t="s">
        <v>4162</v>
      </c>
      <c r="C933" s="4" t="s">
        <v>4146</v>
      </c>
      <c r="D933" s="4" t="s">
        <v>2999</v>
      </c>
      <c r="E933" s="4" t="s">
        <v>4151</v>
      </c>
      <c r="F933" s="4" t="s">
        <v>4148</v>
      </c>
      <c r="G933" s="4" t="s">
        <v>4153</v>
      </c>
      <c r="H933" s="4" t="s">
        <v>4156</v>
      </c>
      <c r="I933" s="4" t="s">
        <v>824</v>
      </c>
    </row>
    <row r="934" spans="1:9" x14ac:dyDescent="0.3">
      <c r="A934">
        <v>937</v>
      </c>
      <c r="B934" s="4" t="s">
        <v>4162</v>
      </c>
      <c r="C934" s="4" t="s">
        <v>4146</v>
      </c>
      <c r="D934" s="4" t="s">
        <v>3001</v>
      </c>
      <c r="E934" s="4" t="s">
        <v>4147</v>
      </c>
      <c r="F934" s="4" t="s">
        <v>4148</v>
      </c>
      <c r="G934" s="4" t="s">
        <v>4153</v>
      </c>
      <c r="H934" s="4" t="s">
        <v>4156</v>
      </c>
      <c r="I934" s="4" t="s">
        <v>824</v>
      </c>
    </row>
    <row r="935" spans="1:9" x14ac:dyDescent="0.3">
      <c r="A935">
        <v>938</v>
      </c>
      <c r="B935" s="4" t="s">
        <v>4162</v>
      </c>
      <c r="C935" s="4" t="s">
        <v>4154</v>
      </c>
      <c r="D935" s="4" t="s">
        <v>2994</v>
      </c>
      <c r="E935" s="4" t="s">
        <v>4147</v>
      </c>
      <c r="F935" s="4" t="s">
        <v>4152</v>
      </c>
      <c r="G935" s="4" t="s">
        <v>4153</v>
      </c>
      <c r="H935" s="4" t="s">
        <v>4156</v>
      </c>
      <c r="I935" s="4" t="s">
        <v>824</v>
      </c>
    </row>
    <row r="936" spans="1:9" x14ac:dyDescent="0.3">
      <c r="A936">
        <v>939</v>
      </c>
      <c r="B936" s="4" t="s">
        <v>4162</v>
      </c>
      <c r="C936" s="4" t="s">
        <v>4154</v>
      </c>
      <c r="D936" s="4" t="s">
        <v>2999</v>
      </c>
      <c r="E936" s="4" t="s">
        <v>4151</v>
      </c>
      <c r="F936" s="4" t="s">
        <v>4159</v>
      </c>
      <c r="G936" s="4" t="s">
        <v>4153</v>
      </c>
      <c r="H936" s="4" t="s">
        <v>4156</v>
      </c>
      <c r="I936" s="4" t="s">
        <v>824</v>
      </c>
    </row>
    <row r="937" spans="1:9" x14ac:dyDescent="0.3">
      <c r="A937">
        <v>940</v>
      </c>
      <c r="B937" s="4" t="s">
        <v>4162</v>
      </c>
      <c r="C937" s="4" t="s">
        <v>4154</v>
      </c>
      <c r="D937" s="4" t="s">
        <v>3001</v>
      </c>
      <c r="E937" s="4" t="s">
        <v>4147</v>
      </c>
      <c r="F937" s="4" t="s">
        <v>4155</v>
      </c>
      <c r="G937" s="4" t="s">
        <v>4153</v>
      </c>
      <c r="H937" s="4" t="s">
        <v>4156</v>
      </c>
      <c r="I937" s="4" t="s">
        <v>824</v>
      </c>
    </row>
    <row r="938" spans="1:9" x14ac:dyDescent="0.3">
      <c r="A938">
        <v>941</v>
      </c>
      <c r="B938" s="4" t="s">
        <v>4162</v>
      </c>
      <c r="C938" s="4" t="s">
        <v>4154</v>
      </c>
      <c r="D938" s="4" t="s">
        <v>2999</v>
      </c>
      <c r="E938" s="4" t="s">
        <v>4151</v>
      </c>
      <c r="F938" s="4" t="s">
        <v>4148</v>
      </c>
      <c r="G938" s="4" t="s">
        <v>4149</v>
      </c>
      <c r="H938" s="4" t="s">
        <v>4156</v>
      </c>
      <c r="I938" s="4" t="s">
        <v>4178</v>
      </c>
    </row>
    <row r="939" spans="1:9" x14ac:dyDescent="0.3">
      <c r="A939">
        <v>942</v>
      </c>
      <c r="B939" s="4" t="s">
        <v>4162</v>
      </c>
      <c r="C939" s="4" t="s">
        <v>4146</v>
      </c>
      <c r="D939" s="4" t="s">
        <v>2999</v>
      </c>
      <c r="E939" s="4" t="s">
        <v>4151</v>
      </c>
      <c r="F939" s="4" t="s">
        <v>4148</v>
      </c>
      <c r="G939" s="4" t="s">
        <v>4149</v>
      </c>
      <c r="H939" s="4" t="s">
        <v>4156</v>
      </c>
      <c r="I939" s="4" t="s">
        <v>4178</v>
      </c>
    </row>
    <row r="940" spans="1:9" x14ac:dyDescent="0.3">
      <c r="A940">
        <v>943</v>
      </c>
      <c r="B940" s="4" t="s">
        <v>4162</v>
      </c>
      <c r="C940" s="4" t="s">
        <v>4154</v>
      </c>
      <c r="D940" s="4" t="s">
        <v>2999</v>
      </c>
      <c r="E940" s="4" t="s">
        <v>4151</v>
      </c>
      <c r="F940" s="4" t="s">
        <v>4148</v>
      </c>
      <c r="G940" s="4" t="s">
        <v>4149</v>
      </c>
      <c r="H940" s="4" t="s">
        <v>4156</v>
      </c>
      <c r="I940" s="4" t="s">
        <v>4178</v>
      </c>
    </row>
    <row r="941" spans="1:9" x14ac:dyDescent="0.3">
      <c r="A941">
        <v>944</v>
      </c>
      <c r="B941" s="4" t="s">
        <v>4162</v>
      </c>
      <c r="C941" s="4" t="s">
        <v>4154</v>
      </c>
      <c r="D941" s="4" t="s">
        <v>2994</v>
      </c>
      <c r="E941" s="4" t="s">
        <v>4147</v>
      </c>
      <c r="F941" s="4" t="s">
        <v>4155</v>
      </c>
      <c r="G941" s="4" t="s">
        <v>4149</v>
      </c>
      <c r="H941" s="4" t="s">
        <v>4156</v>
      </c>
      <c r="I941" s="4" t="s">
        <v>824</v>
      </c>
    </row>
    <row r="942" spans="1:9" x14ac:dyDescent="0.3">
      <c r="A942">
        <v>945</v>
      </c>
      <c r="B942" s="4" t="s">
        <v>4162</v>
      </c>
      <c r="C942" s="4" t="s">
        <v>4154</v>
      </c>
      <c r="D942" s="4" t="s">
        <v>2999</v>
      </c>
      <c r="E942" s="4" t="s">
        <v>4151</v>
      </c>
      <c r="F942" s="4" t="s">
        <v>4148</v>
      </c>
      <c r="G942" s="4" t="s">
        <v>4149</v>
      </c>
      <c r="H942" s="4" t="s">
        <v>4156</v>
      </c>
      <c r="I942" s="4" t="s">
        <v>824</v>
      </c>
    </row>
    <row r="943" spans="1:9" x14ac:dyDescent="0.3">
      <c r="A943">
        <v>946</v>
      </c>
      <c r="B943" s="4" t="s">
        <v>4162</v>
      </c>
      <c r="C943" s="4" t="s">
        <v>4146</v>
      </c>
      <c r="D943" s="4" t="s">
        <v>2999</v>
      </c>
      <c r="E943" s="4" t="s">
        <v>4151</v>
      </c>
      <c r="F943" s="4" t="s">
        <v>4148</v>
      </c>
      <c r="G943" s="4" t="s">
        <v>4149</v>
      </c>
      <c r="H943" s="4" t="s">
        <v>4158</v>
      </c>
      <c r="I943" s="4" t="s">
        <v>824</v>
      </c>
    </row>
    <row r="944" spans="1:9" x14ac:dyDescent="0.3">
      <c r="A944">
        <v>947</v>
      </c>
      <c r="B944" s="4" t="s">
        <v>4162</v>
      </c>
      <c r="C944" s="4" t="s">
        <v>4154</v>
      </c>
      <c r="D944" s="4" t="s">
        <v>2999</v>
      </c>
      <c r="E944" s="4" t="s">
        <v>4151</v>
      </c>
      <c r="F944" s="4" t="s">
        <v>4148</v>
      </c>
      <c r="G944" s="4" t="s">
        <v>4149</v>
      </c>
      <c r="H944" s="4" t="s">
        <v>4158</v>
      </c>
      <c r="I944" s="4" t="s">
        <v>824</v>
      </c>
    </row>
    <row r="945" spans="1:9" x14ac:dyDescent="0.3">
      <c r="A945">
        <v>948</v>
      </c>
      <c r="B945" s="4" t="s">
        <v>4162</v>
      </c>
      <c r="C945" s="4" t="s">
        <v>4146</v>
      </c>
      <c r="D945" s="4" t="s">
        <v>2994</v>
      </c>
      <c r="E945" s="4" t="s">
        <v>4147</v>
      </c>
      <c r="F945" s="4" t="s">
        <v>4148</v>
      </c>
      <c r="G945" s="4" t="s">
        <v>4149</v>
      </c>
      <c r="H945" s="4" t="s">
        <v>4156</v>
      </c>
      <c r="I945" s="4" t="s">
        <v>824</v>
      </c>
    </row>
    <row r="946" spans="1:9" x14ac:dyDescent="0.3">
      <c r="A946">
        <v>949</v>
      </c>
      <c r="B946" s="4" t="s">
        <v>4162</v>
      </c>
      <c r="C946" s="4" t="s">
        <v>4154</v>
      </c>
      <c r="D946" s="4" t="s">
        <v>2999</v>
      </c>
      <c r="E946" s="4" t="s">
        <v>4151</v>
      </c>
      <c r="F946" s="4" t="s">
        <v>4148</v>
      </c>
      <c r="G946" s="4" t="s">
        <v>4149</v>
      </c>
      <c r="H946" s="4" t="s">
        <v>4156</v>
      </c>
      <c r="I946" s="4" t="s">
        <v>4160</v>
      </c>
    </row>
    <row r="947" spans="1:9" x14ac:dyDescent="0.3">
      <c r="A947">
        <v>950</v>
      </c>
      <c r="B947" s="4" t="s">
        <v>4162</v>
      </c>
      <c r="C947" s="4" t="s">
        <v>4146</v>
      </c>
      <c r="D947" s="4" t="s">
        <v>2999</v>
      </c>
      <c r="E947" s="4" t="s">
        <v>4151</v>
      </c>
      <c r="F947" s="4" t="s">
        <v>4148</v>
      </c>
      <c r="G947" s="4" t="s">
        <v>4149</v>
      </c>
      <c r="H947" s="4" t="s">
        <v>4158</v>
      </c>
      <c r="I947" s="4" t="s">
        <v>824</v>
      </c>
    </row>
    <row r="948" spans="1:9" x14ac:dyDescent="0.3">
      <c r="A948">
        <v>951</v>
      </c>
      <c r="B948" s="4" t="s">
        <v>4162</v>
      </c>
      <c r="C948" s="4" t="s">
        <v>4154</v>
      </c>
      <c r="D948" s="4" t="s">
        <v>2999</v>
      </c>
      <c r="E948" s="4" t="s">
        <v>4151</v>
      </c>
      <c r="F948" s="4" t="s">
        <v>4148</v>
      </c>
      <c r="G948" s="4" t="s">
        <v>4149</v>
      </c>
      <c r="H948" s="4" t="s">
        <v>4156</v>
      </c>
      <c r="I948" s="4" t="s">
        <v>824</v>
      </c>
    </row>
    <row r="949" spans="1:9" x14ac:dyDescent="0.3">
      <c r="A949">
        <v>952</v>
      </c>
      <c r="B949" s="4" t="s">
        <v>4162</v>
      </c>
      <c r="C949" s="4" t="s">
        <v>4154</v>
      </c>
      <c r="D949" s="4" t="s">
        <v>2999</v>
      </c>
      <c r="E949" s="4" t="s">
        <v>4151</v>
      </c>
      <c r="F949" s="4" t="s">
        <v>4148</v>
      </c>
      <c r="G949" s="4" t="s">
        <v>4149</v>
      </c>
      <c r="H949" s="4" t="s">
        <v>4156</v>
      </c>
      <c r="I949" s="4" t="s">
        <v>824</v>
      </c>
    </row>
    <row r="950" spans="1:9" x14ac:dyDescent="0.3">
      <c r="A950">
        <v>953</v>
      </c>
      <c r="B950" s="4" t="s">
        <v>4162</v>
      </c>
      <c r="C950" s="4" t="s">
        <v>4154</v>
      </c>
      <c r="D950" s="4" t="s">
        <v>2999</v>
      </c>
      <c r="E950" s="4" t="s">
        <v>4151</v>
      </c>
      <c r="F950" s="4" t="s">
        <v>4148</v>
      </c>
      <c r="G950" s="4" t="s">
        <v>4149</v>
      </c>
      <c r="H950" s="4" t="s">
        <v>4156</v>
      </c>
      <c r="I950" s="4" t="s">
        <v>824</v>
      </c>
    </row>
    <row r="951" spans="1:9" x14ac:dyDescent="0.3">
      <c r="A951">
        <v>954</v>
      </c>
      <c r="B951" s="4" t="s">
        <v>4162</v>
      </c>
      <c r="C951" s="4" t="s">
        <v>4146</v>
      </c>
      <c r="D951" s="4" t="s">
        <v>2999</v>
      </c>
      <c r="E951" s="4" t="s">
        <v>4151</v>
      </c>
      <c r="F951" s="4" t="s">
        <v>4148</v>
      </c>
      <c r="G951" s="4" t="s">
        <v>4149</v>
      </c>
      <c r="H951" s="4" t="s">
        <v>4156</v>
      </c>
      <c r="I951" s="4" t="s">
        <v>4178</v>
      </c>
    </row>
    <row r="952" spans="1:9" x14ac:dyDescent="0.3">
      <c r="A952">
        <v>955</v>
      </c>
      <c r="B952" s="4" t="s">
        <v>4162</v>
      </c>
      <c r="C952" s="4" t="s">
        <v>4154</v>
      </c>
      <c r="D952" s="4" t="s">
        <v>2996</v>
      </c>
      <c r="E952" s="4" t="s">
        <v>4151</v>
      </c>
      <c r="F952" s="4" t="s">
        <v>4148</v>
      </c>
      <c r="G952" s="4" t="s">
        <v>4153</v>
      </c>
      <c r="H952" s="4" t="s">
        <v>4156</v>
      </c>
      <c r="I952" s="4" t="s">
        <v>824</v>
      </c>
    </row>
    <row r="953" spans="1:9" x14ac:dyDescent="0.3">
      <c r="A953">
        <v>956</v>
      </c>
      <c r="B953" s="4" t="s">
        <v>4162</v>
      </c>
      <c r="C953" s="4" t="s">
        <v>4154</v>
      </c>
      <c r="D953" s="4" t="s">
        <v>2994</v>
      </c>
      <c r="E953" s="4" t="s">
        <v>4147</v>
      </c>
      <c r="F953" s="4" t="s">
        <v>4148</v>
      </c>
      <c r="G953" s="4" t="s">
        <v>4153</v>
      </c>
      <c r="H953" s="4" t="s">
        <v>4156</v>
      </c>
      <c r="I953" s="4" t="s">
        <v>824</v>
      </c>
    </row>
    <row r="954" spans="1:9" x14ac:dyDescent="0.3">
      <c r="A954">
        <v>957</v>
      </c>
      <c r="B954" s="4" t="s">
        <v>4162</v>
      </c>
      <c r="C954" s="4" t="s">
        <v>4154</v>
      </c>
      <c r="D954" s="4" t="s">
        <v>2994</v>
      </c>
      <c r="E954" s="4" t="s">
        <v>4147</v>
      </c>
      <c r="F954" s="4" t="s">
        <v>4148</v>
      </c>
      <c r="G954" s="4" t="s">
        <v>4153</v>
      </c>
      <c r="H954" s="4" t="s">
        <v>4156</v>
      </c>
      <c r="I954" s="4" t="s">
        <v>824</v>
      </c>
    </row>
    <row r="955" spans="1:9" x14ac:dyDescent="0.3">
      <c r="A955">
        <v>958</v>
      </c>
      <c r="B955" s="4" t="s">
        <v>4162</v>
      </c>
      <c r="C955" s="4" t="s">
        <v>4154</v>
      </c>
      <c r="D955" s="4" t="s">
        <v>2994</v>
      </c>
      <c r="E955" s="4" t="s">
        <v>4147</v>
      </c>
      <c r="F955" s="4" t="s">
        <v>4148</v>
      </c>
      <c r="G955" s="4" t="s">
        <v>4153</v>
      </c>
      <c r="H955" s="4" t="s">
        <v>4156</v>
      </c>
      <c r="I955" s="4" t="s">
        <v>824</v>
      </c>
    </row>
    <row r="956" spans="1:9" x14ac:dyDescent="0.3">
      <c r="A956">
        <v>959</v>
      </c>
      <c r="B956" s="4" t="s">
        <v>4162</v>
      </c>
      <c r="C956" s="4" t="s">
        <v>4154</v>
      </c>
      <c r="D956" s="4" t="s">
        <v>3001</v>
      </c>
      <c r="E956" s="4" t="s">
        <v>4147</v>
      </c>
      <c r="F956" s="4" t="s">
        <v>4148</v>
      </c>
      <c r="G956" s="4" t="s">
        <v>4153</v>
      </c>
      <c r="H956" s="4" t="s">
        <v>4156</v>
      </c>
      <c r="I956" s="4" t="s">
        <v>824</v>
      </c>
    </row>
    <row r="957" spans="1:9" x14ac:dyDescent="0.3">
      <c r="A957">
        <v>960</v>
      </c>
      <c r="B957" s="4" t="s">
        <v>4162</v>
      </c>
      <c r="C957" s="4" t="s">
        <v>4154</v>
      </c>
      <c r="D957" s="4" t="s">
        <v>2999</v>
      </c>
      <c r="E957" s="4" t="s">
        <v>4151</v>
      </c>
      <c r="F957" s="4" t="s">
        <v>4155</v>
      </c>
      <c r="G957" s="4" t="s">
        <v>4149</v>
      </c>
      <c r="H957" s="4" t="s">
        <v>4156</v>
      </c>
      <c r="I957" s="4" t="s">
        <v>824</v>
      </c>
    </row>
    <row r="958" spans="1:9" x14ac:dyDescent="0.3">
      <c r="A958">
        <v>961</v>
      </c>
      <c r="B958" s="4" t="s">
        <v>4162</v>
      </c>
      <c r="C958" s="4" t="s">
        <v>4154</v>
      </c>
      <c r="D958" s="4" t="s">
        <v>2999</v>
      </c>
      <c r="E958" s="4" t="s">
        <v>4151</v>
      </c>
      <c r="F958" s="4" t="s">
        <v>4155</v>
      </c>
      <c r="G958" s="4" t="s">
        <v>4149</v>
      </c>
      <c r="H958" s="4" t="s">
        <v>4156</v>
      </c>
      <c r="I958" s="4" t="s">
        <v>4178</v>
      </c>
    </row>
    <row r="959" spans="1:9" x14ac:dyDescent="0.3">
      <c r="A959">
        <v>962</v>
      </c>
      <c r="B959" s="4" t="s">
        <v>4162</v>
      </c>
      <c r="C959" s="4" t="s">
        <v>4154</v>
      </c>
      <c r="D959" s="4" t="s">
        <v>2994</v>
      </c>
      <c r="E959" s="4" t="s">
        <v>4147</v>
      </c>
      <c r="F959" s="4" t="s">
        <v>4148</v>
      </c>
      <c r="G959" s="4" t="s">
        <v>4153</v>
      </c>
      <c r="H959" s="4" t="s">
        <v>4156</v>
      </c>
      <c r="I959" s="4" t="s">
        <v>4160</v>
      </c>
    </row>
    <row r="960" spans="1:9" x14ac:dyDescent="0.3">
      <c r="A960">
        <v>963</v>
      </c>
      <c r="B960" s="4" t="s">
        <v>4162</v>
      </c>
      <c r="C960" s="4" t="s">
        <v>4154</v>
      </c>
      <c r="D960" s="4" t="s">
        <v>2999</v>
      </c>
      <c r="E960" s="4" t="s">
        <v>4151</v>
      </c>
      <c r="F960" s="4" t="s">
        <v>4148</v>
      </c>
      <c r="G960" s="4" t="s">
        <v>4153</v>
      </c>
      <c r="H960" s="4" t="s">
        <v>4156</v>
      </c>
      <c r="I960" s="4" t="s">
        <v>4160</v>
      </c>
    </row>
    <row r="961" spans="1:9" x14ac:dyDescent="0.3">
      <c r="A961">
        <v>964</v>
      </c>
      <c r="B961" s="4" t="s">
        <v>4162</v>
      </c>
      <c r="C961" s="4" t="s">
        <v>4154</v>
      </c>
      <c r="D961" s="4" t="s">
        <v>2999</v>
      </c>
      <c r="E961" s="4" t="s">
        <v>4151</v>
      </c>
      <c r="F961" s="4" t="s">
        <v>4155</v>
      </c>
      <c r="G961" s="4" t="s">
        <v>4149</v>
      </c>
      <c r="H961" s="4" t="s">
        <v>4156</v>
      </c>
      <c r="I961" s="4" t="s">
        <v>824</v>
      </c>
    </row>
    <row r="962" spans="1:9" x14ac:dyDescent="0.3">
      <c r="A962">
        <v>965</v>
      </c>
      <c r="B962" s="4" t="s">
        <v>4162</v>
      </c>
      <c r="C962" s="4" t="s">
        <v>4154</v>
      </c>
      <c r="D962" s="4" t="s">
        <v>2999</v>
      </c>
      <c r="E962" s="4" t="s">
        <v>4151</v>
      </c>
      <c r="F962" s="4" t="s">
        <v>4155</v>
      </c>
      <c r="G962" s="4" t="s">
        <v>4149</v>
      </c>
      <c r="H962" s="4" t="s">
        <v>4156</v>
      </c>
      <c r="I962" s="4" t="s">
        <v>824</v>
      </c>
    </row>
    <row r="963" spans="1:9" x14ac:dyDescent="0.3">
      <c r="A963">
        <v>966</v>
      </c>
      <c r="B963" s="4" t="s">
        <v>4162</v>
      </c>
      <c r="C963" s="4" t="s">
        <v>4154</v>
      </c>
      <c r="D963" s="4" t="s">
        <v>2999</v>
      </c>
      <c r="E963" s="4" t="s">
        <v>4151</v>
      </c>
      <c r="F963" s="4" t="s">
        <v>4148</v>
      </c>
      <c r="G963" s="4" t="s">
        <v>4149</v>
      </c>
      <c r="H963" s="4" t="s">
        <v>4156</v>
      </c>
      <c r="I963" s="4" t="s">
        <v>824</v>
      </c>
    </row>
    <row r="964" spans="1:9" x14ac:dyDescent="0.3">
      <c r="A964">
        <v>967</v>
      </c>
      <c r="B964" s="4" t="s">
        <v>4162</v>
      </c>
      <c r="C964" s="4" t="s">
        <v>4154</v>
      </c>
      <c r="D964" s="4" t="s">
        <v>2994</v>
      </c>
      <c r="E964" s="4" t="s">
        <v>4147</v>
      </c>
      <c r="F964" s="4" t="s">
        <v>4148</v>
      </c>
      <c r="G964" s="4" t="s">
        <v>4149</v>
      </c>
      <c r="H964" s="4" t="s">
        <v>4156</v>
      </c>
      <c r="I964" s="4" t="s">
        <v>824</v>
      </c>
    </row>
    <row r="965" spans="1:9" x14ac:dyDescent="0.3">
      <c r="A965">
        <v>968</v>
      </c>
      <c r="B965" s="4" t="s">
        <v>4162</v>
      </c>
      <c r="C965" s="4" t="s">
        <v>4154</v>
      </c>
      <c r="D965" s="4" t="s">
        <v>2994</v>
      </c>
      <c r="E965" s="4" t="s">
        <v>4147</v>
      </c>
      <c r="F965" s="4" t="s">
        <v>4155</v>
      </c>
      <c r="G965" s="4" t="s">
        <v>4149</v>
      </c>
      <c r="H965" s="4" t="s">
        <v>4156</v>
      </c>
      <c r="I965" s="4" t="s">
        <v>824</v>
      </c>
    </row>
    <row r="966" spans="1:9" x14ac:dyDescent="0.3">
      <c r="A966">
        <v>969</v>
      </c>
      <c r="B966" s="4" t="s">
        <v>4162</v>
      </c>
      <c r="C966" s="4" t="s">
        <v>4154</v>
      </c>
      <c r="D966" s="4" t="s">
        <v>2999</v>
      </c>
      <c r="E966" s="4" t="s">
        <v>4151</v>
      </c>
      <c r="F966" s="4" t="s">
        <v>4155</v>
      </c>
      <c r="G966" s="4" t="s">
        <v>4153</v>
      </c>
      <c r="H966" s="4" t="s">
        <v>4156</v>
      </c>
      <c r="I966" s="4" t="s">
        <v>824</v>
      </c>
    </row>
    <row r="967" spans="1:9" x14ac:dyDescent="0.3">
      <c r="A967">
        <v>970</v>
      </c>
      <c r="B967" s="4" t="s">
        <v>4162</v>
      </c>
      <c r="C967" s="4" t="s">
        <v>4154</v>
      </c>
      <c r="D967" s="4" t="s">
        <v>3001</v>
      </c>
      <c r="E967" s="4" t="s">
        <v>4147</v>
      </c>
      <c r="F967" s="4" t="s">
        <v>4148</v>
      </c>
      <c r="G967" s="4" t="s">
        <v>4153</v>
      </c>
      <c r="H967" s="4" t="s">
        <v>4156</v>
      </c>
      <c r="I967" s="4" t="s">
        <v>824</v>
      </c>
    </row>
    <row r="968" spans="1:9" x14ac:dyDescent="0.3">
      <c r="A968">
        <v>971</v>
      </c>
      <c r="B968" s="4" t="s">
        <v>4162</v>
      </c>
      <c r="C968" s="4" t="s">
        <v>4146</v>
      </c>
      <c r="D968" s="4" t="s">
        <v>2999</v>
      </c>
      <c r="E968" s="4" t="s">
        <v>4151</v>
      </c>
      <c r="F968" s="4" t="s">
        <v>4148</v>
      </c>
      <c r="G968" s="4" t="s">
        <v>4153</v>
      </c>
      <c r="H968" s="4" t="s">
        <v>4156</v>
      </c>
      <c r="I968" s="4" t="s">
        <v>824</v>
      </c>
    </row>
    <row r="969" spans="1:9" x14ac:dyDescent="0.3">
      <c r="A969">
        <v>972</v>
      </c>
      <c r="B969" s="4" t="s">
        <v>4162</v>
      </c>
      <c r="C969" s="4" t="s">
        <v>4154</v>
      </c>
      <c r="D969" s="4" t="s">
        <v>2999</v>
      </c>
      <c r="E969" s="4" t="s">
        <v>4151</v>
      </c>
      <c r="F969" s="4" t="s">
        <v>4148</v>
      </c>
      <c r="G969" s="4" t="s">
        <v>4149</v>
      </c>
      <c r="H969" s="4" t="s">
        <v>4156</v>
      </c>
      <c r="I969" s="4" t="s">
        <v>4160</v>
      </c>
    </row>
    <row r="970" spans="1:9" x14ac:dyDescent="0.3">
      <c r="A970">
        <v>973</v>
      </c>
      <c r="B970" s="4" t="s">
        <v>4162</v>
      </c>
      <c r="C970" s="4" t="s">
        <v>4154</v>
      </c>
      <c r="D970" s="4" t="s">
        <v>2999</v>
      </c>
      <c r="E970" s="4" t="s">
        <v>4151</v>
      </c>
      <c r="F970" s="4" t="s">
        <v>4148</v>
      </c>
      <c r="G970" s="4" t="s">
        <v>4149</v>
      </c>
      <c r="H970" s="4" t="s">
        <v>4158</v>
      </c>
      <c r="I970" s="4" t="s">
        <v>824</v>
      </c>
    </row>
    <row r="971" spans="1:9" x14ac:dyDescent="0.3">
      <c r="A971">
        <v>974</v>
      </c>
      <c r="B971" s="4" t="s">
        <v>4162</v>
      </c>
      <c r="C971" s="4" t="s">
        <v>4154</v>
      </c>
      <c r="D971" s="4" t="s">
        <v>2999</v>
      </c>
      <c r="E971" s="4" t="s">
        <v>4151</v>
      </c>
      <c r="F971" s="4" t="s">
        <v>4148</v>
      </c>
      <c r="G971" s="4" t="s">
        <v>4149</v>
      </c>
      <c r="H971" s="4" t="s">
        <v>4156</v>
      </c>
      <c r="I971" s="4" t="s">
        <v>824</v>
      </c>
    </row>
    <row r="972" spans="1:9" x14ac:dyDescent="0.3">
      <c r="A972">
        <v>975</v>
      </c>
      <c r="B972" s="4" t="s">
        <v>4162</v>
      </c>
      <c r="C972" s="4" t="s">
        <v>4154</v>
      </c>
      <c r="D972" s="4" t="s">
        <v>2999</v>
      </c>
      <c r="E972" s="4" t="s">
        <v>4151</v>
      </c>
      <c r="F972" s="4" t="s">
        <v>4148</v>
      </c>
      <c r="G972" s="4" t="s">
        <v>4153</v>
      </c>
      <c r="H972" s="4" t="s">
        <v>4156</v>
      </c>
      <c r="I972" s="4" t="s">
        <v>824</v>
      </c>
    </row>
    <row r="973" spans="1:9" x14ac:dyDescent="0.3">
      <c r="A973">
        <v>976</v>
      </c>
      <c r="B973" s="4" t="s">
        <v>4162</v>
      </c>
      <c r="C973" s="4" t="s">
        <v>4154</v>
      </c>
      <c r="D973" s="4" t="s">
        <v>3001</v>
      </c>
      <c r="E973" s="4" t="s">
        <v>4147</v>
      </c>
      <c r="F973" s="4" t="s">
        <v>4148</v>
      </c>
      <c r="G973" s="4" t="s">
        <v>4153</v>
      </c>
      <c r="H973" s="4" t="s">
        <v>4156</v>
      </c>
      <c r="I973" s="4" t="s">
        <v>824</v>
      </c>
    </row>
    <row r="974" spans="1:9" x14ac:dyDescent="0.3">
      <c r="A974">
        <v>977</v>
      </c>
      <c r="B974" s="4" t="s">
        <v>4162</v>
      </c>
      <c r="C974" s="4" t="s">
        <v>4154</v>
      </c>
      <c r="D974" s="4" t="s">
        <v>2999</v>
      </c>
      <c r="E974" s="4" t="s">
        <v>4151</v>
      </c>
      <c r="F974" s="4" t="s">
        <v>4148</v>
      </c>
      <c r="G974" s="4" t="s">
        <v>4149</v>
      </c>
      <c r="H974" s="4" t="s">
        <v>4156</v>
      </c>
      <c r="I974" s="4" t="s">
        <v>824</v>
      </c>
    </row>
    <row r="975" spans="1:9" x14ac:dyDescent="0.3">
      <c r="A975">
        <v>978</v>
      </c>
      <c r="B975" s="4" t="s">
        <v>4162</v>
      </c>
      <c r="C975" s="4" t="s">
        <v>4154</v>
      </c>
      <c r="D975" s="4" t="s">
        <v>2999</v>
      </c>
      <c r="E975" s="4" t="s">
        <v>4151</v>
      </c>
      <c r="F975" s="4" t="s">
        <v>4148</v>
      </c>
      <c r="G975" s="4" t="s">
        <v>4149</v>
      </c>
      <c r="H975" s="4" t="s">
        <v>4156</v>
      </c>
      <c r="I975" s="4" t="s">
        <v>824</v>
      </c>
    </row>
    <row r="976" spans="1:9" x14ac:dyDescent="0.3">
      <c r="A976">
        <v>979</v>
      </c>
      <c r="B976" s="4" t="s">
        <v>4162</v>
      </c>
      <c r="C976" s="4" t="s">
        <v>4146</v>
      </c>
      <c r="D976" s="4" t="s">
        <v>2999</v>
      </c>
      <c r="E976" s="4" t="s">
        <v>4151</v>
      </c>
      <c r="F976" s="4" t="s">
        <v>4148</v>
      </c>
      <c r="G976" s="4" t="s">
        <v>4149</v>
      </c>
      <c r="H976" s="4" t="s">
        <v>4156</v>
      </c>
      <c r="I976" s="4" t="s">
        <v>824</v>
      </c>
    </row>
    <row r="977" spans="1:9" x14ac:dyDescent="0.3">
      <c r="A977">
        <v>980</v>
      </c>
      <c r="B977" s="4" t="s">
        <v>4162</v>
      </c>
      <c r="C977" s="4" t="s">
        <v>4154</v>
      </c>
      <c r="D977" s="4" t="s">
        <v>2999</v>
      </c>
      <c r="E977" s="4" t="s">
        <v>4151</v>
      </c>
      <c r="F977" s="4" t="s">
        <v>4157</v>
      </c>
      <c r="G977" s="4" t="s">
        <v>4149</v>
      </c>
      <c r="H977" s="4" t="s">
        <v>4156</v>
      </c>
      <c r="I977" s="4" t="s">
        <v>824</v>
      </c>
    </row>
    <row r="978" spans="1:9" x14ac:dyDescent="0.3">
      <c r="A978">
        <v>981</v>
      </c>
      <c r="B978" s="4" t="s">
        <v>4162</v>
      </c>
      <c r="C978" s="4" t="s">
        <v>4146</v>
      </c>
      <c r="D978" s="4" t="s">
        <v>2994</v>
      </c>
      <c r="E978" s="4" t="s">
        <v>4147</v>
      </c>
      <c r="F978" s="4" t="s">
        <v>4148</v>
      </c>
      <c r="G978" s="4" t="s">
        <v>4149</v>
      </c>
      <c r="H978" s="4" t="s">
        <v>4156</v>
      </c>
      <c r="I978" s="4" t="s">
        <v>824</v>
      </c>
    </row>
    <row r="979" spans="1:9" x14ac:dyDescent="0.3">
      <c r="A979">
        <v>982</v>
      </c>
      <c r="B979" s="4" t="s">
        <v>4162</v>
      </c>
      <c r="C979" s="4" t="s">
        <v>4146</v>
      </c>
      <c r="D979" s="4" t="s">
        <v>2999</v>
      </c>
      <c r="E979" s="4" t="s">
        <v>4151</v>
      </c>
      <c r="F979" s="4" t="s">
        <v>4155</v>
      </c>
      <c r="G979" s="4" t="s">
        <v>4149</v>
      </c>
      <c r="H979" s="4" t="s">
        <v>4156</v>
      </c>
      <c r="I979" s="4" t="s">
        <v>824</v>
      </c>
    </row>
    <row r="980" spans="1:9" x14ac:dyDescent="0.3">
      <c r="A980">
        <v>983</v>
      </c>
      <c r="B980" s="4" t="s">
        <v>4162</v>
      </c>
      <c r="C980" s="4" t="s">
        <v>4154</v>
      </c>
      <c r="D980" s="4" t="s">
        <v>2999</v>
      </c>
      <c r="E980" s="4" t="s">
        <v>4151</v>
      </c>
      <c r="F980" s="4" t="s">
        <v>4148</v>
      </c>
      <c r="G980" s="4" t="s">
        <v>4149</v>
      </c>
      <c r="H980" s="4" t="s">
        <v>4156</v>
      </c>
      <c r="I980" s="4" t="s">
        <v>824</v>
      </c>
    </row>
    <row r="981" spans="1:9" x14ac:dyDescent="0.3">
      <c r="A981">
        <v>984</v>
      </c>
      <c r="B981" s="4" t="s">
        <v>4162</v>
      </c>
      <c r="C981" s="4" t="s">
        <v>4154</v>
      </c>
      <c r="D981" s="4" t="s">
        <v>2999</v>
      </c>
      <c r="E981" s="4" t="s">
        <v>4151</v>
      </c>
      <c r="F981" s="4" t="s">
        <v>4148</v>
      </c>
      <c r="G981" s="4" t="s">
        <v>4149</v>
      </c>
      <c r="H981" s="4" t="s">
        <v>4156</v>
      </c>
      <c r="I981" s="4" t="s">
        <v>824</v>
      </c>
    </row>
    <row r="982" spans="1:9" x14ac:dyDescent="0.3">
      <c r="A982">
        <v>985</v>
      </c>
      <c r="B982" s="4" t="s">
        <v>4162</v>
      </c>
      <c r="C982" s="4" t="s">
        <v>4146</v>
      </c>
      <c r="D982" s="4" t="s">
        <v>2994</v>
      </c>
      <c r="E982" s="4" t="s">
        <v>4147</v>
      </c>
      <c r="F982" s="4" t="s">
        <v>4148</v>
      </c>
      <c r="G982" s="4" t="s">
        <v>4149</v>
      </c>
      <c r="H982" s="4" t="s">
        <v>4156</v>
      </c>
      <c r="I982" s="4" t="s">
        <v>4160</v>
      </c>
    </row>
    <row r="983" spans="1:9" x14ac:dyDescent="0.3">
      <c r="A983">
        <v>986</v>
      </c>
      <c r="B983" s="4" t="s">
        <v>4162</v>
      </c>
      <c r="C983" s="4" t="s">
        <v>4146</v>
      </c>
      <c r="D983" s="4" t="s">
        <v>2999</v>
      </c>
      <c r="E983" s="4" t="s">
        <v>4151</v>
      </c>
      <c r="F983" s="4" t="s">
        <v>4148</v>
      </c>
      <c r="G983" s="4" t="s">
        <v>4149</v>
      </c>
      <c r="H983" s="4" t="s">
        <v>4156</v>
      </c>
      <c r="I983" s="4" t="s">
        <v>824</v>
      </c>
    </row>
    <row r="984" spans="1:9" x14ac:dyDescent="0.3">
      <c r="A984">
        <v>987</v>
      </c>
      <c r="B984" s="4" t="s">
        <v>4162</v>
      </c>
      <c r="C984" s="4" t="s">
        <v>4154</v>
      </c>
      <c r="D984" s="4" t="s">
        <v>2999</v>
      </c>
      <c r="E984" s="4" t="s">
        <v>4151</v>
      </c>
      <c r="F984" s="4" t="s">
        <v>4148</v>
      </c>
      <c r="G984" s="4" t="s">
        <v>4149</v>
      </c>
      <c r="H984" s="4" t="s">
        <v>4156</v>
      </c>
      <c r="I984" s="4" t="s">
        <v>824</v>
      </c>
    </row>
    <row r="985" spans="1:9" x14ac:dyDescent="0.3">
      <c r="A985">
        <v>988</v>
      </c>
      <c r="B985" s="4" t="s">
        <v>4162</v>
      </c>
      <c r="C985" s="4" t="s">
        <v>4154</v>
      </c>
      <c r="D985" s="4" t="s">
        <v>2994</v>
      </c>
      <c r="E985" s="4" t="s">
        <v>4147</v>
      </c>
      <c r="F985" s="4" t="s">
        <v>4148</v>
      </c>
      <c r="G985" s="4" t="s">
        <v>4149</v>
      </c>
      <c r="H985" s="4" t="s">
        <v>4156</v>
      </c>
      <c r="I985" s="4" t="s">
        <v>4160</v>
      </c>
    </row>
    <row r="986" spans="1:9" x14ac:dyDescent="0.3">
      <c r="A986">
        <v>989</v>
      </c>
      <c r="B986" s="4" t="s">
        <v>4162</v>
      </c>
      <c r="C986" s="4" t="s">
        <v>4154</v>
      </c>
      <c r="D986" s="4" t="s">
        <v>2999</v>
      </c>
      <c r="E986" s="4" t="s">
        <v>4151</v>
      </c>
      <c r="F986" s="4" t="s">
        <v>4148</v>
      </c>
      <c r="G986" s="4" t="s">
        <v>4149</v>
      </c>
      <c r="H986" s="4" t="s">
        <v>4156</v>
      </c>
      <c r="I986" s="4" t="s">
        <v>4160</v>
      </c>
    </row>
    <row r="987" spans="1:9" x14ac:dyDescent="0.3">
      <c r="A987">
        <v>990</v>
      </c>
      <c r="B987" s="4" t="s">
        <v>4162</v>
      </c>
      <c r="C987" s="4" t="s">
        <v>4154</v>
      </c>
      <c r="D987" s="4" t="s">
        <v>2999</v>
      </c>
      <c r="E987" s="4" t="s">
        <v>4151</v>
      </c>
      <c r="F987" s="4" t="s">
        <v>4148</v>
      </c>
      <c r="G987" s="4" t="s">
        <v>4149</v>
      </c>
      <c r="H987" s="4" t="s">
        <v>4156</v>
      </c>
      <c r="I987" s="4" t="s">
        <v>824</v>
      </c>
    </row>
    <row r="988" spans="1:9" x14ac:dyDescent="0.3">
      <c r="A988">
        <v>991</v>
      </c>
      <c r="B988" s="4" t="s">
        <v>4162</v>
      </c>
      <c r="C988" s="4" t="s">
        <v>4154</v>
      </c>
      <c r="D988" s="4" t="s">
        <v>2999</v>
      </c>
      <c r="E988" s="4" t="s">
        <v>4151</v>
      </c>
      <c r="F988" s="4" t="s">
        <v>4148</v>
      </c>
      <c r="G988" s="4" t="s">
        <v>4149</v>
      </c>
      <c r="H988" s="4" t="s">
        <v>4156</v>
      </c>
      <c r="I988" s="4" t="s">
        <v>824</v>
      </c>
    </row>
    <row r="989" spans="1:9" x14ac:dyDescent="0.3">
      <c r="A989">
        <v>992</v>
      </c>
      <c r="B989" s="4" t="s">
        <v>4162</v>
      </c>
      <c r="C989" s="4" t="s">
        <v>4146</v>
      </c>
      <c r="D989" s="4" t="s">
        <v>2999</v>
      </c>
      <c r="E989" s="4" t="s">
        <v>4151</v>
      </c>
      <c r="F989" s="4" t="s">
        <v>4148</v>
      </c>
      <c r="G989" s="4" t="s">
        <v>4149</v>
      </c>
      <c r="H989" s="4" t="s">
        <v>4156</v>
      </c>
      <c r="I989" s="4" t="s">
        <v>4178</v>
      </c>
    </row>
    <row r="990" spans="1:9" x14ac:dyDescent="0.3">
      <c r="A990">
        <v>993</v>
      </c>
      <c r="B990" s="4" t="s">
        <v>4162</v>
      </c>
      <c r="C990" s="4" t="s">
        <v>4154</v>
      </c>
      <c r="D990" s="4" t="s">
        <v>2994</v>
      </c>
      <c r="E990" s="4" t="s">
        <v>4147</v>
      </c>
      <c r="F990" s="4" t="s">
        <v>4148</v>
      </c>
      <c r="G990" s="4" t="s">
        <v>4149</v>
      </c>
      <c r="H990" s="4" t="s">
        <v>4156</v>
      </c>
      <c r="I990" s="4" t="s">
        <v>4160</v>
      </c>
    </row>
    <row r="991" spans="1:9" x14ac:dyDescent="0.3">
      <c r="A991">
        <v>994</v>
      </c>
      <c r="B991" s="4" t="s">
        <v>4162</v>
      </c>
      <c r="C991" s="4" t="s">
        <v>4146</v>
      </c>
      <c r="D991" s="4" t="s">
        <v>2994</v>
      </c>
      <c r="E991" s="4" t="s">
        <v>4147</v>
      </c>
      <c r="F991" s="4" t="s">
        <v>4148</v>
      </c>
      <c r="G991" s="4" t="s">
        <v>4149</v>
      </c>
      <c r="H991" s="4" t="s">
        <v>4156</v>
      </c>
      <c r="I991" s="4" t="s">
        <v>4160</v>
      </c>
    </row>
    <row r="992" spans="1:9" x14ac:dyDescent="0.3">
      <c r="A992">
        <v>995</v>
      </c>
      <c r="B992" s="4" t="s">
        <v>4162</v>
      </c>
      <c r="C992" s="4" t="s">
        <v>4154</v>
      </c>
      <c r="D992" s="4" t="s">
        <v>2999</v>
      </c>
      <c r="E992" s="4" t="s">
        <v>4151</v>
      </c>
      <c r="F992" s="4" t="s">
        <v>4148</v>
      </c>
      <c r="G992" s="4" t="s">
        <v>4149</v>
      </c>
      <c r="H992" s="4" t="s">
        <v>4156</v>
      </c>
      <c r="I992" s="4" t="s">
        <v>4178</v>
      </c>
    </row>
    <row r="993" spans="1:9" x14ac:dyDescent="0.3">
      <c r="A993">
        <v>996</v>
      </c>
      <c r="B993" s="4" t="s">
        <v>4162</v>
      </c>
      <c r="C993" s="4" t="s">
        <v>4154</v>
      </c>
      <c r="D993" s="4" t="s">
        <v>2999</v>
      </c>
      <c r="E993" s="4" t="s">
        <v>4151</v>
      </c>
      <c r="F993" s="4" t="s">
        <v>4155</v>
      </c>
      <c r="G993" s="4" t="s">
        <v>4149</v>
      </c>
      <c r="H993" s="4" t="s">
        <v>4156</v>
      </c>
      <c r="I993" s="4" t="s">
        <v>4178</v>
      </c>
    </row>
    <row r="994" spans="1:9" x14ac:dyDescent="0.3">
      <c r="A994">
        <v>997</v>
      </c>
      <c r="B994" s="4" t="s">
        <v>4162</v>
      </c>
      <c r="C994" s="4" t="s">
        <v>4154</v>
      </c>
      <c r="D994" s="4" t="s">
        <v>2999</v>
      </c>
      <c r="E994" s="4" t="s">
        <v>4151</v>
      </c>
      <c r="F994" s="4" t="s">
        <v>4155</v>
      </c>
      <c r="G994" s="4" t="s">
        <v>4149</v>
      </c>
      <c r="H994" s="4" t="s">
        <v>4156</v>
      </c>
      <c r="I994" s="4" t="s">
        <v>824</v>
      </c>
    </row>
    <row r="995" spans="1:9" x14ac:dyDescent="0.3">
      <c r="A995">
        <v>998</v>
      </c>
      <c r="B995" s="4" t="s">
        <v>4162</v>
      </c>
      <c r="C995" s="4" t="s">
        <v>4146</v>
      </c>
      <c r="D995" s="4" t="s">
        <v>3001</v>
      </c>
      <c r="E995" s="4" t="s">
        <v>4147</v>
      </c>
      <c r="F995" s="4" t="s">
        <v>4148</v>
      </c>
      <c r="G995" s="4" t="s">
        <v>4149</v>
      </c>
      <c r="H995" s="4" t="s">
        <v>4156</v>
      </c>
      <c r="I995" s="4" t="s">
        <v>4178</v>
      </c>
    </row>
    <row r="996" spans="1:9" x14ac:dyDescent="0.3">
      <c r="A996">
        <v>999</v>
      </c>
      <c r="B996" s="4" t="s">
        <v>4162</v>
      </c>
      <c r="C996" s="4" t="s">
        <v>4154</v>
      </c>
      <c r="D996" s="4" t="s">
        <v>2999</v>
      </c>
      <c r="E996" s="4" t="s">
        <v>4151</v>
      </c>
      <c r="F996" s="4" t="s">
        <v>4148</v>
      </c>
      <c r="G996" s="4" t="s">
        <v>4149</v>
      </c>
      <c r="H996" s="4" t="s">
        <v>4156</v>
      </c>
      <c r="I996" s="4" t="s">
        <v>4178</v>
      </c>
    </row>
    <row r="997" spans="1:9" x14ac:dyDescent="0.3">
      <c r="A997">
        <v>1000</v>
      </c>
      <c r="B997" s="4" t="s">
        <v>4162</v>
      </c>
      <c r="C997" s="4" t="s">
        <v>4146</v>
      </c>
      <c r="D997" s="4" t="s">
        <v>2994</v>
      </c>
      <c r="E997" s="4" t="s">
        <v>4147</v>
      </c>
      <c r="F997" s="4" t="s">
        <v>4148</v>
      </c>
      <c r="G997" s="4" t="s">
        <v>4149</v>
      </c>
      <c r="H997" s="4" t="s">
        <v>4156</v>
      </c>
      <c r="I997" s="4" t="s">
        <v>4160</v>
      </c>
    </row>
    <row r="998" spans="1:9" x14ac:dyDescent="0.3">
      <c r="A998">
        <v>1001</v>
      </c>
      <c r="B998" s="4" t="s">
        <v>4162</v>
      </c>
      <c r="C998" s="4" t="s">
        <v>4146</v>
      </c>
      <c r="D998" s="4" t="s">
        <v>2999</v>
      </c>
      <c r="E998" s="4" t="s">
        <v>4151</v>
      </c>
      <c r="F998" s="4" t="s">
        <v>4148</v>
      </c>
      <c r="G998" s="4" t="s">
        <v>4149</v>
      </c>
      <c r="H998" s="4" t="s">
        <v>4156</v>
      </c>
      <c r="I998" s="4" t="s">
        <v>4160</v>
      </c>
    </row>
    <row r="999" spans="1:9" x14ac:dyDescent="0.3">
      <c r="A999">
        <v>1002</v>
      </c>
      <c r="B999" s="4" t="s">
        <v>4162</v>
      </c>
      <c r="C999" s="4" t="s">
        <v>4146</v>
      </c>
      <c r="D999" s="4" t="s">
        <v>2994</v>
      </c>
      <c r="E999" s="4" t="s">
        <v>4147</v>
      </c>
      <c r="F999" s="4" t="s">
        <v>4148</v>
      </c>
      <c r="G999" s="4" t="s">
        <v>4153</v>
      </c>
      <c r="H999" s="4" t="s">
        <v>4156</v>
      </c>
      <c r="I999" s="4" t="s">
        <v>4160</v>
      </c>
    </row>
    <row r="1000" spans="1:9" x14ac:dyDescent="0.3">
      <c r="A1000">
        <v>1003</v>
      </c>
      <c r="B1000" s="4" t="s">
        <v>4162</v>
      </c>
      <c r="C1000" s="4" t="s">
        <v>4146</v>
      </c>
      <c r="D1000" s="4" t="s">
        <v>2994</v>
      </c>
      <c r="E1000" s="4" t="s">
        <v>4147</v>
      </c>
      <c r="F1000" s="4" t="s">
        <v>4148</v>
      </c>
      <c r="G1000" s="4" t="s">
        <v>4153</v>
      </c>
      <c r="H1000" s="4" t="s">
        <v>4156</v>
      </c>
      <c r="I1000" s="4" t="s">
        <v>4160</v>
      </c>
    </row>
    <row r="1001" spans="1:9" x14ac:dyDescent="0.3">
      <c r="A1001">
        <v>1004</v>
      </c>
      <c r="B1001" s="4" t="s">
        <v>4162</v>
      </c>
      <c r="C1001" s="4" t="s">
        <v>4146</v>
      </c>
      <c r="D1001" s="4" t="s">
        <v>2999</v>
      </c>
      <c r="E1001" s="4" t="s">
        <v>4151</v>
      </c>
      <c r="F1001" s="4" t="s">
        <v>4148</v>
      </c>
      <c r="G1001" s="4" t="s">
        <v>4153</v>
      </c>
      <c r="H1001" s="4" t="s">
        <v>4156</v>
      </c>
      <c r="I1001" s="4" t="s">
        <v>4160</v>
      </c>
    </row>
    <row r="1002" spans="1:9" x14ac:dyDescent="0.3">
      <c r="A1002">
        <v>1005</v>
      </c>
      <c r="B1002" s="4" t="s">
        <v>4162</v>
      </c>
      <c r="C1002" s="4" t="s">
        <v>4146</v>
      </c>
      <c r="D1002" s="4" t="s">
        <v>2994</v>
      </c>
      <c r="E1002" s="4" t="s">
        <v>4147</v>
      </c>
      <c r="F1002" s="4" t="s">
        <v>4148</v>
      </c>
      <c r="G1002" s="4" t="s">
        <v>4149</v>
      </c>
      <c r="H1002" s="4" t="s">
        <v>4156</v>
      </c>
      <c r="I1002" s="4" t="s">
        <v>4160</v>
      </c>
    </row>
    <row r="1003" spans="1:9" x14ac:dyDescent="0.3">
      <c r="A1003">
        <v>1006</v>
      </c>
      <c r="B1003" s="4" t="s">
        <v>4162</v>
      </c>
      <c r="C1003" s="4" t="s">
        <v>4154</v>
      </c>
      <c r="D1003" s="4" t="s">
        <v>2999</v>
      </c>
      <c r="E1003" s="4" t="s">
        <v>4151</v>
      </c>
      <c r="F1003" s="4" t="s">
        <v>4148</v>
      </c>
      <c r="G1003" s="4" t="s">
        <v>4149</v>
      </c>
      <c r="H1003" s="4" t="s">
        <v>4156</v>
      </c>
      <c r="I1003" s="4" t="s">
        <v>4160</v>
      </c>
    </row>
    <row r="1004" spans="1:9" x14ac:dyDescent="0.3">
      <c r="A1004">
        <v>1007</v>
      </c>
      <c r="B1004" s="4" t="s">
        <v>4162</v>
      </c>
      <c r="C1004" s="4" t="s">
        <v>4146</v>
      </c>
      <c r="D1004" s="4" t="s">
        <v>2994</v>
      </c>
      <c r="E1004" s="4" t="s">
        <v>4147</v>
      </c>
      <c r="F1004" s="4" t="s">
        <v>4148</v>
      </c>
      <c r="G1004" s="4" t="s">
        <v>4149</v>
      </c>
      <c r="H1004" s="4" t="s">
        <v>4156</v>
      </c>
      <c r="I1004" s="4" t="s">
        <v>4160</v>
      </c>
    </row>
    <row r="1005" spans="1:9" x14ac:dyDescent="0.3">
      <c r="A1005">
        <v>1008</v>
      </c>
      <c r="B1005" s="4" t="s">
        <v>4162</v>
      </c>
      <c r="C1005" s="4" t="s">
        <v>4146</v>
      </c>
      <c r="D1005" s="4" t="s">
        <v>2994</v>
      </c>
      <c r="E1005" s="4" t="s">
        <v>4147</v>
      </c>
      <c r="F1005" s="4" t="s">
        <v>4159</v>
      </c>
      <c r="G1005" s="4" t="s">
        <v>4149</v>
      </c>
      <c r="H1005" s="4" t="s">
        <v>4156</v>
      </c>
      <c r="I1005" s="4" t="s">
        <v>4160</v>
      </c>
    </row>
    <row r="1006" spans="1:9" x14ac:dyDescent="0.3">
      <c r="A1006">
        <v>1009</v>
      </c>
      <c r="B1006" s="4" t="s">
        <v>4162</v>
      </c>
      <c r="C1006" s="4" t="s">
        <v>4154</v>
      </c>
      <c r="D1006" s="4" t="s">
        <v>2994</v>
      </c>
      <c r="E1006" s="4" t="s">
        <v>4147</v>
      </c>
      <c r="F1006" s="4" t="s">
        <v>4155</v>
      </c>
      <c r="G1006" s="4" t="s">
        <v>4149</v>
      </c>
      <c r="H1006" s="4" t="s">
        <v>4156</v>
      </c>
      <c r="I1006" s="4" t="s">
        <v>4160</v>
      </c>
    </row>
    <row r="1007" spans="1:9" x14ac:dyDescent="0.3">
      <c r="A1007">
        <v>1010</v>
      </c>
      <c r="B1007" s="4" t="s">
        <v>4162</v>
      </c>
      <c r="C1007" s="4" t="s">
        <v>4154</v>
      </c>
      <c r="D1007" s="4" t="s">
        <v>2999</v>
      </c>
      <c r="E1007" s="4" t="s">
        <v>4151</v>
      </c>
      <c r="F1007" s="4" t="s">
        <v>4148</v>
      </c>
      <c r="G1007" s="4" t="s">
        <v>4149</v>
      </c>
      <c r="H1007" s="4" t="s">
        <v>4156</v>
      </c>
      <c r="I1007" s="4" t="s">
        <v>4160</v>
      </c>
    </row>
    <row r="1008" spans="1:9" x14ac:dyDescent="0.3">
      <c r="A1008">
        <v>1011</v>
      </c>
      <c r="B1008" s="4" t="s">
        <v>4162</v>
      </c>
      <c r="C1008" s="4" t="s">
        <v>4154</v>
      </c>
      <c r="D1008" s="4" t="s">
        <v>2999</v>
      </c>
      <c r="E1008" s="4" t="s">
        <v>4151</v>
      </c>
      <c r="F1008" s="4" t="s">
        <v>4148</v>
      </c>
      <c r="G1008" s="4" t="s">
        <v>4153</v>
      </c>
      <c r="H1008" s="4" t="s">
        <v>4156</v>
      </c>
      <c r="I1008" s="4" t="s">
        <v>824</v>
      </c>
    </row>
    <row r="1009" spans="1:9" x14ac:dyDescent="0.3">
      <c r="A1009">
        <v>1012</v>
      </c>
      <c r="B1009" s="4" t="s">
        <v>4162</v>
      </c>
      <c r="C1009" s="4" t="s">
        <v>4154</v>
      </c>
      <c r="D1009" s="4" t="s">
        <v>3001</v>
      </c>
      <c r="E1009" s="4" t="s">
        <v>4147</v>
      </c>
      <c r="F1009" s="4" t="s">
        <v>4148</v>
      </c>
      <c r="G1009" s="4" t="s">
        <v>4153</v>
      </c>
      <c r="H1009" s="4" t="s">
        <v>4156</v>
      </c>
      <c r="I1009" s="4" t="s">
        <v>824</v>
      </c>
    </row>
    <row r="1010" spans="1:9" x14ac:dyDescent="0.3">
      <c r="A1010">
        <v>1013</v>
      </c>
      <c r="B1010" s="4" t="s">
        <v>4162</v>
      </c>
      <c r="C1010" s="4" t="s">
        <v>4154</v>
      </c>
      <c r="D1010" s="4" t="s">
        <v>2994</v>
      </c>
      <c r="E1010" s="4" t="s">
        <v>4147</v>
      </c>
      <c r="F1010" s="4" t="s">
        <v>4148</v>
      </c>
      <c r="G1010" s="4" t="s">
        <v>4149</v>
      </c>
      <c r="H1010" s="4" t="s">
        <v>4156</v>
      </c>
      <c r="I1010" s="4" t="s">
        <v>4160</v>
      </c>
    </row>
    <row r="1011" spans="1:9" x14ac:dyDescent="0.3">
      <c r="A1011">
        <v>1014</v>
      </c>
      <c r="B1011" s="4" t="s">
        <v>4162</v>
      </c>
      <c r="C1011" s="4" t="s">
        <v>4154</v>
      </c>
      <c r="D1011" s="4" t="s">
        <v>2994</v>
      </c>
      <c r="E1011" s="4" t="s">
        <v>4147</v>
      </c>
      <c r="F1011" s="4" t="s">
        <v>4148</v>
      </c>
      <c r="G1011" s="4" t="s">
        <v>4149</v>
      </c>
      <c r="H1011" s="4" t="s">
        <v>4156</v>
      </c>
      <c r="I1011" s="4" t="s">
        <v>824</v>
      </c>
    </row>
    <row r="1012" spans="1:9" x14ac:dyDescent="0.3">
      <c r="A1012">
        <v>1015</v>
      </c>
      <c r="B1012" s="4" t="s">
        <v>4162</v>
      </c>
      <c r="C1012" s="4" t="s">
        <v>4154</v>
      </c>
      <c r="D1012" s="4" t="s">
        <v>3001</v>
      </c>
      <c r="E1012" s="4" t="s">
        <v>4147</v>
      </c>
      <c r="F1012" s="4" t="s">
        <v>4148</v>
      </c>
      <c r="G1012" s="4" t="s">
        <v>4149</v>
      </c>
      <c r="H1012" s="4" t="s">
        <v>4156</v>
      </c>
      <c r="I1012" s="4" t="s">
        <v>824</v>
      </c>
    </row>
    <row r="1013" spans="1:9" x14ac:dyDescent="0.3">
      <c r="A1013">
        <v>1016</v>
      </c>
      <c r="B1013" s="4" t="s">
        <v>4162</v>
      </c>
      <c r="C1013" s="4" t="s">
        <v>4154</v>
      </c>
      <c r="D1013" s="4" t="s">
        <v>2999</v>
      </c>
      <c r="E1013" s="4" t="s">
        <v>4151</v>
      </c>
      <c r="F1013" s="4" t="s">
        <v>4157</v>
      </c>
      <c r="G1013" s="4" t="s">
        <v>4149</v>
      </c>
      <c r="H1013" s="4" t="s">
        <v>4156</v>
      </c>
      <c r="I1013" s="4" t="s">
        <v>824</v>
      </c>
    </row>
    <row r="1014" spans="1:9" x14ac:dyDescent="0.3">
      <c r="A1014">
        <v>1017</v>
      </c>
      <c r="B1014" s="4" t="s">
        <v>4162</v>
      </c>
      <c r="C1014" s="4" t="s">
        <v>4154</v>
      </c>
      <c r="D1014" s="4" t="s">
        <v>2999</v>
      </c>
      <c r="E1014" s="4" t="s">
        <v>4151</v>
      </c>
      <c r="F1014" s="4" t="s">
        <v>4148</v>
      </c>
      <c r="G1014" s="4" t="s">
        <v>4149</v>
      </c>
      <c r="H1014" s="4" t="s">
        <v>4156</v>
      </c>
      <c r="I1014" s="4" t="s">
        <v>4160</v>
      </c>
    </row>
    <row r="1015" spans="1:9" x14ac:dyDescent="0.3">
      <c r="A1015">
        <v>1018</v>
      </c>
      <c r="B1015" s="4" t="s">
        <v>4162</v>
      </c>
      <c r="C1015" s="4" t="s">
        <v>4146</v>
      </c>
      <c r="D1015" s="4" t="s">
        <v>2999</v>
      </c>
      <c r="E1015" s="4" t="s">
        <v>4151</v>
      </c>
      <c r="F1015" s="4" t="s">
        <v>4148</v>
      </c>
      <c r="G1015" s="4" t="s">
        <v>4149</v>
      </c>
      <c r="H1015" s="4" t="s">
        <v>4156</v>
      </c>
      <c r="I1015" s="4" t="s">
        <v>824</v>
      </c>
    </row>
    <row r="1016" spans="1:9" x14ac:dyDescent="0.3">
      <c r="A1016">
        <v>1019</v>
      </c>
      <c r="B1016" s="4" t="s">
        <v>4162</v>
      </c>
      <c r="C1016" s="4" t="s">
        <v>4154</v>
      </c>
      <c r="D1016" s="4" t="s">
        <v>2999</v>
      </c>
      <c r="E1016" s="4" t="s">
        <v>4151</v>
      </c>
      <c r="F1016" s="4" t="s">
        <v>4148</v>
      </c>
      <c r="G1016" s="4" t="s">
        <v>4149</v>
      </c>
      <c r="H1016" s="4" t="s">
        <v>4156</v>
      </c>
      <c r="I1016" s="4" t="s">
        <v>824</v>
      </c>
    </row>
    <row r="1017" spans="1:9" x14ac:dyDescent="0.3">
      <c r="A1017">
        <v>1020</v>
      </c>
      <c r="B1017" s="4" t="s">
        <v>4162</v>
      </c>
      <c r="C1017" s="4" t="s">
        <v>4154</v>
      </c>
      <c r="D1017" s="4" t="s">
        <v>2999</v>
      </c>
      <c r="E1017" s="4" t="s">
        <v>4151</v>
      </c>
      <c r="F1017" s="4" t="s">
        <v>4148</v>
      </c>
      <c r="G1017" s="4" t="s">
        <v>4149</v>
      </c>
      <c r="H1017" s="4" t="s">
        <v>4156</v>
      </c>
      <c r="I1017" s="4" t="s">
        <v>824</v>
      </c>
    </row>
    <row r="1018" spans="1:9" x14ac:dyDescent="0.3">
      <c r="A1018">
        <v>1021</v>
      </c>
      <c r="B1018" s="4" t="s">
        <v>4162</v>
      </c>
      <c r="C1018" s="4" t="s">
        <v>4154</v>
      </c>
      <c r="D1018" s="4" t="s">
        <v>2999</v>
      </c>
      <c r="E1018" s="4" t="s">
        <v>4151</v>
      </c>
      <c r="F1018" s="4" t="s">
        <v>4148</v>
      </c>
      <c r="G1018" s="4" t="s">
        <v>4149</v>
      </c>
      <c r="H1018" s="4" t="s">
        <v>4156</v>
      </c>
      <c r="I1018" s="4" t="s">
        <v>824</v>
      </c>
    </row>
    <row r="1019" spans="1:9" x14ac:dyDescent="0.3">
      <c r="A1019">
        <v>1022</v>
      </c>
      <c r="B1019" s="4" t="s">
        <v>4162</v>
      </c>
      <c r="C1019" s="4" t="s">
        <v>4154</v>
      </c>
      <c r="D1019" s="4" t="s">
        <v>2999</v>
      </c>
      <c r="E1019" s="4" t="s">
        <v>4151</v>
      </c>
      <c r="F1019" s="4" t="s">
        <v>4148</v>
      </c>
      <c r="G1019" s="4" t="s">
        <v>4149</v>
      </c>
      <c r="H1019" s="4" t="s">
        <v>4156</v>
      </c>
      <c r="I1019" s="4" t="s">
        <v>824</v>
      </c>
    </row>
    <row r="1020" spans="1:9" x14ac:dyDescent="0.3">
      <c r="A1020">
        <v>1023</v>
      </c>
      <c r="B1020" s="4" t="s">
        <v>4162</v>
      </c>
      <c r="C1020" s="4" t="s">
        <v>4154</v>
      </c>
      <c r="D1020" s="4" t="s">
        <v>2999</v>
      </c>
      <c r="E1020" s="4" t="s">
        <v>4151</v>
      </c>
      <c r="F1020" s="4" t="s">
        <v>4148</v>
      </c>
      <c r="G1020" s="4" t="s">
        <v>4149</v>
      </c>
      <c r="H1020" s="4" t="s">
        <v>4156</v>
      </c>
      <c r="I1020" s="4" t="s">
        <v>824</v>
      </c>
    </row>
    <row r="1021" spans="1:9" x14ac:dyDescent="0.3">
      <c r="A1021">
        <v>1024</v>
      </c>
      <c r="B1021" s="4" t="s">
        <v>4162</v>
      </c>
      <c r="C1021" s="4" t="s">
        <v>4146</v>
      </c>
      <c r="D1021" s="4" t="s">
        <v>2994</v>
      </c>
      <c r="E1021" s="4" t="s">
        <v>4147</v>
      </c>
      <c r="F1021" s="4" t="s">
        <v>4148</v>
      </c>
      <c r="G1021" s="4" t="s">
        <v>4149</v>
      </c>
      <c r="H1021" s="4" t="s">
        <v>4156</v>
      </c>
      <c r="I1021" s="4" t="s">
        <v>4160</v>
      </c>
    </row>
    <row r="1022" spans="1:9" x14ac:dyDescent="0.3">
      <c r="A1022">
        <v>1025</v>
      </c>
      <c r="B1022" s="4" t="s">
        <v>4162</v>
      </c>
      <c r="C1022" s="4" t="s">
        <v>4154</v>
      </c>
      <c r="D1022" s="4" t="s">
        <v>2999</v>
      </c>
      <c r="E1022" s="4" t="s">
        <v>4151</v>
      </c>
      <c r="F1022" s="4" t="s">
        <v>4148</v>
      </c>
      <c r="G1022" s="4" t="s">
        <v>4149</v>
      </c>
      <c r="H1022" s="4" t="s">
        <v>4156</v>
      </c>
      <c r="I1022" s="4" t="s">
        <v>824</v>
      </c>
    </row>
    <row r="1023" spans="1:9" x14ac:dyDescent="0.3">
      <c r="A1023">
        <v>1026</v>
      </c>
      <c r="B1023" s="4" t="s">
        <v>4162</v>
      </c>
      <c r="C1023" s="4" t="s">
        <v>4146</v>
      </c>
      <c r="D1023" s="4" t="s">
        <v>2996</v>
      </c>
      <c r="E1023" s="4" t="s">
        <v>4151</v>
      </c>
      <c r="F1023" s="4" t="s">
        <v>4152</v>
      </c>
      <c r="G1023" s="4" t="s">
        <v>4153</v>
      </c>
      <c r="H1023" s="4" t="s">
        <v>4156</v>
      </c>
      <c r="I1023" s="4" t="s">
        <v>824</v>
      </c>
    </row>
    <row r="1024" spans="1:9" x14ac:dyDescent="0.3">
      <c r="A1024">
        <v>1027</v>
      </c>
      <c r="B1024" s="4" t="s">
        <v>4162</v>
      </c>
      <c r="C1024" s="4" t="s">
        <v>4146</v>
      </c>
      <c r="D1024" s="4" t="s">
        <v>3001</v>
      </c>
      <c r="E1024" s="4" t="s">
        <v>4147</v>
      </c>
      <c r="F1024" s="4" t="s">
        <v>4148</v>
      </c>
      <c r="G1024" s="4" t="s">
        <v>4153</v>
      </c>
      <c r="H1024" s="4" t="s">
        <v>4156</v>
      </c>
      <c r="I1024" s="4" t="s">
        <v>824</v>
      </c>
    </row>
    <row r="1025" spans="1:9" x14ac:dyDescent="0.3">
      <c r="A1025">
        <v>1028</v>
      </c>
      <c r="B1025" s="4" t="s">
        <v>4162</v>
      </c>
      <c r="C1025" s="4" t="s">
        <v>4154</v>
      </c>
      <c r="D1025" s="4" t="s">
        <v>2999</v>
      </c>
      <c r="E1025" s="4" t="s">
        <v>4151</v>
      </c>
      <c r="F1025" s="4" t="s">
        <v>4148</v>
      </c>
      <c r="G1025" s="4" t="s">
        <v>4149</v>
      </c>
      <c r="H1025" s="4" t="s">
        <v>4156</v>
      </c>
      <c r="I1025" s="4" t="s">
        <v>824</v>
      </c>
    </row>
    <row r="1026" spans="1:9" x14ac:dyDescent="0.3">
      <c r="A1026">
        <v>1029</v>
      </c>
      <c r="B1026" s="4" t="s">
        <v>4162</v>
      </c>
      <c r="C1026" s="4" t="s">
        <v>4146</v>
      </c>
      <c r="D1026" s="4" t="s">
        <v>2994</v>
      </c>
      <c r="E1026" s="4" t="s">
        <v>4147</v>
      </c>
      <c r="F1026" s="4" t="s">
        <v>4148</v>
      </c>
      <c r="G1026" s="4" t="s">
        <v>4153</v>
      </c>
      <c r="H1026" s="4" t="s">
        <v>4156</v>
      </c>
      <c r="I1026" s="4" t="s">
        <v>4160</v>
      </c>
    </row>
    <row r="1027" spans="1:9" x14ac:dyDescent="0.3">
      <c r="A1027">
        <v>1030</v>
      </c>
      <c r="B1027" s="4" t="s">
        <v>4162</v>
      </c>
      <c r="C1027" s="4" t="s">
        <v>4154</v>
      </c>
      <c r="D1027" s="4" t="s">
        <v>2999</v>
      </c>
      <c r="E1027" s="4" t="s">
        <v>4151</v>
      </c>
      <c r="F1027" s="4" t="s">
        <v>4148</v>
      </c>
      <c r="G1027" s="4" t="s">
        <v>4153</v>
      </c>
      <c r="H1027" s="4" t="s">
        <v>4156</v>
      </c>
      <c r="I1027" s="4" t="s">
        <v>4160</v>
      </c>
    </row>
    <row r="1028" spans="1:9" x14ac:dyDescent="0.3">
      <c r="A1028">
        <v>1031</v>
      </c>
      <c r="B1028" s="4" t="s">
        <v>4162</v>
      </c>
      <c r="C1028" s="4" t="s">
        <v>4154</v>
      </c>
      <c r="D1028" s="4" t="s">
        <v>2999</v>
      </c>
      <c r="E1028" s="4" t="s">
        <v>4151</v>
      </c>
      <c r="F1028" s="4" t="s">
        <v>4148</v>
      </c>
      <c r="G1028" s="4" t="s">
        <v>4149</v>
      </c>
      <c r="H1028" s="4" t="s">
        <v>4156</v>
      </c>
      <c r="I1028" s="4" t="s">
        <v>4160</v>
      </c>
    </row>
    <row r="1029" spans="1:9" x14ac:dyDescent="0.3">
      <c r="A1029">
        <v>1032</v>
      </c>
      <c r="B1029" s="4" t="s">
        <v>4162</v>
      </c>
      <c r="C1029" s="4" t="s">
        <v>4154</v>
      </c>
      <c r="D1029" s="4" t="s">
        <v>2999</v>
      </c>
      <c r="E1029" s="4" t="s">
        <v>4151</v>
      </c>
      <c r="F1029" s="4" t="s">
        <v>4155</v>
      </c>
      <c r="G1029" s="4" t="s">
        <v>4149</v>
      </c>
      <c r="H1029" s="4" t="s">
        <v>4156</v>
      </c>
      <c r="I1029" s="4" t="s">
        <v>824</v>
      </c>
    </row>
    <row r="1030" spans="1:9" x14ac:dyDescent="0.3">
      <c r="A1030">
        <v>1033</v>
      </c>
      <c r="B1030" s="4" t="s">
        <v>4162</v>
      </c>
      <c r="C1030" s="4" t="s">
        <v>4154</v>
      </c>
      <c r="D1030" s="4" t="s">
        <v>2999</v>
      </c>
      <c r="E1030" s="4" t="s">
        <v>4151</v>
      </c>
      <c r="F1030" s="4" t="s">
        <v>4148</v>
      </c>
      <c r="G1030" s="4" t="s">
        <v>4149</v>
      </c>
      <c r="H1030" s="4" t="s">
        <v>4156</v>
      </c>
      <c r="I1030" s="4" t="s">
        <v>4160</v>
      </c>
    </row>
    <row r="1031" spans="1:9" x14ac:dyDescent="0.3">
      <c r="A1031">
        <v>1034</v>
      </c>
      <c r="B1031" s="4" t="s">
        <v>4162</v>
      </c>
      <c r="C1031" s="4" t="s">
        <v>4146</v>
      </c>
      <c r="D1031" s="4" t="s">
        <v>2999</v>
      </c>
      <c r="E1031" s="4" t="s">
        <v>4151</v>
      </c>
      <c r="F1031" s="4" t="s">
        <v>4148</v>
      </c>
      <c r="G1031" s="4" t="s">
        <v>4149</v>
      </c>
      <c r="H1031" s="4" t="s">
        <v>4156</v>
      </c>
      <c r="I1031" s="4" t="s">
        <v>824</v>
      </c>
    </row>
    <row r="1032" spans="1:9" x14ac:dyDescent="0.3">
      <c r="A1032">
        <v>1035</v>
      </c>
      <c r="B1032" s="4" t="s">
        <v>4162</v>
      </c>
      <c r="C1032" s="4" t="s">
        <v>4146</v>
      </c>
      <c r="D1032" s="4" t="s">
        <v>2996</v>
      </c>
      <c r="E1032" s="4" t="s">
        <v>4151</v>
      </c>
      <c r="F1032" s="4" t="s">
        <v>4148</v>
      </c>
      <c r="G1032" s="4" t="s">
        <v>4153</v>
      </c>
      <c r="H1032" s="4" t="s">
        <v>4156</v>
      </c>
      <c r="I1032" s="4" t="s">
        <v>4178</v>
      </c>
    </row>
    <row r="1033" spans="1:9" x14ac:dyDescent="0.3">
      <c r="A1033">
        <v>1036</v>
      </c>
      <c r="B1033" s="4" t="s">
        <v>4162</v>
      </c>
      <c r="C1033" s="4" t="s">
        <v>4146</v>
      </c>
      <c r="D1033" s="4" t="s">
        <v>2996</v>
      </c>
      <c r="E1033" s="4" t="s">
        <v>4151</v>
      </c>
      <c r="F1033" s="4" t="s">
        <v>4148</v>
      </c>
      <c r="G1033" s="4" t="s">
        <v>4153</v>
      </c>
      <c r="H1033" s="4" t="s">
        <v>4156</v>
      </c>
      <c r="I1033" s="4" t="s">
        <v>4178</v>
      </c>
    </row>
    <row r="1034" spans="1:9" x14ac:dyDescent="0.3">
      <c r="A1034">
        <v>1037</v>
      </c>
      <c r="B1034" s="4" t="s">
        <v>4162</v>
      </c>
      <c r="C1034" s="4" t="s">
        <v>4146</v>
      </c>
      <c r="D1034" s="4" t="s">
        <v>3001</v>
      </c>
      <c r="E1034" s="4" t="s">
        <v>4147</v>
      </c>
      <c r="F1034" s="4" t="s">
        <v>4148</v>
      </c>
      <c r="G1034" s="4" t="s">
        <v>4153</v>
      </c>
      <c r="H1034" s="4" t="s">
        <v>4156</v>
      </c>
      <c r="I1034" s="4" t="s">
        <v>4178</v>
      </c>
    </row>
    <row r="1035" spans="1:9" x14ac:dyDescent="0.3">
      <c r="A1035">
        <v>1038</v>
      </c>
      <c r="B1035" s="4" t="s">
        <v>4162</v>
      </c>
      <c r="C1035" s="4" t="s">
        <v>4146</v>
      </c>
      <c r="D1035" s="4" t="s">
        <v>3001</v>
      </c>
      <c r="E1035" s="4" t="s">
        <v>4147</v>
      </c>
      <c r="F1035" s="4" t="s">
        <v>4148</v>
      </c>
      <c r="G1035" s="4" t="s">
        <v>4149</v>
      </c>
      <c r="H1035" s="4" t="s">
        <v>4156</v>
      </c>
      <c r="I1035" s="4" t="s">
        <v>4178</v>
      </c>
    </row>
    <row r="1036" spans="1:9" x14ac:dyDescent="0.3">
      <c r="A1036">
        <v>1039</v>
      </c>
      <c r="B1036" s="4" t="s">
        <v>4162</v>
      </c>
      <c r="C1036" s="4" t="s">
        <v>4154</v>
      </c>
      <c r="D1036" s="4" t="s">
        <v>2999</v>
      </c>
      <c r="E1036" s="4" t="s">
        <v>4151</v>
      </c>
      <c r="F1036" s="4" t="s">
        <v>4148</v>
      </c>
      <c r="G1036" s="4" t="s">
        <v>4149</v>
      </c>
      <c r="H1036" s="4" t="s">
        <v>4156</v>
      </c>
      <c r="I1036" s="4" t="s">
        <v>824</v>
      </c>
    </row>
    <row r="1037" spans="1:9" x14ac:dyDescent="0.3">
      <c r="A1037">
        <v>1040</v>
      </c>
      <c r="B1037" s="4" t="s">
        <v>4162</v>
      </c>
      <c r="C1037" s="4" t="s">
        <v>4146</v>
      </c>
      <c r="D1037" s="4" t="s">
        <v>2994</v>
      </c>
      <c r="E1037" s="4" t="s">
        <v>4147</v>
      </c>
      <c r="F1037" s="4" t="s">
        <v>4148</v>
      </c>
      <c r="G1037" s="4" t="s">
        <v>4149</v>
      </c>
      <c r="H1037" s="4" t="s">
        <v>4156</v>
      </c>
      <c r="I1037" s="4" t="s">
        <v>4160</v>
      </c>
    </row>
    <row r="1038" spans="1:9" x14ac:dyDescent="0.3">
      <c r="A1038">
        <v>1041</v>
      </c>
      <c r="B1038" s="4" t="s">
        <v>4162</v>
      </c>
      <c r="C1038" s="4" t="s">
        <v>4146</v>
      </c>
      <c r="D1038" s="4" t="s">
        <v>2994</v>
      </c>
      <c r="E1038" s="4" t="s">
        <v>4147</v>
      </c>
      <c r="F1038" s="4" t="s">
        <v>4148</v>
      </c>
      <c r="G1038" s="4" t="s">
        <v>4149</v>
      </c>
      <c r="H1038" s="4" t="s">
        <v>4156</v>
      </c>
      <c r="I1038" s="4" t="s">
        <v>4160</v>
      </c>
    </row>
    <row r="1039" spans="1:9" x14ac:dyDescent="0.3">
      <c r="A1039">
        <v>1042</v>
      </c>
      <c r="B1039" s="4" t="s">
        <v>4162</v>
      </c>
      <c r="C1039" s="4" t="s">
        <v>4154</v>
      </c>
      <c r="D1039" s="4" t="s">
        <v>2999</v>
      </c>
      <c r="E1039" s="4" t="s">
        <v>4151</v>
      </c>
      <c r="F1039" s="4" t="s">
        <v>4148</v>
      </c>
      <c r="G1039" s="4" t="s">
        <v>4149</v>
      </c>
      <c r="H1039" s="4" t="s">
        <v>4156</v>
      </c>
      <c r="I1039" s="4" t="s">
        <v>824</v>
      </c>
    </row>
    <row r="1040" spans="1:9" x14ac:dyDescent="0.3">
      <c r="A1040">
        <v>1043</v>
      </c>
      <c r="B1040" s="4" t="s">
        <v>4162</v>
      </c>
      <c r="C1040" s="4" t="s">
        <v>4146</v>
      </c>
      <c r="D1040" s="4" t="s">
        <v>2994</v>
      </c>
      <c r="E1040" s="4" t="s">
        <v>4147</v>
      </c>
      <c r="F1040" s="4" t="s">
        <v>4148</v>
      </c>
      <c r="G1040" s="4" t="s">
        <v>4153</v>
      </c>
      <c r="H1040" s="4" t="s">
        <v>4156</v>
      </c>
      <c r="I1040" s="4" t="s">
        <v>4160</v>
      </c>
    </row>
    <row r="1041" spans="1:9" x14ac:dyDescent="0.3">
      <c r="A1041">
        <v>1044</v>
      </c>
      <c r="B1041" s="4" t="s">
        <v>4162</v>
      </c>
      <c r="C1041" s="4" t="s">
        <v>4146</v>
      </c>
      <c r="D1041" s="4" t="s">
        <v>2994</v>
      </c>
      <c r="E1041" s="4" t="s">
        <v>4147</v>
      </c>
      <c r="F1041" s="4" t="s">
        <v>4148</v>
      </c>
      <c r="G1041" s="4" t="s">
        <v>4153</v>
      </c>
      <c r="H1041" s="4" t="s">
        <v>4156</v>
      </c>
      <c r="I1041" s="4" t="s">
        <v>4160</v>
      </c>
    </row>
    <row r="1042" spans="1:9" x14ac:dyDescent="0.3">
      <c r="A1042">
        <v>1045</v>
      </c>
      <c r="B1042" s="4" t="s">
        <v>4162</v>
      </c>
      <c r="C1042" s="4" t="s">
        <v>4146</v>
      </c>
      <c r="D1042" s="4" t="s">
        <v>2994</v>
      </c>
      <c r="E1042" s="4" t="s">
        <v>4147</v>
      </c>
      <c r="F1042" s="4" t="s">
        <v>4148</v>
      </c>
      <c r="G1042" s="4" t="s">
        <v>4149</v>
      </c>
      <c r="H1042" s="4" t="s">
        <v>4156</v>
      </c>
      <c r="I1042" s="4" t="s">
        <v>4160</v>
      </c>
    </row>
    <row r="1043" spans="1:9" x14ac:dyDescent="0.3">
      <c r="A1043">
        <v>1046</v>
      </c>
      <c r="B1043" s="4" t="s">
        <v>4162</v>
      </c>
      <c r="C1043" s="4" t="s">
        <v>4154</v>
      </c>
      <c r="D1043" s="4" t="s">
        <v>2999</v>
      </c>
      <c r="E1043" s="4" t="s">
        <v>4151</v>
      </c>
      <c r="F1043" s="4" t="s">
        <v>4159</v>
      </c>
      <c r="G1043" s="4" t="s">
        <v>4149</v>
      </c>
      <c r="H1043" s="4" t="s">
        <v>4156</v>
      </c>
      <c r="I1043" s="4" t="s">
        <v>824</v>
      </c>
    </row>
    <row r="1044" spans="1:9" x14ac:dyDescent="0.3">
      <c r="A1044">
        <v>1047</v>
      </c>
      <c r="B1044" s="4" t="s">
        <v>4162</v>
      </c>
      <c r="C1044" s="4" t="s">
        <v>4154</v>
      </c>
      <c r="D1044" s="4" t="s">
        <v>2999</v>
      </c>
      <c r="E1044" s="4" t="s">
        <v>4151</v>
      </c>
      <c r="F1044" s="4" t="s">
        <v>4148</v>
      </c>
      <c r="G1044" s="4" t="s">
        <v>4149</v>
      </c>
      <c r="H1044" s="4" t="s">
        <v>4156</v>
      </c>
      <c r="I1044" s="4" t="s">
        <v>824</v>
      </c>
    </row>
    <row r="1045" spans="1:9" x14ac:dyDescent="0.3">
      <c r="A1045">
        <v>1048</v>
      </c>
      <c r="B1045" s="4" t="s">
        <v>4162</v>
      </c>
      <c r="C1045" s="4" t="s">
        <v>4146</v>
      </c>
      <c r="D1045" s="4" t="s">
        <v>2994</v>
      </c>
      <c r="E1045" s="4" t="s">
        <v>4147</v>
      </c>
      <c r="F1045" s="4" t="s">
        <v>4159</v>
      </c>
      <c r="G1045" s="4" t="s">
        <v>4149</v>
      </c>
      <c r="H1045" s="4" t="s">
        <v>4156</v>
      </c>
      <c r="I1045" s="4" t="s">
        <v>4178</v>
      </c>
    </row>
    <row r="1046" spans="1:9" x14ac:dyDescent="0.3">
      <c r="A1046">
        <v>1049</v>
      </c>
      <c r="B1046" s="4" t="s">
        <v>4162</v>
      </c>
      <c r="C1046" s="4" t="s">
        <v>4146</v>
      </c>
      <c r="D1046" s="4" t="s">
        <v>2994</v>
      </c>
      <c r="E1046" s="4" t="s">
        <v>4147</v>
      </c>
      <c r="F1046" s="4" t="s">
        <v>4152</v>
      </c>
      <c r="G1046" s="4" t="s">
        <v>4153</v>
      </c>
      <c r="H1046" s="4" t="s">
        <v>4156</v>
      </c>
      <c r="I1046" s="4" t="s">
        <v>4178</v>
      </c>
    </row>
    <row r="1047" spans="1:9" x14ac:dyDescent="0.3">
      <c r="A1047">
        <v>1050</v>
      </c>
      <c r="B1047" s="4" t="s">
        <v>4162</v>
      </c>
      <c r="C1047" s="4" t="s">
        <v>4146</v>
      </c>
      <c r="D1047" s="4" t="s">
        <v>2999</v>
      </c>
      <c r="E1047" s="4" t="s">
        <v>4151</v>
      </c>
      <c r="F1047" s="4" t="s">
        <v>4148</v>
      </c>
      <c r="G1047" s="4" t="s">
        <v>4153</v>
      </c>
      <c r="H1047" s="4" t="s">
        <v>4156</v>
      </c>
      <c r="I1047" s="4" t="s">
        <v>4178</v>
      </c>
    </row>
    <row r="1048" spans="1:9" x14ac:dyDescent="0.3">
      <c r="A1048">
        <v>1051</v>
      </c>
      <c r="B1048" s="4" t="s">
        <v>4162</v>
      </c>
      <c r="C1048" s="4" t="s">
        <v>4146</v>
      </c>
      <c r="D1048" s="4" t="s">
        <v>3001</v>
      </c>
      <c r="E1048" s="4" t="s">
        <v>4147</v>
      </c>
      <c r="F1048" s="4" t="s">
        <v>4148</v>
      </c>
      <c r="G1048" s="4" t="s">
        <v>4153</v>
      </c>
      <c r="H1048" s="4" t="s">
        <v>4156</v>
      </c>
      <c r="I1048" s="4" t="s">
        <v>4178</v>
      </c>
    </row>
    <row r="1049" spans="1:9" x14ac:dyDescent="0.3">
      <c r="A1049">
        <v>1052</v>
      </c>
      <c r="B1049" s="4" t="s">
        <v>4162</v>
      </c>
      <c r="C1049" s="4" t="s">
        <v>4154</v>
      </c>
      <c r="D1049" s="4" t="s">
        <v>2999</v>
      </c>
      <c r="E1049" s="4" t="s">
        <v>4151</v>
      </c>
      <c r="F1049" s="4" t="s">
        <v>4155</v>
      </c>
      <c r="G1049" s="4" t="s">
        <v>4149</v>
      </c>
      <c r="H1049" s="4" t="s">
        <v>4156</v>
      </c>
      <c r="I1049" s="4" t="s">
        <v>824</v>
      </c>
    </row>
    <row r="1050" spans="1:9" x14ac:dyDescent="0.3">
      <c r="A1050">
        <v>1053</v>
      </c>
      <c r="B1050" s="4" t="s">
        <v>4162</v>
      </c>
      <c r="C1050" s="4" t="s">
        <v>4154</v>
      </c>
      <c r="D1050" s="4" t="s">
        <v>2999</v>
      </c>
      <c r="E1050" s="4" t="s">
        <v>4151</v>
      </c>
      <c r="F1050" s="4" t="s">
        <v>4148</v>
      </c>
      <c r="G1050" s="4" t="s">
        <v>4149</v>
      </c>
      <c r="H1050" s="4" t="s">
        <v>4156</v>
      </c>
      <c r="I1050" s="4" t="s">
        <v>824</v>
      </c>
    </row>
    <row r="1051" spans="1:9" x14ac:dyDescent="0.3">
      <c r="A1051">
        <v>1054</v>
      </c>
      <c r="B1051" s="4" t="s">
        <v>4162</v>
      </c>
      <c r="C1051" s="4" t="s">
        <v>4154</v>
      </c>
      <c r="D1051" s="4" t="s">
        <v>2999</v>
      </c>
      <c r="E1051" s="4" t="s">
        <v>4151</v>
      </c>
      <c r="F1051" s="4" t="s">
        <v>4148</v>
      </c>
      <c r="G1051" s="4" t="s">
        <v>4149</v>
      </c>
      <c r="H1051" s="4" t="s">
        <v>4156</v>
      </c>
      <c r="I1051" s="4" t="s">
        <v>4178</v>
      </c>
    </row>
    <row r="1052" spans="1:9" x14ac:dyDescent="0.3">
      <c r="A1052">
        <v>1055</v>
      </c>
      <c r="B1052" s="4" t="s">
        <v>4162</v>
      </c>
      <c r="C1052" s="4" t="s">
        <v>4154</v>
      </c>
      <c r="D1052" s="4" t="s">
        <v>2994</v>
      </c>
      <c r="E1052" s="4" t="s">
        <v>4147</v>
      </c>
      <c r="F1052" s="4" t="s">
        <v>4148</v>
      </c>
      <c r="G1052" s="4" t="s">
        <v>4149</v>
      </c>
      <c r="H1052" s="4" t="s">
        <v>4156</v>
      </c>
      <c r="I1052" s="4" t="s">
        <v>4160</v>
      </c>
    </row>
    <row r="1053" spans="1:9" x14ac:dyDescent="0.3">
      <c r="A1053">
        <v>1056</v>
      </c>
      <c r="B1053" s="4" t="s">
        <v>4162</v>
      </c>
      <c r="C1053" s="4" t="s">
        <v>4154</v>
      </c>
      <c r="D1053" s="4" t="s">
        <v>2999</v>
      </c>
      <c r="E1053" s="4" t="s">
        <v>4151</v>
      </c>
      <c r="F1053" s="4" t="s">
        <v>4148</v>
      </c>
      <c r="G1053" s="4" t="s">
        <v>4149</v>
      </c>
      <c r="H1053" s="4" t="s">
        <v>4156</v>
      </c>
      <c r="I1053" s="4" t="s">
        <v>824</v>
      </c>
    </row>
    <row r="1054" spans="1:9" x14ac:dyDescent="0.3">
      <c r="A1054">
        <v>1057</v>
      </c>
      <c r="B1054" s="4" t="s">
        <v>4162</v>
      </c>
      <c r="C1054" s="4" t="s">
        <v>4146</v>
      </c>
      <c r="D1054" s="4" t="s">
        <v>2996</v>
      </c>
      <c r="E1054" s="4" t="s">
        <v>4151</v>
      </c>
      <c r="F1054" s="4" t="s">
        <v>4152</v>
      </c>
      <c r="G1054" s="4" t="s">
        <v>4153</v>
      </c>
      <c r="H1054" s="4" t="s">
        <v>4156</v>
      </c>
      <c r="I1054" s="4" t="s">
        <v>4178</v>
      </c>
    </row>
    <row r="1055" spans="1:9" x14ac:dyDescent="0.3">
      <c r="A1055">
        <v>1058</v>
      </c>
      <c r="B1055" s="4" t="s">
        <v>4162</v>
      </c>
      <c r="C1055" s="4" t="s">
        <v>4146</v>
      </c>
      <c r="D1055" s="4" t="s">
        <v>2994</v>
      </c>
      <c r="E1055" s="4" t="s">
        <v>4147</v>
      </c>
      <c r="F1055" s="4" t="s">
        <v>4159</v>
      </c>
      <c r="G1055" s="4" t="s">
        <v>4153</v>
      </c>
      <c r="H1055" s="4" t="s">
        <v>4156</v>
      </c>
      <c r="I1055" s="4" t="s">
        <v>4178</v>
      </c>
    </row>
    <row r="1056" spans="1:9" x14ac:dyDescent="0.3">
      <c r="A1056">
        <v>1059</v>
      </c>
      <c r="B1056" s="4" t="s">
        <v>4162</v>
      </c>
      <c r="C1056" s="4" t="s">
        <v>4154</v>
      </c>
      <c r="D1056" s="4" t="s">
        <v>2994</v>
      </c>
      <c r="E1056" s="4" t="s">
        <v>4147</v>
      </c>
      <c r="F1056" s="4" t="s">
        <v>4148</v>
      </c>
      <c r="G1056" s="4" t="s">
        <v>4149</v>
      </c>
      <c r="H1056" s="4" t="s">
        <v>4156</v>
      </c>
      <c r="I1056" s="4" t="s">
        <v>824</v>
      </c>
    </row>
    <row r="1057" spans="1:9" x14ac:dyDescent="0.3">
      <c r="A1057">
        <v>1060</v>
      </c>
      <c r="B1057" s="4" t="s">
        <v>4162</v>
      </c>
      <c r="C1057" s="4" t="s">
        <v>4154</v>
      </c>
      <c r="D1057" s="4" t="s">
        <v>2999</v>
      </c>
      <c r="E1057" s="4" t="s">
        <v>4151</v>
      </c>
      <c r="F1057" s="4" t="s">
        <v>4148</v>
      </c>
      <c r="G1057" s="4" t="s">
        <v>4149</v>
      </c>
      <c r="H1057" s="4" t="s">
        <v>4156</v>
      </c>
      <c r="I1057" s="4" t="s">
        <v>824</v>
      </c>
    </row>
    <row r="1058" spans="1:9" x14ac:dyDescent="0.3">
      <c r="A1058">
        <v>1061</v>
      </c>
      <c r="B1058" s="4" t="s">
        <v>4162</v>
      </c>
      <c r="C1058" s="4" t="s">
        <v>4146</v>
      </c>
      <c r="D1058" s="4" t="s">
        <v>2994</v>
      </c>
      <c r="E1058" s="4" t="s">
        <v>4147</v>
      </c>
      <c r="F1058" s="4" t="s">
        <v>4159</v>
      </c>
      <c r="G1058" s="4" t="s">
        <v>4149</v>
      </c>
      <c r="H1058" s="4" t="s">
        <v>4156</v>
      </c>
      <c r="I1058" s="4" t="s">
        <v>824</v>
      </c>
    </row>
    <row r="1059" spans="1:9" x14ac:dyDescent="0.3">
      <c r="A1059">
        <v>1062</v>
      </c>
      <c r="B1059" s="4" t="s">
        <v>4162</v>
      </c>
      <c r="C1059" s="4" t="s">
        <v>4146</v>
      </c>
      <c r="D1059" s="4" t="s">
        <v>2994</v>
      </c>
      <c r="E1059" s="4" t="s">
        <v>4147</v>
      </c>
      <c r="F1059" s="4" t="s">
        <v>4148</v>
      </c>
      <c r="G1059" s="4" t="s">
        <v>4149</v>
      </c>
      <c r="H1059" s="4" t="s">
        <v>4156</v>
      </c>
      <c r="I1059" s="4" t="s">
        <v>824</v>
      </c>
    </row>
    <row r="1060" spans="1:9" x14ac:dyDescent="0.3">
      <c r="A1060">
        <v>1063</v>
      </c>
      <c r="B1060" s="4" t="s">
        <v>4162</v>
      </c>
      <c r="C1060" s="4" t="s">
        <v>4154</v>
      </c>
      <c r="D1060" s="4" t="s">
        <v>2999</v>
      </c>
      <c r="E1060" s="4" t="s">
        <v>4151</v>
      </c>
      <c r="F1060" s="4" t="s">
        <v>4148</v>
      </c>
      <c r="G1060" s="4" t="s">
        <v>4149</v>
      </c>
      <c r="H1060" s="4" t="s">
        <v>4156</v>
      </c>
      <c r="I1060" s="4" t="s">
        <v>824</v>
      </c>
    </row>
    <row r="1061" spans="1:9" x14ac:dyDescent="0.3">
      <c r="A1061">
        <v>1064</v>
      </c>
      <c r="B1061" s="4" t="s">
        <v>4162</v>
      </c>
      <c r="C1061" s="4" t="s">
        <v>4154</v>
      </c>
      <c r="D1061" s="4" t="s">
        <v>2999</v>
      </c>
      <c r="E1061" s="4" t="s">
        <v>4151</v>
      </c>
      <c r="F1061" s="4" t="s">
        <v>4155</v>
      </c>
      <c r="G1061" s="4" t="s">
        <v>4149</v>
      </c>
      <c r="H1061" s="4" t="s">
        <v>4156</v>
      </c>
      <c r="I1061" s="4" t="s">
        <v>824</v>
      </c>
    </row>
    <row r="1062" spans="1:9" x14ac:dyDescent="0.3">
      <c r="A1062">
        <v>1065</v>
      </c>
      <c r="B1062" s="4" t="s">
        <v>4162</v>
      </c>
      <c r="C1062" s="4" t="s">
        <v>4146</v>
      </c>
      <c r="D1062" s="4" t="s">
        <v>2999</v>
      </c>
      <c r="E1062" s="4" t="s">
        <v>4151</v>
      </c>
      <c r="F1062" s="4" t="s">
        <v>4155</v>
      </c>
      <c r="G1062" s="4" t="s">
        <v>4149</v>
      </c>
      <c r="H1062" s="4" t="s">
        <v>4156</v>
      </c>
      <c r="I1062" s="4" t="s">
        <v>824</v>
      </c>
    </row>
    <row r="1063" spans="1:9" x14ac:dyDescent="0.3">
      <c r="A1063">
        <v>1066</v>
      </c>
      <c r="B1063" s="4" t="s">
        <v>4162</v>
      </c>
      <c r="C1063" s="4" t="s">
        <v>4154</v>
      </c>
      <c r="D1063" s="4" t="s">
        <v>2999</v>
      </c>
      <c r="E1063" s="4" t="s">
        <v>4151</v>
      </c>
      <c r="F1063" s="4" t="s">
        <v>4148</v>
      </c>
      <c r="G1063" s="4" t="s">
        <v>4149</v>
      </c>
      <c r="H1063" s="4" t="s">
        <v>4156</v>
      </c>
      <c r="I1063" s="4" t="s">
        <v>824</v>
      </c>
    </row>
    <row r="1064" spans="1:9" x14ac:dyDescent="0.3">
      <c r="A1064">
        <v>1067</v>
      </c>
      <c r="B1064" s="4" t="s">
        <v>4162</v>
      </c>
      <c r="C1064" s="4" t="s">
        <v>4154</v>
      </c>
      <c r="D1064" s="4" t="s">
        <v>2999</v>
      </c>
      <c r="E1064" s="4" t="s">
        <v>4151</v>
      </c>
      <c r="F1064" s="4" t="s">
        <v>4148</v>
      </c>
      <c r="G1064" s="4" t="s">
        <v>4149</v>
      </c>
      <c r="H1064" s="4" t="s">
        <v>4156</v>
      </c>
      <c r="I1064" s="4" t="s">
        <v>4178</v>
      </c>
    </row>
    <row r="1065" spans="1:9" x14ac:dyDescent="0.3">
      <c r="A1065">
        <v>1068</v>
      </c>
      <c r="B1065" s="4" t="s">
        <v>4162</v>
      </c>
      <c r="C1065" s="4" t="s">
        <v>4146</v>
      </c>
      <c r="D1065" s="4" t="s">
        <v>2994</v>
      </c>
      <c r="E1065" s="4" t="s">
        <v>4147</v>
      </c>
      <c r="F1065" s="4" t="s">
        <v>4148</v>
      </c>
      <c r="G1065" s="4" t="s">
        <v>4149</v>
      </c>
      <c r="H1065" s="4" t="s">
        <v>4156</v>
      </c>
      <c r="I1065" s="4" t="s">
        <v>824</v>
      </c>
    </row>
    <row r="1066" spans="1:9" x14ac:dyDescent="0.3">
      <c r="A1066">
        <v>1069</v>
      </c>
      <c r="B1066" s="4" t="s">
        <v>4162</v>
      </c>
      <c r="C1066" s="4" t="s">
        <v>4154</v>
      </c>
      <c r="D1066" s="4" t="s">
        <v>2999</v>
      </c>
      <c r="E1066" s="4" t="s">
        <v>4151</v>
      </c>
      <c r="F1066" s="4" t="s">
        <v>4157</v>
      </c>
      <c r="G1066" s="4" t="s">
        <v>4149</v>
      </c>
      <c r="H1066" s="4" t="s">
        <v>4156</v>
      </c>
      <c r="I1066" s="4" t="s">
        <v>824</v>
      </c>
    </row>
    <row r="1067" spans="1:9" x14ac:dyDescent="0.3">
      <c r="A1067">
        <v>1070</v>
      </c>
      <c r="B1067" s="4" t="s">
        <v>4162</v>
      </c>
      <c r="C1067" s="4" t="s">
        <v>4154</v>
      </c>
      <c r="D1067" s="4" t="s">
        <v>2999</v>
      </c>
      <c r="E1067" s="4" t="s">
        <v>4151</v>
      </c>
      <c r="F1067" s="4" t="s">
        <v>4148</v>
      </c>
      <c r="G1067" s="4" t="s">
        <v>4153</v>
      </c>
      <c r="H1067" s="4" t="s">
        <v>4156</v>
      </c>
      <c r="I1067" s="4" t="s">
        <v>4160</v>
      </c>
    </row>
    <row r="1068" spans="1:9" x14ac:dyDescent="0.3">
      <c r="A1068">
        <v>1071</v>
      </c>
      <c r="B1068" s="4" t="s">
        <v>4162</v>
      </c>
      <c r="C1068" s="4" t="s">
        <v>4154</v>
      </c>
      <c r="D1068" s="4" t="s">
        <v>2999</v>
      </c>
      <c r="E1068" s="4" t="s">
        <v>4151</v>
      </c>
      <c r="F1068" s="4" t="s">
        <v>4148</v>
      </c>
      <c r="G1068" s="4" t="s">
        <v>4149</v>
      </c>
      <c r="H1068" s="4" t="s">
        <v>4156</v>
      </c>
      <c r="I1068" s="4" t="s">
        <v>4160</v>
      </c>
    </row>
    <row r="1069" spans="1:9" x14ac:dyDescent="0.3">
      <c r="A1069">
        <v>1072</v>
      </c>
      <c r="B1069" s="4" t="s">
        <v>4162</v>
      </c>
      <c r="C1069" s="4" t="s">
        <v>4146</v>
      </c>
      <c r="D1069" s="4" t="s">
        <v>3001</v>
      </c>
      <c r="E1069" s="4" t="s">
        <v>4147</v>
      </c>
      <c r="F1069" s="4" t="s">
        <v>4148</v>
      </c>
      <c r="G1069" s="4" t="s">
        <v>4153</v>
      </c>
      <c r="H1069" s="4" t="s">
        <v>4156</v>
      </c>
      <c r="I1069" s="4" t="s">
        <v>4160</v>
      </c>
    </row>
    <row r="1070" spans="1:9" x14ac:dyDescent="0.3">
      <c r="A1070">
        <v>1073</v>
      </c>
      <c r="B1070" s="4" t="s">
        <v>4162</v>
      </c>
      <c r="C1070" s="4" t="s">
        <v>4154</v>
      </c>
      <c r="D1070" s="4" t="s">
        <v>2999</v>
      </c>
      <c r="E1070" s="4" t="s">
        <v>4151</v>
      </c>
      <c r="F1070" s="4" t="s">
        <v>4148</v>
      </c>
      <c r="G1070" s="4" t="s">
        <v>4149</v>
      </c>
      <c r="H1070" s="4" t="s">
        <v>4156</v>
      </c>
      <c r="I1070" s="4" t="s">
        <v>4160</v>
      </c>
    </row>
    <row r="1071" spans="1:9" x14ac:dyDescent="0.3">
      <c r="A1071">
        <v>1074</v>
      </c>
      <c r="B1071" s="4" t="s">
        <v>4162</v>
      </c>
      <c r="C1071" s="4" t="s">
        <v>4154</v>
      </c>
      <c r="D1071" s="4" t="s">
        <v>2999</v>
      </c>
      <c r="E1071" s="4" t="s">
        <v>4151</v>
      </c>
      <c r="F1071" s="4" t="s">
        <v>4148</v>
      </c>
      <c r="G1071" s="4" t="s">
        <v>4149</v>
      </c>
      <c r="H1071" s="4" t="s">
        <v>4156</v>
      </c>
      <c r="I1071" s="4" t="s">
        <v>4160</v>
      </c>
    </row>
    <row r="1072" spans="1:9" x14ac:dyDescent="0.3">
      <c r="A1072">
        <v>1075</v>
      </c>
      <c r="B1072" s="4" t="s">
        <v>4162</v>
      </c>
      <c r="C1072" s="4" t="s">
        <v>4154</v>
      </c>
      <c r="D1072" s="4" t="s">
        <v>2999</v>
      </c>
      <c r="E1072" s="4" t="s">
        <v>4151</v>
      </c>
      <c r="F1072" s="4" t="s">
        <v>4148</v>
      </c>
      <c r="G1072" s="4" t="s">
        <v>4149</v>
      </c>
      <c r="H1072" s="4" t="s">
        <v>4156</v>
      </c>
      <c r="I1072" s="4" t="s">
        <v>4160</v>
      </c>
    </row>
    <row r="1073" spans="1:9" x14ac:dyDescent="0.3">
      <c r="A1073">
        <v>1076</v>
      </c>
      <c r="B1073" s="4" t="s">
        <v>4162</v>
      </c>
      <c r="C1073" s="4" t="s">
        <v>4154</v>
      </c>
      <c r="D1073" s="4" t="s">
        <v>2999</v>
      </c>
      <c r="E1073" s="4" t="s">
        <v>4151</v>
      </c>
      <c r="F1073" s="4" t="s">
        <v>4148</v>
      </c>
      <c r="G1073" s="4" t="s">
        <v>4149</v>
      </c>
      <c r="H1073" s="4" t="s">
        <v>4156</v>
      </c>
      <c r="I1073" s="4" t="s">
        <v>824</v>
      </c>
    </row>
    <row r="1074" spans="1:9" x14ac:dyDescent="0.3">
      <c r="A1074">
        <v>1077</v>
      </c>
      <c r="B1074" s="4" t="s">
        <v>4162</v>
      </c>
      <c r="C1074" s="4" t="s">
        <v>4154</v>
      </c>
      <c r="D1074" s="4" t="s">
        <v>3520</v>
      </c>
      <c r="E1074" s="4" t="s">
        <v>4147</v>
      </c>
      <c r="F1074" s="4" t="s">
        <v>4148</v>
      </c>
      <c r="G1074" s="4" t="s">
        <v>4149</v>
      </c>
      <c r="H1074" s="4" t="s">
        <v>4156</v>
      </c>
      <c r="I1074" s="4" t="s">
        <v>4160</v>
      </c>
    </row>
    <row r="1075" spans="1:9" x14ac:dyDescent="0.3">
      <c r="A1075">
        <v>1078</v>
      </c>
      <c r="B1075" s="4" t="s">
        <v>4162</v>
      </c>
      <c r="C1075" s="4" t="s">
        <v>4146</v>
      </c>
      <c r="D1075" s="4" t="s">
        <v>2994</v>
      </c>
      <c r="E1075" s="4" t="s">
        <v>4147</v>
      </c>
      <c r="F1075" s="4" t="s">
        <v>4148</v>
      </c>
      <c r="G1075" s="4" t="s">
        <v>4149</v>
      </c>
      <c r="H1075" s="4" t="s">
        <v>4156</v>
      </c>
      <c r="I1075" s="4" t="s">
        <v>4160</v>
      </c>
    </row>
    <row r="1076" spans="1:9" x14ac:dyDescent="0.3">
      <c r="A1076">
        <v>1079</v>
      </c>
      <c r="B1076" s="4" t="s">
        <v>4162</v>
      </c>
      <c r="C1076" s="4" t="s">
        <v>4146</v>
      </c>
      <c r="D1076" s="4" t="s">
        <v>2994</v>
      </c>
      <c r="E1076" s="4" t="s">
        <v>4147</v>
      </c>
      <c r="F1076" s="4" t="s">
        <v>4148</v>
      </c>
      <c r="G1076" s="4" t="s">
        <v>4149</v>
      </c>
      <c r="H1076" s="4" t="s">
        <v>4156</v>
      </c>
      <c r="I1076" s="4" t="s">
        <v>4160</v>
      </c>
    </row>
    <row r="1077" spans="1:9" x14ac:dyDescent="0.3">
      <c r="A1077">
        <v>1080</v>
      </c>
      <c r="B1077" s="4" t="s">
        <v>4162</v>
      </c>
      <c r="C1077" s="4" t="s">
        <v>4146</v>
      </c>
      <c r="D1077" s="4" t="s">
        <v>2994</v>
      </c>
      <c r="E1077" s="4" t="s">
        <v>4147</v>
      </c>
      <c r="F1077" s="4" t="s">
        <v>4148</v>
      </c>
      <c r="G1077" s="4" t="s">
        <v>4149</v>
      </c>
      <c r="H1077" s="4" t="s">
        <v>4156</v>
      </c>
      <c r="I1077" s="4" t="s">
        <v>824</v>
      </c>
    </row>
    <row r="1078" spans="1:9" x14ac:dyDescent="0.3">
      <c r="A1078">
        <v>1081</v>
      </c>
      <c r="B1078" s="4" t="s">
        <v>4162</v>
      </c>
      <c r="C1078" s="4" t="s">
        <v>4146</v>
      </c>
      <c r="D1078" s="4" t="s">
        <v>2999</v>
      </c>
      <c r="E1078" s="4" t="s">
        <v>4151</v>
      </c>
      <c r="F1078" s="4" t="s">
        <v>4148</v>
      </c>
      <c r="G1078" s="4" t="s">
        <v>4149</v>
      </c>
      <c r="H1078" s="4" t="s">
        <v>4156</v>
      </c>
      <c r="I1078" s="4" t="s">
        <v>4160</v>
      </c>
    </row>
    <row r="1079" spans="1:9" x14ac:dyDescent="0.3">
      <c r="A1079">
        <v>1082</v>
      </c>
      <c r="B1079" s="4" t="s">
        <v>4162</v>
      </c>
      <c r="C1079" s="4" t="s">
        <v>4146</v>
      </c>
      <c r="D1079" s="4" t="s">
        <v>2994</v>
      </c>
      <c r="E1079" s="4" t="s">
        <v>4147</v>
      </c>
      <c r="F1079" s="4" t="s">
        <v>4148</v>
      </c>
      <c r="G1079" s="4" t="s">
        <v>4149</v>
      </c>
      <c r="H1079" s="4" t="s">
        <v>4156</v>
      </c>
      <c r="I1079" s="4" t="s">
        <v>4160</v>
      </c>
    </row>
    <row r="1080" spans="1:9" x14ac:dyDescent="0.3">
      <c r="A1080">
        <v>1083</v>
      </c>
      <c r="B1080" s="4" t="s">
        <v>4162</v>
      </c>
      <c r="C1080" s="4" t="s">
        <v>4146</v>
      </c>
      <c r="D1080" s="4" t="s">
        <v>2996</v>
      </c>
      <c r="E1080" s="4" t="s">
        <v>4151</v>
      </c>
      <c r="F1080" s="4" t="s">
        <v>4152</v>
      </c>
      <c r="G1080" s="4" t="s">
        <v>4153</v>
      </c>
      <c r="H1080" s="4" t="s">
        <v>4156</v>
      </c>
      <c r="I1080" s="4" t="s">
        <v>824</v>
      </c>
    </row>
    <row r="1081" spans="1:9" x14ac:dyDescent="0.3">
      <c r="A1081">
        <v>1084</v>
      </c>
      <c r="B1081" s="4" t="s">
        <v>4162</v>
      </c>
      <c r="C1081" s="4" t="s">
        <v>4154</v>
      </c>
      <c r="D1081" s="4" t="s">
        <v>2999</v>
      </c>
      <c r="E1081" s="4" t="s">
        <v>4151</v>
      </c>
      <c r="F1081" s="4" t="s">
        <v>4148</v>
      </c>
      <c r="G1081" s="4" t="s">
        <v>4149</v>
      </c>
      <c r="H1081" s="4" t="s">
        <v>4156</v>
      </c>
      <c r="I1081" s="4" t="s">
        <v>824</v>
      </c>
    </row>
    <row r="1082" spans="1:9" x14ac:dyDescent="0.3">
      <c r="A1082">
        <v>1085</v>
      </c>
      <c r="B1082" s="4" t="s">
        <v>4162</v>
      </c>
      <c r="C1082" s="4" t="s">
        <v>4154</v>
      </c>
      <c r="D1082" s="4" t="s">
        <v>2999</v>
      </c>
      <c r="E1082" s="4" t="s">
        <v>4151</v>
      </c>
      <c r="F1082" s="4" t="s">
        <v>4155</v>
      </c>
      <c r="G1082" s="4" t="s">
        <v>4153</v>
      </c>
      <c r="H1082" s="4" t="s">
        <v>4156</v>
      </c>
      <c r="I1082" s="4" t="s">
        <v>824</v>
      </c>
    </row>
    <row r="1083" spans="1:9" x14ac:dyDescent="0.3">
      <c r="A1083">
        <v>1086</v>
      </c>
      <c r="B1083" s="4" t="s">
        <v>4162</v>
      </c>
      <c r="C1083" s="4" t="s">
        <v>4154</v>
      </c>
      <c r="D1083" s="4" t="s">
        <v>2999</v>
      </c>
      <c r="E1083" s="4" t="s">
        <v>4151</v>
      </c>
      <c r="F1083" s="4" t="s">
        <v>4148</v>
      </c>
      <c r="G1083" s="4" t="s">
        <v>4149</v>
      </c>
      <c r="H1083" s="4" t="s">
        <v>4156</v>
      </c>
      <c r="I1083" s="4" t="s">
        <v>824</v>
      </c>
    </row>
    <row r="1084" spans="1:9" x14ac:dyDescent="0.3">
      <c r="A1084">
        <v>1087</v>
      </c>
      <c r="B1084" s="4" t="s">
        <v>4162</v>
      </c>
      <c r="C1084" s="4" t="s">
        <v>4154</v>
      </c>
      <c r="D1084" s="4" t="s">
        <v>2994</v>
      </c>
      <c r="E1084" s="4" t="s">
        <v>4147</v>
      </c>
      <c r="F1084" s="4" t="s">
        <v>4155</v>
      </c>
      <c r="G1084" s="4" t="s">
        <v>4149</v>
      </c>
      <c r="H1084" s="4" t="s">
        <v>4156</v>
      </c>
      <c r="I1084" s="4" t="s">
        <v>824</v>
      </c>
    </row>
    <row r="1085" spans="1:9" x14ac:dyDescent="0.3">
      <c r="A1085">
        <v>1088</v>
      </c>
      <c r="B1085" s="4" t="s">
        <v>4162</v>
      </c>
      <c r="C1085" s="4" t="s">
        <v>4154</v>
      </c>
      <c r="D1085" s="4" t="s">
        <v>2999</v>
      </c>
      <c r="E1085" s="4" t="s">
        <v>4151</v>
      </c>
      <c r="F1085" s="4" t="s">
        <v>4148</v>
      </c>
      <c r="G1085" s="4" t="s">
        <v>4149</v>
      </c>
      <c r="H1085" s="4" t="s">
        <v>4156</v>
      </c>
      <c r="I1085" s="4" t="s">
        <v>824</v>
      </c>
    </row>
    <row r="1086" spans="1:9" x14ac:dyDescent="0.3">
      <c r="A1086">
        <v>1089</v>
      </c>
      <c r="B1086" s="4" t="s">
        <v>4162</v>
      </c>
      <c r="C1086" s="4" t="s">
        <v>4146</v>
      </c>
      <c r="D1086" s="4" t="s">
        <v>2999</v>
      </c>
      <c r="E1086" s="4" t="s">
        <v>4151</v>
      </c>
      <c r="F1086" s="4" t="s">
        <v>4155</v>
      </c>
      <c r="G1086" s="4" t="s">
        <v>4149</v>
      </c>
      <c r="H1086" s="4" t="s">
        <v>4156</v>
      </c>
      <c r="I1086" s="4" t="s">
        <v>824</v>
      </c>
    </row>
    <row r="1087" spans="1:9" x14ac:dyDescent="0.3">
      <c r="A1087">
        <v>1090</v>
      </c>
      <c r="B1087" s="4" t="s">
        <v>4162</v>
      </c>
      <c r="C1087" s="4" t="s">
        <v>4154</v>
      </c>
      <c r="D1087" s="4" t="s">
        <v>2999</v>
      </c>
      <c r="E1087" s="4" t="s">
        <v>4151</v>
      </c>
      <c r="F1087" s="4" t="s">
        <v>4148</v>
      </c>
      <c r="G1087" s="4" t="s">
        <v>4149</v>
      </c>
      <c r="H1087" s="4" t="s">
        <v>4156</v>
      </c>
      <c r="I1087" s="4" t="s">
        <v>824</v>
      </c>
    </row>
    <row r="1088" spans="1:9" x14ac:dyDescent="0.3">
      <c r="A1088">
        <v>1091</v>
      </c>
      <c r="B1088" s="4" t="s">
        <v>4162</v>
      </c>
      <c r="C1088" s="4" t="s">
        <v>4154</v>
      </c>
      <c r="D1088" s="4" t="s">
        <v>2994</v>
      </c>
      <c r="E1088" s="4" t="s">
        <v>4147</v>
      </c>
      <c r="F1088" s="4" t="s">
        <v>4148</v>
      </c>
      <c r="G1088" s="4" t="s">
        <v>4149</v>
      </c>
      <c r="H1088" s="4" t="s">
        <v>4156</v>
      </c>
      <c r="I1088" s="4" t="s">
        <v>824</v>
      </c>
    </row>
    <row r="1089" spans="1:9" x14ac:dyDescent="0.3">
      <c r="A1089">
        <v>1092</v>
      </c>
      <c r="B1089" s="4" t="s">
        <v>4162</v>
      </c>
      <c r="C1089" s="4" t="s">
        <v>4154</v>
      </c>
      <c r="D1089" s="4" t="s">
        <v>2994</v>
      </c>
      <c r="E1089" s="4" t="s">
        <v>4147</v>
      </c>
      <c r="F1089" s="4" t="s">
        <v>4148</v>
      </c>
      <c r="G1089" s="4" t="s">
        <v>4149</v>
      </c>
      <c r="H1089" s="4" t="s">
        <v>4156</v>
      </c>
      <c r="I1089" s="4" t="s">
        <v>824</v>
      </c>
    </row>
    <row r="1090" spans="1:9" x14ac:dyDescent="0.3">
      <c r="A1090">
        <v>1093</v>
      </c>
      <c r="B1090" s="4" t="s">
        <v>4162</v>
      </c>
      <c r="C1090" s="4" t="s">
        <v>4154</v>
      </c>
      <c r="D1090" s="4" t="s">
        <v>2999</v>
      </c>
      <c r="E1090" s="4" t="s">
        <v>4151</v>
      </c>
      <c r="F1090" s="4" t="s">
        <v>4148</v>
      </c>
      <c r="G1090" s="4" t="s">
        <v>4149</v>
      </c>
      <c r="H1090" s="4" t="s">
        <v>4156</v>
      </c>
      <c r="I1090" s="4" t="s">
        <v>824</v>
      </c>
    </row>
    <row r="1091" spans="1:9" x14ac:dyDescent="0.3">
      <c r="A1091">
        <v>1094</v>
      </c>
      <c r="B1091" s="4" t="s">
        <v>4162</v>
      </c>
      <c r="C1091" s="4" t="s">
        <v>4154</v>
      </c>
      <c r="D1091" s="4" t="s">
        <v>2999</v>
      </c>
      <c r="E1091" s="4" t="s">
        <v>4151</v>
      </c>
      <c r="F1091" s="4" t="s">
        <v>4159</v>
      </c>
      <c r="G1091" s="4" t="s">
        <v>4149</v>
      </c>
      <c r="H1091" s="4" t="s">
        <v>4156</v>
      </c>
      <c r="I1091" s="4" t="s">
        <v>824</v>
      </c>
    </row>
    <row r="1092" spans="1:9" x14ac:dyDescent="0.3">
      <c r="A1092">
        <v>1095</v>
      </c>
      <c r="B1092" s="4" t="s">
        <v>4162</v>
      </c>
      <c r="C1092" s="4" t="s">
        <v>4146</v>
      </c>
      <c r="D1092" s="4" t="s">
        <v>3001</v>
      </c>
      <c r="E1092" s="4" t="s">
        <v>4147</v>
      </c>
      <c r="F1092" s="4" t="s">
        <v>4155</v>
      </c>
      <c r="G1092" s="4" t="s">
        <v>4149</v>
      </c>
      <c r="H1092" s="4" t="s">
        <v>4156</v>
      </c>
      <c r="I1092" s="4" t="s">
        <v>824</v>
      </c>
    </row>
    <row r="1093" spans="1:9" x14ac:dyDescent="0.3">
      <c r="A1093">
        <v>1096</v>
      </c>
      <c r="B1093" s="4" t="s">
        <v>4162</v>
      </c>
      <c r="C1093" s="4" t="s">
        <v>4154</v>
      </c>
      <c r="D1093" s="4" t="s">
        <v>2994</v>
      </c>
      <c r="E1093" s="4" t="s">
        <v>4147</v>
      </c>
      <c r="F1093" s="4" t="s">
        <v>4148</v>
      </c>
      <c r="G1093" s="4" t="s">
        <v>4149</v>
      </c>
      <c r="H1093" s="4" t="s">
        <v>4156</v>
      </c>
      <c r="I1093" s="4" t="s">
        <v>4160</v>
      </c>
    </row>
    <row r="1094" spans="1:9" x14ac:dyDescent="0.3">
      <c r="A1094">
        <v>1097</v>
      </c>
      <c r="B1094" s="4" t="s">
        <v>4162</v>
      </c>
      <c r="C1094" s="4" t="s">
        <v>4154</v>
      </c>
      <c r="D1094" s="4" t="s">
        <v>2996</v>
      </c>
      <c r="E1094" s="4" t="s">
        <v>4151</v>
      </c>
      <c r="F1094" s="4" t="s">
        <v>4152</v>
      </c>
      <c r="G1094" s="4" t="s">
        <v>4153</v>
      </c>
      <c r="H1094" s="4" t="s">
        <v>4156</v>
      </c>
      <c r="I1094" s="4" t="s">
        <v>824</v>
      </c>
    </row>
    <row r="1095" spans="1:9" x14ac:dyDescent="0.3">
      <c r="A1095">
        <v>1098</v>
      </c>
      <c r="B1095" s="4" t="s">
        <v>4162</v>
      </c>
      <c r="C1095" s="4" t="s">
        <v>4154</v>
      </c>
      <c r="D1095" s="4" t="s">
        <v>2996</v>
      </c>
      <c r="E1095" s="4" t="s">
        <v>4151</v>
      </c>
      <c r="F1095" s="4" t="s">
        <v>4152</v>
      </c>
      <c r="G1095" s="4" t="s">
        <v>4153</v>
      </c>
      <c r="H1095" s="4" t="s">
        <v>4156</v>
      </c>
      <c r="I1095" s="4" t="s">
        <v>824</v>
      </c>
    </row>
    <row r="1096" spans="1:9" x14ac:dyDescent="0.3">
      <c r="A1096">
        <v>1099</v>
      </c>
      <c r="B1096" s="4" t="s">
        <v>4162</v>
      </c>
      <c r="C1096" s="4" t="s">
        <v>4154</v>
      </c>
      <c r="D1096" s="4" t="s">
        <v>2994</v>
      </c>
      <c r="E1096" s="4" t="s">
        <v>4147</v>
      </c>
      <c r="F1096" s="4" t="s">
        <v>4152</v>
      </c>
      <c r="G1096" s="4" t="s">
        <v>4153</v>
      </c>
      <c r="H1096" s="4" t="s">
        <v>4156</v>
      </c>
      <c r="I1096" s="4" t="s">
        <v>824</v>
      </c>
    </row>
    <row r="1097" spans="1:9" x14ac:dyDescent="0.3">
      <c r="A1097">
        <v>1100</v>
      </c>
      <c r="B1097" s="4" t="s">
        <v>4162</v>
      </c>
      <c r="C1097" s="4" t="s">
        <v>4154</v>
      </c>
      <c r="D1097" s="4" t="s">
        <v>2994</v>
      </c>
      <c r="E1097" s="4" t="s">
        <v>4147</v>
      </c>
      <c r="F1097" s="4" t="s">
        <v>4152</v>
      </c>
      <c r="G1097" s="4" t="s">
        <v>4153</v>
      </c>
      <c r="H1097" s="4" t="s">
        <v>4156</v>
      </c>
      <c r="I1097" s="4" t="s">
        <v>824</v>
      </c>
    </row>
    <row r="1098" spans="1:9" x14ac:dyDescent="0.3">
      <c r="A1098">
        <v>1101</v>
      </c>
      <c r="B1098" s="4" t="s">
        <v>4162</v>
      </c>
      <c r="C1098" s="4" t="s">
        <v>4154</v>
      </c>
      <c r="D1098" s="4" t="s">
        <v>3001</v>
      </c>
      <c r="E1098" s="4" t="s">
        <v>4147</v>
      </c>
      <c r="F1098" s="4" t="s">
        <v>4148</v>
      </c>
      <c r="G1098" s="4" t="s">
        <v>4153</v>
      </c>
      <c r="H1098" s="4" t="s">
        <v>4156</v>
      </c>
      <c r="I1098" s="4" t="s">
        <v>824</v>
      </c>
    </row>
    <row r="1099" spans="1:9" x14ac:dyDescent="0.3">
      <c r="A1099">
        <v>1102</v>
      </c>
      <c r="B1099" s="4" t="s">
        <v>4162</v>
      </c>
      <c r="C1099" s="4" t="s">
        <v>4154</v>
      </c>
      <c r="D1099" s="4" t="s">
        <v>2996</v>
      </c>
      <c r="E1099" s="4" t="s">
        <v>4151</v>
      </c>
      <c r="F1099" s="4" t="s">
        <v>4152</v>
      </c>
      <c r="G1099" s="4" t="s">
        <v>4153</v>
      </c>
      <c r="H1099" s="4" t="s">
        <v>4156</v>
      </c>
      <c r="I1099" s="4" t="s">
        <v>824</v>
      </c>
    </row>
    <row r="1100" spans="1:9" x14ac:dyDescent="0.3">
      <c r="A1100">
        <v>1103</v>
      </c>
      <c r="B1100" s="4" t="s">
        <v>4162</v>
      </c>
      <c r="C1100" s="4" t="s">
        <v>4154</v>
      </c>
      <c r="D1100" s="4" t="s">
        <v>2996</v>
      </c>
      <c r="E1100" s="4" t="s">
        <v>4151</v>
      </c>
      <c r="F1100" s="4" t="s">
        <v>4152</v>
      </c>
      <c r="G1100" s="4" t="s">
        <v>4153</v>
      </c>
      <c r="H1100" s="4" t="s">
        <v>4156</v>
      </c>
      <c r="I1100" s="4" t="s">
        <v>824</v>
      </c>
    </row>
    <row r="1101" spans="1:9" x14ac:dyDescent="0.3">
      <c r="A1101">
        <v>1104</v>
      </c>
      <c r="B1101" s="4" t="s">
        <v>4162</v>
      </c>
      <c r="C1101" s="4" t="s">
        <v>4154</v>
      </c>
      <c r="D1101" s="4" t="s">
        <v>2996</v>
      </c>
      <c r="E1101" s="4" t="s">
        <v>4151</v>
      </c>
      <c r="F1101" s="4" t="s">
        <v>4152</v>
      </c>
      <c r="G1101" s="4" t="s">
        <v>4153</v>
      </c>
      <c r="H1101" s="4" t="s">
        <v>4156</v>
      </c>
      <c r="I1101" s="4" t="s">
        <v>824</v>
      </c>
    </row>
    <row r="1102" spans="1:9" x14ac:dyDescent="0.3">
      <c r="A1102">
        <v>1105</v>
      </c>
      <c r="B1102" s="4" t="s">
        <v>4162</v>
      </c>
      <c r="C1102" s="4" t="s">
        <v>4154</v>
      </c>
      <c r="D1102" s="4" t="s">
        <v>2999</v>
      </c>
      <c r="E1102" s="4" t="s">
        <v>4151</v>
      </c>
      <c r="F1102" s="4" t="s">
        <v>4159</v>
      </c>
      <c r="G1102" s="4" t="s">
        <v>4153</v>
      </c>
      <c r="H1102" s="4" t="s">
        <v>4156</v>
      </c>
      <c r="I1102" s="4" t="s">
        <v>824</v>
      </c>
    </row>
    <row r="1103" spans="1:9" x14ac:dyDescent="0.3">
      <c r="A1103">
        <v>1106</v>
      </c>
      <c r="B1103" s="4" t="s">
        <v>4162</v>
      </c>
      <c r="C1103" s="4" t="s">
        <v>4154</v>
      </c>
      <c r="D1103" s="4" t="s">
        <v>2999</v>
      </c>
      <c r="E1103" s="4" t="s">
        <v>4151</v>
      </c>
      <c r="F1103" s="4" t="s">
        <v>4159</v>
      </c>
      <c r="G1103" s="4" t="s">
        <v>4153</v>
      </c>
      <c r="H1103" s="4" t="s">
        <v>4156</v>
      </c>
      <c r="I1103" s="4" t="s">
        <v>824</v>
      </c>
    </row>
    <row r="1104" spans="1:9" x14ac:dyDescent="0.3">
      <c r="A1104">
        <v>1107</v>
      </c>
      <c r="B1104" s="4" t="s">
        <v>4162</v>
      </c>
      <c r="C1104" s="4" t="s">
        <v>4154</v>
      </c>
      <c r="D1104" s="4" t="s">
        <v>3001</v>
      </c>
      <c r="E1104" s="4" t="s">
        <v>4147</v>
      </c>
      <c r="F1104" s="4" t="s">
        <v>4155</v>
      </c>
      <c r="G1104" s="4" t="s">
        <v>4153</v>
      </c>
      <c r="H1104" s="4" t="s">
        <v>4156</v>
      </c>
      <c r="I1104" s="4" t="s">
        <v>824</v>
      </c>
    </row>
    <row r="1105" spans="1:9" x14ac:dyDescent="0.3">
      <c r="A1105">
        <v>1108</v>
      </c>
      <c r="B1105" s="4" t="s">
        <v>4162</v>
      </c>
      <c r="C1105" s="4" t="s">
        <v>4154</v>
      </c>
      <c r="D1105" s="4" t="s">
        <v>2999</v>
      </c>
      <c r="E1105" s="4" t="s">
        <v>4151</v>
      </c>
      <c r="F1105" s="4" t="s">
        <v>4148</v>
      </c>
      <c r="G1105" s="4" t="s">
        <v>4149</v>
      </c>
      <c r="H1105" s="4" t="s">
        <v>4156</v>
      </c>
      <c r="I1105" s="4" t="s">
        <v>824</v>
      </c>
    </row>
    <row r="1106" spans="1:9" x14ac:dyDescent="0.3">
      <c r="A1106">
        <v>1109</v>
      </c>
      <c r="B1106" s="4" t="s">
        <v>4162</v>
      </c>
      <c r="C1106" s="4" t="s">
        <v>4154</v>
      </c>
      <c r="D1106" s="4" t="s">
        <v>2999</v>
      </c>
      <c r="E1106" s="4" t="s">
        <v>4151</v>
      </c>
      <c r="F1106" s="4" t="s">
        <v>4148</v>
      </c>
      <c r="G1106" s="4" t="s">
        <v>4149</v>
      </c>
      <c r="H1106" s="4" t="s">
        <v>4156</v>
      </c>
      <c r="I1106" s="4" t="s">
        <v>824</v>
      </c>
    </row>
    <row r="1107" spans="1:9" x14ac:dyDescent="0.3">
      <c r="A1107">
        <v>1110</v>
      </c>
      <c r="B1107" s="4" t="s">
        <v>4162</v>
      </c>
      <c r="C1107" s="4" t="s">
        <v>4154</v>
      </c>
      <c r="D1107" s="4" t="s">
        <v>2999</v>
      </c>
      <c r="E1107" s="4" t="s">
        <v>4151</v>
      </c>
      <c r="F1107" s="4" t="s">
        <v>4148</v>
      </c>
      <c r="G1107" s="4" t="s">
        <v>4149</v>
      </c>
      <c r="H1107" s="4" t="s">
        <v>4156</v>
      </c>
      <c r="I1107" s="4" t="s">
        <v>4178</v>
      </c>
    </row>
    <row r="1108" spans="1:9" x14ac:dyDescent="0.3">
      <c r="A1108">
        <v>1111</v>
      </c>
      <c r="B1108" s="4" t="s">
        <v>4162</v>
      </c>
      <c r="C1108" s="4" t="s">
        <v>4154</v>
      </c>
      <c r="D1108" s="4" t="s">
        <v>2999</v>
      </c>
      <c r="E1108" s="4" t="s">
        <v>4151</v>
      </c>
      <c r="F1108" s="4" t="s">
        <v>4155</v>
      </c>
      <c r="G1108" s="4" t="s">
        <v>4149</v>
      </c>
      <c r="H1108" s="4" t="s">
        <v>4156</v>
      </c>
      <c r="I1108" s="4" t="s">
        <v>824</v>
      </c>
    </row>
    <row r="1109" spans="1:9" x14ac:dyDescent="0.3">
      <c r="A1109">
        <v>1112</v>
      </c>
      <c r="B1109" s="4" t="s">
        <v>4162</v>
      </c>
      <c r="C1109" s="4" t="s">
        <v>4154</v>
      </c>
      <c r="D1109" s="4" t="s">
        <v>2996</v>
      </c>
      <c r="E1109" s="4" t="s">
        <v>4151</v>
      </c>
      <c r="F1109" s="4" t="s">
        <v>4152</v>
      </c>
      <c r="G1109" s="4" t="s">
        <v>4153</v>
      </c>
      <c r="H1109" s="4" t="s">
        <v>4156</v>
      </c>
      <c r="I1109" s="4" t="s">
        <v>824</v>
      </c>
    </row>
    <row r="1110" spans="1:9" x14ac:dyDescent="0.3">
      <c r="A1110">
        <v>1113</v>
      </c>
      <c r="B1110" s="4" t="s">
        <v>4162</v>
      </c>
      <c r="C1110" s="4" t="s">
        <v>4154</v>
      </c>
      <c r="D1110" s="4" t="s">
        <v>2994</v>
      </c>
      <c r="E1110" s="4" t="s">
        <v>4147</v>
      </c>
      <c r="F1110" s="4" t="s">
        <v>4152</v>
      </c>
      <c r="G1110" s="4" t="s">
        <v>4153</v>
      </c>
      <c r="H1110" s="4" t="s">
        <v>4156</v>
      </c>
      <c r="I1110" s="4" t="s">
        <v>824</v>
      </c>
    </row>
    <row r="1111" spans="1:9" x14ac:dyDescent="0.3">
      <c r="A1111">
        <v>1114</v>
      </c>
      <c r="B1111" s="4" t="s">
        <v>4162</v>
      </c>
      <c r="C1111" s="4" t="s">
        <v>4154</v>
      </c>
      <c r="D1111" s="4" t="s">
        <v>3001</v>
      </c>
      <c r="E1111" s="4" t="s">
        <v>4147</v>
      </c>
      <c r="F1111" s="4" t="s">
        <v>4148</v>
      </c>
      <c r="G1111" s="4" t="s">
        <v>4153</v>
      </c>
      <c r="H1111" s="4" t="s">
        <v>4156</v>
      </c>
      <c r="I1111" s="4" t="s">
        <v>824</v>
      </c>
    </row>
    <row r="1112" spans="1:9" x14ac:dyDescent="0.3">
      <c r="A1112">
        <v>1115</v>
      </c>
      <c r="B1112" s="4" t="s">
        <v>4162</v>
      </c>
      <c r="C1112" s="4" t="s">
        <v>4154</v>
      </c>
      <c r="D1112" s="4" t="s">
        <v>2999</v>
      </c>
      <c r="E1112" s="4" t="s">
        <v>4151</v>
      </c>
      <c r="F1112" s="4" t="s">
        <v>4148</v>
      </c>
      <c r="G1112" s="4" t="s">
        <v>4149</v>
      </c>
      <c r="H1112" s="4" t="s">
        <v>4156</v>
      </c>
      <c r="I1112" s="4" t="s">
        <v>824</v>
      </c>
    </row>
    <row r="1113" spans="1:9" x14ac:dyDescent="0.3">
      <c r="A1113">
        <v>1116</v>
      </c>
      <c r="B1113" s="4" t="s">
        <v>4162</v>
      </c>
      <c r="C1113" s="4" t="s">
        <v>4154</v>
      </c>
      <c r="D1113" s="4" t="s">
        <v>2999</v>
      </c>
      <c r="E1113" s="4" t="s">
        <v>4151</v>
      </c>
      <c r="F1113" s="4" t="s">
        <v>4148</v>
      </c>
      <c r="G1113" s="4" t="s">
        <v>4149</v>
      </c>
      <c r="H1113" s="4" t="s">
        <v>4156</v>
      </c>
      <c r="I1113" s="4" t="s">
        <v>824</v>
      </c>
    </row>
    <row r="1114" spans="1:9" x14ac:dyDescent="0.3">
      <c r="A1114">
        <v>1117</v>
      </c>
      <c r="B1114" s="4" t="s">
        <v>4162</v>
      </c>
      <c r="C1114" s="4" t="s">
        <v>4154</v>
      </c>
      <c r="D1114" s="4" t="s">
        <v>2999</v>
      </c>
      <c r="E1114" s="4" t="s">
        <v>4151</v>
      </c>
      <c r="F1114" s="4" t="s">
        <v>4148</v>
      </c>
      <c r="G1114" s="4" t="s">
        <v>4149</v>
      </c>
      <c r="H1114" s="4" t="s">
        <v>4156</v>
      </c>
      <c r="I1114" s="4" t="s">
        <v>824</v>
      </c>
    </row>
    <row r="1115" spans="1:9" x14ac:dyDescent="0.3">
      <c r="A1115">
        <v>1118</v>
      </c>
      <c r="B1115" s="4" t="s">
        <v>4162</v>
      </c>
      <c r="C1115" s="4" t="s">
        <v>4154</v>
      </c>
      <c r="D1115" s="4" t="s">
        <v>2999</v>
      </c>
      <c r="E1115" s="4" t="s">
        <v>4151</v>
      </c>
      <c r="F1115" s="4" t="s">
        <v>4148</v>
      </c>
      <c r="G1115" s="4" t="s">
        <v>4149</v>
      </c>
      <c r="H1115" s="4" t="s">
        <v>4156</v>
      </c>
      <c r="I1115" s="4" t="s">
        <v>824</v>
      </c>
    </row>
    <row r="1116" spans="1:9" x14ac:dyDescent="0.3">
      <c r="A1116">
        <v>1119</v>
      </c>
      <c r="B1116" s="4" t="s">
        <v>4162</v>
      </c>
      <c r="C1116" s="4" t="s">
        <v>4154</v>
      </c>
      <c r="D1116" s="4" t="s">
        <v>2999</v>
      </c>
      <c r="E1116" s="4" t="s">
        <v>4151</v>
      </c>
      <c r="F1116" s="4" t="s">
        <v>4148</v>
      </c>
      <c r="G1116" s="4" t="s">
        <v>4149</v>
      </c>
      <c r="H1116" s="4" t="s">
        <v>4156</v>
      </c>
      <c r="I1116" s="4" t="s">
        <v>824</v>
      </c>
    </row>
    <row r="1117" spans="1:9" x14ac:dyDescent="0.3">
      <c r="A1117">
        <v>1120</v>
      </c>
      <c r="B1117" s="4" t="s">
        <v>4162</v>
      </c>
      <c r="C1117" s="4" t="s">
        <v>4154</v>
      </c>
      <c r="D1117" s="4" t="s">
        <v>2999</v>
      </c>
      <c r="E1117" s="4" t="s">
        <v>4151</v>
      </c>
      <c r="F1117" s="4" t="s">
        <v>4148</v>
      </c>
      <c r="G1117" s="4" t="s">
        <v>4149</v>
      </c>
      <c r="H1117" s="4" t="s">
        <v>4156</v>
      </c>
      <c r="I1117" s="4" t="s">
        <v>824</v>
      </c>
    </row>
    <row r="1118" spans="1:9" x14ac:dyDescent="0.3">
      <c r="A1118">
        <v>1121</v>
      </c>
      <c r="B1118" s="4" t="s">
        <v>4162</v>
      </c>
      <c r="C1118" s="4" t="s">
        <v>4146</v>
      </c>
      <c r="D1118" s="4" t="s">
        <v>2999</v>
      </c>
      <c r="E1118" s="4" t="s">
        <v>4151</v>
      </c>
      <c r="F1118" s="4" t="s">
        <v>4148</v>
      </c>
      <c r="G1118" s="4" t="s">
        <v>4153</v>
      </c>
      <c r="H1118" s="4" t="s">
        <v>4156</v>
      </c>
      <c r="I1118" s="4" t="s">
        <v>824</v>
      </c>
    </row>
    <row r="1119" spans="1:9" x14ac:dyDescent="0.3">
      <c r="A1119">
        <v>1122</v>
      </c>
      <c r="B1119" s="4" t="s">
        <v>4162</v>
      </c>
      <c r="C1119" s="4" t="s">
        <v>4146</v>
      </c>
      <c r="D1119" s="4" t="s">
        <v>2996</v>
      </c>
      <c r="E1119" s="4" t="s">
        <v>4151</v>
      </c>
      <c r="F1119" s="4" t="s">
        <v>4148</v>
      </c>
      <c r="G1119" s="4" t="s">
        <v>4153</v>
      </c>
      <c r="H1119" s="4" t="s">
        <v>4156</v>
      </c>
      <c r="I1119" s="4" t="s">
        <v>4178</v>
      </c>
    </row>
    <row r="1120" spans="1:9" x14ac:dyDescent="0.3">
      <c r="A1120">
        <v>1123</v>
      </c>
      <c r="B1120" s="4" t="s">
        <v>4162</v>
      </c>
      <c r="C1120" s="4" t="s">
        <v>4146</v>
      </c>
      <c r="D1120" s="4" t="s">
        <v>2994</v>
      </c>
      <c r="E1120" s="4" t="s">
        <v>4147</v>
      </c>
      <c r="F1120" s="4" t="s">
        <v>4148</v>
      </c>
      <c r="G1120" s="4" t="s">
        <v>4153</v>
      </c>
      <c r="H1120" s="4" t="s">
        <v>4156</v>
      </c>
      <c r="I1120" s="4" t="s">
        <v>4178</v>
      </c>
    </row>
    <row r="1121" spans="1:9" x14ac:dyDescent="0.3">
      <c r="A1121">
        <v>1124</v>
      </c>
      <c r="B1121" s="4" t="s">
        <v>4162</v>
      </c>
      <c r="C1121" s="4" t="s">
        <v>4146</v>
      </c>
      <c r="D1121" s="4" t="s">
        <v>3001</v>
      </c>
      <c r="E1121" s="4" t="s">
        <v>4147</v>
      </c>
      <c r="F1121" s="4" t="s">
        <v>4148</v>
      </c>
      <c r="G1121" s="4" t="s">
        <v>4153</v>
      </c>
      <c r="H1121" s="4" t="s">
        <v>4156</v>
      </c>
      <c r="I1121" s="4" t="s">
        <v>4178</v>
      </c>
    </row>
    <row r="1122" spans="1:9" x14ac:dyDescent="0.3">
      <c r="A1122">
        <v>1125</v>
      </c>
      <c r="B1122" s="4" t="s">
        <v>4162</v>
      </c>
      <c r="C1122" s="4" t="s">
        <v>4154</v>
      </c>
      <c r="D1122" s="4" t="s">
        <v>2994</v>
      </c>
      <c r="E1122" s="4" t="s">
        <v>4147</v>
      </c>
      <c r="F1122" s="4" t="s">
        <v>4148</v>
      </c>
      <c r="G1122" s="4" t="s">
        <v>4149</v>
      </c>
      <c r="H1122" s="4" t="s">
        <v>4156</v>
      </c>
      <c r="I1122" s="4" t="s">
        <v>4160</v>
      </c>
    </row>
    <row r="1123" spans="1:9" x14ac:dyDescent="0.3">
      <c r="A1123">
        <v>1126</v>
      </c>
      <c r="B1123" s="4" t="s">
        <v>4162</v>
      </c>
      <c r="C1123" s="4" t="s">
        <v>4154</v>
      </c>
      <c r="D1123" s="4" t="s">
        <v>2999</v>
      </c>
      <c r="E1123" s="4" t="s">
        <v>4151</v>
      </c>
      <c r="F1123" s="4" t="s">
        <v>4148</v>
      </c>
      <c r="G1123" s="4" t="s">
        <v>4149</v>
      </c>
      <c r="H1123" s="4" t="s">
        <v>4156</v>
      </c>
      <c r="I1123" s="4" t="s">
        <v>824</v>
      </c>
    </row>
    <row r="1124" spans="1:9" x14ac:dyDescent="0.3">
      <c r="A1124">
        <v>1127</v>
      </c>
      <c r="B1124" s="4" t="s">
        <v>4162</v>
      </c>
      <c r="C1124" s="4" t="s">
        <v>4154</v>
      </c>
      <c r="D1124" s="4" t="s">
        <v>2994</v>
      </c>
      <c r="E1124" s="4" t="s">
        <v>4147</v>
      </c>
      <c r="F1124" s="4" t="s">
        <v>4148</v>
      </c>
      <c r="G1124" s="4" t="s">
        <v>4149</v>
      </c>
      <c r="H1124" s="4" t="s">
        <v>4156</v>
      </c>
      <c r="I1124" s="4" t="s">
        <v>824</v>
      </c>
    </row>
    <row r="1125" spans="1:9" x14ac:dyDescent="0.3">
      <c r="A1125">
        <v>1128</v>
      </c>
      <c r="B1125" s="4" t="s">
        <v>4162</v>
      </c>
      <c r="C1125" s="4" t="s">
        <v>4154</v>
      </c>
      <c r="D1125" s="4" t="s">
        <v>2999</v>
      </c>
      <c r="E1125" s="4" t="s">
        <v>4151</v>
      </c>
      <c r="F1125" s="4" t="s">
        <v>4148</v>
      </c>
      <c r="G1125" s="4" t="s">
        <v>4149</v>
      </c>
      <c r="H1125" s="4" t="s">
        <v>4156</v>
      </c>
      <c r="I1125" s="4" t="s">
        <v>824</v>
      </c>
    </row>
    <row r="1126" spans="1:9" x14ac:dyDescent="0.3">
      <c r="A1126">
        <v>1129</v>
      </c>
      <c r="B1126" s="4" t="s">
        <v>4162</v>
      </c>
      <c r="C1126" s="4" t="s">
        <v>4154</v>
      </c>
      <c r="D1126" s="4" t="s">
        <v>2999</v>
      </c>
      <c r="E1126" s="4" t="s">
        <v>4151</v>
      </c>
      <c r="F1126" s="4" t="s">
        <v>4148</v>
      </c>
      <c r="G1126" s="4" t="s">
        <v>4149</v>
      </c>
      <c r="H1126" s="4" t="s">
        <v>4156</v>
      </c>
      <c r="I1126" s="4" t="s">
        <v>824</v>
      </c>
    </row>
    <row r="1127" spans="1:9" x14ac:dyDescent="0.3">
      <c r="A1127">
        <v>1130</v>
      </c>
      <c r="B1127" s="4" t="s">
        <v>4162</v>
      </c>
      <c r="C1127" s="4" t="s">
        <v>4154</v>
      </c>
      <c r="D1127" s="4" t="s">
        <v>2999</v>
      </c>
      <c r="E1127" s="4" t="s">
        <v>4151</v>
      </c>
      <c r="F1127" s="4" t="s">
        <v>4148</v>
      </c>
      <c r="G1127" s="4" t="s">
        <v>4153</v>
      </c>
      <c r="H1127" s="4" t="s">
        <v>4156</v>
      </c>
      <c r="I1127" s="4" t="s">
        <v>824</v>
      </c>
    </row>
    <row r="1128" spans="1:9" x14ac:dyDescent="0.3">
      <c r="A1128">
        <v>1131</v>
      </c>
      <c r="B1128" s="4" t="s">
        <v>4162</v>
      </c>
      <c r="C1128" s="4" t="s">
        <v>4154</v>
      </c>
      <c r="D1128" s="4" t="s">
        <v>2994</v>
      </c>
      <c r="E1128" s="4" t="s">
        <v>4147</v>
      </c>
      <c r="F1128" s="4" t="s">
        <v>4159</v>
      </c>
      <c r="G1128" s="4" t="s">
        <v>4149</v>
      </c>
      <c r="H1128" s="4" t="s">
        <v>4156</v>
      </c>
      <c r="I1128" s="4" t="s">
        <v>824</v>
      </c>
    </row>
    <row r="1129" spans="1:9" x14ac:dyDescent="0.3">
      <c r="A1129">
        <v>1132</v>
      </c>
      <c r="B1129" s="4" t="s">
        <v>4162</v>
      </c>
      <c r="C1129" s="4" t="s">
        <v>4146</v>
      </c>
      <c r="D1129" s="4" t="s">
        <v>2999</v>
      </c>
      <c r="E1129" s="4" t="s">
        <v>4151</v>
      </c>
      <c r="F1129" s="4" t="s">
        <v>4155</v>
      </c>
      <c r="G1129" s="4" t="s">
        <v>4149</v>
      </c>
      <c r="H1129" s="4" t="s">
        <v>4156</v>
      </c>
      <c r="I1129" s="4" t="s">
        <v>824</v>
      </c>
    </row>
    <row r="1130" spans="1:9" x14ac:dyDescent="0.3">
      <c r="A1130">
        <v>1133</v>
      </c>
      <c r="B1130" s="4" t="s">
        <v>4162</v>
      </c>
      <c r="C1130" s="4" t="s">
        <v>4154</v>
      </c>
      <c r="D1130" s="4" t="s">
        <v>2999</v>
      </c>
      <c r="E1130" s="4" t="s">
        <v>4151</v>
      </c>
      <c r="F1130" s="4" t="s">
        <v>4148</v>
      </c>
      <c r="G1130" s="4" t="s">
        <v>4149</v>
      </c>
      <c r="H1130" s="4" t="s">
        <v>4156</v>
      </c>
      <c r="I1130" s="4" t="s">
        <v>824</v>
      </c>
    </row>
    <row r="1131" spans="1:9" x14ac:dyDescent="0.3">
      <c r="A1131">
        <v>1134</v>
      </c>
      <c r="B1131" s="4" t="s">
        <v>4162</v>
      </c>
      <c r="C1131" s="4" t="s">
        <v>4154</v>
      </c>
      <c r="D1131" s="4" t="s">
        <v>2999</v>
      </c>
      <c r="E1131" s="4" t="s">
        <v>4151</v>
      </c>
      <c r="F1131" s="4" t="s">
        <v>4159</v>
      </c>
      <c r="G1131" s="4" t="s">
        <v>4149</v>
      </c>
      <c r="H1131" s="4" t="s">
        <v>4156</v>
      </c>
      <c r="I1131" s="4" t="s">
        <v>824</v>
      </c>
    </row>
    <row r="1132" spans="1:9" x14ac:dyDescent="0.3">
      <c r="A1132">
        <v>1135</v>
      </c>
      <c r="B1132" s="4" t="s">
        <v>4162</v>
      </c>
      <c r="C1132" s="4" t="s">
        <v>4154</v>
      </c>
      <c r="D1132" s="4" t="s">
        <v>2999</v>
      </c>
      <c r="E1132" s="4" t="s">
        <v>4151</v>
      </c>
      <c r="F1132" s="4" t="s">
        <v>4148</v>
      </c>
      <c r="G1132" s="4" t="s">
        <v>4149</v>
      </c>
      <c r="H1132" s="4" t="s">
        <v>4156</v>
      </c>
      <c r="I1132" s="4" t="s">
        <v>824</v>
      </c>
    </row>
    <row r="1133" spans="1:9" x14ac:dyDescent="0.3">
      <c r="A1133">
        <v>1136</v>
      </c>
      <c r="B1133" s="4" t="s">
        <v>4162</v>
      </c>
      <c r="C1133" s="4" t="s">
        <v>4154</v>
      </c>
      <c r="D1133" s="4" t="s">
        <v>2999</v>
      </c>
      <c r="E1133" s="4" t="s">
        <v>4151</v>
      </c>
      <c r="F1133" s="4" t="s">
        <v>4148</v>
      </c>
      <c r="G1133" s="4" t="s">
        <v>4149</v>
      </c>
      <c r="H1133" s="4" t="s">
        <v>4156</v>
      </c>
      <c r="I1133" s="4" t="s">
        <v>824</v>
      </c>
    </row>
    <row r="1134" spans="1:9" x14ac:dyDescent="0.3">
      <c r="A1134">
        <v>1137</v>
      </c>
      <c r="B1134" s="4" t="s">
        <v>4162</v>
      </c>
      <c r="C1134" s="4" t="s">
        <v>4154</v>
      </c>
      <c r="D1134" s="4" t="s">
        <v>3001</v>
      </c>
      <c r="E1134" s="4" t="s">
        <v>4147</v>
      </c>
      <c r="F1134" s="4" t="s">
        <v>4148</v>
      </c>
      <c r="G1134" s="4" t="s">
        <v>4149</v>
      </c>
      <c r="H1134" s="4" t="s">
        <v>4156</v>
      </c>
      <c r="I1134" s="4" t="s">
        <v>824</v>
      </c>
    </row>
    <row r="1135" spans="1:9" x14ac:dyDescent="0.3">
      <c r="A1135">
        <v>1138</v>
      </c>
      <c r="B1135" s="4" t="s">
        <v>4162</v>
      </c>
      <c r="C1135" s="4" t="s">
        <v>4154</v>
      </c>
      <c r="D1135" s="4" t="s">
        <v>2999</v>
      </c>
      <c r="E1135" s="4" t="s">
        <v>4151</v>
      </c>
      <c r="F1135" s="4" t="s">
        <v>4148</v>
      </c>
      <c r="G1135" s="4" t="s">
        <v>4149</v>
      </c>
      <c r="H1135" s="4" t="s">
        <v>4156</v>
      </c>
      <c r="I1135" s="4" t="s">
        <v>4178</v>
      </c>
    </row>
    <row r="1136" spans="1:9" x14ac:dyDescent="0.3">
      <c r="A1136">
        <v>1139</v>
      </c>
      <c r="B1136" s="4" t="s">
        <v>4162</v>
      </c>
      <c r="C1136" s="4" t="s">
        <v>4154</v>
      </c>
      <c r="D1136" s="4" t="s">
        <v>2999</v>
      </c>
      <c r="E1136" s="4" t="s">
        <v>4151</v>
      </c>
      <c r="F1136" s="4" t="s">
        <v>4148</v>
      </c>
      <c r="G1136" s="4" t="s">
        <v>4149</v>
      </c>
      <c r="H1136" s="4" t="s">
        <v>4156</v>
      </c>
      <c r="I1136" s="4" t="s">
        <v>824</v>
      </c>
    </row>
    <row r="1137" spans="1:9" x14ac:dyDescent="0.3">
      <c r="A1137">
        <v>1140</v>
      </c>
      <c r="B1137" s="4" t="s">
        <v>4162</v>
      </c>
      <c r="C1137" s="4" t="s">
        <v>4154</v>
      </c>
      <c r="D1137" s="4" t="s">
        <v>2999</v>
      </c>
      <c r="E1137" s="4" t="s">
        <v>4151</v>
      </c>
      <c r="F1137" s="4" t="s">
        <v>4155</v>
      </c>
      <c r="G1137" s="4" t="s">
        <v>4149</v>
      </c>
      <c r="H1137" s="4" t="s">
        <v>4156</v>
      </c>
      <c r="I1137" s="4" t="s">
        <v>824</v>
      </c>
    </row>
    <row r="1138" spans="1:9" x14ac:dyDescent="0.3">
      <c r="A1138">
        <v>1141</v>
      </c>
      <c r="B1138" s="4" t="s">
        <v>4162</v>
      </c>
      <c r="C1138" s="4" t="s">
        <v>4154</v>
      </c>
      <c r="D1138" s="4" t="s">
        <v>2999</v>
      </c>
      <c r="E1138" s="4" t="s">
        <v>4151</v>
      </c>
      <c r="F1138" s="4" t="s">
        <v>4148</v>
      </c>
      <c r="G1138" s="4" t="s">
        <v>4149</v>
      </c>
      <c r="H1138" s="4" t="s">
        <v>4156</v>
      </c>
      <c r="I1138" s="4" t="s">
        <v>824</v>
      </c>
    </row>
    <row r="1139" spans="1:9" x14ac:dyDescent="0.3">
      <c r="A1139">
        <v>1142</v>
      </c>
      <c r="B1139" s="4" t="s">
        <v>4162</v>
      </c>
      <c r="C1139" s="4" t="s">
        <v>4154</v>
      </c>
      <c r="D1139" s="4" t="s">
        <v>2996</v>
      </c>
      <c r="E1139" s="4" t="s">
        <v>4151</v>
      </c>
      <c r="F1139" s="4" t="s">
        <v>4152</v>
      </c>
      <c r="G1139" s="4" t="s">
        <v>4153</v>
      </c>
      <c r="H1139" s="4" t="s">
        <v>4156</v>
      </c>
      <c r="I1139" s="4" t="s">
        <v>4160</v>
      </c>
    </row>
    <row r="1140" spans="1:9" x14ac:dyDescent="0.3">
      <c r="A1140">
        <v>1143</v>
      </c>
      <c r="B1140" s="4" t="s">
        <v>4162</v>
      </c>
      <c r="C1140" s="4" t="s">
        <v>4154</v>
      </c>
      <c r="D1140" s="4" t="s">
        <v>2996</v>
      </c>
      <c r="E1140" s="4" t="s">
        <v>4151</v>
      </c>
      <c r="F1140" s="4" t="s">
        <v>4152</v>
      </c>
      <c r="G1140" s="4" t="s">
        <v>4153</v>
      </c>
      <c r="H1140" s="4" t="s">
        <v>4156</v>
      </c>
      <c r="I1140" s="4" t="s">
        <v>4160</v>
      </c>
    </row>
    <row r="1141" spans="1:9" x14ac:dyDescent="0.3">
      <c r="A1141">
        <v>1144</v>
      </c>
      <c r="B1141" s="4" t="s">
        <v>4162</v>
      </c>
      <c r="C1141" s="4" t="s">
        <v>4154</v>
      </c>
      <c r="D1141" s="4" t="s">
        <v>2996</v>
      </c>
      <c r="E1141" s="4" t="s">
        <v>4151</v>
      </c>
      <c r="F1141" s="4" t="s">
        <v>4152</v>
      </c>
      <c r="G1141" s="4" t="s">
        <v>4153</v>
      </c>
      <c r="H1141" s="4" t="s">
        <v>4156</v>
      </c>
      <c r="I1141" s="4" t="s">
        <v>4160</v>
      </c>
    </row>
    <row r="1142" spans="1:9" x14ac:dyDescent="0.3">
      <c r="A1142">
        <v>1145</v>
      </c>
      <c r="B1142" s="4" t="s">
        <v>4162</v>
      </c>
      <c r="C1142" s="4" t="s">
        <v>4154</v>
      </c>
      <c r="D1142" s="4" t="s">
        <v>2996</v>
      </c>
      <c r="E1142" s="4" t="s">
        <v>4151</v>
      </c>
      <c r="F1142" s="4" t="s">
        <v>4152</v>
      </c>
      <c r="G1142" s="4" t="s">
        <v>4153</v>
      </c>
      <c r="H1142" s="4" t="s">
        <v>4156</v>
      </c>
      <c r="I1142" s="4" t="s">
        <v>4160</v>
      </c>
    </row>
    <row r="1143" spans="1:9" x14ac:dyDescent="0.3">
      <c r="A1143">
        <v>1146</v>
      </c>
      <c r="B1143" s="4" t="s">
        <v>4162</v>
      </c>
      <c r="C1143" s="4" t="s">
        <v>4154</v>
      </c>
      <c r="D1143" s="4" t="s">
        <v>2996</v>
      </c>
      <c r="E1143" s="4" t="s">
        <v>4151</v>
      </c>
      <c r="F1143" s="4" t="s">
        <v>4152</v>
      </c>
      <c r="G1143" s="4" t="s">
        <v>4153</v>
      </c>
      <c r="H1143" s="4" t="s">
        <v>4156</v>
      </c>
      <c r="I1143" s="4" t="s">
        <v>4160</v>
      </c>
    </row>
    <row r="1144" spans="1:9" x14ac:dyDescent="0.3">
      <c r="A1144">
        <v>1147</v>
      </c>
      <c r="B1144" s="4" t="s">
        <v>4162</v>
      </c>
      <c r="C1144" s="4" t="s">
        <v>4154</v>
      </c>
      <c r="D1144" s="4" t="s">
        <v>3001</v>
      </c>
      <c r="E1144" s="4" t="s">
        <v>4147</v>
      </c>
      <c r="F1144" s="4" t="s">
        <v>4155</v>
      </c>
      <c r="G1144" s="4" t="s">
        <v>4153</v>
      </c>
      <c r="H1144" s="4" t="s">
        <v>4156</v>
      </c>
      <c r="I1144" s="4" t="s">
        <v>4160</v>
      </c>
    </row>
    <row r="1145" spans="1:9" x14ac:dyDescent="0.3">
      <c r="A1145">
        <v>1148</v>
      </c>
      <c r="B1145" s="4" t="s">
        <v>4162</v>
      </c>
      <c r="C1145" s="4" t="s">
        <v>4154</v>
      </c>
      <c r="D1145" s="4" t="s">
        <v>2994</v>
      </c>
      <c r="E1145" s="4" t="s">
        <v>4147</v>
      </c>
      <c r="F1145" s="4" t="s">
        <v>4148</v>
      </c>
      <c r="G1145" s="4" t="s">
        <v>4149</v>
      </c>
      <c r="H1145" s="4" t="s">
        <v>4156</v>
      </c>
      <c r="I1145" s="4" t="s">
        <v>824</v>
      </c>
    </row>
    <row r="1146" spans="1:9" x14ac:dyDescent="0.3">
      <c r="A1146">
        <v>1149</v>
      </c>
      <c r="B1146" s="4" t="s">
        <v>4162</v>
      </c>
      <c r="C1146" s="4" t="s">
        <v>4154</v>
      </c>
      <c r="D1146" s="4" t="s">
        <v>2999</v>
      </c>
      <c r="E1146" s="4" t="s">
        <v>4151</v>
      </c>
      <c r="F1146" s="4" t="s">
        <v>4155</v>
      </c>
      <c r="G1146" s="4" t="s">
        <v>4149</v>
      </c>
      <c r="H1146" s="4" t="s">
        <v>4156</v>
      </c>
      <c r="I1146" s="4" t="s">
        <v>824</v>
      </c>
    </row>
    <row r="1147" spans="1:9" x14ac:dyDescent="0.3">
      <c r="A1147">
        <v>1150</v>
      </c>
      <c r="B1147" s="4" t="s">
        <v>4162</v>
      </c>
      <c r="C1147" s="4" t="s">
        <v>4146</v>
      </c>
      <c r="D1147" s="4" t="s">
        <v>2994</v>
      </c>
      <c r="E1147" s="4" t="s">
        <v>4147</v>
      </c>
      <c r="F1147" s="4" t="s">
        <v>4148</v>
      </c>
      <c r="G1147" s="4" t="s">
        <v>4149</v>
      </c>
      <c r="H1147" s="4" t="s">
        <v>4156</v>
      </c>
      <c r="I1147" s="4" t="s">
        <v>4160</v>
      </c>
    </row>
    <row r="1148" spans="1:9" x14ac:dyDescent="0.3">
      <c r="A1148">
        <v>1151</v>
      </c>
      <c r="B1148" s="4" t="s">
        <v>4162</v>
      </c>
      <c r="C1148" s="4" t="s">
        <v>4154</v>
      </c>
      <c r="D1148" s="4" t="s">
        <v>2999</v>
      </c>
      <c r="E1148" s="4" t="s">
        <v>4151</v>
      </c>
      <c r="F1148" s="4" t="s">
        <v>4148</v>
      </c>
      <c r="G1148" s="4" t="s">
        <v>4149</v>
      </c>
      <c r="H1148" s="4" t="s">
        <v>4156</v>
      </c>
      <c r="I1148" s="4" t="s">
        <v>824</v>
      </c>
    </row>
    <row r="1149" spans="1:9" x14ac:dyDescent="0.3">
      <c r="A1149">
        <v>1152</v>
      </c>
      <c r="B1149" s="4" t="s">
        <v>4162</v>
      </c>
      <c r="C1149" s="4" t="s">
        <v>4154</v>
      </c>
      <c r="D1149" s="4" t="s">
        <v>3001</v>
      </c>
      <c r="E1149" s="4" t="s">
        <v>4147</v>
      </c>
      <c r="F1149" s="4" t="s">
        <v>4148</v>
      </c>
      <c r="G1149" s="4" t="s">
        <v>4149</v>
      </c>
      <c r="H1149" s="4" t="s">
        <v>4156</v>
      </c>
      <c r="I1149" s="4" t="s">
        <v>824</v>
      </c>
    </row>
    <row r="1150" spans="1:9" x14ac:dyDescent="0.3">
      <c r="A1150">
        <v>1153</v>
      </c>
      <c r="B1150" s="4" t="s">
        <v>4162</v>
      </c>
      <c r="C1150" s="4" t="s">
        <v>4154</v>
      </c>
      <c r="D1150" s="4" t="s">
        <v>2999</v>
      </c>
      <c r="E1150" s="4" t="s">
        <v>4151</v>
      </c>
      <c r="F1150" s="4" t="s">
        <v>4155</v>
      </c>
      <c r="G1150" s="4" t="s">
        <v>4153</v>
      </c>
      <c r="H1150" s="4" t="s">
        <v>4156</v>
      </c>
      <c r="I1150" s="4" t="s">
        <v>824</v>
      </c>
    </row>
    <row r="1151" spans="1:9" x14ac:dyDescent="0.3">
      <c r="A1151">
        <v>1154</v>
      </c>
      <c r="B1151" s="4" t="s">
        <v>4162</v>
      </c>
      <c r="C1151" s="4" t="s">
        <v>4154</v>
      </c>
      <c r="D1151" s="4" t="s">
        <v>3001</v>
      </c>
      <c r="E1151" s="4" t="s">
        <v>4147</v>
      </c>
      <c r="F1151" s="4" t="s">
        <v>4155</v>
      </c>
      <c r="G1151" s="4" t="s">
        <v>4153</v>
      </c>
      <c r="H1151" s="4" t="s">
        <v>4156</v>
      </c>
      <c r="I1151" s="4" t="s">
        <v>824</v>
      </c>
    </row>
    <row r="1152" spans="1:9" x14ac:dyDescent="0.3">
      <c r="A1152">
        <v>1155</v>
      </c>
      <c r="B1152" s="4" t="s">
        <v>4162</v>
      </c>
      <c r="C1152" s="4" t="s">
        <v>4154</v>
      </c>
      <c r="D1152" s="4" t="s">
        <v>2999</v>
      </c>
      <c r="E1152" s="4" t="s">
        <v>4151</v>
      </c>
      <c r="F1152" s="4" t="s">
        <v>4148</v>
      </c>
      <c r="G1152" s="4" t="s">
        <v>4149</v>
      </c>
      <c r="H1152" s="4" t="s">
        <v>4156</v>
      </c>
      <c r="I1152" s="4" t="s">
        <v>824</v>
      </c>
    </row>
    <row r="1153" spans="1:9" x14ac:dyDescent="0.3">
      <c r="A1153">
        <v>1156</v>
      </c>
      <c r="B1153" s="4" t="s">
        <v>4162</v>
      </c>
      <c r="C1153" s="4" t="s">
        <v>4154</v>
      </c>
      <c r="D1153" s="4" t="s">
        <v>2999</v>
      </c>
      <c r="E1153" s="4" t="s">
        <v>4151</v>
      </c>
      <c r="F1153" s="4" t="s">
        <v>4148</v>
      </c>
      <c r="G1153" s="4" t="s">
        <v>4149</v>
      </c>
      <c r="H1153" s="4" t="s">
        <v>4156</v>
      </c>
      <c r="I1153" s="4" t="s">
        <v>824</v>
      </c>
    </row>
    <row r="1154" spans="1:9" x14ac:dyDescent="0.3">
      <c r="A1154">
        <v>1157</v>
      </c>
      <c r="B1154" s="4" t="s">
        <v>4162</v>
      </c>
      <c r="C1154" s="4" t="s">
        <v>4154</v>
      </c>
      <c r="D1154" s="4" t="s">
        <v>2994</v>
      </c>
      <c r="E1154" s="4" t="s">
        <v>4147</v>
      </c>
      <c r="F1154" s="4" t="s">
        <v>4152</v>
      </c>
      <c r="G1154" s="4" t="s">
        <v>4153</v>
      </c>
      <c r="H1154" s="4" t="s">
        <v>4156</v>
      </c>
      <c r="I1154" s="4" t="s">
        <v>824</v>
      </c>
    </row>
    <row r="1155" spans="1:9" x14ac:dyDescent="0.3">
      <c r="A1155">
        <v>1158</v>
      </c>
      <c r="B1155" s="4" t="s">
        <v>4162</v>
      </c>
      <c r="C1155" s="4" t="s">
        <v>4154</v>
      </c>
      <c r="D1155" s="4" t="s">
        <v>2999</v>
      </c>
      <c r="E1155" s="4" t="s">
        <v>4151</v>
      </c>
      <c r="F1155" s="4" t="s">
        <v>4159</v>
      </c>
      <c r="G1155" s="4" t="s">
        <v>4153</v>
      </c>
      <c r="H1155" s="4" t="s">
        <v>4156</v>
      </c>
      <c r="I1155" s="4" t="s">
        <v>824</v>
      </c>
    </row>
    <row r="1156" spans="1:9" x14ac:dyDescent="0.3">
      <c r="A1156">
        <v>1159</v>
      </c>
      <c r="B1156" s="4" t="s">
        <v>4162</v>
      </c>
      <c r="C1156" s="4" t="s">
        <v>4154</v>
      </c>
      <c r="D1156" s="4" t="s">
        <v>3001</v>
      </c>
      <c r="E1156" s="4" t="s">
        <v>4147</v>
      </c>
      <c r="F1156" s="4" t="s">
        <v>4155</v>
      </c>
      <c r="G1156" s="4" t="s">
        <v>4153</v>
      </c>
      <c r="H1156" s="4" t="s">
        <v>4156</v>
      </c>
      <c r="I1156" s="4" t="s">
        <v>824</v>
      </c>
    </row>
    <row r="1157" spans="1:9" x14ac:dyDescent="0.3">
      <c r="A1157">
        <v>1160</v>
      </c>
      <c r="B1157" s="4" t="s">
        <v>4162</v>
      </c>
      <c r="C1157" s="4" t="s">
        <v>4146</v>
      </c>
      <c r="D1157" s="4" t="s">
        <v>2994</v>
      </c>
      <c r="E1157" s="4" t="s">
        <v>4147</v>
      </c>
      <c r="F1157" s="4" t="s">
        <v>4148</v>
      </c>
      <c r="G1157" s="4" t="s">
        <v>4149</v>
      </c>
      <c r="H1157" s="4" t="s">
        <v>4156</v>
      </c>
      <c r="I1157" s="4" t="s">
        <v>824</v>
      </c>
    </row>
    <row r="1158" spans="1:9" x14ac:dyDescent="0.3">
      <c r="A1158">
        <v>1161</v>
      </c>
      <c r="B1158" s="4" t="s">
        <v>4162</v>
      </c>
      <c r="C1158" s="4" t="s">
        <v>4154</v>
      </c>
      <c r="D1158" s="4" t="s">
        <v>2999</v>
      </c>
      <c r="E1158" s="4" t="s">
        <v>4151</v>
      </c>
      <c r="F1158" s="4" t="s">
        <v>4155</v>
      </c>
      <c r="G1158" s="4" t="s">
        <v>4149</v>
      </c>
      <c r="H1158" s="4" t="s">
        <v>4156</v>
      </c>
      <c r="I1158" s="4" t="s">
        <v>824</v>
      </c>
    </row>
    <row r="1159" spans="1:9" x14ac:dyDescent="0.3">
      <c r="A1159">
        <v>1162</v>
      </c>
      <c r="B1159" s="4" t="s">
        <v>4162</v>
      </c>
      <c r="C1159" s="4" t="s">
        <v>4154</v>
      </c>
      <c r="D1159" s="4" t="s">
        <v>2999</v>
      </c>
      <c r="E1159" s="4" t="s">
        <v>4151</v>
      </c>
      <c r="F1159" s="4" t="s">
        <v>4159</v>
      </c>
      <c r="G1159" s="4" t="s">
        <v>4149</v>
      </c>
      <c r="H1159" s="4" t="s">
        <v>4156</v>
      </c>
      <c r="I1159" s="4" t="s">
        <v>824</v>
      </c>
    </row>
    <row r="1160" spans="1:9" x14ac:dyDescent="0.3">
      <c r="A1160">
        <v>1163</v>
      </c>
      <c r="B1160" s="4" t="s">
        <v>4162</v>
      </c>
      <c r="C1160" s="4" t="s">
        <v>4146</v>
      </c>
      <c r="D1160" s="4" t="s">
        <v>2999</v>
      </c>
      <c r="E1160" s="4" t="s">
        <v>4151</v>
      </c>
      <c r="F1160" s="4" t="s">
        <v>4148</v>
      </c>
      <c r="G1160" s="4" t="s">
        <v>4149</v>
      </c>
      <c r="H1160" s="4" t="s">
        <v>4156</v>
      </c>
      <c r="I1160" s="4" t="s">
        <v>4160</v>
      </c>
    </row>
    <row r="1161" spans="1:9" x14ac:dyDescent="0.3">
      <c r="A1161">
        <v>1164</v>
      </c>
      <c r="B1161" s="4" t="s">
        <v>4162</v>
      </c>
      <c r="C1161" s="4" t="s">
        <v>4154</v>
      </c>
      <c r="D1161" s="4" t="s">
        <v>2999</v>
      </c>
      <c r="E1161" s="4" t="s">
        <v>4151</v>
      </c>
      <c r="F1161" s="4" t="s">
        <v>4148</v>
      </c>
      <c r="G1161" s="4" t="s">
        <v>4149</v>
      </c>
      <c r="H1161" s="4" t="s">
        <v>4156</v>
      </c>
      <c r="I1161" s="4" t="s">
        <v>4160</v>
      </c>
    </row>
    <row r="1162" spans="1:9" x14ac:dyDescent="0.3">
      <c r="A1162">
        <v>1165</v>
      </c>
      <c r="B1162" s="4" t="s">
        <v>4162</v>
      </c>
      <c r="C1162" s="4" t="s">
        <v>4154</v>
      </c>
      <c r="D1162" s="4" t="s">
        <v>2999</v>
      </c>
      <c r="E1162" s="4" t="s">
        <v>4151</v>
      </c>
      <c r="F1162" s="4" t="s">
        <v>4148</v>
      </c>
      <c r="G1162" s="4" t="s">
        <v>4149</v>
      </c>
      <c r="H1162" s="4" t="s">
        <v>4156</v>
      </c>
      <c r="I1162" s="4" t="s">
        <v>4178</v>
      </c>
    </row>
    <row r="1163" spans="1:9" x14ac:dyDescent="0.3">
      <c r="A1163">
        <v>1166</v>
      </c>
      <c r="B1163" s="4" t="s">
        <v>4162</v>
      </c>
      <c r="C1163" s="4" t="s">
        <v>4154</v>
      </c>
      <c r="D1163" s="4" t="s">
        <v>2999</v>
      </c>
      <c r="E1163" s="4" t="s">
        <v>4151</v>
      </c>
      <c r="F1163" s="4" t="s">
        <v>4148</v>
      </c>
      <c r="G1163" s="4" t="s">
        <v>4149</v>
      </c>
      <c r="H1163" s="4" t="s">
        <v>4156</v>
      </c>
      <c r="I1163" s="4" t="s">
        <v>4178</v>
      </c>
    </row>
    <row r="1164" spans="1:9" x14ac:dyDescent="0.3">
      <c r="A1164">
        <v>1167</v>
      </c>
      <c r="B1164" s="4" t="s">
        <v>4162</v>
      </c>
      <c r="C1164" s="4" t="s">
        <v>4154</v>
      </c>
      <c r="D1164" s="4" t="s">
        <v>2999</v>
      </c>
      <c r="E1164" s="4" t="s">
        <v>4151</v>
      </c>
      <c r="F1164" s="4" t="s">
        <v>4148</v>
      </c>
      <c r="G1164" s="4" t="s">
        <v>4149</v>
      </c>
      <c r="H1164" s="4" t="s">
        <v>4156</v>
      </c>
      <c r="I1164" s="4" t="s">
        <v>4178</v>
      </c>
    </row>
    <row r="1165" spans="1:9" x14ac:dyDescent="0.3">
      <c r="A1165">
        <v>1168</v>
      </c>
      <c r="B1165" s="4" t="s">
        <v>4162</v>
      </c>
      <c r="C1165" s="4" t="s">
        <v>4154</v>
      </c>
      <c r="D1165" s="4" t="s">
        <v>2999</v>
      </c>
      <c r="E1165" s="4" t="s">
        <v>4151</v>
      </c>
      <c r="F1165" s="4" t="s">
        <v>4148</v>
      </c>
      <c r="G1165" s="4" t="s">
        <v>4149</v>
      </c>
      <c r="H1165" s="4" t="s">
        <v>4156</v>
      </c>
      <c r="I1165" s="4" t="s">
        <v>4160</v>
      </c>
    </row>
    <row r="1166" spans="1:9" x14ac:dyDescent="0.3">
      <c r="A1166">
        <v>1169</v>
      </c>
      <c r="B1166" s="4" t="s">
        <v>4162</v>
      </c>
      <c r="C1166" s="4" t="s">
        <v>4154</v>
      </c>
      <c r="D1166" s="4" t="s">
        <v>2999</v>
      </c>
      <c r="E1166" s="4" t="s">
        <v>4151</v>
      </c>
      <c r="F1166" s="4" t="s">
        <v>4148</v>
      </c>
      <c r="G1166" s="4" t="s">
        <v>4149</v>
      </c>
      <c r="H1166" s="4" t="s">
        <v>4156</v>
      </c>
      <c r="I1166" s="4" t="s">
        <v>824</v>
      </c>
    </row>
    <row r="1167" spans="1:9" x14ac:dyDescent="0.3">
      <c r="A1167">
        <v>1170</v>
      </c>
      <c r="B1167" s="4" t="s">
        <v>4162</v>
      </c>
      <c r="C1167" s="4" t="s">
        <v>4154</v>
      </c>
      <c r="D1167" s="4" t="s">
        <v>2999</v>
      </c>
      <c r="E1167" s="4" t="s">
        <v>4151</v>
      </c>
      <c r="F1167" s="4" t="s">
        <v>4155</v>
      </c>
      <c r="G1167" s="4" t="s">
        <v>4149</v>
      </c>
      <c r="H1167" s="4" t="s">
        <v>4156</v>
      </c>
      <c r="I1167" s="4" t="s">
        <v>824</v>
      </c>
    </row>
    <row r="1168" spans="1:9" x14ac:dyDescent="0.3">
      <c r="A1168">
        <v>1171</v>
      </c>
      <c r="B1168" s="4" t="s">
        <v>4162</v>
      </c>
      <c r="C1168" s="4" t="s">
        <v>4154</v>
      </c>
      <c r="D1168" s="4" t="s">
        <v>2996</v>
      </c>
      <c r="E1168" s="4" t="s">
        <v>4151</v>
      </c>
      <c r="F1168" s="4" t="s">
        <v>4148</v>
      </c>
      <c r="G1168" s="4" t="s">
        <v>4153</v>
      </c>
      <c r="H1168" s="4" t="s">
        <v>4158</v>
      </c>
      <c r="I1168" s="4" t="s">
        <v>824</v>
      </c>
    </row>
    <row r="1169" spans="1:9" x14ac:dyDescent="0.3">
      <c r="A1169">
        <v>1172</v>
      </c>
      <c r="B1169" s="4" t="s">
        <v>4162</v>
      </c>
      <c r="C1169" s="4" t="s">
        <v>4154</v>
      </c>
      <c r="D1169" s="4" t="s">
        <v>2996</v>
      </c>
      <c r="E1169" s="4" t="s">
        <v>4151</v>
      </c>
      <c r="F1169" s="4" t="s">
        <v>4159</v>
      </c>
      <c r="G1169" s="4" t="s">
        <v>4153</v>
      </c>
      <c r="H1169" s="4" t="s">
        <v>4158</v>
      </c>
      <c r="I1169" s="4" t="s">
        <v>824</v>
      </c>
    </row>
    <row r="1170" spans="1:9" x14ac:dyDescent="0.3">
      <c r="A1170">
        <v>1173</v>
      </c>
      <c r="B1170" s="4" t="s">
        <v>4162</v>
      </c>
      <c r="C1170" s="4" t="s">
        <v>4154</v>
      </c>
      <c r="D1170" s="4" t="s">
        <v>2994</v>
      </c>
      <c r="E1170" s="4" t="s">
        <v>4147</v>
      </c>
      <c r="F1170" s="4" t="s">
        <v>4148</v>
      </c>
      <c r="G1170" s="4" t="s">
        <v>4153</v>
      </c>
      <c r="H1170" s="4" t="s">
        <v>4158</v>
      </c>
      <c r="I1170" s="4" t="s">
        <v>824</v>
      </c>
    </row>
    <row r="1171" spans="1:9" x14ac:dyDescent="0.3">
      <c r="A1171">
        <v>1174</v>
      </c>
      <c r="B1171" s="4" t="s">
        <v>4162</v>
      </c>
      <c r="C1171" s="4" t="s">
        <v>4154</v>
      </c>
      <c r="D1171" s="4" t="s">
        <v>2994</v>
      </c>
      <c r="E1171" s="4" t="s">
        <v>4147</v>
      </c>
      <c r="F1171" s="4" t="s">
        <v>4148</v>
      </c>
      <c r="G1171" s="4" t="s">
        <v>4153</v>
      </c>
      <c r="H1171" s="4" t="s">
        <v>4158</v>
      </c>
      <c r="I1171" s="4" t="s">
        <v>824</v>
      </c>
    </row>
    <row r="1172" spans="1:9" x14ac:dyDescent="0.3">
      <c r="A1172">
        <v>1175</v>
      </c>
      <c r="B1172" s="4" t="s">
        <v>4162</v>
      </c>
      <c r="C1172" s="4" t="s">
        <v>4154</v>
      </c>
      <c r="D1172" s="4" t="s">
        <v>2994</v>
      </c>
      <c r="E1172" s="4" t="s">
        <v>4147</v>
      </c>
      <c r="F1172" s="4" t="s">
        <v>4148</v>
      </c>
      <c r="G1172" s="4" t="s">
        <v>4153</v>
      </c>
      <c r="H1172" s="4" t="s">
        <v>4158</v>
      </c>
      <c r="I1172" s="4" t="s">
        <v>824</v>
      </c>
    </row>
    <row r="1173" spans="1:9" x14ac:dyDescent="0.3">
      <c r="A1173">
        <v>1176</v>
      </c>
      <c r="B1173" s="4" t="s">
        <v>4162</v>
      </c>
      <c r="C1173" s="4" t="s">
        <v>4154</v>
      </c>
      <c r="D1173" s="4" t="s">
        <v>2994</v>
      </c>
      <c r="E1173" s="4" t="s">
        <v>4147</v>
      </c>
      <c r="F1173" s="4" t="s">
        <v>4148</v>
      </c>
      <c r="G1173" s="4" t="s">
        <v>4153</v>
      </c>
      <c r="H1173" s="4" t="s">
        <v>4158</v>
      </c>
      <c r="I1173" s="4" t="s">
        <v>824</v>
      </c>
    </row>
    <row r="1174" spans="1:9" x14ac:dyDescent="0.3">
      <c r="A1174">
        <v>1177</v>
      </c>
      <c r="B1174" s="4" t="s">
        <v>4162</v>
      </c>
      <c r="C1174" s="4" t="s">
        <v>4154</v>
      </c>
      <c r="D1174" s="4" t="s">
        <v>2999</v>
      </c>
      <c r="E1174" s="4" t="s">
        <v>4151</v>
      </c>
      <c r="F1174" s="4" t="s">
        <v>4148</v>
      </c>
      <c r="G1174" s="4" t="s">
        <v>4153</v>
      </c>
      <c r="H1174" s="4" t="s">
        <v>4158</v>
      </c>
      <c r="I1174" s="4" t="s">
        <v>824</v>
      </c>
    </row>
    <row r="1175" spans="1:9" x14ac:dyDescent="0.3">
      <c r="A1175">
        <v>1178</v>
      </c>
      <c r="B1175" s="4" t="s">
        <v>4162</v>
      </c>
      <c r="C1175" s="4" t="s">
        <v>4154</v>
      </c>
      <c r="D1175" s="4" t="s">
        <v>2999</v>
      </c>
      <c r="E1175" s="4" t="s">
        <v>4151</v>
      </c>
      <c r="F1175" s="4" t="s">
        <v>4148</v>
      </c>
      <c r="G1175" s="4" t="s">
        <v>4153</v>
      </c>
      <c r="H1175" s="4" t="s">
        <v>4158</v>
      </c>
      <c r="I1175" s="4" t="s">
        <v>824</v>
      </c>
    </row>
    <row r="1176" spans="1:9" x14ac:dyDescent="0.3">
      <c r="A1176">
        <v>1179</v>
      </c>
      <c r="B1176" s="4" t="s">
        <v>4162</v>
      </c>
      <c r="C1176" s="4" t="s">
        <v>4154</v>
      </c>
      <c r="D1176" s="4" t="s">
        <v>2999</v>
      </c>
      <c r="E1176" s="4" t="s">
        <v>4151</v>
      </c>
      <c r="F1176" s="4" t="s">
        <v>4148</v>
      </c>
      <c r="G1176" s="4" t="s">
        <v>4153</v>
      </c>
      <c r="H1176" s="4" t="s">
        <v>4158</v>
      </c>
      <c r="I1176" s="4" t="s">
        <v>824</v>
      </c>
    </row>
    <row r="1177" spans="1:9" x14ac:dyDescent="0.3">
      <c r="A1177">
        <v>1180</v>
      </c>
      <c r="B1177" s="4" t="s">
        <v>4162</v>
      </c>
      <c r="C1177" s="4" t="s">
        <v>4154</v>
      </c>
      <c r="D1177" s="4" t="s">
        <v>2999</v>
      </c>
      <c r="E1177" s="4" t="s">
        <v>4151</v>
      </c>
      <c r="F1177" s="4" t="s">
        <v>4148</v>
      </c>
      <c r="G1177" s="4" t="s">
        <v>4153</v>
      </c>
      <c r="H1177" s="4" t="s">
        <v>4158</v>
      </c>
      <c r="I1177" s="4" t="s">
        <v>824</v>
      </c>
    </row>
    <row r="1178" spans="1:9" x14ac:dyDescent="0.3">
      <c r="A1178">
        <v>1181</v>
      </c>
      <c r="B1178" s="4" t="s">
        <v>4162</v>
      </c>
      <c r="C1178" s="4" t="s">
        <v>4154</v>
      </c>
      <c r="D1178" s="4" t="s">
        <v>3001</v>
      </c>
      <c r="E1178" s="4" t="s">
        <v>4147</v>
      </c>
      <c r="F1178" s="4" t="s">
        <v>4148</v>
      </c>
      <c r="G1178" s="4" t="s">
        <v>4153</v>
      </c>
      <c r="H1178" s="4" t="s">
        <v>4158</v>
      </c>
      <c r="I1178" s="4" t="s">
        <v>824</v>
      </c>
    </row>
    <row r="1179" spans="1:9" x14ac:dyDescent="0.3">
      <c r="A1179">
        <v>1182</v>
      </c>
      <c r="B1179" s="4" t="s">
        <v>4162</v>
      </c>
      <c r="C1179" s="4" t="s">
        <v>4154</v>
      </c>
      <c r="D1179" s="4" t="s">
        <v>2999</v>
      </c>
      <c r="E1179" s="4" t="s">
        <v>4151</v>
      </c>
      <c r="F1179" s="4" t="s">
        <v>4148</v>
      </c>
      <c r="G1179" s="4" t="s">
        <v>4149</v>
      </c>
      <c r="H1179" s="4" t="s">
        <v>4156</v>
      </c>
      <c r="I1179" s="4" t="s">
        <v>824</v>
      </c>
    </row>
    <row r="1180" spans="1:9" x14ac:dyDescent="0.3">
      <c r="A1180">
        <v>1183</v>
      </c>
      <c r="B1180" s="4" t="s">
        <v>4162</v>
      </c>
      <c r="C1180" s="4" t="s">
        <v>4146</v>
      </c>
      <c r="D1180" s="4" t="s">
        <v>2994</v>
      </c>
      <c r="E1180" s="4" t="s">
        <v>4147</v>
      </c>
      <c r="F1180" s="4" t="s">
        <v>4148</v>
      </c>
      <c r="G1180" s="4" t="s">
        <v>4149</v>
      </c>
      <c r="H1180" s="4" t="s">
        <v>4156</v>
      </c>
      <c r="I1180" s="4" t="s">
        <v>824</v>
      </c>
    </row>
    <row r="1181" spans="1:9" x14ac:dyDescent="0.3">
      <c r="A1181">
        <v>1184</v>
      </c>
      <c r="B1181" s="4" t="s">
        <v>4162</v>
      </c>
      <c r="C1181" s="4" t="s">
        <v>4154</v>
      </c>
      <c r="D1181" s="4" t="s">
        <v>2999</v>
      </c>
      <c r="E1181" s="4" t="s">
        <v>4151</v>
      </c>
      <c r="F1181" s="4" t="s">
        <v>4155</v>
      </c>
      <c r="G1181" s="4" t="s">
        <v>4149</v>
      </c>
      <c r="H1181" s="4" t="s">
        <v>4156</v>
      </c>
      <c r="I1181" s="4" t="s">
        <v>824</v>
      </c>
    </row>
    <row r="1182" spans="1:9" x14ac:dyDescent="0.3">
      <c r="A1182">
        <v>1185</v>
      </c>
      <c r="B1182" s="4" t="s">
        <v>4162</v>
      </c>
      <c r="C1182" s="4" t="s">
        <v>4154</v>
      </c>
      <c r="D1182" s="4" t="s">
        <v>2999</v>
      </c>
      <c r="E1182" s="4" t="s">
        <v>4151</v>
      </c>
      <c r="F1182" s="4" t="s">
        <v>4148</v>
      </c>
      <c r="G1182" s="4" t="s">
        <v>4153</v>
      </c>
      <c r="H1182" s="4" t="s">
        <v>4156</v>
      </c>
      <c r="I1182" s="4" t="s">
        <v>4178</v>
      </c>
    </row>
    <row r="1183" spans="1:9" x14ac:dyDescent="0.3">
      <c r="A1183">
        <v>1186</v>
      </c>
      <c r="B1183" s="4" t="s">
        <v>4162</v>
      </c>
      <c r="C1183" s="4" t="s">
        <v>4154</v>
      </c>
      <c r="D1183" s="4" t="s">
        <v>2999</v>
      </c>
      <c r="E1183" s="4" t="s">
        <v>4151</v>
      </c>
      <c r="F1183" s="4" t="s">
        <v>4148</v>
      </c>
      <c r="G1183" s="4" t="s">
        <v>4153</v>
      </c>
      <c r="H1183" s="4" t="s">
        <v>4156</v>
      </c>
      <c r="I1183" s="4" t="s">
        <v>4178</v>
      </c>
    </row>
    <row r="1184" spans="1:9" x14ac:dyDescent="0.3">
      <c r="A1184">
        <v>1187</v>
      </c>
      <c r="B1184" s="4" t="s">
        <v>4162</v>
      </c>
      <c r="C1184" s="4" t="s">
        <v>4154</v>
      </c>
      <c r="D1184" s="4" t="s">
        <v>2999</v>
      </c>
      <c r="E1184" s="4" t="s">
        <v>4151</v>
      </c>
      <c r="F1184" s="4" t="s">
        <v>4148</v>
      </c>
      <c r="G1184" s="4" t="s">
        <v>4153</v>
      </c>
      <c r="H1184" s="4" t="s">
        <v>4156</v>
      </c>
      <c r="I1184" s="4" t="s">
        <v>4178</v>
      </c>
    </row>
    <row r="1185" spans="1:9" x14ac:dyDescent="0.3">
      <c r="A1185">
        <v>1188</v>
      </c>
      <c r="B1185" s="4" t="s">
        <v>4162</v>
      </c>
      <c r="C1185" s="4" t="s">
        <v>4146</v>
      </c>
      <c r="D1185" s="4" t="s">
        <v>2994</v>
      </c>
      <c r="E1185" s="4" t="s">
        <v>4147</v>
      </c>
      <c r="F1185" s="4" t="s">
        <v>4152</v>
      </c>
      <c r="G1185" s="4" t="s">
        <v>4153</v>
      </c>
      <c r="H1185" s="4" t="s">
        <v>4156</v>
      </c>
      <c r="I1185" s="4" t="s">
        <v>824</v>
      </c>
    </row>
    <row r="1186" spans="1:9" x14ac:dyDescent="0.3">
      <c r="A1186">
        <v>1189</v>
      </c>
      <c r="B1186" s="4" t="s">
        <v>4162</v>
      </c>
      <c r="C1186" s="4" t="s">
        <v>4146</v>
      </c>
      <c r="D1186" s="4" t="s">
        <v>3001</v>
      </c>
      <c r="E1186" s="4" t="s">
        <v>4147</v>
      </c>
      <c r="F1186" s="4" t="s">
        <v>4148</v>
      </c>
      <c r="G1186" s="4" t="s">
        <v>4153</v>
      </c>
      <c r="H1186" s="4" t="s">
        <v>4156</v>
      </c>
      <c r="I1186" s="4" t="s">
        <v>824</v>
      </c>
    </row>
    <row r="1187" spans="1:9" x14ac:dyDescent="0.3">
      <c r="A1187">
        <v>1190</v>
      </c>
      <c r="B1187" s="4" t="s">
        <v>4162</v>
      </c>
      <c r="C1187" s="4" t="s">
        <v>4146</v>
      </c>
      <c r="D1187" s="4" t="s">
        <v>2994</v>
      </c>
      <c r="E1187" s="4" t="s">
        <v>4147</v>
      </c>
      <c r="F1187" s="4" t="s">
        <v>4152</v>
      </c>
      <c r="G1187" s="4" t="s">
        <v>4153</v>
      </c>
      <c r="H1187" s="4" t="s">
        <v>4156</v>
      </c>
      <c r="I1187" s="4" t="s">
        <v>824</v>
      </c>
    </row>
    <row r="1188" spans="1:9" x14ac:dyDescent="0.3">
      <c r="A1188">
        <v>1191</v>
      </c>
      <c r="B1188" s="4" t="s">
        <v>4162</v>
      </c>
      <c r="C1188" s="4" t="s">
        <v>4146</v>
      </c>
      <c r="D1188" s="4" t="s">
        <v>2999</v>
      </c>
      <c r="E1188" s="4" t="s">
        <v>4151</v>
      </c>
      <c r="F1188" s="4" t="s">
        <v>4148</v>
      </c>
      <c r="G1188" s="4" t="s">
        <v>4149</v>
      </c>
      <c r="H1188" s="4" t="s">
        <v>4156</v>
      </c>
      <c r="I1188" s="4" t="s">
        <v>824</v>
      </c>
    </row>
    <row r="1189" spans="1:9" x14ac:dyDescent="0.3">
      <c r="A1189">
        <v>1192</v>
      </c>
      <c r="B1189" s="4" t="s">
        <v>4162</v>
      </c>
      <c r="C1189" s="4" t="s">
        <v>4154</v>
      </c>
      <c r="D1189" s="4" t="s">
        <v>2999</v>
      </c>
      <c r="E1189" s="4" t="s">
        <v>4151</v>
      </c>
      <c r="F1189" s="4" t="s">
        <v>4148</v>
      </c>
      <c r="G1189" s="4" t="s">
        <v>4149</v>
      </c>
      <c r="H1189" s="4" t="s">
        <v>4156</v>
      </c>
      <c r="I1189" s="4" t="s">
        <v>824</v>
      </c>
    </row>
    <row r="1190" spans="1:9" x14ac:dyDescent="0.3">
      <c r="A1190">
        <v>1193</v>
      </c>
      <c r="B1190" s="4" t="s">
        <v>4162</v>
      </c>
      <c r="C1190" s="4" t="s">
        <v>4154</v>
      </c>
      <c r="D1190" s="4" t="s">
        <v>2999</v>
      </c>
      <c r="E1190" s="4" t="s">
        <v>4151</v>
      </c>
      <c r="F1190" s="4" t="s">
        <v>4148</v>
      </c>
      <c r="G1190" s="4" t="s">
        <v>4149</v>
      </c>
      <c r="H1190" s="4" t="s">
        <v>4156</v>
      </c>
      <c r="I1190" s="4" t="s">
        <v>824</v>
      </c>
    </row>
    <row r="1191" spans="1:9" x14ac:dyDescent="0.3">
      <c r="A1191">
        <v>1194</v>
      </c>
      <c r="B1191" s="4" t="s">
        <v>4162</v>
      </c>
      <c r="C1191" s="4" t="s">
        <v>4154</v>
      </c>
      <c r="D1191" s="4" t="s">
        <v>2999</v>
      </c>
      <c r="E1191" s="4" t="s">
        <v>4151</v>
      </c>
      <c r="F1191" s="4" t="s">
        <v>4148</v>
      </c>
      <c r="G1191" s="4" t="s">
        <v>4149</v>
      </c>
      <c r="H1191" s="4" t="s">
        <v>4156</v>
      </c>
      <c r="I1191" s="4" t="s">
        <v>4160</v>
      </c>
    </row>
    <row r="1192" spans="1:9" x14ac:dyDescent="0.3">
      <c r="A1192">
        <v>1195</v>
      </c>
      <c r="B1192" s="4" t="s">
        <v>4162</v>
      </c>
      <c r="C1192" s="4" t="s">
        <v>4154</v>
      </c>
      <c r="D1192" s="4" t="s">
        <v>2999</v>
      </c>
      <c r="E1192" s="4" t="s">
        <v>4151</v>
      </c>
      <c r="F1192" s="4" t="s">
        <v>4148</v>
      </c>
      <c r="G1192" s="4" t="s">
        <v>4149</v>
      </c>
      <c r="H1192" s="4" t="s">
        <v>4156</v>
      </c>
      <c r="I1192" s="4" t="s">
        <v>824</v>
      </c>
    </row>
    <row r="1193" spans="1:9" x14ac:dyDescent="0.3">
      <c r="A1193">
        <v>1196</v>
      </c>
      <c r="B1193" s="4" t="s">
        <v>4162</v>
      </c>
      <c r="C1193" s="4" t="s">
        <v>4154</v>
      </c>
      <c r="D1193" s="4" t="s">
        <v>2999</v>
      </c>
      <c r="E1193" s="4" t="s">
        <v>4151</v>
      </c>
      <c r="F1193" s="4" t="s">
        <v>4148</v>
      </c>
      <c r="G1193" s="4" t="s">
        <v>4149</v>
      </c>
      <c r="H1193" s="4" t="s">
        <v>4156</v>
      </c>
      <c r="I1193" s="4" t="s">
        <v>4160</v>
      </c>
    </row>
    <row r="1194" spans="1:9" x14ac:dyDescent="0.3">
      <c r="A1194">
        <v>1197</v>
      </c>
      <c r="B1194" s="4" t="s">
        <v>4162</v>
      </c>
      <c r="C1194" s="4" t="s">
        <v>4146</v>
      </c>
      <c r="D1194" s="4" t="s">
        <v>2999</v>
      </c>
      <c r="E1194" s="4" t="s">
        <v>4151</v>
      </c>
      <c r="F1194" s="4" t="s">
        <v>4148</v>
      </c>
      <c r="G1194" s="4" t="s">
        <v>4149</v>
      </c>
      <c r="H1194" s="4" t="s">
        <v>4156</v>
      </c>
      <c r="I1194" s="4" t="s">
        <v>824</v>
      </c>
    </row>
    <row r="1195" spans="1:9" x14ac:dyDescent="0.3">
      <c r="A1195">
        <v>1198</v>
      </c>
      <c r="B1195" s="4" t="s">
        <v>4162</v>
      </c>
      <c r="C1195" s="4" t="s">
        <v>4154</v>
      </c>
      <c r="D1195" s="4" t="s">
        <v>2999</v>
      </c>
      <c r="E1195" s="4" t="s">
        <v>4151</v>
      </c>
      <c r="F1195" s="4" t="s">
        <v>4148</v>
      </c>
      <c r="G1195" s="4" t="s">
        <v>4149</v>
      </c>
      <c r="H1195" s="4" t="s">
        <v>4156</v>
      </c>
      <c r="I1195" s="4" t="s">
        <v>824</v>
      </c>
    </row>
    <row r="1196" spans="1:9" x14ac:dyDescent="0.3">
      <c r="A1196">
        <v>1199</v>
      </c>
      <c r="B1196" s="4" t="s">
        <v>4162</v>
      </c>
      <c r="C1196" s="4" t="s">
        <v>4146</v>
      </c>
      <c r="D1196" s="4" t="s">
        <v>2994</v>
      </c>
      <c r="E1196" s="4" t="s">
        <v>4147</v>
      </c>
      <c r="F1196" s="4" t="s">
        <v>4148</v>
      </c>
      <c r="G1196" s="4" t="s">
        <v>4149</v>
      </c>
      <c r="H1196" s="4" t="s">
        <v>4156</v>
      </c>
      <c r="I1196" s="4" t="s">
        <v>4160</v>
      </c>
    </row>
    <row r="1197" spans="1:9" x14ac:dyDescent="0.3">
      <c r="A1197">
        <v>1200</v>
      </c>
      <c r="B1197" s="4" t="s">
        <v>4162</v>
      </c>
      <c r="C1197" s="4" t="s">
        <v>4154</v>
      </c>
      <c r="D1197" s="4" t="s">
        <v>2999</v>
      </c>
      <c r="E1197" s="4" t="s">
        <v>4151</v>
      </c>
      <c r="F1197" s="4" t="s">
        <v>4148</v>
      </c>
      <c r="G1197" s="4" t="s">
        <v>4149</v>
      </c>
      <c r="H1197" s="4" t="s">
        <v>4156</v>
      </c>
      <c r="I1197" s="4" t="s">
        <v>824</v>
      </c>
    </row>
    <row r="1198" spans="1:9" x14ac:dyDescent="0.3">
      <c r="A1198">
        <v>1201</v>
      </c>
      <c r="B1198" s="4" t="s">
        <v>4162</v>
      </c>
      <c r="C1198" s="4" t="s">
        <v>4154</v>
      </c>
      <c r="D1198" s="4" t="s">
        <v>2999</v>
      </c>
      <c r="E1198" s="4" t="s">
        <v>4151</v>
      </c>
      <c r="F1198" s="4" t="s">
        <v>4148</v>
      </c>
      <c r="G1198" s="4" t="s">
        <v>4149</v>
      </c>
      <c r="H1198" s="4" t="s">
        <v>4156</v>
      </c>
      <c r="I1198" s="4" t="s">
        <v>824</v>
      </c>
    </row>
    <row r="1199" spans="1:9" x14ac:dyDescent="0.3">
      <c r="A1199">
        <v>1202</v>
      </c>
      <c r="B1199" s="4" t="s">
        <v>4162</v>
      </c>
      <c r="C1199" s="4" t="s">
        <v>4154</v>
      </c>
      <c r="D1199" s="4" t="s">
        <v>2999</v>
      </c>
      <c r="E1199" s="4" t="s">
        <v>4151</v>
      </c>
      <c r="F1199" s="4" t="s">
        <v>4148</v>
      </c>
      <c r="G1199" s="4" t="s">
        <v>4149</v>
      </c>
      <c r="H1199" s="4" t="s">
        <v>4156</v>
      </c>
      <c r="I1199" s="4" t="s">
        <v>4178</v>
      </c>
    </row>
    <row r="1200" spans="1:9" x14ac:dyDescent="0.3">
      <c r="A1200">
        <v>1203</v>
      </c>
      <c r="B1200" s="4" t="s">
        <v>4162</v>
      </c>
      <c r="C1200" s="4" t="s">
        <v>4154</v>
      </c>
      <c r="D1200" s="4" t="s">
        <v>2999</v>
      </c>
      <c r="E1200" s="4" t="s">
        <v>4151</v>
      </c>
      <c r="F1200" s="4" t="s">
        <v>4148</v>
      </c>
      <c r="G1200" s="4" t="s">
        <v>4149</v>
      </c>
      <c r="H1200" s="4" t="s">
        <v>4156</v>
      </c>
      <c r="I1200" s="4" t="s">
        <v>824</v>
      </c>
    </row>
    <row r="1201" spans="1:9" x14ac:dyDescent="0.3">
      <c r="A1201">
        <v>1204</v>
      </c>
      <c r="B1201" s="4" t="s">
        <v>4162</v>
      </c>
      <c r="C1201" s="4" t="s">
        <v>4154</v>
      </c>
      <c r="D1201" s="4" t="s">
        <v>2999</v>
      </c>
      <c r="E1201" s="4" t="s">
        <v>4151</v>
      </c>
      <c r="F1201" s="4" t="s">
        <v>4155</v>
      </c>
      <c r="G1201" s="4" t="s">
        <v>4149</v>
      </c>
      <c r="H1201" s="4" t="s">
        <v>4156</v>
      </c>
      <c r="I1201" s="4" t="s">
        <v>824</v>
      </c>
    </row>
    <row r="1202" spans="1:9" x14ac:dyDescent="0.3">
      <c r="A1202">
        <v>1205</v>
      </c>
      <c r="B1202" s="4" t="s">
        <v>4162</v>
      </c>
      <c r="C1202" s="4" t="s">
        <v>4154</v>
      </c>
      <c r="D1202" s="4" t="s">
        <v>2999</v>
      </c>
      <c r="E1202" s="4" t="s">
        <v>4151</v>
      </c>
      <c r="F1202" s="4" t="s">
        <v>4148</v>
      </c>
      <c r="G1202" s="4" t="s">
        <v>4149</v>
      </c>
      <c r="H1202" s="4" t="s">
        <v>4156</v>
      </c>
      <c r="I1202" s="4" t="s">
        <v>824</v>
      </c>
    </row>
    <row r="1203" spans="1:9" x14ac:dyDescent="0.3">
      <c r="A1203">
        <v>1206</v>
      </c>
      <c r="B1203" s="4" t="s">
        <v>4162</v>
      </c>
      <c r="C1203" s="4" t="s">
        <v>4146</v>
      </c>
      <c r="D1203" s="4" t="s">
        <v>2994</v>
      </c>
      <c r="E1203" s="4" t="s">
        <v>4147</v>
      </c>
      <c r="F1203" s="4" t="s">
        <v>4159</v>
      </c>
      <c r="G1203" s="4" t="s">
        <v>4149</v>
      </c>
      <c r="H1203" s="4" t="s">
        <v>4156</v>
      </c>
      <c r="I1203" s="4" t="s">
        <v>824</v>
      </c>
    </row>
    <row r="1204" spans="1:9" x14ac:dyDescent="0.3">
      <c r="A1204">
        <v>1207</v>
      </c>
      <c r="B1204" s="4" t="s">
        <v>4162</v>
      </c>
      <c r="C1204" s="4" t="s">
        <v>4154</v>
      </c>
      <c r="D1204" s="4" t="s">
        <v>2996</v>
      </c>
      <c r="E1204" s="4" t="s">
        <v>4151</v>
      </c>
      <c r="F1204" s="4" t="s">
        <v>4152</v>
      </c>
      <c r="G1204" s="4" t="s">
        <v>4153</v>
      </c>
      <c r="H1204" s="4" t="s">
        <v>4156</v>
      </c>
      <c r="I1204" s="4" t="s">
        <v>824</v>
      </c>
    </row>
    <row r="1205" spans="1:9" x14ac:dyDescent="0.3">
      <c r="A1205">
        <v>1208</v>
      </c>
      <c r="B1205" s="4" t="s">
        <v>4162</v>
      </c>
      <c r="C1205" s="4" t="s">
        <v>4154</v>
      </c>
      <c r="D1205" s="4" t="s">
        <v>2996</v>
      </c>
      <c r="E1205" s="4" t="s">
        <v>4151</v>
      </c>
      <c r="F1205" s="4" t="s">
        <v>4152</v>
      </c>
      <c r="G1205" s="4" t="s">
        <v>4153</v>
      </c>
      <c r="H1205" s="4" t="s">
        <v>4156</v>
      </c>
      <c r="I1205" s="4" t="s">
        <v>824</v>
      </c>
    </row>
    <row r="1206" spans="1:9" x14ac:dyDescent="0.3">
      <c r="A1206">
        <v>1209</v>
      </c>
      <c r="B1206" s="4" t="s">
        <v>4162</v>
      </c>
      <c r="C1206" s="4" t="s">
        <v>4154</v>
      </c>
      <c r="D1206" s="4" t="s">
        <v>2994</v>
      </c>
      <c r="E1206" s="4" t="s">
        <v>4147</v>
      </c>
      <c r="F1206" s="4" t="s">
        <v>4152</v>
      </c>
      <c r="G1206" s="4" t="s">
        <v>4153</v>
      </c>
      <c r="H1206" s="4" t="s">
        <v>4156</v>
      </c>
      <c r="I1206" s="4" t="s">
        <v>824</v>
      </c>
    </row>
    <row r="1207" spans="1:9" x14ac:dyDescent="0.3">
      <c r="A1207">
        <v>1210</v>
      </c>
      <c r="B1207" s="4" t="s">
        <v>4162</v>
      </c>
      <c r="C1207" s="4" t="s">
        <v>4154</v>
      </c>
      <c r="D1207" s="4" t="s">
        <v>2994</v>
      </c>
      <c r="E1207" s="4" t="s">
        <v>4147</v>
      </c>
      <c r="F1207" s="4" t="s">
        <v>4152</v>
      </c>
      <c r="G1207" s="4" t="s">
        <v>4153</v>
      </c>
      <c r="H1207" s="4" t="s">
        <v>4156</v>
      </c>
      <c r="I1207" s="4" t="s">
        <v>824</v>
      </c>
    </row>
    <row r="1208" spans="1:9" x14ac:dyDescent="0.3">
      <c r="A1208">
        <v>1211</v>
      </c>
      <c r="B1208" s="4" t="s">
        <v>4162</v>
      </c>
      <c r="C1208" s="4" t="s">
        <v>4154</v>
      </c>
      <c r="D1208" s="4" t="s">
        <v>2999</v>
      </c>
      <c r="E1208" s="4" t="s">
        <v>4151</v>
      </c>
      <c r="F1208" s="4" t="s">
        <v>4155</v>
      </c>
      <c r="G1208" s="4" t="s">
        <v>4153</v>
      </c>
      <c r="H1208" s="4" t="s">
        <v>4156</v>
      </c>
      <c r="I1208" s="4" t="s">
        <v>824</v>
      </c>
    </row>
    <row r="1209" spans="1:9" x14ac:dyDescent="0.3">
      <c r="A1209">
        <v>1212</v>
      </c>
      <c r="B1209" s="4" t="s">
        <v>4162</v>
      </c>
      <c r="C1209" s="4" t="s">
        <v>4154</v>
      </c>
      <c r="D1209" s="4" t="s">
        <v>3001</v>
      </c>
      <c r="E1209" s="4" t="s">
        <v>4147</v>
      </c>
      <c r="F1209" s="4" t="s">
        <v>4155</v>
      </c>
      <c r="G1209" s="4" t="s">
        <v>4153</v>
      </c>
      <c r="H1209" s="4" t="s">
        <v>4156</v>
      </c>
      <c r="I1209" s="4" t="s">
        <v>824</v>
      </c>
    </row>
    <row r="1210" spans="1:9" x14ac:dyDescent="0.3">
      <c r="A1210">
        <v>1213</v>
      </c>
      <c r="B1210" s="4" t="s">
        <v>4162</v>
      </c>
      <c r="C1210" s="4" t="s">
        <v>4154</v>
      </c>
      <c r="D1210" s="4" t="s">
        <v>2999</v>
      </c>
      <c r="E1210" s="4" t="s">
        <v>4151</v>
      </c>
      <c r="F1210" s="4" t="s">
        <v>4148</v>
      </c>
      <c r="G1210" s="4" t="s">
        <v>4149</v>
      </c>
      <c r="H1210" s="4" t="s">
        <v>4156</v>
      </c>
      <c r="I1210" s="4" t="s">
        <v>824</v>
      </c>
    </row>
    <row r="1211" spans="1:9" x14ac:dyDescent="0.3">
      <c r="A1211">
        <v>1214</v>
      </c>
      <c r="B1211" s="4" t="s">
        <v>4162</v>
      </c>
      <c r="C1211" s="4" t="s">
        <v>4154</v>
      </c>
      <c r="D1211" s="4" t="s">
        <v>2999</v>
      </c>
      <c r="E1211" s="4" t="s">
        <v>4151</v>
      </c>
      <c r="F1211" s="4" t="s">
        <v>4148</v>
      </c>
      <c r="G1211" s="4" t="s">
        <v>4149</v>
      </c>
      <c r="H1211" s="4" t="s">
        <v>4156</v>
      </c>
      <c r="I1211" s="4" t="s">
        <v>824</v>
      </c>
    </row>
    <row r="1212" spans="1:9" x14ac:dyDescent="0.3">
      <c r="A1212">
        <v>1215</v>
      </c>
      <c r="B1212" s="4" t="s">
        <v>4162</v>
      </c>
      <c r="C1212" s="4" t="s">
        <v>4154</v>
      </c>
      <c r="D1212" s="4" t="s">
        <v>2999</v>
      </c>
      <c r="E1212" s="4" t="s">
        <v>4151</v>
      </c>
      <c r="F1212" s="4" t="s">
        <v>4148</v>
      </c>
      <c r="G1212" s="4" t="s">
        <v>4149</v>
      </c>
      <c r="H1212" s="4" t="s">
        <v>4156</v>
      </c>
      <c r="I1212" s="4" t="s">
        <v>824</v>
      </c>
    </row>
    <row r="1213" spans="1:9" x14ac:dyDescent="0.3">
      <c r="A1213">
        <v>1216</v>
      </c>
      <c r="B1213" s="4" t="s">
        <v>4162</v>
      </c>
      <c r="C1213" s="4" t="s">
        <v>4154</v>
      </c>
      <c r="D1213" s="4" t="s">
        <v>2999</v>
      </c>
      <c r="E1213" s="4" t="s">
        <v>4151</v>
      </c>
      <c r="F1213" s="4" t="s">
        <v>4148</v>
      </c>
      <c r="G1213" s="4" t="s">
        <v>4149</v>
      </c>
      <c r="H1213" s="4" t="s">
        <v>4156</v>
      </c>
      <c r="I1213" s="4" t="s">
        <v>4160</v>
      </c>
    </row>
    <row r="1214" spans="1:9" x14ac:dyDescent="0.3">
      <c r="A1214">
        <v>1217</v>
      </c>
      <c r="B1214" s="4" t="s">
        <v>4162</v>
      </c>
      <c r="C1214" s="4" t="s">
        <v>4146</v>
      </c>
      <c r="D1214" s="4" t="s">
        <v>2994</v>
      </c>
      <c r="E1214" s="4" t="s">
        <v>4147</v>
      </c>
      <c r="F1214" s="4" t="s">
        <v>4148</v>
      </c>
      <c r="G1214" s="4" t="s">
        <v>4149</v>
      </c>
      <c r="H1214" s="4" t="s">
        <v>4156</v>
      </c>
      <c r="I1214" s="4" t="s">
        <v>4160</v>
      </c>
    </row>
    <row r="1215" spans="1:9" x14ac:dyDescent="0.3">
      <c r="A1215">
        <v>1218</v>
      </c>
      <c r="B1215" s="4" t="s">
        <v>4162</v>
      </c>
      <c r="C1215" s="4" t="s">
        <v>4154</v>
      </c>
      <c r="D1215" s="4" t="s">
        <v>2999</v>
      </c>
      <c r="E1215" s="4" t="s">
        <v>4151</v>
      </c>
      <c r="F1215" s="4" t="s">
        <v>4148</v>
      </c>
      <c r="G1215" s="4" t="s">
        <v>4149</v>
      </c>
      <c r="H1215" s="4" t="s">
        <v>4156</v>
      </c>
      <c r="I1215" s="4" t="s">
        <v>824</v>
      </c>
    </row>
    <row r="1216" spans="1:9" x14ac:dyDescent="0.3">
      <c r="A1216">
        <v>1219</v>
      </c>
      <c r="B1216" s="4" t="s">
        <v>4162</v>
      </c>
      <c r="C1216" s="4" t="s">
        <v>4154</v>
      </c>
      <c r="D1216" s="4" t="s">
        <v>2999</v>
      </c>
      <c r="E1216" s="4" t="s">
        <v>4151</v>
      </c>
      <c r="F1216" s="4" t="s">
        <v>4148</v>
      </c>
      <c r="G1216" s="4" t="s">
        <v>4149</v>
      </c>
      <c r="H1216" s="4" t="s">
        <v>4156</v>
      </c>
      <c r="I1216" s="4" t="s">
        <v>824</v>
      </c>
    </row>
    <row r="1217" spans="1:9" x14ac:dyDescent="0.3">
      <c r="A1217">
        <v>1220</v>
      </c>
      <c r="B1217" s="4" t="s">
        <v>4162</v>
      </c>
      <c r="C1217" s="4" t="s">
        <v>4154</v>
      </c>
      <c r="D1217" s="4" t="s">
        <v>2999</v>
      </c>
      <c r="E1217" s="4" t="s">
        <v>4151</v>
      </c>
      <c r="F1217" s="4" t="s">
        <v>4148</v>
      </c>
      <c r="G1217" s="4" t="s">
        <v>4149</v>
      </c>
      <c r="H1217" s="4" t="s">
        <v>4156</v>
      </c>
      <c r="I1217" s="4" t="s">
        <v>824</v>
      </c>
    </row>
    <row r="1218" spans="1:9" x14ac:dyDescent="0.3">
      <c r="A1218">
        <v>1221</v>
      </c>
      <c r="B1218" s="4" t="s">
        <v>4162</v>
      </c>
      <c r="C1218" s="4" t="s">
        <v>4154</v>
      </c>
      <c r="D1218" s="4" t="s">
        <v>2999</v>
      </c>
      <c r="E1218" s="4" t="s">
        <v>4151</v>
      </c>
      <c r="F1218" s="4" t="s">
        <v>4155</v>
      </c>
      <c r="G1218" s="4" t="s">
        <v>4149</v>
      </c>
      <c r="H1218" s="4" t="s">
        <v>4156</v>
      </c>
      <c r="I1218" s="4" t="s">
        <v>824</v>
      </c>
    </row>
    <row r="1219" spans="1:9" x14ac:dyDescent="0.3">
      <c r="A1219">
        <v>1222</v>
      </c>
      <c r="B1219" s="4" t="s">
        <v>4162</v>
      </c>
      <c r="C1219" s="4" t="s">
        <v>4154</v>
      </c>
      <c r="D1219" s="4" t="s">
        <v>2999</v>
      </c>
      <c r="E1219" s="4" t="s">
        <v>4151</v>
      </c>
      <c r="F1219" s="4" t="s">
        <v>4148</v>
      </c>
      <c r="G1219" s="4" t="s">
        <v>4149</v>
      </c>
      <c r="H1219" s="4" t="s">
        <v>4156</v>
      </c>
      <c r="I1219" s="4" t="s">
        <v>824</v>
      </c>
    </row>
    <row r="1220" spans="1:9" x14ac:dyDescent="0.3">
      <c r="A1220">
        <v>1223</v>
      </c>
      <c r="B1220" s="4" t="s">
        <v>4162</v>
      </c>
      <c r="C1220" s="4" t="s">
        <v>4154</v>
      </c>
      <c r="D1220" s="4" t="s">
        <v>2999</v>
      </c>
      <c r="E1220" s="4" t="s">
        <v>4151</v>
      </c>
      <c r="F1220" s="4" t="s">
        <v>4155</v>
      </c>
      <c r="G1220" s="4" t="s">
        <v>4149</v>
      </c>
      <c r="H1220" s="4" t="s">
        <v>4156</v>
      </c>
      <c r="I1220" s="4" t="s">
        <v>4178</v>
      </c>
    </row>
    <row r="1221" spans="1:9" x14ac:dyDescent="0.3">
      <c r="A1221">
        <v>1224</v>
      </c>
      <c r="B1221" s="4" t="s">
        <v>4162</v>
      </c>
      <c r="C1221" s="4" t="s">
        <v>4146</v>
      </c>
      <c r="D1221" s="4" t="s">
        <v>2994</v>
      </c>
      <c r="E1221" s="4" t="s">
        <v>4147</v>
      </c>
      <c r="F1221" s="4" t="s">
        <v>4148</v>
      </c>
      <c r="G1221" s="4" t="s">
        <v>4149</v>
      </c>
      <c r="H1221" s="4" t="s">
        <v>4156</v>
      </c>
      <c r="I1221" s="4" t="s">
        <v>824</v>
      </c>
    </row>
    <row r="1222" spans="1:9" x14ac:dyDescent="0.3">
      <c r="A1222">
        <v>1225</v>
      </c>
      <c r="B1222" s="4" t="s">
        <v>4162</v>
      </c>
      <c r="C1222" s="4" t="s">
        <v>4154</v>
      </c>
      <c r="D1222" s="4" t="s">
        <v>2999</v>
      </c>
      <c r="E1222" s="4" t="s">
        <v>4151</v>
      </c>
      <c r="F1222" s="4" t="s">
        <v>4148</v>
      </c>
      <c r="G1222" s="4" t="s">
        <v>4149</v>
      </c>
      <c r="H1222" s="4" t="s">
        <v>4156</v>
      </c>
      <c r="I1222" s="4" t="s">
        <v>824</v>
      </c>
    </row>
    <row r="1223" spans="1:9" x14ac:dyDescent="0.3">
      <c r="A1223">
        <v>1226</v>
      </c>
      <c r="B1223" s="4" t="s">
        <v>4162</v>
      </c>
      <c r="C1223" s="4" t="s">
        <v>4154</v>
      </c>
      <c r="D1223" s="4" t="s">
        <v>2999</v>
      </c>
      <c r="E1223" s="4" t="s">
        <v>4151</v>
      </c>
      <c r="F1223" s="4" t="s">
        <v>4157</v>
      </c>
      <c r="G1223" s="4" t="s">
        <v>4149</v>
      </c>
      <c r="H1223" s="4" t="s">
        <v>4156</v>
      </c>
      <c r="I1223" s="4" t="s">
        <v>824</v>
      </c>
    </row>
    <row r="1224" spans="1:9" x14ac:dyDescent="0.3">
      <c r="A1224">
        <v>1227</v>
      </c>
      <c r="B1224" s="4" t="s">
        <v>4162</v>
      </c>
      <c r="C1224" s="4" t="s">
        <v>4154</v>
      </c>
      <c r="D1224" s="4" t="s">
        <v>2999</v>
      </c>
      <c r="E1224" s="4" t="s">
        <v>4151</v>
      </c>
      <c r="F1224" s="4" t="s">
        <v>4148</v>
      </c>
      <c r="G1224" s="4" t="s">
        <v>4149</v>
      </c>
      <c r="H1224" s="4" t="s">
        <v>4156</v>
      </c>
      <c r="I1224" s="4" t="s">
        <v>824</v>
      </c>
    </row>
    <row r="1225" spans="1:9" x14ac:dyDescent="0.3">
      <c r="A1225">
        <v>1228</v>
      </c>
      <c r="B1225" s="4" t="s">
        <v>4162</v>
      </c>
      <c r="C1225" s="4" t="s">
        <v>4154</v>
      </c>
      <c r="D1225" s="4" t="s">
        <v>2994</v>
      </c>
      <c r="E1225" s="4" t="s">
        <v>4147</v>
      </c>
      <c r="F1225" s="4" t="s">
        <v>4148</v>
      </c>
      <c r="G1225" s="4" t="s">
        <v>4149</v>
      </c>
      <c r="H1225" s="4" t="s">
        <v>4156</v>
      </c>
      <c r="I1225" s="4" t="s">
        <v>824</v>
      </c>
    </row>
    <row r="1226" spans="1:9" x14ac:dyDescent="0.3">
      <c r="A1226">
        <v>1229</v>
      </c>
      <c r="B1226" s="4" t="s">
        <v>4162</v>
      </c>
      <c r="C1226" s="4" t="s">
        <v>4146</v>
      </c>
      <c r="D1226" s="4" t="s">
        <v>2999</v>
      </c>
      <c r="E1226" s="4" t="s">
        <v>4151</v>
      </c>
      <c r="F1226" s="4" t="s">
        <v>4155</v>
      </c>
      <c r="G1226" s="4" t="s">
        <v>4149</v>
      </c>
      <c r="H1226" s="4" t="s">
        <v>4156</v>
      </c>
      <c r="I1226" s="4" t="s">
        <v>824</v>
      </c>
    </row>
    <row r="1227" spans="1:9" x14ac:dyDescent="0.3">
      <c r="A1227">
        <v>1230</v>
      </c>
      <c r="B1227" s="4" t="s">
        <v>4162</v>
      </c>
      <c r="C1227" s="4" t="s">
        <v>4154</v>
      </c>
      <c r="D1227" s="4" t="s">
        <v>2999</v>
      </c>
      <c r="E1227" s="4" t="s">
        <v>4151</v>
      </c>
      <c r="F1227" s="4" t="s">
        <v>4148</v>
      </c>
      <c r="G1227" s="4" t="s">
        <v>4149</v>
      </c>
      <c r="H1227" s="4" t="s">
        <v>4156</v>
      </c>
      <c r="I1227" s="4" t="s">
        <v>824</v>
      </c>
    </row>
    <row r="1228" spans="1:9" x14ac:dyDescent="0.3">
      <c r="A1228">
        <v>1231</v>
      </c>
      <c r="B1228" s="4" t="s">
        <v>4162</v>
      </c>
      <c r="C1228" s="4" t="s">
        <v>4154</v>
      </c>
      <c r="D1228" s="4" t="s">
        <v>2994</v>
      </c>
      <c r="E1228" s="4" t="s">
        <v>4147</v>
      </c>
      <c r="F1228" s="4" t="s">
        <v>4152</v>
      </c>
      <c r="G1228" s="4" t="s">
        <v>4153</v>
      </c>
      <c r="H1228" s="4" t="s">
        <v>4156</v>
      </c>
      <c r="I1228" s="4" t="s">
        <v>824</v>
      </c>
    </row>
    <row r="1229" spans="1:9" x14ac:dyDescent="0.3">
      <c r="A1229">
        <v>1232</v>
      </c>
      <c r="B1229" s="4" t="s">
        <v>4162</v>
      </c>
      <c r="C1229" s="4" t="s">
        <v>4154</v>
      </c>
      <c r="D1229" s="4" t="s">
        <v>3001</v>
      </c>
      <c r="E1229" s="4" t="s">
        <v>4147</v>
      </c>
      <c r="F1229" s="4" t="s">
        <v>4148</v>
      </c>
      <c r="G1229" s="4" t="s">
        <v>4153</v>
      </c>
      <c r="H1229" s="4" t="s">
        <v>4156</v>
      </c>
      <c r="I1229" s="4" t="s">
        <v>824</v>
      </c>
    </row>
    <row r="1230" spans="1:9" x14ac:dyDescent="0.3">
      <c r="A1230">
        <v>1233</v>
      </c>
      <c r="B1230" s="4" t="s">
        <v>4162</v>
      </c>
      <c r="C1230" s="4" t="s">
        <v>4146</v>
      </c>
      <c r="D1230" s="4" t="s">
        <v>2999</v>
      </c>
      <c r="E1230" s="4" t="s">
        <v>4151</v>
      </c>
      <c r="F1230" s="4" t="s">
        <v>4159</v>
      </c>
      <c r="G1230" s="4" t="s">
        <v>4149</v>
      </c>
      <c r="H1230" s="4" t="s">
        <v>4156</v>
      </c>
      <c r="I1230" s="4" t="s">
        <v>824</v>
      </c>
    </row>
    <row r="1231" spans="1:9" x14ac:dyDescent="0.3">
      <c r="A1231">
        <v>1234</v>
      </c>
      <c r="B1231" s="4" t="s">
        <v>4162</v>
      </c>
      <c r="C1231" s="4" t="s">
        <v>4146</v>
      </c>
      <c r="D1231" s="4" t="s">
        <v>2999</v>
      </c>
      <c r="E1231" s="4" t="s">
        <v>4151</v>
      </c>
      <c r="F1231" s="4" t="s">
        <v>4155</v>
      </c>
      <c r="G1231" s="4" t="s">
        <v>4149</v>
      </c>
      <c r="H1231" s="4" t="s">
        <v>4156</v>
      </c>
      <c r="I1231" s="4" t="s">
        <v>824</v>
      </c>
    </row>
    <row r="1232" spans="1:9" x14ac:dyDescent="0.3">
      <c r="A1232">
        <v>1235</v>
      </c>
      <c r="B1232" s="4" t="s">
        <v>4162</v>
      </c>
      <c r="C1232" s="4" t="s">
        <v>4154</v>
      </c>
      <c r="D1232" s="4" t="s">
        <v>2999</v>
      </c>
      <c r="E1232" s="4" t="s">
        <v>4151</v>
      </c>
      <c r="F1232" s="4" t="s">
        <v>4148</v>
      </c>
      <c r="G1232" s="4" t="s">
        <v>4149</v>
      </c>
      <c r="H1232" s="4" t="s">
        <v>4156</v>
      </c>
      <c r="I1232" s="4" t="s">
        <v>824</v>
      </c>
    </row>
    <row r="1233" spans="1:9" x14ac:dyDescent="0.3">
      <c r="A1233">
        <v>1236</v>
      </c>
      <c r="B1233" s="4" t="s">
        <v>4162</v>
      </c>
      <c r="C1233" s="4" t="s">
        <v>4154</v>
      </c>
      <c r="D1233" s="4" t="s">
        <v>2999</v>
      </c>
      <c r="E1233" s="4" t="s">
        <v>4151</v>
      </c>
      <c r="F1233" s="4" t="s">
        <v>4157</v>
      </c>
      <c r="G1233" s="4" t="s">
        <v>4149</v>
      </c>
      <c r="H1233" s="4" t="s">
        <v>4156</v>
      </c>
      <c r="I1233" s="4" t="s">
        <v>824</v>
      </c>
    </row>
    <row r="1234" spans="1:9" x14ac:dyDescent="0.3">
      <c r="A1234">
        <v>1237</v>
      </c>
      <c r="B1234" s="4" t="s">
        <v>4162</v>
      </c>
      <c r="C1234" s="4" t="s">
        <v>4146</v>
      </c>
      <c r="D1234" s="4" t="s">
        <v>2999</v>
      </c>
      <c r="E1234" s="4" t="s">
        <v>4151</v>
      </c>
      <c r="F1234" s="4" t="s">
        <v>4159</v>
      </c>
      <c r="G1234" s="4" t="s">
        <v>4149</v>
      </c>
      <c r="H1234" s="4" t="s">
        <v>4156</v>
      </c>
      <c r="I1234" s="4" t="s">
        <v>824</v>
      </c>
    </row>
    <row r="1235" spans="1:9" x14ac:dyDescent="0.3">
      <c r="A1235">
        <v>1238</v>
      </c>
      <c r="B1235" s="4" t="s">
        <v>4162</v>
      </c>
      <c r="C1235" s="4" t="s">
        <v>4154</v>
      </c>
      <c r="D1235" s="4" t="s">
        <v>2999</v>
      </c>
      <c r="E1235" s="4" t="s">
        <v>4151</v>
      </c>
      <c r="F1235" s="4" t="s">
        <v>4148</v>
      </c>
      <c r="G1235" s="4" t="s">
        <v>4149</v>
      </c>
      <c r="H1235" s="4" t="s">
        <v>4156</v>
      </c>
      <c r="I1235" s="4" t="s">
        <v>824</v>
      </c>
    </row>
    <row r="1236" spans="1:9" x14ac:dyDescent="0.3">
      <c r="A1236">
        <v>1239</v>
      </c>
      <c r="B1236" s="4" t="s">
        <v>4162</v>
      </c>
      <c r="C1236" s="4" t="s">
        <v>4146</v>
      </c>
      <c r="D1236" s="4" t="s">
        <v>2999</v>
      </c>
      <c r="E1236" s="4" t="s">
        <v>4151</v>
      </c>
      <c r="F1236" s="4" t="s">
        <v>4148</v>
      </c>
      <c r="G1236" s="4" t="s">
        <v>4149</v>
      </c>
      <c r="H1236" s="4" t="s">
        <v>4156</v>
      </c>
      <c r="I1236" s="4" t="s">
        <v>824</v>
      </c>
    </row>
    <row r="1237" spans="1:9" x14ac:dyDescent="0.3">
      <c r="A1237">
        <v>1240</v>
      </c>
      <c r="B1237" s="4" t="s">
        <v>4162</v>
      </c>
      <c r="C1237" s="4" t="s">
        <v>4154</v>
      </c>
      <c r="D1237" s="4" t="s">
        <v>2999</v>
      </c>
      <c r="E1237" s="4" t="s">
        <v>4151</v>
      </c>
      <c r="F1237" s="4" t="s">
        <v>4155</v>
      </c>
      <c r="G1237" s="4" t="s">
        <v>4149</v>
      </c>
      <c r="H1237" s="4" t="s">
        <v>4156</v>
      </c>
      <c r="I1237" s="4" t="s">
        <v>824</v>
      </c>
    </row>
    <row r="1238" spans="1:9" x14ac:dyDescent="0.3">
      <c r="A1238">
        <v>1241</v>
      </c>
      <c r="B1238" s="4" t="s">
        <v>4162</v>
      </c>
      <c r="C1238" s="4" t="s">
        <v>4146</v>
      </c>
      <c r="D1238" s="4" t="s">
        <v>2996</v>
      </c>
      <c r="E1238" s="4" t="s">
        <v>4151</v>
      </c>
      <c r="F1238" s="4" t="s">
        <v>4152</v>
      </c>
      <c r="G1238" s="4" t="s">
        <v>4153</v>
      </c>
      <c r="H1238" s="4" t="s">
        <v>4156</v>
      </c>
      <c r="I1238" s="4" t="s">
        <v>4178</v>
      </c>
    </row>
    <row r="1239" spans="1:9" x14ac:dyDescent="0.3">
      <c r="A1239">
        <v>1242</v>
      </c>
      <c r="B1239" s="4" t="s">
        <v>4162</v>
      </c>
      <c r="C1239" s="4" t="s">
        <v>4154</v>
      </c>
      <c r="D1239" s="4" t="s">
        <v>2999</v>
      </c>
      <c r="E1239" s="4" t="s">
        <v>4151</v>
      </c>
      <c r="F1239" s="4" t="s">
        <v>4148</v>
      </c>
      <c r="G1239" s="4" t="s">
        <v>4153</v>
      </c>
      <c r="H1239" s="4" t="s">
        <v>4156</v>
      </c>
      <c r="I1239" s="4" t="s">
        <v>4178</v>
      </c>
    </row>
    <row r="1240" spans="1:9" x14ac:dyDescent="0.3">
      <c r="A1240">
        <v>1243</v>
      </c>
      <c r="B1240" s="4" t="s">
        <v>4162</v>
      </c>
      <c r="C1240" s="4" t="s">
        <v>4154</v>
      </c>
      <c r="D1240" s="4" t="s">
        <v>2999</v>
      </c>
      <c r="E1240" s="4" t="s">
        <v>4151</v>
      </c>
      <c r="F1240" s="4" t="s">
        <v>4148</v>
      </c>
      <c r="G1240" s="4" t="s">
        <v>4149</v>
      </c>
      <c r="H1240" s="4" t="s">
        <v>4156</v>
      </c>
      <c r="I1240" s="4" t="s">
        <v>4178</v>
      </c>
    </row>
    <row r="1241" spans="1:9" x14ac:dyDescent="0.3">
      <c r="A1241">
        <v>1244</v>
      </c>
      <c r="B1241" s="4" t="s">
        <v>4162</v>
      </c>
      <c r="C1241" s="4" t="s">
        <v>4154</v>
      </c>
      <c r="D1241" s="4" t="s">
        <v>2999</v>
      </c>
      <c r="E1241" s="4" t="s">
        <v>4151</v>
      </c>
      <c r="F1241" s="4" t="s">
        <v>4148</v>
      </c>
      <c r="G1241" s="4" t="s">
        <v>4149</v>
      </c>
      <c r="H1241" s="4" t="s">
        <v>4156</v>
      </c>
      <c r="I1241" s="4" t="s">
        <v>4178</v>
      </c>
    </row>
    <row r="1242" spans="1:9" x14ac:dyDescent="0.3">
      <c r="A1242">
        <v>1245</v>
      </c>
      <c r="B1242" s="4" t="s">
        <v>4162</v>
      </c>
      <c r="C1242" s="4" t="s">
        <v>4146</v>
      </c>
      <c r="D1242" s="4" t="s">
        <v>3001</v>
      </c>
      <c r="E1242" s="4" t="s">
        <v>4147</v>
      </c>
      <c r="F1242" s="4" t="s">
        <v>4159</v>
      </c>
      <c r="G1242" s="4" t="s">
        <v>4153</v>
      </c>
      <c r="H1242" s="4" t="s">
        <v>4156</v>
      </c>
      <c r="I1242" s="4" t="s">
        <v>4178</v>
      </c>
    </row>
    <row r="1243" spans="1:9" x14ac:dyDescent="0.3">
      <c r="A1243">
        <v>1246</v>
      </c>
      <c r="B1243" s="4" t="s">
        <v>4162</v>
      </c>
      <c r="C1243" s="4" t="s">
        <v>4154</v>
      </c>
      <c r="D1243" s="4" t="s">
        <v>2999</v>
      </c>
      <c r="E1243" s="4" t="s">
        <v>4151</v>
      </c>
      <c r="F1243" s="4" t="s">
        <v>4148</v>
      </c>
      <c r="G1243" s="4" t="s">
        <v>4149</v>
      </c>
      <c r="H1243" s="4" t="s">
        <v>4156</v>
      </c>
      <c r="I1243" s="4" t="s">
        <v>824</v>
      </c>
    </row>
    <row r="1244" spans="1:9" x14ac:dyDescent="0.3">
      <c r="A1244">
        <v>1247</v>
      </c>
      <c r="B1244" s="4" t="s">
        <v>4162</v>
      </c>
      <c r="C1244" s="4" t="s">
        <v>4154</v>
      </c>
      <c r="D1244" s="4" t="s">
        <v>2999</v>
      </c>
      <c r="E1244" s="4" t="s">
        <v>4151</v>
      </c>
      <c r="F1244" s="4" t="s">
        <v>4148</v>
      </c>
      <c r="G1244" s="4" t="s">
        <v>4153</v>
      </c>
      <c r="H1244" s="4" t="s">
        <v>4156</v>
      </c>
      <c r="I1244" s="4" t="s">
        <v>824</v>
      </c>
    </row>
    <row r="1245" spans="1:9" x14ac:dyDescent="0.3">
      <c r="A1245">
        <v>1248</v>
      </c>
      <c r="B1245" s="4" t="s">
        <v>4162</v>
      </c>
      <c r="C1245" s="4" t="s">
        <v>4146</v>
      </c>
      <c r="D1245" s="4" t="s">
        <v>3001</v>
      </c>
      <c r="E1245" s="4" t="s">
        <v>4147</v>
      </c>
      <c r="F1245" s="4" t="s">
        <v>4148</v>
      </c>
      <c r="G1245" s="4" t="s">
        <v>4153</v>
      </c>
      <c r="H1245" s="4" t="s">
        <v>4156</v>
      </c>
      <c r="I1245" s="4" t="s">
        <v>824</v>
      </c>
    </row>
    <row r="1246" spans="1:9" x14ac:dyDescent="0.3">
      <c r="A1246">
        <v>1249</v>
      </c>
      <c r="B1246" s="4" t="s">
        <v>4162</v>
      </c>
      <c r="C1246" s="4" t="s">
        <v>4154</v>
      </c>
      <c r="D1246" s="4" t="s">
        <v>2999</v>
      </c>
      <c r="E1246" s="4" t="s">
        <v>4151</v>
      </c>
      <c r="F1246" s="4" t="s">
        <v>4155</v>
      </c>
      <c r="G1246" s="4" t="s">
        <v>4149</v>
      </c>
      <c r="H1246" s="4" t="s">
        <v>4156</v>
      </c>
      <c r="I1246" s="4" t="s">
        <v>824</v>
      </c>
    </row>
    <row r="1247" spans="1:9" x14ac:dyDescent="0.3">
      <c r="A1247">
        <v>1250</v>
      </c>
      <c r="B1247" s="4" t="s">
        <v>4162</v>
      </c>
      <c r="C1247" s="4" t="s">
        <v>4154</v>
      </c>
      <c r="D1247" s="4" t="s">
        <v>2999</v>
      </c>
      <c r="E1247" s="4" t="s">
        <v>4151</v>
      </c>
      <c r="F1247" s="4" t="s">
        <v>4148</v>
      </c>
      <c r="G1247" s="4" t="s">
        <v>4149</v>
      </c>
      <c r="H1247" s="4" t="s">
        <v>4156</v>
      </c>
      <c r="I1247" s="4" t="s">
        <v>4160</v>
      </c>
    </row>
    <row r="1248" spans="1:9" x14ac:dyDescent="0.3">
      <c r="A1248">
        <v>1251</v>
      </c>
      <c r="B1248" s="4" t="s">
        <v>4162</v>
      </c>
      <c r="C1248" s="4" t="s">
        <v>4154</v>
      </c>
      <c r="D1248" s="4" t="s">
        <v>2999</v>
      </c>
      <c r="E1248" s="4" t="s">
        <v>4151</v>
      </c>
      <c r="F1248" s="4" t="s">
        <v>4148</v>
      </c>
      <c r="G1248" s="4" t="s">
        <v>4149</v>
      </c>
      <c r="H1248" s="4" t="s">
        <v>4156</v>
      </c>
      <c r="I1248" s="4" t="s">
        <v>824</v>
      </c>
    </row>
    <row r="1249" spans="1:9" x14ac:dyDescent="0.3">
      <c r="A1249">
        <v>1252</v>
      </c>
      <c r="B1249" s="4" t="s">
        <v>4162</v>
      </c>
      <c r="C1249" s="4" t="s">
        <v>4154</v>
      </c>
      <c r="D1249" s="4" t="s">
        <v>2999</v>
      </c>
      <c r="E1249" s="4" t="s">
        <v>4151</v>
      </c>
      <c r="F1249" s="4" t="s">
        <v>4148</v>
      </c>
      <c r="G1249" s="4" t="s">
        <v>4149</v>
      </c>
      <c r="H1249" s="4" t="s">
        <v>4156</v>
      </c>
      <c r="I1249" s="4" t="s">
        <v>824</v>
      </c>
    </row>
    <row r="1250" spans="1:9" x14ac:dyDescent="0.3">
      <c r="A1250">
        <v>1253</v>
      </c>
      <c r="B1250" s="4" t="s">
        <v>4162</v>
      </c>
      <c r="C1250" s="4" t="s">
        <v>4154</v>
      </c>
      <c r="D1250" s="4" t="s">
        <v>2999</v>
      </c>
      <c r="E1250" s="4" t="s">
        <v>4151</v>
      </c>
      <c r="F1250" s="4" t="s">
        <v>4155</v>
      </c>
      <c r="G1250" s="4" t="s">
        <v>4149</v>
      </c>
      <c r="H1250" s="4" t="s">
        <v>4156</v>
      </c>
      <c r="I1250" s="4" t="s">
        <v>824</v>
      </c>
    </row>
    <row r="1251" spans="1:9" x14ac:dyDescent="0.3">
      <c r="A1251">
        <v>1254</v>
      </c>
      <c r="B1251" s="4" t="s">
        <v>4162</v>
      </c>
      <c r="C1251" s="4" t="s">
        <v>4154</v>
      </c>
      <c r="D1251" s="4" t="s">
        <v>2999</v>
      </c>
      <c r="E1251" s="4" t="s">
        <v>4151</v>
      </c>
      <c r="F1251" s="4" t="s">
        <v>4148</v>
      </c>
      <c r="G1251" s="4" t="s">
        <v>4149</v>
      </c>
      <c r="H1251" s="4" t="s">
        <v>4156</v>
      </c>
      <c r="I1251" s="4" t="s">
        <v>4178</v>
      </c>
    </row>
    <row r="1252" spans="1:9" x14ac:dyDescent="0.3">
      <c r="A1252">
        <v>1255</v>
      </c>
      <c r="B1252" s="4" t="s">
        <v>4162</v>
      </c>
      <c r="C1252" s="4" t="s">
        <v>4146</v>
      </c>
      <c r="D1252" s="4" t="s">
        <v>2999</v>
      </c>
      <c r="E1252" s="4" t="s">
        <v>4151</v>
      </c>
      <c r="F1252" s="4" t="s">
        <v>4148</v>
      </c>
      <c r="G1252" s="4" t="s">
        <v>4149</v>
      </c>
      <c r="H1252" s="4" t="s">
        <v>4156</v>
      </c>
      <c r="I1252" s="4" t="s">
        <v>824</v>
      </c>
    </row>
    <row r="1253" spans="1:9" x14ac:dyDescent="0.3">
      <c r="A1253">
        <v>1256</v>
      </c>
      <c r="B1253" s="4" t="s">
        <v>4162</v>
      </c>
      <c r="C1253" s="4" t="s">
        <v>4154</v>
      </c>
      <c r="D1253" s="4" t="s">
        <v>2999</v>
      </c>
      <c r="E1253" s="4" t="s">
        <v>4151</v>
      </c>
      <c r="F1253" s="4" t="s">
        <v>4148</v>
      </c>
      <c r="G1253" s="4" t="s">
        <v>4149</v>
      </c>
      <c r="H1253" s="4" t="s">
        <v>4156</v>
      </c>
      <c r="I1253" s="4" t="s">
        <v>4178</v>
      </c>
    </row>
    <row r="1254" spans="1:9" x14ac:dyDescent="0.3">
      <c r="A1254">
        <v>1257</v>
      </c>
      <c r="B1254" s="4" t="s">
        <v>4162</v>
      </c>
      <c r="C1254" s="4" t="s">
        <v>4146</v>
      </c>
      <c r="D1254" s="4" t="s">
        <v>2996</v>
      </c>
      <c r="E1254" s="4" t="s">
        <v>4151</v>
      </c>
      <c r="F1254" s="4" t="s">
        <v>4152</v>
      </c>
      <c r="G1254" s="4" t="s">
        <v>4153</v>
      </c>
      <c r="H1254" s="4" t="s">
        <v>4156</v>
      </c>
      <c r="I1254" s="4" t="s">
        <v>4178</v>
      </c>
    </row>
    <row r="1255" spans="1:9" x14ac:dyDescent="0.3">
      <c r="A1255">
        <v>1258</v>
      </c>
      <c r="B1255" s="4" t="s">
        <v>4162</v>
      </c>
      <c r="C1255" s="4" t="s">
        <v>4146</v>
      </c>
      <c r="D1255" s="4" t="s">
        <v>2994</v>
      </c>
      <c r="E1255" s="4" t="s">
        <v>4147</v>
      </c>
      <c r="F1255" s="4" t="s">
        <v>4152</v>
      </c>
      <c r="G1255" s="4" t="s">
        <v>4153</v>
      </c>
      <c r="H1255" s="4" t="s">
        <v>4156</v>
      </c>
      <c r="I1255" s="4" t="s">
        <v>4178</v>
      </c>
    </row>
    <row r="1256" spans="1:9" x14ac:dyDescent="0.3">
      <c r="A1256">
        <v>1259</v>
      </c>
      <c r="B1256" s="4" t="s">
        <v>4162</v>
      </c>
      <c r="C1256" s="4" t="s">
        <v>4146</v>
      </c>
      <c r="D1256" s="4" t="s">
        <v>3001</v>
      </c>
      <c r="E1256" s="4" t="s">
        <v>4147</v>
      </c>
      <c r="F1256" s="4" t="s">
        <v>4148</v>
      </c>
      <c r="G1256" s="4" t="s">
        <v>4153</v>
      </c>
      <c r="H1256" s="4" t="s">
        <v>4156</v>
      </c>
      <c r="I1256" s="4" t="s">
        <v>4178</v>
      </c>
    </row>
    <row r="1257" spans="1:9" x14ac:dyDescent="0.3">
      <c r="A1257">
        <v>1260</v>
      </c>
      <c r="B1257" s="4" t="s">
        <v>4162</v>
      </c>
      <c r="C1257" s="4" t="s">
        <v>4154</v>
      </c>
      <c r="D1257" s="4" t="s">
        <v>2999</v>
      </c>
      <c r="E1257" s="4" t="s">
        <v>4151</v>
      </c>
      <c r="F1257" s="4" t="s">
        <v>4155</v>
      </c>
      <c r="G1257" s="4" t="s">
        <v>4149</v>
      </c>
      <c r="H1257" s="4" t="s">
        <v>4156</v>
      </c>
      <c r="I1257" s="4" t="s">
        <v>824</v>
      </c>
    </row>
    <row r="1258" spans="1:9" x14ac:dyDescent="0.3">
      <c r="A1258">
        <v>1261</v>
      </c>
      <c r="B1258" s="4" t="s">
        <v>4162</v>
      </c>
      <c r="C1258" s="4" t="s">
        <v>4146</v>
      </c>
      <c r="D1258" s="4" t="s">
        <v>2994</v>
      </c>
      <c r="E1258" s="4" t="s">
        <v>4147</v>
      </c>
      <c r="F1258" s="4" t="s">
        <v>4159</v>
      </c>
      <c r="G1258" s="4" t="s">
        <v>4149</v>
      </c>
      <c r="H1258" s="4" t="s">
        <v>4156</v>
      </c>
      <c r="I1258" s="4" t="s">
        <v>824</v>
      </c>
    </row>
    <row r="1259" spans="1:9" x14ac:dyDescent="0.3">
      <c r="A1259">
        <v>1262</v>
      </c>
      <c r="B1259" s="4" t="s">
        <v>4162</v>
      </c>
      <c r="C1259" s="4" t="s">
        <v>4146</v>
      </c>
      <c r="D1259" s="4" t="s">
        <v>3001</v>
      </c>
      <c r="E1259" s="4" t="s">
        <v>4147</v>
      </c>
      <c r="F1259" s="4" t="s">
        <v>4157</v>
      </c>
      <c r="G1259" s="4" t="s">
        <v>4149</v>
      </c>
      <c r="H1259" s="4" t="s">
        <v>4156</v>
      </c>
      <c r="I1259" s="4" t="s">
        <v>824</v>
      </c>
    </row>
    <row r="1260" spans="1:9" x14ac:dyDescent="0.3">
      <c r="A1260">
        <v>1263</v>
      </c>
      <c r="B1260" s="4" t="s">
        <v>4162</v>
      </c>
      <c r="C1260" s="4" t="s">
        <v>4154</v>
      </c>
      <c r="D1260" s="4" t="s">
        <v>2996</v>
      </c>
      <c r="E1260" s="4" t="s">
        <v>4151</v>
      </c>
      <c r="F1260" s="4" t="s">
        <v>4148</v>
      </c>
      <c r="G1260" s="4" t="s">
        <v>4153</v>
      </c>
      <c r="H1260" s="4" t="s">
        <v>4156</v>
      </c>
      <c r="I1260" s="4" t="s">
        <v>824</v>
      </c>
    </row>
    <row r="1261" spans="1:9" x14ac:dyDescent="0.3">
      <c r="A1261">
        <v>1264</v>
      </c>
      <c r="B1261" s="4" t="s">
        <v>4162</v>
      </c>
      <c r="C1261" s="4" t="s">
        <v>4154</v>
      </c>
      <c r="D1261" s="4" t="s">
        <v>2996</v>
      </c>
      <c r="E1261" s="4" t="s">
        <v>4151</v>
      </c>
      <c r="F1261" s="4" t="s">
        <v>4152</v>
      </c>
      <c r="G1261" s="4" t="s">
        <v>4153</v>
      </c>
      <c r="H1261" s="4" t="s">
        <v>4156</v>
      </c>
      <c r="I1261" s="4" t="s">
        <v>824</v>
      </c>
    </row>
    <row r="1262" spans="1:9" x14ac:dyDescent="0.3">
      <c r="A1262">
        <v>1265</v>
      </c>
      <c r="B1262" s="4" t="s">
        <v>4162</v>
      </c>
      <c r="C1262" s="4" t="s">
        <v>4154</v>
      </c>
      <c r="D1262" s="4" t="s">
        <v>2999</v>
      </c>
      <c r="E1262" s="4" t="s">
        <v>4151</v>
      </c>
      <c r="F1262" s="4" t="s">
        <v>4155</v>
      </c>
      <c r="G1262" s="4" t="s">
        <v>4153</v>
      </c>
      <c r="H1262" s="4" t="s">
        <v>4156</v>
      </c>
      <c r="I1262" s="4" t="s">
        <v>824</v>
      </c>
    </row>
    <row r="1263" spans="1:9" x14ac:dyDescent="0.3">
      <c r="A1263">
        <v>1266</v>
      </c>
      <c r="B1263" s="4" t="s">
        <v>4162</v>
      </c>
      <c r="C1263" s="4" t="s">
        <v>4154</v>
      </c>
      <c r="D1263" s="4" t="s">
        <v>2994</v>
      </c>
      <c r="E1263" s="4" t="s">
        <v>4147</v>
      </c>
      <c r="F1263" s="4" t="s">
        <v>4152</v>
      </c>
      <c r="G1263" s="4" t="s">
        <v>4153</v>
      </c>
      <c r="H1263" s="4" t="s">
        <v>4156</v>
      </c>
      <c r="I1263" s="4" t="s">
        <v>824</v>
      </c>
    </row>
    <row r="1264" spans="1:9" x14ac:dyDescent="0.3">
      <c r="A1264">
        <v>1267</v>
      </c>
      <c r="B1264" s="4" t="s">
        <v>4162</v>
      </c>
      <c r="C1264" s="4" t="s">
        <v>4154</v>
      </c>
      <c r="D1264" s="4" t="s">
        <v>2999</v>
      </c>
      <c r="E1264" s="4" t="s">
        <v>4151</v>
      </c>
      <c r="F1264" s="4" t="s">
        <v>4155</v>
      </c>
      <c r="G1264" s="4" t="s">
        <v>4153</v>
      </c>
      <c r="H1264" s="4" t="s">
        <v>4156</v>
      </c>
      <c r="I1264" s="4" t="s">
        <v>824</v>
      </c>
    </row>
    <row r="1265" spans="1:9" x14ac:dyDescent="0.3">
      <c r="A1265">
        <v>1268</v>
      </c>
      <c r="B1265" s="4" t="s">
        <v>4162</v>
      </c>
      <c r="C1265" s="4" t="s">
        <v>4154</v>
      </c>
      <c r="D1265" s="4" t="s">
        <v>3001</v>
      </c>
      <c r="E1265" s="4" t="s">
        <v>4147</v>
      </c>
      <c r="F1265" s="4" t="s">
        <v>4148</v>
      </c>
      <c r="G1265" s="4" t="s">
        <v>4153</v>
      </c>
      <c r="H1265" s="4" t="s">
        <v>4156</v>
      </c>
      <c r="I1265" s="4" t="s">
        <v>824</v>
      </c>
    </row>
    <row r="1266" spans="1:9" x14ac:dyDescent="0.3">
      <c r="A1266">
        <v>1269</v>
      </c>
      <c r="B1266" s="4" t="s">
        <v>4162</v>
      </c>
      <c r="C1266" s="4" t="s">
        <v>4154</v>
      </c>
      <c r="D1266" s="4" t="s">
        <v>2999</v>
      </c>
      <c r="E1266" s="4" t="s">
        <v>4151</v>
      </c>
      <c r="F1266" s="4" t="s">
        <v>4148</v>
      </c>
      <c r="G1266" s="4" t="s">
        <v>4149</v>
      </c>
      <c r="H1266" s="4" t="s">
        <v>4156</v>
      </c>
      <c r="I1266" s="4" t="s">
        <v>824</v>
      </c>
    </row>
    <row r="1267" spans="1:9" x14ac:dyDescent="0.3">
      <c r="A1267">
        <v>1270</v>
      </c>
      <c r="B1267" s="4" t="s">
        <v>4162</v>
      </c>
      <c r="C1267" s="4" t="s">
        <v>4154</v>
      </c>
      <c r="D1267" s="4" t="s">
        <v>2999</v>
      </c>
      <c r="E1267" s="4" t="s">
        <v>4151</v>
      </c>
      <c r="F1267" s="4" t="s">
        <v>4155</v>
      </c>
      <c r="G1267" s="4" t="s">
        <v>4149</v>
      </c>
      <c r="H1267" s="4" t="s">
        <v>4156</v>
      </c>
      <c r="I1267" s="4" t="s">
        <v>824</v>
      </c>
    </row>
    <row r="1268" spans="1:9" x14ac:dyDescent="0.3">
      <c r="A1268">
        <v>1271</v>
      </c>
      <c r="B1268" s="4" t="s">
        <v>4162</v>
      </c>
      <c r="C1268" s="4" t="s">
        <v>4154</v>
      </c>
      <c r="D1268" s="4" t="s">
        <v>2999</v>
      </c>
      <c r="E1268" s="4" t="s">
        <v>4151</v>
      </c>
      <c r="F1268" s="4" t="s">
        <v>4148</v>
      </c>
      <c r="G1268" s="4" t="s">
        <v>4149</v>
      </c>
      <c r="H1268" s="4" t="s">
        <v>4156</v>
      </c>
      <c r="I1268" s="4" t="s">
        <v>824</v>
      </c>
    </row>
    <row r="1269" spans="1:9" x14ac:dyDescent="0.3">
      <c r="A1269">
        <v>1272</v>
      </c>
      <c r="B1269" s="4" t="s">
        <v>4162</v>
      </c>
      <c r="C1269" s="4" t="s">
        <v>4154</v>
      </c>
      <c r="D1269" s="4" t="s">
        <v>2999</v>
      </c>
      <c r="E1269" s="4" t="s">
        <v>4151</v>
      </c>
      <c r="F1269" s="4" t="s">
        <v>4148</v>
      </c>
      <c r="G1269" s="4" t="s">
        <v>4149</v>
      </c>
      <c r="H1269" s="4" t="s">
        <v>4156</v>
      </c>
      <c r="I1269" s="4" t="s">
        <v>824</v>
      </c>
    </row>
    <row r="1270" spans="1:9" x14ac:dyDescent="0.3">
      <c r="A1270">
        <v>1273</v>
      </c>
      <c r="B1270" s="4" t="s">
        <v>4162</v>
      </c>
      <c r="C1270" s="4" t="s">
        <v>4154</v>
      </c>
      <c r="D1270" s="4" t="s">
        <v>2999</v>
      </c>
      <c r="E1270" s="4" t="s">
        <v>4151</v>
      </c>
      <c r="F1270" s="4" t="s">
        <v>4155</v>
      </c>
      <c r="G1270" s="4" t="s">
        <v>4149</v>
      </c>
      <c r="H1270" s="4" t="s">
        <v>4156</v>
      </c>
      <c r="I1270" s="4" t="s">
        <v>824</v>
      </c>
    </row>
    <row r="1271" spans="1:9" x14ac:dyDescent="0.3">
      <c r="A1271">
        <v>1274</v>
      </c>
      <c r="B1271" s="4" t="s">
        <v>4162</v>
      </c>
      <c r="C1271" s="4" t="s">
        <v>4154</v>
      </c>
      <c r="D1271" s="4" t="s">
        <v>2994</v>
      </c>
      <c r="E1271" s="4" t="s">
        <v>4147</v>
      </c>
      <c r="F1271" s="4" t="s">
        <v>4159</v>
      </c>
      <c r="G1271" s="4" t="s">
        <v>4153</v>
      </c>
      <c r="H1271" s="4" t="s">
        <v>4156</v>
      </c>
      <c r="I1271" s="4" t="s">
        <v>824</v>
      </c>
    </row>
    <row r="1272" spans="1:9" x14ac:dyDescent="0.3">
      <c r="A1272">
        <v>1275</v>
      </c>
      <c r="B1272" s="4" t="s">
        <v>4162</v>
      </c>
      <c r="C1272" s="4" t="s">
        <v>4154</v>
      </c>
      <c r="D1272" s="4" t="s">
        <v>2999</v>
      </c>
      <c r="E1272" s="4" t="s">
        <v>4151</v>
      </c>
      <c r="F1272" s="4" t="s">
        <v>4155</v>
      </c>
      <c r="G1272" s="4" t="s">
        <v>4153</v>
      </c>
      <c r="H1272" s="4" t="s">
        <v>4156</v>
      </c>
      <c r="I1272" s="4" t="s">
        <v>824</v>
      </c>
    </row>
    <row r="1273" spans="1:9" x14ac:dyDescent="0.3">
      <c r="A1273">
        <v>1276</v>
      </c>
      <c r="B1273" s="4" t="s">
        <v>4162</v>
      </c>
      <c r="C1273" s="4" t="s">
        <v>4154</v>
      </c>
      <c r="D1273" s="4" t="s">
        <v>2999</v>
      </c>
      <c r="E1273" s="4" t="s">
        <v>4151</v>
      </c>
      <c r="F1273" s="4" t="s">
        <v>4159</v>
      </c>
      <c r="G1273" s="4" t="s">
        <v>4153</v>
      </c>
      <c r="H1273" s="4" t="s">
        <v>4156</v>
      </c>
      <c r="I1273" s="4" t="s">
        <v>824</v>
      </c>
    </row>
    <row r="1274" spans="1:9" x14ac:dyDescent="0.3">
      <c r="A1274">
        <v>1277</v>
      </c>
      <c r="B1274" s="4" t="s">
        <v>4162</v>
      </c>
      <c r="C1274" s="4" t="s">
        <v>4154</v>
      </c>
      <c r="D1274" s="4" t="s">
        <v>3001</v>
      </c>
      <c r="E1274" s="4" t="s">
        <v>4147</v>
      </c>
      <c r="F1274" s="4" t="s">
        <v>4155</v>
      </c>
      <c r="G1274" s="4" t="s">
        <v>4153</v>
      </c>
      <c r="H1274" s="4" t="s">
        <v>4156</v>
      </c>
      <c r="I1274" s="4" t="s">
        <v>824</v>
      </c>
    </row>
    <row r="1275" spans="1:9" x14ac:dyDescent="0.3">
      <c r="A1275">
        <v>1278</v>
      </c>
      <c r="B1275" s="4" t="s">
        <v>4162</v>
      </c>
      <c r="C1275" s="4" t="s">
        <v>4146</v>
      </c>
      <c r="D1275" s="4" t="s">
        <v>2999</v>
      </c>
      <c r="E1275" s="4" t="s">
        <v>4151</v>
      </c>
      <c r="F1275" s="4" t="s">
        <v>4148</v>
      </c>
      <c r="G1275" s="4" t="s">
        <v>4149</v>
      </c>
      <c r="H1275" s="4" t="s">
        <v>4156</v>
      </c>
      <c r="I1275" s="4" t="s">
        <v>4178</v>
      </c>
    </row>
    <row r="1276" spans="1:9" x14ac:dyDescent="0.3">
      <c r="A1276">
        <v>1279</v>
      </c>
      <c r="B1276" s="4" t="s">
        <v>4162</v>
      </c>
      <c r="C1276" s="4" t="s">
        <v>4154</v>
      </c>
      <c r="D1276" s="4" t="s">
        <v>2999</v>
      </c>
      <c r="E1276" s="4" t="s">
        <v>4151</v>
      </c>
      <c r="F1276" s="4" t="s">
        <v>4148</v>
      </c>
      <c r="G1276" s="4" t="s">
        <v>4149</v>
      </c>
      <c r="H1276" s="4" t="s">
        <v>4156</v>
      </c>
      <c r="I1276" s="4" t="s">
        <v>824</v>
      </c>
    </row>
    <row r="1277" spans="1:9" x14ac:dyDescent="0.3">
      <c r="A1277">
        <v>1280</v>
      </c>
      <c r="B1277" s="4" t="s">
        <v>4162</v>
      </c>
      <c r="C1277" s="4" t="s">
        <v>4154</v>
      </c>
      <c r="D1277" s="4" t="s">
        <v>2994</v>
      </c>
      <c r="E1277" s="4" t="s">
        <v>4147</v>
      </c>
      <c r="F1277" s="4" t="s">
        <v>4159</v>
      </c>
      <c r="G1277" s="4" t="s">
        <v>4149</v>
      </c>
      <c r="H1277" s="4" t="s">
        <v>4156</v>
      </c>
      <c r="I1277" s="4" t="s">
        <v>824</v>
      </c>
    </row>
    <row r="1278" spans="1:9" x14ac:dyDescent="0.3">
      <c r="A1278">
        <v>1281</v>
      </c>
      <c r="B1278" s="4" t="s">
        <v>4162</v>
      </c>
      <c r="C1278" s="4" t="s">
        <v>4154</v>
      </c>
      <c r="D1278" s="4" t="s">
        <v>2999</v>
      </c>
      <c r="E1278" s="4" t="s">
        <v>4151</v>
      </c>
      <c r="F1278" s="4" t="s">
        <v>4148</v>
      </c>
      <c r="G1278" s="4" t="s">
        <v>4149</v>
      </c>
      <c r="H1278" s="4" t="s">
        <v>4156</v>
      </c>
      <c r="I1278" s="4" t="s">
        <v>824</v>
      </c>
    </row>
    <row r="1279" spans="1:9" x14ac:dyDescent="0.3">
      <c r="A1279">
        <v>1282</v>
      </c>
      <c r="B1279" s="4" t="s">
        <v>4162</v>
      </c>
      <c r="C1279" s="4" t="s">
        <v>4154</v>
      </c>
      <c r="D1279" s="4" t="s">
        <v>2999</v>
      </c>
      <c r="E1279" s="4" t="s">
        <v>4151</v>
      </c>
      <c r="F1279" s="4" t="s">
        <v>4148</v>
      </c>
      <c r="G1279" s="4" t="s">
        <v>4149</v>
      </c>
      <c r="H1279" s="4" t="s">
        <v>4156</v>
      </c>
      <c r="I1279" s="4" t="s">
        <v>824</v>
      </c>
    </row>
    <row r="1280" spans="1:9" x14ac:dyDescent="0.3">
      <c r="A1280">
        <v>1283</v>
      </c>
      <c r="B1280" s="4" t="s">
        <v>4162</v>
      </c>
      <c r="C1280" s="4" t="s">
        <v>4154</v>
      </c>
      <c r="D1280" s="4" t="s">
        <v>2999</v>
      </c>
      <c r="E1280" s="4" t="s">
        <v>4151</v>
      </c>
      <c r="F1280" s="4" t="s">
        <v>4148</v>
      </c>
      <c r="G1280" s="4" t="s">
        <v>4149</v>
      </c>
      <c r="H1280" s="4" t="s">
        <v>4156</v>
      </c>
      <c r="I1280" s="4" t="s">
        <v>824</v>
      </c>
    </row>
    <row r="1281" spans="1:9" x14ac:dyDescent="0.3">
      <c r="A1281">
        <v>1284</v>
      </c>
      <c r="B1281" s="4" t="s">
        <v>4162</v>
      </c>
      <c r="C1281" s="4" t="s">
        <v>4154</v>
      </c>
      <c r="D1281" s="4" t="s">
        <v>2999</v>
      </c>
      <c r="E1281" s="4" t="s">
        <v>4151</v>
      </c>
      <c r="F1281" s="4" t="s">
        <v>4148</v>
      </c>
      <c r="G1281" s="4" t="s">
        <v>4149</v>
      </c>
      <c r="H1281" s="4" t="s">
        <v>4156</v>
      </c>
      <c r="I1281" s="4" t="s">
        <v>824</v>
      </c>
    </row>
    <row r="1282" spans="1:9" x14ac:dyDescent="0.3">
      <c r="A1282">
        <v>1285</v>
      </c>
      <c r="B1282" s="4" t="s">
        <v>4162</v>
      </c>
      <c r="C1282" s="4" t="s">
        <v>4154</v>
      </c>
      <c r="D1282" s="4" t="s">
        <v>2999</v>
      </c>
      <c r="E1282" s="4" t="s">
        <v>4151</v>
      </c>
      <c r="F1282" s="4" t="s">
        <v>4148</v>
      </c>
      <c r="G1282" s="4" t="s">
        <v>4149</v>
      </c>
      <c r="H1282" s="4" t="s">
        <v>4156</v>
      </c>
      <c r="I1282" s="4" t="s">
        <v>824</v>
      </c>
    </row>
    <row r="1283" spans="1:9" x14ac:dyDescent="0.3">
      <c r="A1283">
        <v>1286</v>
      </c>
      <c r="B1283" s="4" t="s">
        <v>4162</v>
      </c>
      <c r="C1283" s="4" t="s">
        <v>4154</v>
      </c>
      <c r="D1283" s="4" t="s">
        <v>2999</v>
      </c>
      <c r="E1283" s="4" t="s">
        <v>4151</v>
      </c>
      <c r="F1283" s="4" t="s">
        <v>4155</v>
      </c>
      <c r="G1283" s="4" t="s">
        <v>4149</v>
      </c>
      <c r="H1283" s="4" t="s">
        <v>4156</v>
      </c>
      <c r="I1283" s="4" t="s">
        <v>824</v>
      </c>
    </row>
    <row r="1284" spans="1:9" x14ac:dyDescent="0.3">
      <c r="A1284">
        <v>1287</v>
      </c>
      <c r="B1284" s="4" t="s">
        <v>4162</v>
      </c>
      <c r="C1284" s="4" t="s">
        <v>4146</v>
      </c>
      <c r="D1284" s="4" t="s">
        <v>3001</v>
      </c>
      <c r="E1284" s="4" t="s">
        <v>4147</v>
      </c>
      <c r="F1284" s="4" t="s">
        <v>4155</v>
      </c>
      <c r="G1284" s="4" t="s">
        <v>4149</v>
      </c>
      <c r="H1284" s="4" t="s">
        <v>4156</v>
      </c>
      <c r="I1284" s="4" t="s">
        <v>4178</v>
      </c>
    </row>
    <row r="1285" spans="1:9" x14ac:dyDescent="0.3">
      <c r="A1285">
        <v>1288</v>
      </c>
      <c r="B1285" s="4" t="s">
        <v>4162</v>
      </c>
      <c r="C1285" s="4" t="s">
        <v>4154</v>
      </c>
      <c r="D1285" s="4" t="s">
        <v>2999</v>
      </c>
      <c r="E1285" s="4" t="s">
        <v>4151</v>
      </c>
      <c r="F1285" s="4" t="s">
        <v>4157</v>
      </c>
      <c r="G1285" s="4" t="s">
        <v>4149</v>
      </c>
      <c r="H1285" s="4" t="s">
        <v>4156</v>
      </c>
      <c r="I1285" s="4" t="s">
        <v>824</v>
      </c>
    </row>
    <row r="1286" spans="1:9" x14ac:dyDescent="0.3">
      <c r="A1286">
        <v>1289</v>
      </c>
      <c r="B1286" s="4" t="s">
        <v>4162</v>
      </c>
      <c r="C1286" s="4" t="s">
        <v>4154</v>
      </c>
      <c r="D1286" s="4" t="s">
        <v>2999</v>
      </c>
      <c r="E1286" s="4" t="s">
        <v>4151</v>
      </c>
      <c r="F1286" s="4" t="s">
        <v>4159</v>
      </c>
      <c r="G1286" s="4" t="s">
        <v>4153</v>
      </c>
      <c r="H1286" s="4" t="s">
        <v>4156</v>
      </c>
      <c r="I1286" s="4" t="s">
        <v>824</v>
      </c>
    </row>
    <row r="1287" spans="1:9" x14ac:dyDescent="0.3">
      <c r="A1287">
        <v>1290</v>
      </c>
      <c r="B1287" s="4" t="s">
        <v>4162</v>
      </c>
      <c r="C1287" s="4" t="s">
        <v>4154</v>
      </c>
      <c r="D1287" s="4" t="s">
        <v>2999</v>
      </c>
      <c r="E1287" s="4" t="s">
        <v>4151</v>
      </c>
      <c r="F1287" s="4" t="s">
        <v>4148</v>
      </c>
      <c r="G1287" s="4" t="s">
        <v>4153</v>
      </c>
      <c r="H1287" s="4" t="s">
        <v>4156</v>
      </c>
      <c r="I1287" s="4" t="s">
        <v>824</v>
      </c>
    </row>
    <row r="1288" spans="1:9" x14ac:dyDescent="0.3">
      <c r="A1288">
        <v>1291</v>
      </c>
      <c r="B1288" s="4" t="s">
        <v>4162</v>
      </c>
      <c r="C1288" s="4" t="s">
        <v>4146</v>
      </c>
      <c r="D1288" s="4" t="s">
        <v>3001</v>
      </c>
      <c r="E1288" s="4" t="s">
        <v>4147</v>
      </c>
      <c r="F1288" s="4" t="s">
        <v>4155</v>
      </c>
      <c r="G1288" s="4" t="s">
        <v>4153</v>
      </c>
      <c r="H1288" s="4" t="s">
        <v>4156</v>
      </c>
      <c r="I1288" s="4" t="s">
        <v>824</v>
      </c>
    </row>
    <row r="1289" spans="1:9" x14ac:dyDescent="0.3">
      <c r="A1289">
        <v>1292</v>
      </c>
      <c r="B1289" s="4" t="s">
        <v>4162</v>
      </c>
      <c r="C1289" s="4" t="s">
        <v>4154</v>
      </c>
      <c r="D1289" s="4" t="s">
        <v>2999</v>
      </c>
      <c r="E1289" s="4" t="s">
        <v>4151</v>
      </c>
      <c r="F1289" s="4" t="s">
        <v>4148</v>
      </c>
      <c r="G1289" s="4" t="s">
        <v>4149</v>
      </c>
      <c r="H1289" s="4" t="s">
        <v>4156</v>
      </c>
      <c r="I1289" s="4" t="s">
        <v>824</v>
      </c>
    </row>
    <row r="1290" spans="1:9" x14ac:dyDescent="0.3">
      <c r="A1290">
        <v>1293</v>
      </c>
      <c r="B1290" s="4" t="s">
        <v>4162</v>
      </c>
      <c r="C1290" s="4" t="s">
        <v>4154</v>
      </c>
      <c r="D1290" s="4" t="s">
        <v>2999</v>
      </c>
      <c r="E1290" s="4" t="s">
        <v>4151</v>
      </c>
      <c r="F1290" s="4" t="s">
        <v>4148</v>
      </c>
      <c r="G1290" s="4" t="s">
        <v>4149</v>
      </c>
      <c r="H1290" s="4" t="s">
        <v>4156</v>
      </c>
      <c r="I1290" s="4" t="s">
        <v>824</v>
      </c>
    </row>
    <row r="1291" spans="1:9" x14ac:dyDescent="0.3">
      <c r="A1291">
        <v>1294</v>
      </c>
      <c r="B1291" s="4" t="s">
        <v>4162</v>
      </c>
      <c r="C1291" s="4" t="s">
        <v>4154</v>
      </c>
      <c r="D1291" s="4" t="s">
        <v>2999</v>
      </c>
      <c r="E1291" s="4" t="s">
        <v>4151</v>
      </c>
      <c r="F1291" s="4" t="s">
        <v>4148</v>
      </c>
      <c r="G1291" s="4" t="s">
        <v>4149</v>
      </c>
      <c r="H1291" s="4" t="s">
        <v>4156</v>
      </c>
      <c r="I1291" s="4" t="s">
        <v>824</v>
      </c>
    </row>
    <row r="1292" spans="1:9" x14ac:dyDescent="0.3">
      <c r="A1292">
        <v>1295</v>
      </c>
      <c r="B1292" s="4" t="s">
        <v>4162</v>
      </c>
      <c r="C1292" s="4" t="s">
        <v>4154</v>
      </c>
      <c r="D1292" s="4" t="s">
        <v>2999</v>
      </c>
      <c r="E1292" s="4" t="s">
        <v>4151</v>
      </c>
      <c r="F1292" s="4" t="s">
        <v>4148</v>
      </c>
      <c r="G1292" s="4" t="s">
        <v>4149</v>
      </c>
      <c r="H1292" s="4" t="s">
        <v>4156</v>
      </c>
      <c r="I1292" s="4" t="s">
        <v>824</v>
      </c>
    </row>
    <row r="1293" spans="1:9" x14ac:dyDescent="0.3">
      <c r="A1293">
        <v>1296</v>
      </c>
      <c r="B1293" s="4" t="s">
        <v>4162</v>
      </c>
      <c r="C1293" s="4" t="s">
        <v>4154</v>
      </c>
      <c r="D1293" s="4" t="s">
        <v>2999</v>
      </c>
      <c r="E1293" s="4" t="s">
        <v>4151</v>
      </c>
      <c r="F1293" s="4" t="s">
        <v>4148</v>
      </c>
      <c r="G1293" s="4" t="s">
        <v>4149</v>
      </c>
      <c r="H1293" s="4" t="s">
        <v>4156</v>
      </c>
      <c r="I1293" s="4" t="s">
        <v>824</v>
      </c>
    </row>
    <row r="1294" spans="1:9" x14ac:dyDescent="0.3">
      <c r="A1294">
        <v>1297</v>
      </c>
      <c r="B1294" s="4" t="s">
        <v>4162</v>
      </c>
      <c r="C1294" s="4" t="s">
        <v>4154</v>
      </c>
      <c r="D1294" s="4" t="s">
        <v>2999</v>
      </c>
      <c r="E1294" s="4" t="s">
        <v>4151</v>
      </c>
      <c r="F1294" s="4" t="s">
        <v>4148</v>
      </c>
      <c r="G1294" s="4" t="s">
        <v>4149</v>
      </c>
      <c r="H1294" s="4" t="s">
        <v>4156</v>
      </c>
      <c r="I1294" s="4" t="s">
        <v>824</v>
      </c>
    </row>
    <row r="1295" spans="1:9" x14ac:dyDescent="0.3">
      <c r="A1295">
        <v>1298</v>
      </c>
      <c r="B1295" s="4" t="s">
        <v>4162</v>
      </c>
      <c r="C1295" s="4" t="s">
        <v>4154</v>
      </c>
      <c r="D1295" s="4" t="s">
        <v>2999</v>
      </c>
      <c r="E1295" s="4" t="s">
        <v>4151</v>
      </c>
      <c r="F1295" s="4" t="s">
        <v>4148</v>
      </c>
      <c r="G1295" s="4" t="s">
        <v>4149</v>
      </c>
      <c r="H1295" s="4" t="s">
        <v>4156</v>
      </c>
      <c r="I1295" s="4" t="s">
        <v>824</v>
      </c>
    </row>
    <row r="1296" spans="1:9" x14ac:dyDescent="0.3">
      <c r="A1296">
        <v>1299</v>
      </c>
      <c r="B1296" s="4" t="s">
        <v>4162</v>
      </c>
      <c r="C1296" s="4" t="s">
        <v>4154</v>
      </c>
      <c r="D1296" s="4" t="s">
        <v>2999</v>
      </c>
      <c r="E1296" s="4" t="s">
        <v>4151</v>
      </c>
      <c r="F1296" s="4" t="s">
        <v>4155</v>
      </c>
      <c r="G1296" s="4" t="s">
        <v>4149</v>
      </c>
      <c r="H1296" s="4" t="s">
        <v>4156</v>
      </c>
      <c r="I1296" s="4" t="s">
        <v>824</v>
      </c>
    </row>
    <row r="1297" spans="1:9" x14ac:dyDescent="0.3">
      <c r="A1297">
        <v>1300</v>
      </c>
      <c r="B1297" s="4" t="s">
        <v>4162</v>
      </c>
      <c r="C1297" s="4" t="s">
        <v>4154</v>
      </c>
      <c r="D1297" s="4" t="s">
        <v>2999</v>
      </c>
      <c r="E1297" s="4" t="s">
        <v>4151</v>
      </c>
      <c r="F1297" s="4" t="s">
        <v>4148</v>
      </c>
      <c r="G1297" s="4" t="s">
        <v>4153</v>
      </c>
      <c r="H1297" s="4" t="s">
        <v>4156</v>
      </c>
      <c r="I1297" s="4" t="s">
        <v>4178</v>
      </c>
    </row>
    <row r="1298" spans="1:9" x14ac:dyDescent="0.3">
      <c r="A1298">
        <v>1301</v>
      </c>
      <c r="B1298" s="4" t="s">
        <v>4162</v>
      </c>
      <c r="C1298" s="4" t="s">
        <v>4146</v>
      </c>
      <c r="D1298" s="4" t="s">
        <v>3001</v>
      </c>
      <c r="E1298" s="4" t="s">
        <v>4147</v>
      </c>
      <c r="F1298" s="4" t="s">
        <v>4159</v>
      </c>
      <c r="G1298" s="4" t="s">
        <v>4153</v>
      </c>
      <c r="H1298" s="4" t="s">
        <v>4156</v>
      </c>
      <c r="I1298" s="4" t="s">
        <v>4178</v>
      </c>
    </row>
    <row r="1299" spans="1:9" x14ac:dyDescent="0.3">
      <c r="A1299">
        <v>1302</v>
      </c>
      <c r="B1299" s="4" t="s">
        <v>4162</v>
      </c>
      <c r="C1299" s="4" t="s">
        <v>4154</v>
      </c>
      <c r="D1299" s="4" t="s">
        <v>2999</v>
      </c>
      <c r="E1299" s="4" t="s">
        <v>4151</v>
      </c>
      <c r="F1299" s="4" t="s">
        <v>4155</v>
      </c>
      <c r="G1299" s="4" t="s">
        <v>4149</v>
      </c>
      <c r="H1299" s="4" t="s">
        <v>4156</v>
      </c>
      <c r="I1299" s="4" t="s">
        <v>4178</v>
      </c>
    </row>
    <row r="1300" spans="1:9" x14ac:dyDescent="0.3">
      <c r="A1300">
        <v>1303</v>
      </c>
      <c r="B1300" s="4" t="s">
        <v>4162</v>
      </c>
      <c r="C1300" s="4" t="s">
        <v>4154</v>
      </c>
      <c r="D1300" s="4" t="s">
        <v>2999</v>
      </c>
      <c r="E1300" s="4" t="s">
        <v>4151</v>
      </c>
      <c r="F1300" s="4" t="s">
        <v>4148</v>
      </c>
      <c r="G1300" s="4" t="s">
        <v>4149</v>
      </c>
      <c r="H1300" s="4" t="s">
        <v>4156</v>
      </c>
      <c r="I1300" s="4" t="s">
        <v>4178</v>
      </c>
    </row>
    <row r="1301" spans="1:9" x14ac:dyDescent="0.3">
      <c r="A1301">
        <v>1304</v>
      </c>
      <c r="B1301" s="4" t="s">
        <v>4162</v>
      </c>
      <c r="C1301" s="4" t="s">
        <v>4154</v>
      </c>
      <c r="D1301" s="4" t="s">
        <v>2999</v>
      </c>
      <c r="E1301" s="4" t="s">
        <v>4151</v>
      </c>
      <c r="F1301" s="4" t="s">
        <v>4148</v>
      </c>
      <c r="G1301" s="4" t="s">
        <v>4149</v>
      </c>
      <c r="H1301" s="4" t="s">
        <v>4156</v>
      </c>
      <c r="I1301" s="4" t="s">
        <v>4178</v>
      </c>
    </row>
    <row r="1302" spans="1:9" x14ac:dyDescent="0.3">
      <c r="A1302">
        <v>1305</v>
      </c>
      <c r="B1302" s="4" t="s">
        <v>4162</v>
      </c>
      <c r="C1302" s="4" t="s">
        <v>4154</v>
      </c>
      <c r="D1302" s="4" t="s">
        <v>2994</v>
      </c>
      <c r="E1302" s="4" t="s">
        <v>4147</v>
      </c>
      <c r="F1302" s="4" t="s">
        <v>4159</v>
      </c>
      <c r="G1302" s="4" t="s">
        <v>4153</v>
      </c>
      <c r="H1302" s="4" t="s">
        <v>4156</v>
      </c>
      <c r="I1302" s="4" t="s">
        <v>4178</v>
      </c>
    </row>
    <row r="1303" spans="1:9" x14ac:dyDescent="0.3">
      <c r="A1303">
        <v>1306</v>
      </c>
      <c r="B1303" s="4" t="s">
        <v>4162</v>
      </c>
      <c r="C1303" s="4" t="s">
        <v>4154</v>
      </c>
      <c r="D1303" s="4" t="s">
        <v>2994</v>
      </c>
      <c r="E1303" s="4" t="s">
        <v>4147</v>
      </c>
      <c r="F1303" s="4" t="s">
        <v>4148</v>
      </c>
      <c r="G1303" s="4" t="s">
        <v>4153</v>
      </c>
      <c r="H1303" s="4" t="s">
        <v>4156</v>
      </c>
      <c r="I1303" s="4" t="s">
        <v>4178</v>
      </c>
    </row>
    <row r="1304" spans="1:9" x14ac:dyDescent="0.3">
      <c r="A1304">
        <v>1307</v>
      </c>
      <c r="B1304" s="4" t="s">
        <v>4162</v>
      </c>
      <c r="C1304" s="4" t="s">
        <v>4154</v>
      </c>
      <c r="D1304" s="4" t="s">
        <v>2999</v>
      </c>
      <c r="E1304" s="4" t="s">
        <v>4151</v>
      </c>
      <c r="F1304" s="4" t="s">
        <v>4148</v>
      </c>
      <c r="G1304" s="4" t="s">
        <v>4149</v>
      </c>
      <c r="H1304" s="4" t="s">
        <v>4156</v>
      </c>
      <c r="I1304" s="4" t="s">
        <v>4178</v>
      </c>
    </row>
    <row r="1305" spans="1:9" x14ac:dyDescent="0.3">
      <c r="A1305">
        <v>1308</v>
      </c>
      <c r="B1305" s="4" t="s">
        <v>4162</v>
      </c>
      <c r="C1305" s="4" t="s">
        <v>4154</v>
      </c>
      <c r="D1305" s="4" t="s">
        <v>2999</v>
      </c>
      <c r="E1305" s="4" t="s">
        <v>4151</v>
      </c>
      <c r="F1305" s="4" t="s">
        <v>4148</v>
      </c>
      <c r="G1305" s="4" t="s">
        <v>4149</v>
      </c>
      <c r="H1305" s="4" t="s">
        <v>4156</v>
      </c>
      <c r="I1305" s="4" t="s">
        <v>4178</v>
      </c>
    </row>
    <row r="1306" spans="1:9" x14ac:dyDescent="0.3">
      <c r="A1306">
        <v>1309</v>
      </c>
      <c r="B1306" s="4" t="s">
        <v>4162</v>
      </c>
      <c r="C1306" s="4" t="s">
        <v>4154</v>
      </c>
      <c r="D1306" s="4" t="s">
        <v>2999</v>
      </c>
      <c r="E1306" s="4" t="s">
        <v>4151</v>
      </c>
      <c r="F1306" s="4" t="s">
        <v>4148</v>
      </c>
      <c r="G1306" s="4" t="s">
        <v>4149</v>
      </c>
      <c r="H1306" s="4" t="s">
        <v>4156</v>
      </c>
      <c r="I1306" s="4" t="s">
        <v>824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CB795-1FA7-4641-82CC-724E20945B75}">
  <sheetPr>
    <tabColor theme="4" tint="0.79998168889431442"/>
  </sheetPr>
  <dimension ref="A1:Z124"/>
  <sheetViews>
    <sheetView showGridLines="0" zoomScale="49" zoomScaleNormal="60" workbookViewId="0">
      <selection sqref="A1:F2"/>
    </sheetView>
  </sheetViews>
  <sheetFormatPr defaultRowHeight="14.4" x14ac:dyDescent="0.3"/>
  <cols>
    <col min="1" max="1" width="18.21875" bestFit="1" customWidth="1"/>
    <col min="2" max="2" width="22.5546875" bestFit="1" customWidth="1"/>
    <col min="3" max="3" width="22.88671875" bestFit="1" customWidth="1"/>
    <col min="4" max="5" width="19.21875" bestFit="1" customWidth="1"/>
    <col min="6" max="6" width="26" bestFit="1" customWidth="1"/>
    <col min="7" max="8" width="10.109375" bestFit="1" customWidth="1"/>
  </cols>
  <sheetData>
    <row r="1" spans="1:26" x14ac:dyDescent="0.3">
      <c r="A1" s="76" t="s">
        <v>4164</v>
      </c>
      <c r="B1" s="77"/>
      <c r="C1" s="77"/>
      <c r="D1" s="77"/>
      <c r="E1" s="77"/>
      <c r="F1" s="77"/>
    </row>
    <row r="2" spans="1:26" x14ac:dyDescent="0.3">
      <c r="A2" s="77"/>
      <c r="B2" s="77"/>
      <c r="C2" s="77"/>
      <c r="D2" s="77"/>
      <c r="E2" s="77"/>
      <c r="F2" s="77"/>
    </row>
    <row r="4" spans="1:26" ht="21" customHeight="1" x14ac:dyDescent="0.3">
      <c r="A4" s="64" t="s">
        <v>4167</v>
      </c>
      <c r="B4" s="64"/>
      <c r="C4" s="64"/>
      <c r="D4" s="64"/>
      <c r="E4" s="64"/>
      <c r="J4" s="30"/>
      <c r="K4" s="75" t="s">
        <v>4188</v>
      </c>
      <c r="L4" s="75"/>
      <c r="M4" s="75"/>
      <c r="N4" s="75"/>
      <c r="O4" s="75"/>
      <c r="P4" s="75"/>
      <c r="Q4" s="75"/>
      <c r="R4" s="75"/>
      <c r="S4" s="75"/>
      <c r="T4" s="75"/>
      <c r="U4" s="75"/>
      <c r="V4" s="75"/>
      <c r="W4" s="75"/>
      <c r="X4" s="75"/>
      <c r="Y4" s="75"/>
    </row>
    <row r="5" spans="1:26" ht="16.2" customHeight="1" thickBot="1" x14ac:dyDescent="0.35">
      <c r="J5" s="30"/>
      <c r="K5" s="75"/>
      <c r="L5" s="75"/>
      <c r="M5" s="75"/>
      <c r="N5" s="75"/>
      <c r="O5" s="75"/>
      <c r="P5" s="75"/>
      <c r="Q5" s="75"/>
      <c r="R5" s="75"/>
      <c r="S5" s="75"/>
      <c r="T5" s="75"/>
      <c r="U5" s="75"/>
      <c r="V5" s="75"/>
      <c r="W5" s="75"/>
      <c r="X5" s="75"/>
      <c r="Y5" s="75"/>
    </row>
    <row r="6" spans="1:26" ht="14.4" customHeight="1" thickBot="1" x14ac:dyDescent="0.35">
      <c r="A6" s="44" t="s">
        <v>2115</v>
      </c>
      <c r="B6" s="53" t="s">
        <v>4168</v>
      </c>
      <c r="C6" s="54" t="s">
        <v>4169</v>
      </c>
      <c r="J6" s="30"/>
      <c r="K6" s="66"/>
      <c r="L6" s="67" t="s">
        <v>4189</v>
      </c>
      <c r="M6" s="67"/>
      <c r="N6" s="67"/>
      <c r="O6" s="67"/>
      <c r="P6" s="67"/>
      <c r="Q6" s="67"/>
      <c r="R6" s="67"/>
      <c r="S6" s="67"/>
      <c r="T6" s="67"/>
      <c r="U6" s="67"/>
      <c r="V6" s="68"/>
      <c r="W6" s="68"/>
      <c r="X6" s="68"/>
      <c r="Y6" s="68"/>
      <c r="Z6" s="29"/>
    </row>
    <row r="7" spans="1:26" ht="18" x14ac:dyDescent="0.35">
      <c r="A7" s="45" t="s">
        <v>4154</v>
      </c>
      <c r="B7" s="49">
        <v>807</v>
      </c>
      <c r="C7" s="50">
        <v>0.61839080459770113</v>
      </c>
      <c r="J7" s="30"/>
      <c r="K7" s="69" t="s">
        <v>4190</v>
      </c>
      <c r="L7" s="67"/>
      <c r="M7" s="67"/>
      <c r="N7" s="67"/>
      <c r="O7" s="67"/>
      <c r="P7" s="67"/>
      <c r="Q7" s="67"/>
      <c r="R7" s="67"/>
      <c r="S7" s="67"/>
      <c r="T7" s="67"/>
      <c r="U7" s="67"/>
      <c r="V7" s="68"/>
      <c r="W7" s="68"/>
      <c r="X7" s="68"/>
      <c r="Y7" s="68"/>
      <c r="Z7" s="29"/>
    </row>
    <row r="8" spans="1:26" ht="16.2" thickBot="1" x14ac:dyDescent="0.35">
      <c r="A8" s="46" t="s">
        <v>4146</v>
      </c>
      <c r="B8" s="51">
        <v>498</v>
      </c>
      <c r="C8" s="16">
        <v>0.38160919540229887</v>
      </c>
      <c r="J8" s="30"/>
      <c r="K8" s="66"/>
      <c r="L8" s="67"/>
      <c r="M8" s="67"/>
      <c r="N8" s="67"/>
      <c r="O8" s="67"/>
      <c r="P8" s="67"/>
      <c r="Q8" s="67"/>
      <c r="R8" s="67"/>
      <c r="S8" s="67"/>
      <c r="T8" s="67"/>
      <c r="U8" s="67"/>
      <c r="V8" s="68"/>
      <c r="W8" s="68"/>
      <c r="X8" s="68"/>
      <c r="Y8" s="68"/>
      <c r="Z8" s="29"/>
    </row>
    <row r="9" spans="1:26" ht="15" customHeight="1" thickBot="1" x14ac:dyDescent="0.35">
      <c r="A9" s="47" t="s">
        <v>4166</v>
      </c>
      <c r="B9" s="52">
        <v>1305</v>
      </c>
      <c r="C9" s="19">
        <v>1</v>
      </c>
      <c r="J9" s="30"/>
      <c r="K9" s="70" t="s">
        <v>4201</v>
      </c>
      <c r="L9" s="71"/>
      <c r="M9" s="71"/>
      <c r="N9" s="71"/>
      <c r="O9" s="71"/>
      <c r="P9" s="71"/>
      <c r="Q9" s="71"/>
      <c r="R9" s="71"/>
      <c r="S9" s="71"/>
      <c r="T9" s="71"/>
      <c r="U9" s="71"/>
      <c r="V9" s="68"/>
      <c r="W9" s="68"/>
      <c r="X9" s="68"/>
      <c r="Y9" s="68"/>
      <c r="Z9" s="29"/>
    </row>
    <row r="10" spans="1:26" ht="15.6" x14ac:dyDescent="0.3">
      <c r="A10" s="7" t="s">
        <v>4182</v>
      </c>
      <c r="J10" s="30"/>
      <c r="K10" s="71"/>
      <c r="L10" s="71"/>
      <c r="M10" s="71"/>
      <c r="N10" s="71"/>
      <c r="O10" s="71"/>
      <c r="P10" s="71"/>
      <c r="Q10" s="71"/>
      <c r="R10" s="71"/>
      <c r="S10" s="71"/>
      <c r="T10" s="71"/>
      <c r="U10" s="71"/>
      <c r="V10" s="68"/>
      <c r="W10" s="68"/>
      <c r="X10" s="68"/>
      <c r="Y10" s="68"/>
      <c r="Z10" s="29"/>
    </row>
    <row r="11" spans="1:26" ht="15.6" x14ac:dyDescent="0.3">
      <c r="J11" s="30"/>
      <c r="K11" s="71"/>
      <c r="L11" s="71"/>
      <c r="M11" s="71"/>
      <c r="N11" s="71"/>
      <c r="O11" s="71"/>
      <c r="P11" s="71"/>
      <c r="Q11" s="71"/>
      <c r="R11" s="71"/>
      <c r="S11" s="71"/>
      <c r="T11" s="71"/>
      <c r="U11" s="71"/>
      <c r="V11" s="68"/>
      <c r="W11" s="68"/>
      <c r="X11" s="68"/>
      <c r="Y11" s="68"/>
      <c r="Z11" s="29"/>
    </row>
    <row r="12" spans="1:26" ht="21" x14ac:dyDescent="0.3">
      <c r="A12" s="64" t="s">
        <v>4170</v>
      </c>
      <c r="B12" s="64"/>
      <c r="C12" s="64"/>
      <c r="D12" s="64"/>
      <c r="E12" s="64"/>
      <c r="J12" s="30"/>
      <c r="K12" s="71"/>
      <c r="L12" s="71"/>
      <c r="M12" s="71"/>
      <c r="N12" s="71"/>
      <c r="O12" s="71"/>
      <c r="P12" s="71"/>
      <c r="Q12" s="71"/>
      <c r="R12" s="71"/>
      <c r="S12" s="71"/>
      <c r="T12" s="71"/>
      <c r="U12" s="71"/>
      <c r="V12" s="68"/>
      <c r="W12" s="68"/>
      <c r="X12" s="68"/>
      <c r="Y12" s="68"/>
      <c r="Z12" s="29"/>
    </row>
    <row r="13" spans="1:26" ht="16.2" thickBot="1" x14ac:dyDescent="0.35">
      <c r="A13" s="6"/>
      <c r="B13" s="6"/>
      <c r="C13" s="6"/>
      <c r="D13" s="6"/>
      <c r="E13" s="6"/>
      <c r="J13" s="30"/>
      <c r="K13" s="71"/>
      <c r="L13" s="71"/>
      <c r="M13" s="71"/>
      <c r="N13" s="71"/>
      <c r="O13" s="71"/>
      <c r="P13" s="71"/>
      <c r="Q13" s="71"/>
      <c r="R13" s="71"/>
      <c r="S13" s="71"/>
      <c r="T13" s="71"/>
      <c r="U13" s="71"/>
      <c r="V13" s="68"/>
      <c r="W13" s="68"/>
      <c r="X13" s="68"/>
      <c r="Y13" s="68"/>
      <c r="Z13" s="29"/>
    </row>
    <row r="14" spans="1:26" ht="15.6" x14ac:dyDescent="0.3">
      <c r="A14" s="20"/>
      <c r="B14" s="21" t="s">
        <v>2115</v>
      </c>
      <c r="C14" s="21" t="s">
        <v>4176</v>
      </c>
      <c r="D14" s="13"/>
      <c r="E14" s="13"/>
      <c r="F14" s="13"/>
      <c r="G14" s="14"/>
      <c r="J14" s="30"/>
      <c r="K14" s="71"/>
      <c r="L14" s="71"/>
      <c r="M14" s="71"/>
      <c r="N14" s="71"/>
      <c r="O14" s="71"/>
      <c r="P14" s="71"/>
      <c r="Q14" s="71"/>
      <c r="R14" s="71"/>
      <c r="S14" s="71"/>
      <c r="T14" s="71"/>
      <c r="U14" s="71"/>
      <c r="V14" s="68"/>
      <c r="W14" s="68"/>
      <c r="X14" s="68"/>
      <c r="Y14" s="68"/>
      <c r="Z14" s="29"/>
    </row>
    <row r="15" spans="1:26" ht="15.6" x14ac:dyDescent="0.3">
      <c r="A15" s="15"/>
      <c r="B15" s="9" t="s">
        <v>4146</v>
      </c>
      <c r="C15" s="9"/>
      <c r="D15" s="9" t="s">
        <v>4154</v>
      </c>
      <c r="E15" s="9"/>
      <c r="F15" s="9" t="s">
        <v>4174</v>
      </c>
      <c r="G15" s="22" t="s">
        <v>4175</v>
      </c>
      <c r="J15" s="30"/>
      <c r="K15" s="71"/>
      <c r="L15" s="71"/>
      <c r="M15" s="71"/>
      <c r="N15" s="71"/>
      <c r="O15" s="71"/>
      <c r="P15" s="71"/>
      <c r="Q15" s="71"/>
      <c r="R15" s="71"/>
      <c r="S15" s="71"/>
      <c r="T15" s="71"/>
      <c r="U15" s="71"/>
      <c r="V15" s="68"/>
      <c r="W15" s="68"/>
      <c r="X15" s="68"/>
      <c r="Y15" s="68"/>
      <c r="Z15" s="29"/>
    </row>
    <row r="16" spans="1:26" ht="15.6" x14ac:dyDescent="0.3">
      <c r="A16" s="23" t="s">
        <v>2116</v>
      </c>
      <c r="B16" s="9" t="s">
        <v>4172</v>
      </c>
      <c r="C16" s="9" t="s">
        <v>4169</v>
      </c>
      <c r="D16" s="9" t="s">
        <v>4172</v>
      </c>
      <c r="E16" s="9" t="s">
        <v>4169</v>
      </c>
      <c r="F16" s="9"/>
      <c r="G16" s="22"/>
      <c r="J16" s="30"/>
      <c r="K16" s="71"/>
      <c r="L16" s="71"/>
      <c r="M16" s="71"/>
      <c r="N16" s="71"/>
      <c r="O16" s="71"/>
      <c r="P16" s="71"/>
      <c r="Q16" s="71"/>
      <c r="R16" s="71"/>
      <c r="S16" s="71"/>
      <c r="T16" s="71"/>
      <c r="U16" s="71"/>
      <c r="V16" s="68"/>
      <c r="W16" s="68"/>
      <c r="X16" s="68"/>
      <c r="Y16" s="68"/>
      <c r="Z16" s="29"/>
    </row>
    <row r="17" spans="1:26" ht="15.6" x14ac:dyDescent="0.3">
      <c r="A17" s="15" t="s">
        <v>4145</v>
      </c>
      <c r="B17" s="10">
        <v>198</v>
      </c>
      <c r="C17" s="11">
        <v>0.62068965517241381</v>
      </c>
      <c r="D17" s="10">
        <v>121</v>
      </c>
      <c r="E17" s="11">
        <v>0.37931034482758619</v>
      </c>
      <c r="F17" s="35">
        <v>319</v>
      </c>
      <c r="G17" s="16">
        <v>1</v>
      </c>
      <c r="J17" s="30"/>
      <c r="K17" s="71"/>
      <c r="L17" s="71"/>
      <c r="M17" s="71"/>
      <c r="N17" s="71"/>
      <c r="O17" s="71"/>
      <c r="P17" s="71"/>
      <c r="Q17" s="71"/>
      <c r="R17" s="71"/>
      <c r="S17" s="71"/>
      <c r="T17" s="71"/>
      <c r="U17" s="71"/>
      <c r="V17" s="68"/>
      <c r="W17" s="68"/>
      <c r="X17" s="68"/>
      <c r="Y17" s="68"/>
      <c r="Z17" s="29"/>
    </row>
    <row r="18" spans="1:26" ht="15.6" x14ac:dyDescent="0.3">
      <c r="A18" s="15" t="s">
        <v>4161</v>
      </c>
      <c r="B18" s="10">
        <v>119</v>
      </c>
      <c r="C18" s="11">
        <v>0.4296028880866426</v>
      </c>
      <c r="D18" s="10">
        <v>158</v>
      </c>
      <c r="E18" s="11">
        <v>0.5703971119133574</v>
      </c>
      <c r="F18" s="35">
        <v>277</v>
      </c>
      <c r="G18" s="16">
        <v>1</v>
      </c>
      <c r="J18" s="30"/>
      <c r="K18" s="66"/>
      <c r="L18" s="67"/>
      <c r="M18" s="67"/>
      <c r="N18" s="67"/>
      <c r="O18" s="67"/>
      <c r="P18" s="67"/>
      <c r="Q18" s="67"/>
      <c r="R18" s="67"/>
      <c r="S18" s="67"/>
      <c r="T18" s="67"/>
      <c r="U18" s="67"/>
      <c r="V18" s="68"/>
      <c r="W18" s="68"/>
      <c r="X18" s="68"/>
      <c r="Y18" s="68"/>
      <c r="Z18" s="29"/>
    </row>
    <row r="19" spans="1:26" ht="18" x14ac:dyDescent="0.35">
      <c r="A19" s="15" t="s">
        <v>4162</v>
      </c>
      <c r="B19" s="10">
        <v>181</v>
      </c>
      <c r="C19" s="11">
        <v>0.25528913963328631</v>
      </c>
      <c r="D19" s="10">
        <v>528</v>
      </c>
      <c r="E19" s="11">
        <v>0.74471086036671363</v>
      </c>
      <c r="F19" s="35">
        <v>709</v>
      </c>
      <c r="G19" s="16">
        <v>1</v>
      </c>
      <c r="J19" s="30"/>
      <c r="K19" s="69" t="s">
        <v>4191</v>
      </c>
      <c r="L19" s="67"/>
      <c r="M19" s="67"/>
      <c r="N19" s="67"/>
      <c r="O19" s="67"/>
      <c r="P19" s="67"/>
      <c r="Q19" s="67"/>
      <c r="R19" s="67"/>
      <c r="S19" s="67"/>
      <c r="T19" s="67"/>
      <c r="U19" s="67"/>
      <c r="V19" s="68"/>
      <c r="W19" s="68"/>
      <c r="X19" s="68"/>
      <c r="Y19" s="68"/>
      <c r="Z19" s="29"/>
    </row>
    <row r="20" spans="1:26" ht="16.2" thickBot="1" x14ac:dyDescent="0.35">
      <c r="A20" s="17" t="s">
        <v>4166</v>
      </c>
      <c r="B20" s="18">
        <v>498</v>
      </c>
      <c r="C20" s="24">
        <v>0.38160919540229887</v>
      </c>
      <c r="D20" s="18">
        <v>807</v>
      </c>
      <c r="E20" s="24">
        <v>0.61839080459770113</v>
      </c>
      <c r="F20" s="18">
        <v>1305</v>
      </c>
      <c r="G20" s="19">
        <v>1</v>
      </c>
      <c r="J20" s="30"/>
      <c r="K20" s="66"/>
      <c r="L20" s="67"/>
      <c r="M20" s="67"/>
      <c r="N20" s="67"/>
      <c r="O20" s="67"/>
      <c r="P20" s="67"/>
      <c r="Q20" s="67"/>
      <c r="R20" s="67"/>
      <c r="S20" s="67"/>
      <c r="T20" s="67"/>
      <c r="U20" s="67"/>
      <c r="V20" s="68"/>
      <c r="W20" s="68"/>
      <c r="X20" s="68"/>
      <c r="Y20" s="68"/>
      <c r="Z20" s="29"/>
    </row>
    <row r="21" spans="1:26" ht="15.6" customHeight="1" x14ac:dyDescent="0.3">
      <c r="A21" s="7" t="s">
        <v>4183</v>
      </c>
      <c r="B21" s="4"/>
      <c r="C21" s="5"/>
      <c r="D21" s="4"/>
      <c r="E21" s="5"/>
      <c r="F21" s="4"/>
      <c r="G21" s="5"/>
      <c r="J21" s="30"/>
      <c r="K21" s="70" t="s">
        <v>4194</v>
      </c>
      <c r="L21" s="70"/>
      <c r="M21" s="70"/>
      <c r="N21" s="70"/>
      <c r="O21" s="70"/>
      <c r="P21" s="70"/>
      <c r="Q21" s="70"/>
      <c r="R21" s="70"/>
      <c r="S21" s="70"/>
      <c r="T21" s="70"/>
      <c r="U21" s="70"/>
      <c r="V21" s="68"/>
      <c r="W21" s="68"/>
      <c r="X21" s="68"/>
      <c r="Y21" s="68"/>
      <c r="Z21" s="29"/>
    </row>
    <row r="22" spans="1:26" ht="15.6" x14ac:dyDescent="0.3">
      <c r="J22" s="30"/>
      <c r="K22" s="70"/>
      <c r="L22" s="70"/>
      <c r="M22" s="70"/>
      <c r="N22" s="70"/>
      <c r="O22" s="70"/>
      <c r="P22" s="70"/>
      <c r="Q22" s="70"/>
      <c r="R22" s="70"/>
      <c r="S22" s="70"/>
      <c r="T22" s="70"/>
      <c r="U22" s="70"/>
      <c r="V22" s="68"/>
      <c r="W22" s="68"/>
      <c r="X22" s="68"/>
      <c r="Y22" s="68"/>
      <c r="Z22" s="29"/>
    </row>
    <row r="23" spans="1:26" ht="21" x14ac:dyDescent="0.3">
      <c r="A23" s="64" t="s">
        <v>4173</v>
      </c>
      <c r="B23" s="64"/>
      <c r="C23" s="64"/>
      <c r="D23" s="64"/>
      <c r="E23" s="64"/>
      <c r="J23" s="30"/>
      <c r="K23" s="70"/>
      <c r="L23" s="70"/>
      <c r="M23" s="70"/>
      <c r="N23" s="70"/>
      <c r="O23" s="70"/>
      <c r="P23" s="70"/>
      <c r="Q23" s="70"/>
      <c r="R23" s="70"/>
      <c r="S23" s="70"/>
      <c r="T23" s="70"/>
      <c r="U23" s="70"/>
      <c r="V23" s="68"/>
      <c r="W23" s="68"/>
      <c r="X23" s="68"/>
      <c r="Y23" s="68"/>
      <c r="Z23" s="29"/>
    </row>
    <row r="24" spans="1:26" ht="16.2" thickBot="1" x14ac:dyDescent="0.35">
      <c r="J24" s="30"/>
      <c r="K24" s="70"/>
      <c r="L24" s="70"/>
      <c r="M24" s="70"/>
      <c r="N24" s="70"/>
      <c r="O24" s="70"/>
      <c r="P24" s="70"/>
      <c r="Q24" s="70"/>
      <c r="R24" s="70"/>
      <c r="S24" s="70"/>
      <c r="T24" s="70"/>
      <c r="U24" s="70"/>
      <c r="V24" s="68"/>
      <c r="W24" s="68"/>
      <c r="X24" s="68"/>
      <c r="Y24" s="68"/>
      <c r="Z24" s="29"/>
    </row>
    <row r="25" spans="1:26" ht="15.6" x14ac:dyDescent="0.3">
      <c r="A25" s="20"/>
      <c r="B25" s="21" t="s">
        <v>2115</v>
      </c>
      <c r="C25" s="21" t="s">
        <v>4176</v>
      </c>
      <c r="D25" s="13"/>
      <c r="E25" s="13"/>
      <c r="F25" s="13"/>
      <c r="G25" s="14"/>
      <c r="J25" s="30"/>
      <c r="K25" s="70"/>
      <c r="L25" s="70"/>
      <c r="M25" s="70"/>
      <c r="N25" s="70"/>
      <c r="O25" s="70"/>
      <c r="P25" s="70"/>
      <c r="Q25" s="70"/>
      <c r="R25" s="70"/>
      <c r="S25" s="70"/>
      <c r="T25" s="70"/>
      <c r="U25" s="70"/>
      <c r="V25" s="68"/>
      <c r="W25" s="68"/>
      <c r="X25" s="68"/>
      <c r="Y25" s="68"/>
      <c r="Z25" s="29"/>
    </row>
    <row r="26" spans="1:26" ht="15.6" x14ac:dyDescent="0.3">
      <c r="A26" s="15"/>
      <c r="B26" s="9" t="s">
        <v>4146</v>
      </c>
      <c r="C26" s="9"/>
      <c r="D26" s="9" t="s">
        <v>4154</v>
      </c>
      <c r="E26" s="9"/>
      <c r="F26" s="9" t="s">
        <v>4174</v>
      </c>
      <c r="G26" s="22" t="s">
        <v>4175</v>
      </c>
      <c r="J26" s="30"/>
      <c r="K26" s="70"/>
      <c r="L26" s="70"/>
      <c r="M26" s="70"/>
      <c r="N26" s="70"/>
      <c r="O26" s="70"/>
      <c r="P26" s="70"/>
      <c r="Q26" s="70"/>
      <c r="R26" s="70"/>
      <c r="S26" s="70"/>
      <c r="T26" s="70"/>
      <c r="U26" s="70"/>
      <c r="V26" s="68"/>
      <c r="W26" s="68"/>
      <c r="X26" s="68"/>
      <c r="Y26" s="68"/>
      <c r="Z26" s="29"/>
    </row>
    <row r="27" spans="1:26" ht="15.6" x14ac:dyDescent="0.3">
      <c r="A27" s="23" t="s">
        <v>2117</v>
      </c>
      <c r="B27" s="9" t="s">
        <v>4172</v>
      </c>
      <c r="C27" s="9" t="s">
        <v>4169</v>
      </c>
      <c r="D27" s="9" t="s">
        <v>4172</v>
      </c>
      <c r="E27" s="9" t="s">
        <v>4169</v>
      </c>
      <c r="F27" s="9"/>
      <c r="G27" s="22"/>
      <c r="J27" s="30"/>
      <c r="K27" s="70"/>
      <c r="L27" s="70"/>
      <c r="M27" s="70"/>
      <c r="N27" s="70"/>
      <c r="O27" s="70"/>
      <c r="P27" s="70"/>
      <c r="Q27" s="70"/>
      <c r="R27" s="70"/>
      <c r="S27" s="70"/>
      <c r="T27" s="70"/>
      <c r="U27" s="70"/>
      <c r="V27" s="68"/>
      <c r="W27" s="68"/>
      <c r="X27" s="68"/>
      <c r="Y27" s="68"/>
      <c r="Z27" s="29"/>
    </row>
    <row r="28" spans="1:26" ht="15.6" x14ac:dyDescent="0.3">
      <c r="A28" s="15" t="s">
        <v>2999</v>
      </c>
      <c r="B28" s="10">
        <v>123</v>
      </c>
      <c r="C28" s="11">
        <v>0.16248348745046234</v>
      </c>
      <c r="D28" s="10">
        <v>634</v>
      </c>
      <c r="E28" s="11">
        <v>0.83751651254953763</v>
      </c>
      <c r="F28" s="35">
        <v>757</v>
      </c>
      <c r="G28" s="16">
        <v>1</v>
      </c>
      <c r="J28" s="30"/>
      <c r="K28" s="70"/>
      <c r="L28" s="70"/>
      <c r="M28" s="70"/>
      <c r="N28" s="70"/>
      <c r="O28" s="70"/>
      <c r="P28" s="70"/>
      <c r="Q28" s="70"/>
      <c r="R28" s="70"/>
      <c r="S28" s="70"/>
      <c r="T28" s="70"/>
      <c r="U28" s="70"/>
      <c r="V28" s="68"/>
      <c r="W28" s="68"/>
      <c r="X28" s="68"/>
      <c r="Y28" s="68"/>
      <c r="Z28" s="29"/>
    </row>
    <row r="29" spans="1:26" ht="15.6" x14ac:dyDescent="0.3">
      <c r="A29" s="15" t="s">
        <v>2994</v>
      </c>
      <c r="B29" s="10">
        <v>176</v>
      </c>
      <c r="C29" s="11">
        <v>0.67692307692307696</v>
      </c>
      <c r="D29" s="10">
        <v>84</v>
      </c>
      <c r="E29" s="11">
        <v>0.32307692307692309</v>
      </c>
      <c r="F29" s="35">
        <v>260</v>
      </c>
      <c r="G29" s="16">
        <v>1</v>
      </c>
      <c r="J29" s="30"/>
      <c r="K29" s="70"/>
      <c r="L29" s="70"/>
      <c r="M29" s="70"/>
      <c r="N29" s="70"/>
      <c r="O29" s="70"/>
      <c r="P29" s="70"/>
      <c r="Q29" s="70"/>
      <c r="R29" s="70"/>
      <c r="S29" s="70"/>
      <c r="T29" s="70"/>
      <c r="U29" s="70"/>
      <c r="V29" s="68"/>
      <c r="W29" s="68"/>
      <c r="X29" s="68"/>
      <c r="Y29" s="68"/>
      <c r="Z29" s="29"/>
    </row>
    <row r="30" spans="1:26" ht="14.4" customHeight="1" x14ac:dyDescent="0.3">
      <c r="A30" s="15" t="s">
        <v>3001</v>
      </c>
      <c r="B30" s="10">
        <v>155</v>
      </c>
      <c r="C30" s="11">
        <v>0.78680203045685282</v>
      </c>
      <c r="D30" s="10">
        <v>42</v>
      </c>
      <c r="E30" s="11">
        <v>0.21319796954314721</v>
      </c>
      <c r="F30" s="35">
        <v>197</v>
      </c>
      <c r="G30" s="16">
        <v>1</v>
      </c>
      <c r="J30" s="30"/>
      <c r="K30" s="70"/>
      <c r="L30" s="70"/>
      <c r="M30" s="70"/>
      <c r="N30" s="70"/>
      <c r="O30" s="70"/>
      <c r="P30" s="70"/>
      <c r="Q30" s="70"/>
      <c r="R30" s="70"/>
      <c r="S30" s="70"/>
      <c r="T30" s="70"/>
      <c r="U30" s="70"/>
      <c r="V30" s="68"/>
      <c r="W30" s="68"/>
      <c r="X30" s="68"/>
      <c r="Y30" s="68"/>
      <c r="Z30" s="29"/>
    </row>
    <row r="31" spans="1:26" ht="15.6" x14ac:dyDescent="0.3">
      <c r="A31" s="15" t="s">
        <v>2996</v>
      </c>
      <c r="B31" s="10">
        <v>31</v>
      </c>
      <c r="C31" s="11">
        <v>0.50819672131147542</v>
      </c>
      <c r="D31" s="10">
        <v>30</v>
      </c>
      <c r="E31" s="11">
        <v>0.49180327868852458</v>
      </c>
      <c r="F31" s="35">
        <v>61</v>
      </c>
      <c r="G31" s="16">
        <v>1</v>
      </c>
      <c r="J31" s="30"/>
      <c r="K31" s="70"/>
      <c r="L31" s="70"/>
      <c r="M31" s="70"/>
      <c r="N31" s="70"/>
      <c r="O31" s="70"/>
      <c r="P31" s="70"/>
      <c r="Q31" s="70"/>
      <c r="R31" s="70"/>
      <c r="S31" s="70"/>
      <c r="T31" s="70"/>
      <c r="U31" s="70"/>
      <c r="V31" s="68"/>
      <c r="W31" s="68"/>
      <c r="X31" s="68"/>
      <c r="Y31" s="68"/>
      <c r="Z31" s="29"/>
    </row>
    <row r="32" spans="1:26" ht="15.6" x14ac:dyDescent="0.3">
      <c r="A32" s="15" t="s">
        <v>3338</v>
      </c>
      <c r="B32" s="10"/>
      <c r="C32" s="11">
        <v>0</v>
      </c>
      <c r="D32" s="10">
        <v>8</v>
      </c>
      <c r="E32" s="11">
        <v>1</v>
      </c>
      <c r="F32" s="35">
        <v>8</v>
      </c>
      <c r="G32" s="16">
        <v>1</v>
      </c>
      <c r="J32" s="30"/>
      <c r="K32" s="70"/>
      <c r="L32" s="70"/>
      <c r="M32" s="70"/>
      <c r="N32" s="70"/>
      <c r="O32" s="70"/>
      <c r="P32" s="70"/>
      <c r="Q32" s="70"/>
      <c r="R32" s="70"/>
      <c r="S32" s="70"/>
      <c r="T32" s="70"/>
      <c r="U32" s="70"/>
      <c r="V32" s="68"/>
      <c r="W32" s="68"/>
      <c r="X32" s="68"/>
      <c r="Y32" s="68"/>
      <c r="Z32" s="29"/>
    </row>
    <row r="33" spans="1:26" ht="15.6" x14ac:dyDescent="0.3">
      <c r="A33" s="15" t="s">
        <v>3040</v>
      </c>
      <c r="B33" s="10">
        <v>4</v>
      </c>
      <c r="C33" s="11">
        <v>0.5</v>
      </c>
      <c r="D33" s="10">
        <v>4</v>
      </c>
      <c r="E33" s="11">
        <v>0.5</v>
      </c>
      <c r="F33" s="35">
        <v>8</v>
      </c>
      <c r="G33" s="16">
        <v>1</v>
      </c>
      <c r="J33" s="30"/>
      <c r="K33" s="70"/>
      <c r="L33" s="70"/>
      <c r="M33" s="70"/>
      <c r="N33" s="70"/>
      <c r="O33" s="70"/>
      <c r="P33" s="70"/>
      <c r="Q33" s="70"/>
      <c r="R33" s="70"/>
      <c r="S33" s="70"/>
      <c r="T33" s="70"/>
      <c r="U33" s="70"/>
      <c r="V33" s="68"/>
      <c r="W33" s="68"/>
      <c r="X33" s="68"/>
      <c r="Y33" s="68"/>
      <c r="Z33" s="29"/>
    </row>
    <row r="34" spans="1:26" ht="15.6" x14ac:dyDescent="0.3">
      <c r="A34" s="15" t="s">
        <v>3008</v>
      </c>
      <c r="B34" s="10">
        <v>2</v>
      </c>
      <c r="C34" s="11">
        <v>0.5</v>
      </c>
      <c r="D34" s="10">
        <v>2</v>
      </c>
      <c r="E34" s="11">
        <v>0.5</v>
      </c>
      <c r="F34" s="35">
        <v>4</v>
      </c>
      <c r="G34" s="16">
        <v>1</v>
      </c>
      <c r="J34" s="30"/>
      <c r="K34" s="70"/>
      <c r="L34" s="70"/>
      <c r="M34" s="70"/>
      <c r="N34" s="70"/>
      <c r="O34" s="70"/>
      <c r="P34" s="70"/>
      <c r="Q34" s="70"/>
      <c r="R34" s="70"/>
      <c r="S34" s="70"/>
      <c r="T34" s="70"/>
      <c r="U34" s="70"/>
      <c r="V34" s="68"/>
      <c r="W34" s="68"/>
      <c r="X34" s="68"/>
      <c r="Y34" s="68"/>
      <c r="Z34" s="29"/>
    </row>
    <row r="35" spans="1:26" ht="18" x14ac:dyDescent="0.3">
      <c r="A35" s="15" t="s">
        <v>3520</v>
      </c>
      <c r="B35" s="10">
        <v>1</v>
      </c>
      <c r="C35" s="11">
        <v>0.5</v>
      </c>
      <c r="D35" s="10">
        <v>1</v>
      </c>
      <c r="E35" s="11">
        <v>0.5</v>
      </c>
      <c r="F35" s="35">
        <v>2</v>
      </c>
      <c r="G35" s="16">
        <v>1</v>
      </c>
      <c r="J35" s="30"/>
      <c r="K35" s="72" t="s">
        <v>4192</v>
      </c>
      <c r="L35" s="73"/>
      <c r="M35" s="73"/>
      <c r="N35" s="73"/>
      <c r="O35" s="73"/>
      <c r="P35" s="73"/>
      <c r="Q35" s="73"/>
      <c r="R35" s="73"/>
      <c r="S35" s="67"/>
      <c r="T35" s="67"/>
      <c r="U35" s="67"/>
      <c r="V35" s="68"/>
      <c r="W35" s="68"/>
      <c r="X35" s="68"/>
      <c r="Y35" s="68"/>
      <c r="Z35" s="29"/>
    </row>
    <row r="36" spans="1:26" ht="15.6" x14ac:dyDescent="0.3">
      <c r="A36" s="15" t="s">
        <v>3046</v>
      </c>
      <c r="B36" s="10">
        <v>1</v>
      </c>
      <c r="C36" s="11">
        <v>0.5</v>
      </c>
      <c r="D36" s="10">
        <v>1</v>
      </c>
      <c r="E36" s="11">
        <v>0.5</v>
      </c>
      <c r="F36" s="35">
        <v>2</v>
      </c>
      <c r="G36" s="16">
        <v>1</v>
      </c>
      <c r="J36" s="30"/>
      <c r="K36" s="66"/>
      <c r="L36" s="67"/>
      <c r="M36" s="67"/>
      <c r="N36" s="67"/>
      <c r="O36" s="67"/>
      <c r="P36" s="67"/>
      <c r="Q36" s="67"/>
      <c r="R36" s="67"/>
      <c r="S36" s="67"/>
      <c r="T36" s="67"/>
      <c r="U36" s="67"/>
      <c r="V36" s="68"/>
      <c r="W36" s="68"/>
      <c r="X36" s="68"/>
      <c r="Y36" s="68"/>
      <c r="Z36" s="29"/>
    </row>
    <row r="37" spans="1:26" ht="14.4" customHeight="1" x14ac:dyDescent="0.3">
      <c r="A37" s="15" t="s">
        <v>3202</v>
      </c>
      <c r="B37" s="10">
        <v>2</v>
      </c>
      <c r="C37" s="11">
        <v>1</v>
      </c>
      <c r="D37" s="10"/>
      <c r="E37" s="11">
        <v>0</v>
      </c>
      <c r="F37" s="35">
        <v>2</v>
      </c>
      <c r="G37" s="16">
        <v>1</v>
      </c>
      <c r="J37" s="30"/>
      <c r="K37" s="70" t="s">
        <v>4197</v>
      </c>
      <c r="L37" s="70"/>
      <c r="M37" s="70"/>
      <c r="N37" s="70"/>
      <c r="O37" s="70"/>
      <c r="P37" s="70"/>
      <c r="Q37" s="70"/>
      <c r="R37" s="70"/>
      <c r="S37" s="70"/>
      <c r="T37" s="70"/>
      <c r="U37" s="70"/>
      <c r="V37" s="68"/>
      <c r="W37" s="68"/>
      <c r="X37" s="68"/>
      <c r="Y37" s="68"/>
      <c r="Z37" s="29"/>
    </row>
    <row r="38" spans="1:26" ht="15.6" x14ac:dyDescent="0.3">
      <c r="A38" s="15" t="s">
        <v>3248</v>
      </c>
      <c r="B38" s="10">
        <v>1</v>
      </c>
      <c r="C38" s="11">
        <v>1</v>
      </c>
      <c r="D38" s="10"/>
      <c r="E38" s="11">
        <v>0</v>
      </c>
      <c r="F38" s="35">
        <v>1</v>
      </c>
      <c r="G38" s="16">
        <v>1</v>
      </c>
      <c r="J38" s="30"/>
      <c r="K38" s="70"/>
      <c r="L38" s="70"/>
      <c r="M38" s="70"/>
      <c r="N38" s="70"/>
      <c r="O38" s="70"/>
      <c r="P38" s="70"/>
      <c r="Q38" s="70"/>
      <c r="R38" s="70"/>
      <c r="S38" s="70"/>
      <c r="T38" s="70"/>
      <c r="U38" s="70"/>
      <c r="V38" s="68"/>
      <c r="W38" s="68"/>
      <c r="X38" s="68"/>
      <c r="Y38" s="68"/>
      <c r="Z38" s="29"/>
    </row>
    <row r="39" spans="1:26" ht="15.6" x14ac:dyDescent="0.3">
      <c r="A39" s="15" t="s">
        <v>3102</v>
      </c>
      <c r="B39" s="10">
        <v>1</v>
      </c>
      <c r="C39" s="11">
        <v>1</v>
      </c>
      <c r="D39" s="10"/>
      <c r="E39" s="11">
        <v>0</v>
      </c>
      <c r="F39" s="35">
        <v>1</v>
      </c>
      <c r="G39" s="16">
        <v>1</v>
      </c>
      <c r="J39" s="30"/>
      <c r="K39" s="70"/>
      <c r="L39" s="70"/>
      <c r="M39" s="70"/>
      <c r="N39" s="70"/>
      <c r="O39" s="70"/>
      <c r="P39" s="70"/>
      <c r="Q39" s="70"/>
      <c r="R39" s="70"/>
      <c r="S39" s="70"/>
      <c r="T39" s="70"/>
      <c r="U39" s="70"/>
      <c r="V39" s="68"/>
      <c r="W39" s="68"/>
      <c r="X39" s="68"/>
      <c r="Y39" s="68"/>
      <c r="Z39" s="29"/>
    </row>
    <row r="40" spans="1:26" ht="15.6" x14ac:dyDescent="0.3">
      <c r="A40" s="15" t="s">
        <v>3082</v>
      </c>
      <c r="B40" s="10"/>
      <c r="C40" s="11">
        <v>0</v>
      </c>
      <c r="D40" s="10">
        <v>1</v>
      </c>
      <c r="E40" s="11">
        <v>1</v>
      </c>
      <c r="F40" s="35">
        <v>1</v>
      </c>
      <c r="G40" s="16">
        <v>1</v>
      </c>
      <c r="J40" s="30"/>
      <c r="K40" s="70"/>
      <c r="L40" s="70"/>
      <c r="M40" s="70"/>
      <c r="N40" s="70"/>
      <c r="O40" s="70"/>
      <c r="P40" s="70"/>
      <c r="Q40" s="70"/>
      <c r="R40" s="70"/>
      <c r="S40" s="70"/>
      <c r="T40" s="70"/>
      <c r="U40" s="70"/>
      <c r="V40" s="68"/>
      <c r="W40" s="68"/>
      <c r="X40" s="68"/>
      <c r="Y40" s="68"/>
      <c r="Z40" s="29"/>
    </row>
    <row r="41" spans="1:26" ht="15.6" x14ac:dyDescent="0.3">
      <c r="A41" s="15" t="s">
        <v>3100</v>
      </c>
      <c r="B41" s="10">
        <v>1</v>
      </c>
      <c r="C41" s="11">
        <v>1</v>
      </c>
      <c r="D41" s="10"/>
      <c r="E41" s="11">
        <v>0</v>
      </c>
      <c r="F41" s="35">
        <v>1</v>
      </c>
      <c r="G41" s="16">
        <v>1</v>
      </c>
      <c r="J41" s="30"/>
      <c r="K41" s="70"/>
      <c r="L41" s="70"/>
      <c r="M41" s="70"/>
      <c r="N41" s="70"/>
      <c r="O41" s="70"/>
      <c r="P41" s="70"/>
      <c r="Q41" s="70"/>
      <c r="R41" s="70"/>
      <c r="S41" s="70"/>
      <c r="T41" s="70"/>
      <c r="U41" s="70"/>
      <c r="V41" s="68"/>
      <c r="W41" s="68"/>
      <c r="X41" s="68"/>
      <c r="Y41" s="68"/>
      <c r="Z41" s="29"/>
    </row>
    <row r="42" spans="1:26" ht="16.2" thickBot="1" x14ac:dyDescent="0.35">
      <c r="A42" s="17" t="s">
        <v>4166</v>
      </c>
      <c r="B42" s="18">
        <v>498</v>
      </c>
      <c r="C42" s="24">
        <v>0.38160919540229887</v>
      </c>
      <c r="D42" s="18">
        <v>807</v>
      </c>
      <c r="E42" s="24">
        <v>0.61839080459770113</v>
      </c>
      <c r="F42" s="18">
        <v>1305</v>
      </c>
      <c r="G42" s="19">
        <v>1</v>
      </c>
      <c r="J42" s="30"/>
      <c r="K42" s="70"/>
      <c r="L42" s="70"/>
      <c r="M42" s="70"/>
      <c r="N42" s="70"/>
      <c r="O42" s="70"/>
      <c r="P42" s="70"/>
      <c r="Q42" s="70"/>
      <c r="R42" s="70"/>
      <c r="S42" s="70"/>
      <c r="T42" s="70"/>
      <c r="U42" s="70"/>
      <c r="V42" s="68"/>
      <c r="W42" s="68"/>
      <c r="X42" s="68"/>
      <c r="Y42" s="68"/>
      <c r="Z42" s="29"/>
    </row>
    <row r="43" spans="1:26" ht="15.6" x14ac:dyDescent="0.3">
      <c r="A43" s="7" t="s">
        <v>4184</v>
      </c>
      <c r="B43" s="4"/>
      <c r="C43" s="5"/>
      <c r="D43" s="4"/>
      <c r="E43" s="5"/>
      <c r="F43" s="4"/>
      <c r="G43" s="5"/>
      <c r="J43" s="30"/>
      <c r="K43" s="70"/>
      <c r="L43" s="70"/>
      <c r="M43" s="70"/>
      <c r="N43" s="70"/>
      <c r="O43" s="70"/>
      <c r="P43" s="70"/>
      <c r="Q43" s="70"/>
      <c r="R43" s="70"/>
      <c r="S43" s="70"/>
      <c r="T43" s="70"/>
      <c r="U43" s="70"/>
      <c r="V43" s="68"/>
      <c r="W43" s="68"/>
      <c r="X43" s="68"/>
      <c r="Y43" s="68"/>
      <c r="Z43" s="29"/>
    </row>
    <row r="44" spans="1:26" ht="15.6" x14ac:dyDescent="0.3">
      <c r="J44" s="30"/>
      <c r="K44" s="70"/>
      <c r="L44" s="70"/>
      <c r="M44" s="70"/>
      <c r="N44" s="70"/>
      <c r="O44" s="70"/>
      <c r="P44" s="70"/>
      <c r="Q44" s="70"/>
      <c r="R44" s="70"/>
      <c r="S44" s="70"/>
      <c r="T44" s="70"/>
      <c r="U44" s="70"/>
      <c r="V44" s="68"/>
      <c r="W44" s="68"/>
      <c r="X44" s="68"/>
      <c r="Y44" s="68"/>
      <c r="Z44" s="29"/>
    </row>
    <row r="45" spans="1:26" ht="21" x14ac:dyDescent="0.3">
      <c r="A45" s="64" t="s">
        <v>4179</v>
      </c>
      <c r="B45" s="64"/>
      <c r="C45" s="64"/>
      <c r="D45" s="64"/>
      <c r="E45" s="64"/>
      <c r="J45" s="30"/>
      <c r="K45" s="70"/>
      <c r="L45" s="70"/>
      <c r="M45" s="70"/>
      <c r="N45" s="70"/>
      <c r="O45" s="70"/>
      <c r="P45" s="70"/>
      <c r="Q45" s="70"/>
      <c r="R45" s="70"/>
      <c r="S45" s="70"/>
      <c r="T45" s="70"/>
      <c r="U45" s="70"/>
      <c r="V45" s="68"/>
      <c r="W45" s="68"/>
      <c r="X45" s="68"/>
      <c r="Y45" s="68"/>
      <c r="Z45" s="29"/>
    </row>
    <row r="46" spans="1:26" ht="16.2" thickBot="1" x14ac:dyDescent="0.35">
      <c r="J46" s="30"/>
      <c r="K46" s="70"/>
      <c r="L46" s="70"/>
      <c r="M46" s="70"/>
      <c r="N46" s="70"/>
      <c r="O46" s="70"/>
      <c r="P46" s="70"/>
      <c r="Q46" s="70"/>
      <c r="R46" s="70"/>
      <c r="S46" s="70"/>
      <c r="T46" s="70"/>
      <c r="U46" s="70"/>
      <c r="V46" s="68"/>
      <c r="W46" s="68"/>
      <c r="X46" s="68"/>
      <c r="Y46" s="68"/>
      <c r="Z46" s="29"/>
    </row>
    <row r="47" spans="1:26" ht="18" x14ac:dyDescent="0.3">
      <c r="A47" s="20"/>
      <c r="B47" s="13"/>
      <c r="C47" s="21" t="s">
        <v>2115</v>
      </c>
      <c r="D47" s="21" t="s">
        <v>4176</v>
      </c>
      <c r="E47" s="13"/>
      <c r="F47" s="13"/>
      <c r="G47" s="13"/>
      <c r="H47" s="14"/>
      <c r="J47" s="30"/>
      <c r="K47" s="74" t="s">
        <v>4193</v>
      </c>
      <c r="L47" s="73"/>
      <c r="M47" s="73"/>
      <c r="N47" s="73"/>
      <c r="O47" s="73"/>
      <c r="P47" s="73"/>
      <c r="Q47" s="73"/>
      <c r="R47" s="73"/>
      <c r="S47" s="73"/>
      <c r="T47" s="67"/>
      <c r="U47" s="67"/>
      <c r="V47" s="68"/>
      <c r="W47" s="68"/>
      <c r="X47" s="68"/>
      <c r="Y47" s="68"/>
      <c r="Z47" s="29"/>
    </row>
    <row r="48" spans="1:26" ht="15.6" x14ac:dyDescent="0.3">
      <c r="A48" s="15"/>
      <c r="B48" s="9"/>
      <c r="C48" s="9" t="s">
        <v>4146</v>
      </c>
      <c r="D48" s="9"/>
      <c r="E48" s="9" t="s">
        <v>4154</v>
      </c>
      <c r="F48" s="9"/>
      <c r="G48" s="9" t="s">
        <v>4174</v>
      </c>
      <c r="H48" s="22" t="s">
        <v>4175</v>
      </c>
      <c r="J48" s="30"/>
      <c r="K48" s="73"/>
      <c r="L48" s="73"/>
      <c r="M48" s="73"/>
      <c r="N48" s="73"/>
      <c r="O48" s="73"/>
      <c r="P48" s="73"/>
      <c r="Q48" s="73"/>
      <c r="R48" s="73"/>
      <c r="S48" s="73"/>
      <c r="T48" s="67"/>
      <c r="U48" s="67"/>
      <c r="V48" s="68"/>
      <c r="W48" s="68"/>
      <c r="X48" s="68"/>
      <c r="Y48" s="68"/>
      <c r="Z48" s="29"/>
    </row>
    <row r="49" spans="1:26" ht="15.6" x14ac:dyDescent="0.3">
      <c r="A49" s="23" t="s">
        <v>4139</v>
      </c>
      <c r="B49" s="8" t="s">
        <v>4143</v>
      </c>
      <c r="C49" s="9" t="s">
        <v>4172</v>
      </c>
      <c r="D49" s="9" t="s">
        <v>4169</v>
      </c>
      <c r="E49" s="9" t="s">
        <v>4172</v>
      </c>
      <c r="F49" s="9" t="s">
        <v>4169</v>
      </c>
      <c r="G49" s="9"/>
      <c r="H49" s="22"/>
      <c r="J49" s="30"/>
      <c r="K49" s="70" t="s">
        <v>4196</v>
      </c>
      <c r="L49" s="70"/>
      <c r="M49" s="70"/>
      <c r="N49" s="70"/>
      <c r="O49" s="70"/>
      <c r="P49" s="70"/>
      <c r="Q49" s="70"/>
      <c r="R49" s="70"/>
      <c r="S49" s="73"/>
      <c r="T49" s="67"/>
      <c r="U49" s="67"/>
      <c r="V49" s="68"/>
      <c r="W49" s="68"/>
      <c r="X49" s="68"/>
      <c r="Y49" s="68"/>
      <c r="Z49" s="29"/>
    </row>
    <row r="50" spans="1:26" ht="15.6" x14ac:dyDescent="0.3">
      <c r="A50" s="15" t="s">
        <v>4147</v>
      </c>
      <c r="B50" s="9"/>
      <c r="C50" s="10">
        <v>337</v>
      </c>
      <c r="D50" s="11">
        <v>0.72629310344827591</v>
      </c>
      <c r="E50" s="10">
        <v>127</v>
      </c>
      <c r="F50" s="11">
        <v>0.27370689655172414</v>
      </c>
      <c r="G50" s="10">
        <v>464</v>
      </c>
      <c r="H50" s="16">
        <v>1</v>
      </c>
      <c r="J50" s="30"/>
      <c r="K50" s="70"/>
      <c r="L50" s="70"/>
      <c r="M50" s="70"/>
      <c r="N50" s="70"/>
      <c r="O50" s="70"/>
      <c r="P50" s="70"/>
      <c r="Q50" s="70"/>
      <c r="R50" s="70"/>
      <c r="S50" s="73"/>
      <c r="T50" s="67"/>
      <c r="U50" s="67"/>
      <c r="V50" s="68"/>
      <c r="W50" s="68"/>
      <c r="X50" s="68"/>
      <c r="Y50" s="68"/>
      <c r="Z50" s="29"/>
    </row>
    <row r="51" spans="1:26" ht="15.6" x14ac:dyDescent="0.3">
      <c r="A51" s="15"/>
      <c r="B51" s="9" t="s">
        <v>4152</v>
      </c>
      <c r="C51" s="10">
        <v>29</v>
      </c>
      <c r="D51" s="11">
        <v>0.63043478260869568</v>
      </c>
      <c r="E51" s="10">
        <v>17</v>
      </c>
      <c r="F51" s="11">
        <v>0.36956521739130432</v>
      </c>
      <c r="G51" s="35">
        <v>46</v>
      </c>
      <c r="H51" s="16">
        <v>1</v>
      </c>
      <c r="J51" s="30"/>
      <c r="K51" s="70"/>
      <c r="L51" s="70"/>
      <c r="M51" s="70"/>
      <c r="N51" s="70"/>
      <c r="O51" s="70"/>
      <c r="P51" s="70"/>
      <c r="Q51" s="70"/>
      <c r="R51" s="70"/>
      <c r="S51" s="73"/>
      <c r="T51" s="67"/>
      <c r="U51" s="67"/>
      <c r="V51" s="68"/>
      <c r="W51" s="68"/>
      <c r="X51" s="68"/>
      <c r="Y51" s="68"/>
      <c r="Z51" s="29"/>
    </row>
    <row r="52" spans="1:26" ht="15.6" x14ac:dyDescent="0.3">
      <c r="A52" s="15"/>
      <c r="B52" s="9" t="s">
        <v>4155</v>
      </c>
      <c r="C52" s="10">
        <v>96</v>
      </c>
      <c r="D52" s="11">
        <v>0.80672268907563027</v>
      </c>
      <c r="E52" s="10">
        <v>23</v>
      </c>
      <c r="F52" s="11">
        <v>0.19327731092436976</v>
      </c>
      <c r="G52" s="35">
        <v>119</v>
      </c>
      <c r="H52" s="16">
        <v>1</v>
      </c>
      <c r="J52" s="30"/>
      <c r="K52" s="70"/>
      <c r="L52" s="70"/>
      <c r="M52" s="70"/>
      <c r="N52" s="70"/>
      <c r="O52" s="70"/>
      <c r="P52" s="70"/>
      <c r="Q52" s="70"/>
      <c r="R52" s="70"/>
      <c r="S52" s="67"/>
      <c r="T52" s="67"/>
      <c r="U52" s="67"/>
      <c r="V52" s="68"/>
      <c r="W52" s="68"/>
      <c r="X52" s="68"/>
      <c r="Y52" s="68"/>
      <c r="Z52" s="29"/>
    </row>
    <row r="53" spans="1:26" ht="15.6" x14ac:dyDescent="0.3">
      <c r="A53" s="15"/>
      <c r="B53" s="9" t="s">
        <v>4157</v>
      </c>
      <c r="C53" s="10">
        <v>29</v>
      </c>
      <c r="D53" s="11">
        <v>0.90625</v>
      </c>
      <c r="E53" s="10">
        <v>3</v>
      </c>
      <c r="F53" s="11">
        <v>9.375E-2</v>
      </c>
      <c r="G53" s="35">
        <v>32</v>
      </c>
      <c r="H53" s="16">
        <v>1</v>
      </c>
      <c r="J53" s="30"/>
      <c r="K53" s="70"/>
      <c r="L53" s="70"/>
      <c r="M53" s="70"/>
      <c r="N53" s="70"/>
      <c r="O53" s="70"/>
      <c r="P53" s="70"/>
      <c r="Q53" s="70"/>
      <c r="R53" s="70"/>
      <c r="S53" s="67"/>
      <c r="T53" s="67"/>
      <c r="U53" s="67"/>
      <c r="V53" s="68"/>
      <c r="W53" s="68"/>
      <c r="X53" s="68"/>
      <c r="Y53" s="68"/>
      <c r="Z53" s="29"/>
    </row>
    <row r="54" spans="1:26" ht="15.6" x14ac:dyDescent="0.3">
      <c r="A54" s="15"/>
      <c r="B54" s="9" t="s">
        <v>4159</v>
      </c>
      <c r="C54" s="10">
        <v>34</v>
      </c>
      <c r="D54" s="11">
        <v>0.72340425531914898</v>
      </c>
      <c r="E54" s="10">
        <v>13</v>
      </c>
      <c r="F54" s="11">
        <v>0.27659574468085107</v>
      </c>
      <c r="G54" s="35">
        <v>47</v>
      </c>
      <c r="H54" s="16">
        <v>1</v>
      </c>
      <c r="J54" s="30"/>
      <c r="K54" s="70"/>
      <c r="L54" s="70"/>
      <c r="M54" s="70"/>
      <c r="N54" s="70"/>
      <c r="O54" s="70"/>
      <c r="P54" s="70"/>
      <c r="Q54" s="70"/>
      <c r="R54" s="70"/>
      <c r="S54" s="67"/>
      <c r="T54" s="67"/>
      <c r="U54" s="67"/>
      <c r="V54" s="68"/>
      <c r="W54" s="68"/>
      <c r="X54" s="68"/>
      <c r="Y54" s="68"/>
      <c r="Z54" s="29"/>
    </row>
    <row r="55" spans="1:26" ht="15.6" x14ac:dyDescent="0.3">
      <c r="A55" s="15"/>
      <c r="B55" s="9" t="s">
        <v>4148</v>
      </c>
      <c r="C55" s="10">
        <v>149</v>
      </c>
      <c r="D55" s="11">
        <v>0.67727272727272725</v>
      </c>
      <c r="E55" s="10">
        <v>71</v>
      </c>
      <c r="F55" s="11">
        <v>0.32272727272727275</v>
      </c>
      <c r="G55" s="35">
        <v>220</v>
      </c>
      <c r="H55" s="16">
        <v>1</v>
      </c>
      <c r="J55" s="30"/>
      <c r="K55" s="70"/>
      <c r="L55" s="70"/>
      <c r="M55" s="70"/>
      <c r="N55" s="70"/>
      <c r="O55" s="70"/>
      <c r="P55" s="70"/>
      <c r="Q55" s="70"/>
      <c r="R55" s="70"/>
      <c r="S55" s="66"/>
      <c r="T55" s="66"/>
      <c r="U55" s="66"/>
      <c r="V55" s="57"/>
      <c r="W55" s="57"/>
      <c r="X55" s="57"/>
      <c r="Y55" s="57"/>
    </row>
    <row r="56" spans="1:26" ht="15.6" x14ac:dyDescent="0.3">
      <c r="A56" s="15" t="s">
        <v>4151</v>
      </c>
      <c r="B56" s="9"/>
      <c r="C56" s="10">
        <v>161</v>
      </c>
      <c r="D56" s="11">
        <v>0.19143876337693222</v>
      </c>
      <c r="E56" s="10">
        <v>680</v>
      </c>
      <c r="F56" s="11">
        <v>0.80856123662306778</v>
      </c>
      <c r="G56" s="10">
        <v>841</v>
      </c>
      <c r="H56" s="16">
        <v>1</v>
      </c>
      <c r="J56" s="30"/>
      <c r="K56" s="70"/>
      <c r="L56" s="70"/>
      <c r="M56" s="70"/>
      <c r="N56" s="70"/>
      <c r="O56" s="70"/>
      <c r="P56" s="70"/>
      <c r="Q56" s="70"/>
      <c r="R56" s="70"/>
      <c r="S56" s="66"/>
      <c r="T56" s="66"/>
      <c r="U56" s="66"/>
      <c r="V56" s="57"/>
      <c r="W56" s="57"/>
      <c r="X56" s="57"/>
      <c r="Y56" s="57"/>
    </row>
    <row r="57" spans="1:26" ht="15.6" x14ac:dyDescent="0.3">
      <c r="A57" s="15"/>
      <c r="B57" s="9" t="s">
        <v>4152</v>
      </c>
      <c r="C57" s="10">
        <v>28</v>
      </c>
      <c r="D57" s="11">
        <v>0.52830188679245282</v>
      </c>
      <c r="E57" s="10">
        <v>25</v>
      </c>
      <c r="F57" s="11">
        <v>0.47169811320754718</v>
      </c>
      <c r="G57" s="35">
        <v>53</v>
      </c>
      <c r="H57" s="16">
        <v>1</v>
      </c>
      <c r="J57" s="30"/>
      <c r="K57" s="70"/>
      <c r="L57" s="70"/>
      <c r="M57" s="70"/>
      <c r="N57" s="70"/>
      <c r="O57" s="70"/>
      <c r="P57" s="70"/>
      <c r="Q57" s="70"/>
      <c r="R57" s="70"/>
      <c r="S57" s="66"/>
      <c r="T57" s="66"/>
      <c r="U57" s="66"/>
      <c r="V57" s="57"/>
      <c r="W57" s="57"/>
      <c r="X57" s="57"/>
      <c r="Y57" s="57"/>
    </row>
    <row r="58" spans="1:26" ht="15.6" x14ac:dyDescent="0.3">
      <c r="A58" s="15"/>
      <c r="B58" s="9" t="s">
        <v>4155</v>
      </c>
      <c r="C58" s="10">
        <v>44</v>
      </c>
      <c r="D58" s="11">
        <v>0.20183486238532111</v>
      </c>
      <c r="E58" s="10">
        <v>174</v>
      </c>
      <c r="F58" s="11">
        <v>0.79816513761467889</v>
      </c>
      <c r="G58" s="35">
        <v>218</v>
      </c>
      <c r="H58" s="16">
        <v>1</v>
      </c>
      <c r="J58" s="30"/>
      <c r="K58" s="70"/>
      <c r="L58" s="70"/>
      <c r="M58" s="70"/>
      <c r="N58" s="70"/>
      <c r="O58" s="70"/>
      <c r="P58" s="70"/>
      <c r="Q58" s="70"/>
      <c r="R58" s="70"/>
      <c r="S58" s="66"/>
      <c r="T58" s="66"/>
      <c r="U58" s="66"/>
      <c r="V58" s="57"/>
      <c r="W58" s="57"/>
      <c r="X58" s="57"/>
      <c r="Y58" s="57"/>
    </row>
    <row r="59" spans="1:26" ht="15.6" x14ac:dyDescent="0.3">
      <c r="A59" s="15"/>
      <c r="B59" s="9" t="s">
        <v>4157</v>
      </c>
      <c r="C59" s="10">
        <v>9</v>
      </c>
      <c r="D59" s="11">
        <v>0.14285714285714285</v>
      </c>
      <c r="E59" s="10">
        <v>54</v>
      </c>
      <c r="F59" s="11">
        <v>0.8571428571428571</v>
      </c>
      <c r="G59" s="35">
        <v>63</v>
      </c>
      <c r="H59" s="16">
        <v>1</v>
      </c>
      <c r="J59" s="30"/>
      <c r="K59" s="70"/>
      <c r="L59" s="70"/>
      <c r="M59" s="70"/>
      <c r="N59" s="70"/>
      <c r="O59" s="70"/>
      <c r="P59" s="70"/>
      <c r="Q59" s="70"/>
      <c r="R59" s="70"/>
      <c r="S59" s="66"/>
      <c r="T59" s="66"/>
      <c r="U59" s="66"/>
      <c r="V59" s="57"/>
      <c r="W59" s="57"/>
      <c r="X59" s="57"/>
      <c r="Y59" s="57"/>
    </row>
    <row r="60" spans="1:26" x14ac:dyDescent="0.3">
      <c r="A60" s="15"/>
      <c r="B60" s="9" t="s">
        <v>4159</v>
      </c>
      <c r="C60" s="10">
        <v>4</v>
      </c>
      <c r="D60" s="11">
        <v>0.08</v>
      </c>
      <c r="E60" s="10">
        <v>46</v>
      </c>
      <c r="F60" s="11">
        <v>0.92</v>
      </c>
      <c r="G60" s="35">
        <v>50</v>
      </c>
      <c r="H60" s="16">
        <v>1</v>
      </c>
    </row>
    <row r="61" spans="1:26" x14ac:dyDescent="0.3">
      <c r="A61" s="15"/>
      <c r="B61" s="9" t="s">
        <v>4148</v>
      </c>
      <c r="C61" s="10">
        <v>76</v>
      </c>
      <c r="D61" s="11">
        <v>0.16630196936542668</v>
      </c>
      <c r="E61" s="10">
        <v>381</v>
      </c>
      <c r="F61" s="11">
        <v>0.83369803063457326</v>
      </c>
      <c r="G61" s="35">
        <v>457</v>
      </c>
      <c r="H61" s="16">
        <v>1</v>
      </c>
    </row>
    <row r="62" spans="1:26" ht="15" thickBot="1" x14ac:dyDescent="0.35">
      <c r="A62" s="17" t="s">
        <v>4166</v>
      </c>
      <c r="B62" s="25"/>
      <c r="C62" s="18">
        <v>498</v>
      </c>
      <c r="D62" s="24">
        <v>0.38160919540229887</v>
      </c>
      <c r="E62" s="18">
        <v>807</v>
      </c>
      <c r="F62" s="24">
        <v>0.61839080459770113</v>
      </c>
      <c r="G62" s="18">
        <v>1305</v>
      </c>
      <c r="H62" s="19">
        <v>1</v>
      </c>
    </row>
    <row r="63" spans="1:26" ht="15.6" x14ac:dyDescent="0.3">
      <c r="A63" s="7" t="s">
        <v>4185</v>
      </c>
      <c r="C63" s="4"/>
      <c r="D63" s="5"/>
      <c r="E63" s="4"/>
      <c r="F63" s="5"/>
      <c r="G63" s="4"/>
      <c r="H63" s="5"/>
    </row>
    <row r="65" spans="1:7" ht="21" x14ac:dyDescent="0.3">
      <c r="A65" s="64" t="s">
        <v>4177</v>
      </c>
      <c r="B65" s="64"/>
      <c r="C65" s="64"/>
      <c r="D65" s="64"/>
      <c r="E65" s="64"/>
    </row>
    <row r="66" spans="1:7" ht="15" thickBot="1" x14ac:dyDescent="0.35"/>
    <row r="67" spans="1:7" x14ac:dyDescent="0.3">
      <c r="A67" s="20"/>
      <c r="B67" s="21" t="s">
        <v>4171</v>
      </c>
      <c r="C67" s="13"/>
      <c r="D67" s="13"/>
      <c r="E67" s="13"/>
      <c r="F67" s="13"/>
      <c r="G67" s="14"/>
    </row>
    <row r="68" spans="1:7" x14ac:dyDescent="0.3">
      <c r="A68" s="15"/>
      <c r="B68" s="9" t="s">
        <v>4146</v>
      </c>
      <c r="C68" s="9"/>
      <c r="D68" s="9" t="s">
        <v>4154</v>
      </c>
      <c r="E68" s="9"/>
      <c r="F68" s="9" t="s">
        <v>4174</v>
      </c>
      <c r="G68" s="22" t="s">
        <v>4175</v>
      </c>
    </row>
    <row r="69" spans="1:7" x14ac:dyDescent="0.3">
      <c r="A69" s="23" t="s">
        <v>4165</v>
      </c>
      <c r="B69" s="9" t="s">
        <v>4172</v>
      </c>
      <c r="C69" s="9" t="s">
        <v>4169</v>
      </c>
      <c r="D69" s="9" t="s">
        <v>4172</v>
      </c>
      <c r="E69" s="9" t="s">
        <v>4169</v>
      </c>
      <c r="F69" s="9"/>
      <c r="G69" s="22"/>
    </row>
    <row r="70" spans="1:7" x14ac:dyDescent="0.3">
      <c r="A70" s="26" t="s">
        <v>4150</v>
      </c>
      <c r="B70" s="10">
        <v>59</v>
      </c>
      <c r="C70" s="11">
        <v>0.71084337349397586</v>
      </c>
      <c r="D70" s="10">
        <v>24</v>
      </c>
      <c r="E70" s="11">
        <v>0.28915662650602408</v>
      </c>
      <c r="F70" s="35">
        <v>83</v>
      </c>
      <c r="G70" s="16">
        <v>1</v>
      </c>
    </row>
    <row r="71" spans="1:7" x14ac:dyDescent="0.3">
      <c r="A71" s="26" t="s">
        <v>4156</v>
      </c>
      <c r="B71" s="10">
        <v>342</v>
      </c>
      <c r="C71" s="11">
        <v>0.32052483598875353</v>
      </c>
      <c r="D71" s="10">
        <v>725</v>
      </c>
      <c r="E71" s="11">
        <v>0.67947516401124652</v>
      </c>
      <c r="F71" s="35">
        <v>1067</v>
      </c>
      <c r="G71" s="16">
        <v>1</v>
      </c>
    </row>
    <row r="72" spans="1:7" x14ac:dyDescent="0.3">
      <c r="A72" s="26" t="s">
        <v>4158</v>
      </c>
      <c r="B72" s="10">
        <v>97</v>
      </c>
      <c r="C72" s="11">
        <v>0.62580645161290327</v>
      </c>
      <c r="D72" s="10">
        <v>58</v>
      </c>
      <c r="E72" s="11">
        <v>0.37419354838709679</v>
      </c>
      <c r="F72" s="35">
        <v>155</v>
      </c>
      <c r="G72" s="16">
        <v>1</v>
      </c>
    </row>
    <row r="73" spans="1:7" ht="15" thickBot="1" x14ac:dyDescent="0.35">
      <c r="A73" s="27" t="s">
        <v>4166</v>
      </c>
      <c r="B73" s="18">
        <v>498</v>
      </c>
      <c r="C73" s="24">
        <v>0.38160919540229887</v>
      </c>
      <c r="D73" s="18">
        <v>807</v>
      </c>
      <c r="E73" s="24">
        <v>0.61839080459770113</v>
      </c>
      <c r="F73" s="18">
        <v>1305</v>
      </c>
      <c r="G73" s="19">
        <v>1</v>
      </c>
    </row>
    <row r="74" spans="1:7" ht="15.6" x14ac:dyDescent="0.3">
      <c r="A74" s="7" t="s">
        <v>4186</v>
      </c>
      <c r="B74" s="4"/>
      <c r="C74" s="5"/>
      <c r="D74" s="4"/>
      <c r="E74" s="5"/>
      <c r="F74" s="4"/>
      <c r="G74" s="5"/>
    </row>
    <row r="76" spans="1:7" ht="21" x14ac:dyDescent="0.3">
      <c r="A76" s="64" t="s">
        <v>4180</v>
      </c>
      <c r="B76" s="64"/>
      <c r="C76" s="64"/>
      <c r="D76" s="64"/>
      <c r="E76" s="64"/>
    </row>
    <row r="77" spans="1:7" ht="15" thickBot="1" x14ac:dyDescent="0.35"/>
    <row r="78" spans="1:7" x14ac:dyDescent="0.3">
      <c r="A78" s="20"/>
      <c r="B78" s="21" t="s">
        <v>4171</v>
      </c>
      <c r="C78" s="13"/>
      <c r="D78" s="13"/>
      <c r="E78" s="13"/>
      <c r="F78" s="13"/>
      <c r="G78" s="14"/>
    </row>
    <row r="79" spans="1:7" x14ac:dyDescent="0.3">
      <c r="A79" s="15"/>
      <c r="B79" s="9" t="s">
        <v>4146</v>
      </c>
      <c r="C79" s="9"/>
      <c r="D79" s="9" t="s">
        <v>4154</v>
      </c>
      <c r="E79" s="9"/>
      <c r="F79" s="9" t="s">
        <v>4174</v>
      </c>
      <c r="G79" s="22" t="s">
        <v>4175</v>
      </c>
    </row>
    <row r="80" spans="1:7" x14ac:dyDescent="0.3">
      <c r="A80" s="23" t="s">
        <v>4165</v>
      </c>
      <c r="B80" s="9" t="s">
        <v>4172</v>
      </c>
      <c r="C80" s="9" t="s">
        <v>4169</v>
      </c>
      <c r="D80" s="9" t="s">
        <v>4172</v>
      </c>
      <c r="E80" s="9" t="s">
        <v>4169</v>
      </c>
      <c r="F80" s="9"/>
      <c r="G80" s="22"/>
    </row>
    <row r="81" spans="1:7" x14ac:dyDescent="0.3">
      <c r="A81" s="26" t="s">
        <v>4149</v>
      </c>
      <c r="B81" s="10">
        <v>237</v>
      </c>
      <c r="C81" s="11">
        <v>0.30152671755725191</v>
      </c>
      <c r="D81" s="10">
        <v>549</v>
      </c>
      <c r="E81" s="11">
        <v>0.69847328244274809</v>
      </c>
      <c r="F81" s="35">
        <v>786</v>
      </c>
      <c r="G81" s="16">
        <v>1</v>
      </c>
    </row>
    <row r="82" spans="1:7" x14ac:dyDescent="0.3">
      <c r="A82" s="26" t="s">
        <v>4153</v>
      </c>
      <c r="B82" s="10">
        <v>261</v>
      </c>
      <c r="C82" s="11">
        <v>0.50289017341040465</v>
      </c>
      <c r="D82" s="10">
        <v>258</v>
      </c>
      <c r="E82" s="11">
        <v>0.49710982658959535</v>
      </c>
      <c r="F82" s="35">
        <v>519</v>
      </c>
      <c r="G82" s="16">
        <v>1</v>
      </c>
    </row>
    <row r="83" spans="1:7" ht="15" thickBot="1" x14ac:dyDescent="0.35">
      <c r="A83" s="27" t="s">
        <v>4166</v>
      </c>
      <c r="B83" s="18">
        <v>498</v>
      </c>
      <c r="C83" s="24">
        <v>0.38160919540229887</v>
      </c>
      <c r="D83" s="18">
        <v>807</v>
      </c>
      <c r="E83" s="24">
        <v>0.61839080459770113</v>
      </c>
      <c r="F83" s="18">
        <v>1305</v>
      </c>
      <c r="G83" s="19">
        <v>1</v>
      </c>
    </row>
    <row r="84" spans="1:7" ht="15.6" x14ac:dyDescent="0.3">
      <c r="A84" s="7" t="s">
        <v>4187</v>
      </c>
      <c r="B84" s="4"/>
      <c r="C84" s="5"/>
      <c r="D84" s="4"/>
      <c r="E84" s="5"/>
      <c r="F84" s="4"/>
      <c r="G84" s="5"/>
    </row>
    <row r="86" spans="1:7" ht="21" x14ac:dyDescent="0.3">
      <c r="A86" s="64" t="s">
        <v>4181</v>
      </c>
      <c r="B86" s="64"/>
      <c r="C86" s="64"/>
      <c r="D86" s="64"/>
      <c r="E86" s="64"/>
    </row>
    <row r="87" spans="1:7" ht="15" thickBot="1" x14ac:dyDescent="0.35"/>
    <row r="88" spans="1:7" x14ac:dyDescent="0.3">
      <c r="A88" s="20"/>
      <c r="B88" s="21" t="s">
        <v>2115</v>
      </c>
      <c r="C88" s="21" t="s">
        <v>4176</v>
      </c>
      <c r="D88" s="13"/>
      <c r="E88" s="13"/>
      <c r="F88" s="13"/>
      <c r="G88" s="14"/>
    </row>
    <row r="89" spans="1:7" x14ac:dyDescent="0.3">
      <c r="A89" s="15"/>
      <c r="B89" s="9" t="s">
        <v>4146</v>
      </c>
      <c r="C89" s="9"/>
      <c r="D89" s="9" t="s">
        <v>4154</v>
      </c>
      <c r="E89" s="9"/>
      <c r="F89" s="9" t="s">
        <v>4174</v>
      </c>
      <c r="G89" s="22" t="s">
        <v>4175</v>
      </c>
    </row>
    <row r="90" spans="1:7" x14ac:dyDescent="0.3">
      <c r="A90" s="23" t="s">
        <v>4142</v>
      </c>
      <c r="B90" s="9" t="s">
        <v>4172</v>
      </c>
      <c r="C90" s="9" t="s">
        <v>4169</v>
      </c>
      <c r="D90" s="9" t="s">
        <v>4172</v>
      </c>
      <c r="E90" s="9" t="s">
        <v>4169</v>
      </c>
      <c r="F90" s="9"/>
      <c r="G90" s="22"/>
    </row>
    <row r="91" spans="1:7" x14ac:dyDescent="0.3">
      <c r="A91" s="15" t="s">
        <v>4178</v>
      </c>
      <c r="B91" s="10">
        <v>148</v>
      </c>
      <c r="C91" s="11">
        <v>0.55430711610486894</v>
      </c>
      <c r="D91" s="10">
        <v>119</v>
      </c>
      <c r="E91" s="11">
        <v>0.44569288389513106</v>
      </c>
      <c r="F91" s="35">
        <v>267</v>
      </c>
      <c r="G91" s="16">
        <v>1</v>
      </c>
    </row>
    <row r="92" spans="1:7" x14ac:dyDescent="0.3">
      <c r="A92" s="15" t="s">
        <v>4160</v>
      </c>
      <c r="B92" s="10">
        <v>46</v>
      </c>
      <c r="C92" s="11">
        <v>0.36799999999999999</v>
      </c>
      <c r="D92" s="10">
        <v>79</v>
      </c>
      <c r="E92" s="11">
        <v>0.63200000000000001</v>
      </c>
      <c r="F92" s="35">
        <v>125</v>
      </c>
      <c r="G92" s="16">
        <v>1</v>
      </c>
    </row>
    <row r="93" spans="1:7" x14ac:dyDescent="0.3">
      <c r="A93" s="15" t="s">
        <v>824</v>
      </c>
      <c r="B93" s="10">
        <v>304</v>
      </c>
      <c r="C93" s="11">
        <v>0.33296823658269442</v>
      </c>
      <c r="D93" s="10">
        <v>609</v>
      </c>
      <c r="E93" s="11">
        <v>0.66703176341730563</v>
      </c>
      <c r="F93" s="35">
        <v>913</v>
      </c>
      <c r="G93" s="16">
        <v>1</v>
      </c>
    </row>
    <row r="94" spans="1:7" ht="15" thickBot="1" x14ac:dyDescent="0.35">
      <c r="A94" s="17" t="s">
        <v>4166</v>
      </c>
      <c r="B94" s="18">
        <v>498</v>
      </c>
      <c r="C94" s="24">
        <v>0.38160919540229887</v>
      </c>
      <c r="D94" s="18">
        <v>807</v>
      </c>
      <c r="E94" s="24">
        <v>0.61839080459770113</v>
      </c>
      <c r="F94" s="18">
        <v>1305</v>
      </c>
      <c r="G94" s="19">
        <v>1</v>
      </c>
    </row>
    <row r="95" spans="1:7" ht="15.6" x14ac:dyDescent="0.3">
      <c r="A95" s="7" t="s">
        <v>4195</v>
      </c>
    </row>
    <row r="96" spans="1:7" ht="15" thickBot="1" x14ac:dyDescent="0.35"/>
    <row r="97" spans="1:8" x14ac:dyDescent="0.3">
      <c r="A97" s="20"/>
      <c r="B97" s="21" t="s">
        <v>4171</v>
      </c>
      <c r="C97" s="13"/>
      <c r="D97" s="13"/>
      <c r="E97" s="13"/>
      <c r="F97" s="13"/>
      <c r="G97" s="14"/>
    </row>
    <row r="98" spans="1:8" x14ac:dyDescent="0.3">
      <c r="A98" s="15"/>
      <c r="B98" s="9" t="s">
        <v>4146</v>
      </c>
      <c r="C98" s="9"/>
      <c r="D98" s="9" t="s">
        <v>4154</v>
      </c>
      <c r="E98" s="9"/>
      <c r="F98" s="9" t="s">
        <v>4174</v>
      </c>
      <c r="G98" s="22" t="s">
        <v>4175</v>
      </c>
    </row>
    <row r="99" spans="1:8" x14ac:dyDescent="0.3">
      <c r="A99" s="23" t="s">
        <v>4165</v>
      </c>
      <c r="B99" s="9" t="s">
        <v>4172</v>
      </c>
      <c r="C99" s="9" t="s">
        <v>4169</v>
      </c>
      <c r="D99" s="9" t="s">
        <v>4172</v>
      </c>
      <c r="E99" s="9" t="s">
        <v>4169</v>
      </c>
      <c r="F99" s="9"/>
      <c r="G99" s="22"/>
    </row>
    <row r="100" spans="1:8" x14ac:dyDescent="0.3">
      <c r="A100" s="26" t="s">
        <v>4147</v>
      </c>
      <c r="B100" s="10">
        <v>337</v>
      </c>
      <c r="C100" s="11">
        <v>0.72629310344827591</v>
      </c>
      <c r="D100" s="10">
        <v>127</v>
      </c>
      <c r="E100" s="11">
        <v>0.27370689655172414</v>
      </c>
      <c r="F100" s="10">
        <v>464</v>
      </c>
      <c r="G100" s="16">
        <v>1</v>
      </c>
    </row>
    <row r="101" spans="1:8" x14ac:dyDescent="0.3">
      <c r="A101" s="28" t="s">
        <v>4149</v>
      </c>
      <c r="B101" s="10">
        <v>140</v>
      </c>
      <c r="C101" s="11">
        <v>0.72916666666666663</v>
      </c>
      <c r="D101" s="10">
        <v>52</v>
      </c>
      <c r="E101" s="11">
        <v>0.27083333333333331</v>
      </c>
      <c r="F101" s="35">
        <v>192</v>
      </c>
      <c r="G101" s="16">
        <v>1</v>
      </c>
    </row>
    <row r="102" spans="1:8" x14ac:dyDescent="0.3">
      <c r="A102" s="28" t="s">
        <v>4153</v>
      </c>
      <c r="B102" s="10">
        <v>197</v>
      </c>
      <c r="C102" s="11">
        <v>0.72426470588235292</v>
      </c>
      <c r="D102" s="10">
        <v>75</v>
      </c>
      <c r="E102" s="11">
        <v>0.27573529411764708</v>
      </c>
      <c r="F102" s="35">
        <v>272</v>
      </c>
      <c r="G102" s="16">
        <v>1</v>
      </c>
    </row>
    <row r="103" spans="1:8" x14ac:dyDescent="0.3">
      <c r="A103" s="26" t="s">
        <v>4151</v>
      </c>
      <c r="B103" s="10">
        <v>161</v>
      </c>
      <c r="C103" s="11">
        <v>0.19143876337693222</v>
      </c>
      <c r="D103" s="10">
        <v>680</v>
      </c>
      <c r="E103" s="11">
        <v>0.80856123662306778</v>
      </c>
      <c r="F103" s="10">
        <v>841</v>
      </c>
      <c r="G103" s="16">
        <v>1</v>
      </c>
    </row>
    <row r="104" spans="1:8" x14ac:dyDescent="0.3">
      <c r="A104" s="28" t="s">
        <v>4149</v>
      </c>
      <c r="B104" s="10">
        <v>97</v>
      </c>
      <c r="C104" s="11">
        <v>0.16329966329966331</v>
      </c>
      <c r="D104" s="10">
        <v>497</v>
      </c>
      <c r="E104" s="11">
        <v>0.83670033670033672</v>
      </c>
      <c r="F104" s="35">
        <v>594</v>
      </c>
      <c r="G104" s="16">
        <v>1</v>
      </c>
    </row>
    <row r="105" spans="1:8" x14ac:dyDescent="0.3">
      <c r="A105" s="28" t="s">
        <v>4153</v>
      </c>
      <c r="B105" s="10">
        <v>64</v>
      </c>
      <c r="C105" s="11">
        <v>0.25910931174089069</v>
      </c>
      <c r="D105" s="10">
        <v>183</v>
      </c>
      <c r="E105" s="11">
        <v>0.74089068825910931</v>
      </c>
      <c r="F105" s="35">
        <v>247</v>
      </c>
      <c r="G105" s="16">
        <v>1</v>
      </c>
    </row>
    <row r="106" spans="1:8" ht="15" thickBot="1" x14ac:dyDescent="0.35">
      <c r="A106" s="27" t="s">
        <v>4166</v>
      </c>
      <c r="B106" s="18">
        <v>498</v>
      </c>
      <c r="C106" s="24">
        <v>0.38160919540229887</v>
      </c>
      <c r="D106" s="18">
        <v>807</v>
      </c>
      <c r="E106" s="24">
        <v>0.61839080459770113</v>
      </c>
      <c r="F106" s="18">
        <v>1305</v>
      </c>
      <c r="G106" s="19">
        <v>1</v>
      </c>
    </row>
    <row r="108" spans="1:8" ht="15" thickBot="1" x14ac:dyDescent="0.35"/>
    <row r="109" spans="1:8" x14ac:dyDescent="0.3">
      <c r="A109" s="20"/>
      <c r="B109" s="13"/>
      <c r="C109" s="21" t="s">
        <v>2115</v>
      </c>
      <c r="D109" s="21" t="s">
        <v>4176</v>
      </c>
      <c r="E109" s="13"/>
      <c r="F109" s="13"/>
      <c r="G109" s="13"/>
      <c r="H109" s="14"/>
    </row>
    <row r="110" spans="1:8" x14ac:dyDescent="0.3">
      <c r="A110" s="15"/>
      <c r="B110" s="9"/>
      <c r="C110" s="9" t="s">
        <v>4146</v>
      </c>
      <c r="D110" s="9"/>
      <c r="E110" s="9" t="s">
        <v>4154</v>
      </c>
      <c r="F110" s="9"/>
      <c r="G110" s="9" t="s">
        <v>4174</v>
      </c>
      <c r="H110" s="22" t="s">
        <v>4175</v>
      </c>
    </row>
    <row r="111" spans="1:8" x14ac:dyDescent="0.3">
      <c r="A111" s="23" t="s">
        <v>4142</v>
      </c>
      <c r="B111" s="8" t="s">
        <v>2116</v>
      </c>
      <c r="C111" s="9" t="s">
        <v>4172</v>
      </c>
      <c r="D111" s="9" t="s">
        <v>4169</v>
      </c>
      <c r="E111" s="9" t="s">
        <v>4172</v>
      </c>
      <c r="F111" s="9" t="s">
        <v>4169</v>
      </c>
      <c r="G111" s="9"/>
      <c r="H111" s="22"/>
    </row>
    <row r="112" spans="1:8" x14ac:dyDescent="0.3">
      <c r="A112" s="15" t="s">
        <v>4178</v>
      </c>
      <c r="B112" s="9"/>
      <c r="C112" s="10">
        <v>148</v>
      </c>
      <c r="D112" s="11">
        <v>0.55430711610486894</v>
      </c>
      <c r="E112" s="10">
        <v>119</v>
      </c>
      <c r="F112" s="11">
        <v>0.44569288389513106</v>
      </c>
      <c r="G112" s="10">
        <v>267</v>
      </c>
      <c r="H112" s="16">
        <v>1</v>
      </c>
    </row>
    <row r="113" spans="1:8" x14ac:dyDescent="0.3">
      <c r="A113" s="15"/>
      <c r="B113" s="9" t="s">
        <v>4145</v>
      </c>
      <c r="C113" s="10">
        <v>95</v>
      </c>
      <c r="D113" s="11">
        <v>0.68840579710144922</v>
      </c>
      <c r="E113" s="10">
        <v>43</v>
      </c>
      <c r="F113" s="11">
        <v>0.31159420289855072</v>
      </c>
      <c r="G113" s="35">
        <v>138</v>
      </c>
      <c r="H113" s="16">
        <v>1</v>
      </c>
    </row>
    <row r="114" spans="1:8" x14ac:dyDescent="0.3">
      <c r="A114" s="15"/>
      <c r="B114" s="9" t="s">
        <v>4161</v>
      </c>
      <c r="C114" s="10">
        <v>16</v>
      </c>
      <c r="D114" s="11">
        <v>0.5714285714285714</v>
      </c>
      <c r="E114" s="10">
        <v>12</v>
      </c>
      <c r="F114" s="11">
        <v>0.42857142857142855</v>
      </c>
      <c r="G114" s="35">
        <v>28</v>
      </c>
      <c r="H114" s="16">
        <v>1</v>
      </c>
    </row>
    <row r="115" spans="1:8" x14ac:dyDescent="0.3">
      <c r="A115" s="15"/>
      <c r="B115" s="9" t="s">
        <v>4162</v>
      </c>
      <c r="C115" s="10">
        <v>37</v>
      </c>
      <c r="D115" s="11">
        <v>0.36633663366336633</v>
      </c>
      <c r="E115" s="10">
        <v>64</v>
      </c>
      <c r="F115" s="11">
        <v>0.63366336633663367</v>
      </c>
      <c r="G115" s="35">
        <v>101</v>
      </c>
      <c r="H115" s="16">
        <v>1</v>
      </c>
    </row>
    <row r="116" spans="1:8" x14ac:dyDescent="0.3">
      <c r="A116" s="15" t="s">
        <v>4160</v>
      </c>
      <c r="B116" s="9"/>
      <c r="C116" s="10">
        <v>46</v>
      </c>
      <c r="D116" s="11">
        <v>0.36799999999999999</v>
      </c>
      <c r="E116" s="10">
        <v>79</v>
      </c>
      <c r="F116" s="11">
        <v>0.63200000000000001</v>
      </c>
      <c r="G116" s="10">
        <v>125</v>
      </c>
      <c r="H116" s="16">
        <v>1</v>
      </c>
    </row>
    <row r="117" spans="1:8" x14ac:dyDescent="0.3">
      <c r="A117" s="15"/>
      <c r="B117" s="9" t="s">
        <v>4145</v>
      </c>
      <c r="C117" s="10">
        <v>4</v>
      </c>
      <c r="D117" s="11">
        <v>0.8</v>
      </c>
      <c r="E117" s="10">
        <v>1</v>
      </c>
      <c r="F117" s="11">
        <v>0.2</v>
      </c>
      <c r="G117" s="35">
        <v>5</v>
      </c>
      <c r="H117" s="16">
        <v>1</v>
      </c>
    </row>
    <row r="118" spans="1:8" x14ac:dyDescent="0.3">
      <c r="A118" s="15"/>
      <c r="B118" s="9" t="s">
        <v>4161</v>
      </c>
      <c r="C118" s="10">
        <v>2</v>
      </c>
      <c r="D118" s="11">
        <v>0.2857142857142857</v>
      </c>
      <c r="E118" s="10">
        <v>5</v>
      </c>
      <c r="F118" s="11">
        <v>0.7142857142857143</v>
      </c>
      <c r="G118" s="35">
        <v>7</v>
      </c>
      <c r="H118" s="16">
        <v>1</v>
      </c>
    </row>
    <row r="119" spans="1:8" x14ac:dyDescent="0.3">
      <c r="A119" s="15"/>
      <c r="B119" s="9" t="s">
        <v>4162</v>
      </c>
      <c r="C119" s="10">
        <v>40</v>
      </c>
      <c r="D119" s="11">
        <v>0.35398230088495575</v>
      </c>
      <c r="E119" s="10">
        <v>73</v>
      </c>
      <c r="F119" s="11">
        <v>0.64601769911504425</v>
      </c>
      <c r="G119" s="35">
        <v>113</v>
      </c>
      <c r="H119" s="16">
        <v>1</v>
      </c>
    </row>
    <row r="120" spans="1:8" x14ac:dyDescent="0.3">
      <c r="A120" s="15" t="s">
        <v>824</v>
      </c>
      <c r="B120" s="9"/>
      <c r="C120" s="10">
        <v>304</v>
      </c>
      <c r="D120" s="11">
        <v>0.33296823658269442</v>
      </c>
      <c r="E120" s="10">
        <v>609</v>
      </c>
      <c r="F120" s="11">
        <v>0.66703176341730563</v>
      </c>
      <c r="G120" s="10">
        <v>913</v>
      </c>
      <c r="H120" s="16">
        <v>1</v>
      </c>
    </row>
    <row r="121" spans="1:8" x14ac:dyDescent="0.3">
      <c r="A121" s="15"/>
      <c r="B121" s="9" t="s">
        <v>4145</v>
      </c>
      <c r="C121" s="10">
        <v>99</v>
      </c>
      <c r="D121" s="11">
        <v>0.5625</v>
      </c>
      <c r="E121" s="10">
        <v>77</v>
      </c>
      <c r="F121" s="11">
        <v>0.4375</v>
      </c>
      <c r="G121" s="35">
        <v>176</v>
      </c>
      <c r="H121" s="16">
        <v>1</v>
      </c>
    </row>
    <row r="122" spans="1:8" x14ac:dyDescent="0.3">
      <c r="A122" s="15"/>
      <c r="B122" s="9" t="s">
        <v>4161</v>
      </c>
      <c r="C122" s="10">
        <v>101</v>
      </c>
      <c r="D122" s="11">
        <v>0.41735537190082644</v>
      </c>
      <c r="E122" s="10">
        <v>141</v>
      </c>
      <c r="F122" s="11">
        <v>0.5826446280991735</v>
      </c>
      <c r="G122" s="35">
        <v>242</v>
      </c>
      <c r="H122" s="16">
        <v>1</v>
      </c>
    </row>
    <row r="123" spans="1:8" x14ac:dyDescent="0.3">
      <c r="A123" s="15"/>
      <c r="B123" s="9" t="s">
        <v>4162</v>
      </c>
      <c r="C123" s="10">
        <v>104</v>
      </c>
      <c r="D123" s="11">
        <v>0.21010101010101009</v>
      </c>
      <c r="E123" s="10">
        <v>391</v>
      </c>
      <c r="F123" s="11">
        <v>0.78989898989898988</v>
      </c>
      <c r="G123" s="35">
        <v>495</v>
      </c>
      <c r="H123" s="16">
        <v>1</v>
      </c>
    </row>
    <row r="124" spans="1:8" ht="15" thickBot="1" x14ac:dyDescent="0.35">
      <c r="A124" s="17" t="s">
        <v>4166</v>
      </c>
      <c r="B124" s="25"/>
      <c r="C124" s="18">
        <v>498</v>
      </c>
      <c r="D124" s="24">
        <v>0.38160919540229887</v>
      </c>
      <c r="E124" s="18">
        <v>807</v>
      </c>
      <c r="F124" s="24">
        <v>0.61839080459770113</v>
      </c>
      <c r="G124" s="18">
        <v>1305</v>
      </c>
      <c r="H124" s="19">
        <v>1</v>
      </c>
    </row>
  </sheetData>
  <mergeCells count="13">
    <mergeCell ref="K49:R59"/>
    <mergeCell ref="A76:E76"/>
    <mergeCell ref="A86:E86"/>
    <mergeCell ref="A23:E23"/>
    <mergeCell ref="A45:E45"/>
    <mergeCell ref="A65:E65"/>
    <mergeCell ref="K21:U34"/>
    <mergeCell ref="K37:U46"/>
    <mergeCell ref="A1:F2"/>
    <mergeCell ref="A4:E4"/>
    <mergeCell ref="A12:E12"/>
    <mergeCell ref="K9:U17"/>
    <mergeCell ref="K4:Y5"/>
  </mergeCells>
  <conditionalFormatting pivot="1" sqref="B8 B7">
    <cfRule type="colorScale" priority="28">
      <colorScale>
        <cfvo type="min"/>
        <cfvo type="percentile" val="50"/>
        <cfvo type="max"/>
        <color rgb="FF63BE7B"/>
        <color rgb="FFFFEB84"/>
        <color rgb="FFF8696B"/>
      </colorScale>
    </cfRule>
  </conditionalFormatting>
  <conditionalFormatting pivot="1" sqref="C17:C19">
    <cfRule type="colorScale" priority="24">
      <colorScale>
        <cfvo type="min"/>
        <cfvo type="max"/>
        <color rgb="FFFCFCFF"/>
        <color rgb="FF63BE7B"/>
      </colorScale>
    </cfRule>
  </conditionalFormatting>
  <conditionalFormatting pivot="1" sqref="E17:E19">
    <cfRule type="colorScale" priority="23">
      <colorScale>
        <cfvo type="min"/>
        <cfvo type="max"/>
        <color rgb="FFFCFCFF"/>
        <color rgb="FFF8696B"/>
      </colorScale>
    </cfRule>
  </conditionalFormatting>
  <conditionalFormatting pivot="1" sqref="C28:C41">
    <cfRule type="colorScale" priority="22">
      <colorScale>
        <cfvo type="min"/>
        <cfvo type="max"/>
        <color rgb="FFFCFCFF"/>
        <color rgb="FF63BE7B"/>
      </colorScale>
    </cfRule>
  </conditionalFormatting>
  <conditionalFormatting pivot="1" sqref="E28:E41">
    <cfRule type="colorScale" priority="21">
      <colorScale>
        <cfvo type="min"/>
        <cfvo type="max"/>
        <color rgb="FFFCFCFF"/>
        <color rgb="FFF8696B"/>
      </colorScale>
    </cfRule>
  </conditionalFormatting>
  <conditionalFormatting pivot="1" sqref="D51:D55">
    <cfRule type="colorScale" priority="20">
      <colorScale>
        <cfvo type="min"/>
        <cfvo type="max"/>
        <color rgb="FFFCFCFF"/>
        <color rgb="FF63BE7B"/>
      </colorScale>
    </cfRule>
  </conditionalFormatting>
  <conditionalFormatting pivot="1" sqref="D57:D61">
    <cfRule type="colorScale" priority="19">
      <colorScale>
        <cfvo type="min"/>
        <cfvo type="max"/>
        <color rgb="FFFCFCFF"/>
        <color rgb="FF63BE7B"/>
      </colorScale>
    </cfRule>
  </conditionalFormatting>
  <conditionalFormatting pivot="1" sqref="F51:F55">
    <cfRule type="colorScale" priority="18">
      <colorScale>
        <cfvo type="min"/>
        <cfvo type="max"/>
        <color rgb="FFFCFCFF"/>
        <color rgb="FFF8696B"/>
      </colorScale>
    </cfRule>
  </conditionalFormatting>
  <conditionalFormatting pivot="1" sqref="F57:F61">
    <cfRule type="colorScale" priority="17">
      <colorScale>
        <cfvo type="min"/>
        <cfvo type="max"/>
        <color rgb="FFFCFCFF"/>
        <color rgb="FFF8696B"/>
      </colorScale>
    </cfRule>
  </conditionalFormatting>
  <conditionalFormatting pivot="1" sqref="C70:C72">
    <cfRule type="colorScale" priority="16">
      <colorScale>
        <cfvo type="min"/>
        <cfvo type="max"/>
        <color rgb="FFFCFCFF"/>
        <color rgb="FF63BE7B"/>
      </colorScale>
    </cfRule>
  </conditionalFormatting>
  <conditionalFormatting pivot="1" sqref="E70:E72">
    <cfRule type="colorScale" priority="15">
      <colorScale>
        <cfvo type="min"/>
        <cfvo type="max"/>
        <color rgb="FFFCFCFF"/>
        <color rgb="FFF8696B"/>
      </colorScale>
    </cfRule>
  </conditionalFormatting>
  <conditionalFormatting pivot="1" sqref="C81:C82">
    <cfRule type="colorScale" priority="14">
      <colorScale>
        <cfvo type="min"/>
        <cfvo type="max"/>
        <color rgb="FFFCFCFF"/>
        <color rgb="FF63BE7B"/>
      </colorScale>
    </cfRule>
  </conditionalFormatting>
  <conditionalFormatting pivot="1" sqref="E81:E82">
    <cfRule type="colorScale" priority="13">
      <colorScale>
        <cfvo type="min"/>
        <cfvo type="max"/>
        <color rgb="FFFCFCFF"/>
        <color rgb="FFF8696B"/>
      </colorScale>
    </cfRule>
  </conditionalFormatting>
  <conditionalFormatting pivot="1" sqref="C91:C93">
    <cfRule type="colorScale" priority="12">
      <colorScale>
        <cfvo type="min"/>
        <cfvo type="max"/>
        <color rgb="FFFCFCFF"/>
        <color rgb="FF63BE7B"/>
      </colorScale>
    </cfRule>
  </conditionalFormatting>
  <conditionalFormatting pivot="1" sqref="E91:E93">
    <cfRule type="colorScale" priority="11">
      <colorScale>
        <cfvo type="min"/>
        <cfvo type="max"/>
        <color rgb="FFFCFCFF"/>
        <color rgb="FFF8696B"/>
      </colorScale>
    </cfRule>
  </conditionalFormatting>
  <conditionalFormatting pivot="1" sqref="C101:C102">
    <cfRule type="colorScale" priority="10">
      <colorScale>
        <cfvo type="min"/>
        <cfvo type="max"/>
        <color rgb="FFFCFCFF"/>
        <color rgb="FF63BE7B"/>
      </colorScale>
    </cfRule>
  </conditionalFormatting>
  <conditionalFormatting pivot="1" sqref="C104:C105">
    <cfRule type="colorScale" priority="9">
      <colorScale>
        <cfvo type="min"/>
        <cfvo type="max"/>
        <color rgb="FFFCFCFF"/>
        <color rgb="FF63BE7B"/>
      </colorScale>
    </cfRule>
  </conditionalFormatting>
  <conditionalFormatting pivot="1" sqref="E101:E102">
    <cfRule type="colorScale" priority="8">
      <colorScale>
        <cfvo type="min"/>
        <cfvo type="max"/>
        <color rgb="FFFCFCFF"/>
        <color rgb="FFF8696B"/>
      </colorScale>
    </cfRule>
  </conditionalFormatting>
  <conditionalFormatting pivot="1" sqref="E104:E105">
    <cfRule type="colorScale" priority="7">
      <colorScale>
        <cfvo type="min"/>
        <cfvo type="max"/>
        <color rgb="FFFCFCFF"/>
        <color rgb="FFF8696B"/>
      </colorScale>
    </cfRule>
  </conditionalFormatting>
  <conditionalFormatting pivot="1" sqref="D113:D115">
    <cfRule type="colorScale" priority="6">
      <colorScale>
        <cfvo type="min"/>
        <cfvo type="max"/>
        <color rgb="FFFCFCFF"/>
        <color rgb="FF63BE7B"/>
      </colorScale>
    </cfRule>
  </conditionalFormatting>
  <conditionalFormatting pivot="1" sqref="D117:D119">
    <cfRule type="colorScale" priority="5">
      <colorScale>
        <cfvo type="min"/>
        <cfvo type="max"/>
        <color rgb="FFFCFCFF"/>
        <color rgb="FF63BE7B"/>
      </colorScale>
    </cfRule>
  </conditionalFormatting>
  <conditionalFormatting pivot="1" sqref="D121:D123">
    <cfRule type="colorScale" priority="4">
      <colorScale>
        <cfvo type="min"/>
        <cfvo type="max"/>
        <color rgb="FFFCFCFF"/>
        <color rgb="FF63BE7B"/>
      </colorScale>
    </cfRule>
  </conditionalFormatting>
  <conditionalFormatting pivot="1" sqref="F113:F115">
    <cfRule type="colorScale" priority="3">
      <colorScale>
        <cfvo type="min"/>
        <cfvo type="max"/>
        <color rgb="FFFCFCFF"/>
        <color rgb="FFF8696B"/>
      </colorScale>
    </cfRule>
  </conditionalFormatting>
  <conditionalFormatting pivot="1" sqref="F117:F119">
    <cfRule type="colorScale" priority="2">
      <colorScale>
        <cfvo type="min"/>
        <cfvo type="max"/>
        <color rgb="FFFCFCFF"/>
        <color rgb="FFF8696B"/>
      </colorScale>
    </cfRule>
  </conditionalFormatting>
  <conditionalFormatting pivot="1" sqref="F121:F123">
    <cfRule type="colorScale" priority="1">
      <colorScale>
        <cfvo type="min"/>
        <cfvo type="max"/>
        <color rgb="FFFCFCFF"/>
        <color rgb="FFF8696B"/>
      </colorScale>
    </cfRule>
  </conditionalFormatting>
  <pageMargins left="0.7" right="0.7" top="0.75" bottom="0.75" header="0.3" footer="0.3"/>
  <pageSetup orientation="portrait"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46923-FC86-4777-91D6-8BDC4EF7E93F}">
  <sheetPr>
    <tabColor theme="4" tint="0.79998168889431442"/>
  </sheetPr>
  <dimension ref="A1:Z124"/>
  <sheetViews>
    <sheetView showGridLines="0" zoomScale="58" zoomScaleNormal="58" workbookViewId="0">
      <selection activeCell="J17" sqref="J17"/>
    </sheetView>
  </sheetViews>
  <sheetFormatPr defaultRowHeight="14.4" x14ac:dyDescent="0.3"/>
  <cols>
    <col min="1" max="1" width="19.88671875" bestFit="1" customWidth="1"/>
    <col min="2" max="2" width="27.5546875" bestFit="1" customWidth="1"/>
    <col min="3" max="3" width="7.5546875" bestFit="1" customWidth="1"/>
    <col min="4" max="4" width="27.5546875" bestFit="1" customWidth="1"/>
    <col min="5" max="5" width="18.88671875" bestFit="1" customWidth="1"/>
    <col min="6" max="6" width="12" bestFit="1" customWidth="1"/>
    <col min="7" max="7" width="26.88671875" bestFit="1" customWidth="1"/>
    <col min="8" max="8" width="10.44140625" bestFit="1" customWidth="1"/>
    <col min="9" max="9" width="18.88671875" bestFit="1" customWidth="1"/>
    <col min="10" max="10" width="12" bestFit="1" customWidth="1"/>
    <col min="11" max="11" width="18.88671875" bestFit="1" customWidth="1"/>
    <col min="12" max="12" width="12" bestFit="1" customWidth="1"/>
    <col min="13" max="13" width="7.33203125" bestFit="1" customWidth="1"/>
    <col min="14" max="14" width="18.88671875" bestFit="1" customWidth="1"/>
    <col min="15" max="15" width="27.88671875" bestFit="1" customWidth="1"/>
    <col min="24" max="24" width="12.5546875" bestFit="1" customWidth="1"/>
    <col min="25" max="25" width="19.21875" bestFit="1" customWidth="1"/>
    <col min="26" max="26" width="7.33203125" bestFit="1" customWidth="1"/>
    <col min="27" max="27" width="15.33203125" bestFit="1" customWidth="1"/>
  </cols>
  <sheetData>
    <row r="1" spans="1:26" x14ac:dyDescent="0.3">
      <c r="A1" s="62" t="s">
        <v>4164</v>
      </c>
      <c r="B1" s="63"/>
      <c r="C1" s="63"/>
      <c r="D1" s="63"/>
      <c r="E1" s="63"/>
      <c r="F1" s="63"/>
    </row>
    <row r="2" spans="1:26" x14ac:dyDescent="0.3">
      <c r="A2" s="63"/>
      <c r="B2" s="63"/>
      <c r="C2" s="63"/>
      <c r="D2" s="63"/>
      <c r="E2" s="63"/>
      <c r="F2" s="63"/>
    </row>
    <row r="4" spans="1:26" ht="21" x14ac:dyDescent="0.3">
      <c r="A4" s="64" t="s">
        <v>4167</v>
      </c>
      <c r="B4" s="64"/>
      <c r="C4" s="64"/>
      <c r="D4" s="64"/>
      <c r="E4" s="64"/>
      <c r="J4" s="30"/>
      <c r="K4" s="58"/>
      <c r="L4" s="59"/>
      <c r="M4" s="59"/>
      <c r="N4" s="59"/>
      <c r="O4" s="59"/>
      <c r="P4" s="59"/>
      <c r="Q4" s="30"/>
      <c r="R4" s="30"/>
      <c r="S4" s="30"/>
      <c r="T4" s="30"/>
      <c r="U4" s="30"/>
    </row>
    <row r="5" spans="1:26" ht="16.2" customHeight="1" thickBot="1" x14ac:dyDescent="0.35">
      <c r="J5" s="30"/>
      <c r="K5" s="59"/>
      <c r="L5" s="59"/>
      <c r="M5" s="59"/>
      <c r="N5" s="59"/>
      <c r="O5" s="59"/>
      <c r="P5" s="59"/>
      <c r="Q5" s="30"/>
      <c r="R5" s="30"/>
      <c r="S5" s="30"/>
      <c r="T5" s="30"/>
      <c r="U5" s="30"/>
    </row>
    <row r="6" spans="1:26" ht="14.4" customHeight="1" thickBot="1" x14ac:dyDescent="0.35">
      <c r="A6" s="44" t="s">
        <v>2115</v>
      </c>
      <c r="B6" s="14" t="s">
        <v>4168</v>
      </c>
      <c r="J6" s="30"/>
      <c r="K6" s="30"/>
      <c r="L6" s="31"/>
      <c r="M6" s="31"/>
      <c r="N6" s="31"/>
      <c r="O6" s="31"/>
      <c r="P6" s="31"/>
      <c r="Q6" s="31"/>
      <c r="R6" s="31"/>
      <c r="S6" s="31"/>
      <c r="T6" s="31"/>
      <c r="U6" s="31"/>
      <c r="V6" s="29"/>
      <c r="W6" s="29"/>
      <c r="X6" s="29"/>
      <c r="Y6" s="29"/>
      <c r="Z6" s="29"/>
    </row>
    <row r="7" spans="1:26" ht="18" x14ac:dyDescent="0.35">
      <c r="A7" s="45" t="s">
        <v>4146</v>
      </c>
      <c r="B7" s="41">
        <v>498</v>
      </c>
      <c r="J7" s="30"/>
      <c r="K7" s="33"/>
      <c r="L7" s="31"/>
      <c r="M7" s="31"/>
      <c r="N7" s="31"/>
      <c r="O7" s="31"/>
      <c r="P7" s="31"/>
      <c r="Q7" s="31"/>
      <c r="R7" s="31"/>
      <c r="S7" s="31"/>
      <c r="T7" s="31"/>
      <c r="U7" s="31"/>
      <c r="V7" s="29"/>
      <c r="W7" s="29"/>
      <c r="X7" s="29"/>
      <c r="Y7" s="29"/>
      <c r="Z7" s="29"/>
    </row>
    <row r="8" spans="1:26" ht="16.2" thickBot="1" x14ac:dyDescent="0.35">
      <c r="A8" s="46" t="s">
        <v>4154</v>
      </c>
      <c r="B8" s="42">
        <v>807</v>
      </c>
      <c r="J8" s="30"/>
      <c r="K8" s="30"/>
      <c r="L8" s="31"/>
      <c r="M8" s="31"/>
      <c r="N8" s="31"/>
      <c r="O8" s="31"/>
      <c r="P8" s="31"/>
      <c r="Q8" s="31"/>
      <c r="R8" s="31"/>
      <c r="S8" s="31"/>
      <c r="T8" s="31"/>
      <c r="U8" s="31"/>
      <c r="V8" s="29"/>
      <c r="W8" s="29"/>
      <c r="X8" s="29"/>
      <c r="Y8" s="29"/>
      <c r="Z8" s="29"/>
    </row>
    <row r="9" spans="1:26" ht="15" customHeight="1" thickBot="1" x14ac:dyDescent="0.35">
      <c r="A9" s="47" t="s">
        <v>4166</v>
      </c>
      <c r="B9" s="43">
        <v>1305</v>
      </c>
      <c r="J9" s="30"/>
      <c r="K9" s="56"/>
      <c r="L9" s="56"/>
      <c r="M9" s="56"/>
      <c r="N9" s="56"/>
      <c r="O9" s="56"/>
      <c r="P9" s="56"/>
      <c r="Q9" s="56"/>
      <c r="R9" s="56"/>
      <c r="S9" s="56"/>
      <c r="T9" s="56"/>
      <c r="U9" s="56"/>
      <c r="V9" s="29"/>
      <c r="W9" s="29"/>
      <c r="X9" s="29"/>
      <c r="Y9" s="29"/>
      <c r="Z9" s="29"/>
    </row>
    <row r="10" spans="1:26" ht="15.6" x14ac:dyDescent="0.3">
      <c r="A10" s="7" t="s">
        <v>4182</v>
      </c>
      <c r="J10" s="30"/>
      <c r="K10" s="56"/>
      <c r="L10" s="56"/>
      <c r="M10" s="56"/>
      <c r="N10" s="56"/>
      <c r="O10" s="56"/>
      <c r="P10" s="56"/>
      <c r="Q10" s="56"/>
      <c r="R10" s="56"/>
      <c r="S10" s="56"/>
      <c r="T10" s="56"/>
      <c r="U10" s="56"/>
      <c r="V10" s="29"/>
      <c r="W10" s="29"/>
      <c r="X10" s="29"/>
      <c r="Y10" s="29"/>
      <c r="Z10" s="29"/>
    </row>
    <row r="11" spans="1:26" ht="15.6" x14ac:dyDescent="0.3">
      <c r="J11" s="30"/>
      <c r="K11" s="56"/>
      <c r="L11" s="56"/>
      <c r="M11" s="56"/>
      <c r="N11" s="56"/>
      <c r="O11" s="56"/>
      <c r="P11" s="56"/>
      <c r="Q11" s="56"/>
      <c r="R11" s="56"/>
      <c r="S11" s="56"/>
      <c r="T11" s="56"/>
      <c r="U11" s="56"/>
      <c r="V11" s="29"/>
      <c r="W11" s="29"/>
      <c r="X11" s="29"/>
      <c r="Y11" s="29"/>
      <c r="Z11" s="29"/>
    </row>
    <row r="12" spans="1:26" ht="21" x14ac:dyDescent="0.3">
      <c r="A12" s="64" t="s">
        <v>4170</v>
      </c>
      <c r="B12" s="64"/>
      <c r="C12" s="64"/>
      <c r="D12" s="64"/>
      <c r="E12" s="64"/>
      <c r="J12" s="30"/>
      <c r="K12" s="56"/>
      <c r="L12" s="56"/>
      <c r="M12" s="56"/>
      <c r="N12" s="56"/>
      <c r="O12" s="56"/>
      <c r="P12" s="56"/>
      <c r="Q12" s="56"/>
      <c r="R12" s="56"/>
      <c r="S12" s="56"/>
      <c r="T12" s="56"/>
      <c r="U12" s="56"/>
      <c r="V12" s="29"/>
      <c r="W12" s="29"/>
      <c r="X12" s="29"/>
      <c r="Y12" s="29"/>
      <c r="Z12" s="29"/>
    </row>
    <row r="13" spans="1:26" ht="16.2" thickBot="1" x14ac:dyDescent="0.35">
      <c r="A13" s="6"/>
      <c r="B13" s="6"/>
      <c r="C13" s="6"/>
      <c r="D13" s="6"/>
      <c r="E13" s="6"/>
      <c r="J13" s="30"/>
      <c r="K13" s="56"/>
      <c r="L13" s="56"/>
      <c r="M13" s="56"/>
      <c r="N13" s="56"/>
      <c r="O13" s="56"/>
      <c r="P13" s="56"/>
      <c r="Q13" s="56"/>
      <c r="R13" s="56"/>
      <c r="S13" s="56"/>
      <c r="T13" s="56"/>
      <c r="U13" s="56"/>
      <c r="V13" s="29"/>
      <c r="W13" s="29"/>
      <c r="X13" s="29"/>
      <c r="Y13" s="29"/>
      <c r="Z13" s="29"/>
    </row>
    <row r="14" spans="1:26" ht="15.6" x14ac:dyDescent="0.3">
      <c r="A14" s="12" t="s">
        <v>2116</v>
      </c>
      <c r="B14" s="14" t="s">
        <v>4172</v>
      </c>
      <c r="J14" s="30"/>
      <c r="K14" s="56"/>
      <c r="L14" s="56"/>
      <c r="M14" s="56"/>
      <c r="N14" s="56"/>
      <c r="O14" s="56"/>
      <c r="P14" s="56"/>
      <c r="Q14" s="56"/>
      <c r="R14" s="56"/>
      <c r="S14" s="56"/>
      <c r="T14" s="56"/>
      <c r="U14" s="56"/>
      <c r="V14" s="29"/>
      <c r="W14" s="29"/>
      <c r="X14" s="29"/>
      <c r="Y14" s="29"/>
      <c r="Z14" s="29"/>
    </row>
    <row r="15" spans="1:26" ht="15.6" x14ac:dyDescent="0.3">
      <c r="A15" s="15" t="s">
        <v>4162</v>
      </c>
      <c r="B15" s="55">
        <v>709</v>
      </c>
      <c r="J15" s="30"/>
      <c r="K15" s="56"/>
      <c r="L15" s="56"/>
      <c r="M15" s="56"/>
      <c r="N15" s="56"/>
      <c r="O15" s="56"/>
      <c r="P15" s="56"/>
      <c r="Q15" s="56"/>
      <c r="R15" s="56"/>
      <c r="S15" s="56"/>
      <c r="T15" s="56"/>
      <c r="U15" s="56"/>
      <c r="V15" s="29"/>
      <c r="W15" s="29"/>
      <c r="X15" s="29"/>
      <c r="Y15" s="29"/>
      <c r="Z15" s="29"/>
    </row>
    <row r="16" spans="1:26" ht="15.6" x14ac:dyDescent="0.3">
      <c r="A16" s="15" t="s">
        <v>4145</v>
      </c>
      <c r="B16" s="55">
        <v>319</v>
      </c>
      <c r="J16" s="30"/>
      <c r="K16" s="56"/>
      <c r="L16" s="56"/>
      <c r="M16" s="56"/>
      <c r="N16" s="56"/>
      <c r="O16" s="56"/>
      <c r="P16" s="56"/>
      <c r="Q16" s="56"/>
      <c r="R16" s="56"/>
      <c r="S16" s="56"/>
      <c r="T16" s="56"/>
      <c r="U16" s="56"/>
      <c r="V16" s="29"/>
      <c r="W16" s="29"/>
      <c r="X16" s="29"/>
      <c r="Y16" s="29"/>
      <c r="Z16" s="29"/>
    </row>
    <row r="17" spans="1:26" ht="16.2" thickBot="1" x14ac:dyDescent="0.35">
      <c r="A17" s="17" t="s">
        <v>4161</v>
      </c>
      <c r="B17" s="60">
        <v>277</v>
      </c>
      <c r="J17" s="30"/>
      <c r="K17" s="56"/>
      <c r="L17" s="56"/>
      <c r="M17" s="56"/>
      <c r="N17" s="56"/>
      <c r="O17" s="56"/>
      <c r="P17" s="56"/>
      <c r="Q17" s="56"/>
      <c r="R17" s="56"/>
      <c r="S17" s="56"/>
      <c r="T17" s="56"/>
      <c r="U17" s="56"/>
      <c r="V17" s="29"/>
      <c r="W17" s="29"/>
      <c r="X17" s="29"/>
      <c r="Y17" s="29"/>
      <c r="Z17" s="29"/>
    </row>
    <row r="18" spans="1:26" ht="15.6" x14ac:dyDescent="0.3">
      <c r="J18" s="30"/>
      <c r="K18" s="30"/>
      <c r="L18" s="31"/>
      <c r="M18" s="31"/>
      <c r="N18" s="31"/>
      <c r="O18" s="31"/>
      <c r="P18" s="31"/>
      <c r="Q18" s="31"/>
      <c r="R18" s="31"/>
      <c r="S18" s="31"/>
      <c r="T18" s="31"/>
      <c r="U18" s="31"/>
      <c r="V18" s="29"/>
      <c r="W18" s="29"/>
      <c r="X18" s="29"/>
      <c r="Y18" s="29"/>
      <c r="Z18" s="29"/>
    </row>
    <row r="19" spans="1:26" ht="18" x14ac:dyDescent="0.35">
      <c r="J19" s="30"/>
      <c r="K19" s="33"/>
      <c r="L19" s="31"/>
      <c r="M19" s="31"/>
      <c r="N19" s="31"/>
      <c r="O19" s="31"/>
      <c r="P19" s="31"/>
      <c r="Q19" s="31"/>
      <c r="R19" s="31"/>
      <c r="S19" s="31"/>
      <c r="T19" s="31"/>
      <c r="U19" s="31"/>
      <c r="V19" s="29"/>
      <c r="W19" s="29"/>
      <c r="X19" s="29"/>
      <c r="Y19" s="29"/>
      <c r="Z19" s="29"/>
    </row>
    <row r="20" spans="1:26" ht="15.6" x14ac:dyDescent="0.3">
      <c r="J20" s="30"/>
      <c r="K20" s="30"/>
      <c r="L20" s="31"/>
      <c r="M20" s="31"/>
      <c r="N20" s="31"/>
      <c r="O20" s="31"/>
      <c r="P20" s="31"/>
      <c r="Q20" s="31"/>
      <c r="R20" s="31"/>
      <c r="S20" s="31"/>
      <c r="T20" s="31"/>
      <c r="U20" s="31"/>
      <c r="V20" s="29"/>
      <c r="W20" s="29"/>
      <c r="X20" s="29"/>
      <c r="Y20" s="29"/>
      <c r="Z20" s="29"/>
    </row>
    <row r="21" spans="1:26" ht="15.6" customHeight="1" x14ac:dyDescent="0.3">
      <c r="A21" s="7" t="s">
        <v>4183</v>
      </c>
      <c r="B21" s="4"/>
      <c r="C21" s="5"/>
      <c r="D21" s="4"/>
      <c r="E21" s="5"/>
      <c r="F21" s="4"/>
      <c r="G21" s="5"/>
      <c r="J21" s="30"/>
      <c r="K21" s="32"/>
      <c r="L21" s="32"/>
      <c r="M21" s="32"/>
      <c r="N21" s="32"/>
      <c r="O21" s="32"/>
      <c r="P21" s="32"/>
      <c r="Q21" s="32"/>
      <c r="R21" s="32"/>
      <c r="S21" s="32"/>
      <c r="T21" s="32"/>
      <c r="U21" s="32"/>
      <c r="V21" s="29"/>
      <c r="W21" s="29"/>
      <c r="X21" s="29"/>
      <c r="Y21" s="29"/>
      <c r="Z21" s="29"/>
    </row>
    <row r="22" spans="1:26" ht="15.6" x14ac:dyDescent="0.3">
      <c r="J22" s="30"/>
      <c r="K22" s="32"/>
      <c r="L22" s="32"/>
      <c r="M22" s="32"/>
      <c r="N22" s="32"/>
      <c r="O22" s="32"/>
      <c r="P22" s="32"/>
      <c r="Q22" s="32"/>
      <c r="R22" s="32"/>
      <c r="S22" s="32"/>
      <c r="T22" s="32"/>
      <c r="U22" s="32"/>
      <c r="V22" s="29"/>
      <c r="W22" s="29"/>
      <c r="X22" s="29"/>
      <c r="Y22" s="29"/>
      <c r="Z22" s="29"/>
    </row>
    <row r="23" spans="1:26" ht="21" x14ac:dyDescent="0.3">
      <c r="A23" s="64" t="s">
        <v>4173</v>
      </c>
      <c r="B23" s="64"/>
      <c r="C23" s="64"/>
      <c r="D23" s="64"/>
      <c r="E23" s="64"/>
      <c r="J23" s="30"/>
      <c r="K23" s="32"/>
      <c r="L23" s="32"/>
      <c r="M23" s="32"/>
      <c r="N23" s="32"/>
      <c r="O23" s="32"/>
      <c r="P23" s="32"/>
      <c r="Q23" s="32"/>
      <c r="R23" s="32"/>
      <c r="S23" s="32"/>
      <c r="T23" s="32"/>
      <c r="U23" s="32"/>
      <c r="V23" s="29"/>
      <c r="W23" s="29"/>
      <c r="X23" s="29"/>
      <c r="Y23" s="29"/>
      <c r="Z23" s="29"/>
    </row>
    <row r="24" spans="1:26" ht="16.2" thickBot="1" x14ac:dyDescent="0.35">
      <c r="J24" s="30"/>
      <c r="K24" s="32"/>
      <c r="L24" s="32"/>
      <c r="M24" s="32"/>
      <c r="N24" s="32"/>
      <c r="O24" s="32"/>
      <c r="P24" s="32"/>
      <c r="Q24" s="32"/>
      <c r="R24" s="32"/>
      <c r="S24" s="32"/>
      <c r="T24" s="32"/>
      <c r="U24" s="32"/>
      <c r="V24" s="29"/>
      <c r="W24" s="29"/>
      <c r="X24" s="29"/>
      <c r="Y24" s="29"/>
      <c r="Z24" s="29"/>
    </row>
    <row r="25" spans="1:26" ht="15.6" x14ac:dyDescent="0.3">
      <c r="A25" s="12" t="s">
        <v>4172</v>
      </c>
      <c r="B25" s="21" t="s">
        <v>2115</v>
      </c>
      <c r="C25" s="14"/>
      <c r="E25" s="38" t="s">
        <v>4165</v>
      </c>
      <c r="F25" t="s">
        <v>4168</v>
      </c>
      <c r="H25" s="48" t="s">
        <v>3082</v>
      </c>
      <c r="I25" s="4">
        <v>1</v>
      </c>
      <c r="J25" s="30"/>
      <c r="K25" s="32"/>
      <c r="L25" s="32"/>
      <c r="M25" s="32"/>
      <c r="N25" s="32"/>
      <c r="O25" s="32"/>
      <c r="P25" s="32"/>
      <c r="Q25" s="32"/>
      <c r="R25" s="32"/>
      <c r="S25" s="32"/>
      <c r="T25" s="32"/>
      <c r="U25" s="32"/>
      <c r="V25" s="29"/>
      <c r="W25" s="29"/>
      <c r="X25" s="29"/>
      <c r="Y25" s="29"/>
      <c r="Z25" s="29"/>
    </row>
    <row r="26" spans="1:26" ht="15.6" x14ac:dyDescent="0.3">
      <c r="A26" s="23" t="s">
        <v>2117</v>
      </c>
      <c r="B26" s="9" t="s">
        <v>4146</v>
      </c>
      <c r="C26" s="22" t="s">
        <v>4154</v>
      </c>
      <c r="E26" s="48" t="s">
        <v>3001</v>
      </c>
      <c r="F26" s="61">
        <v>197</v>
      </c>
      <c r="H26" s="48" t="s">
        <v>3008</v>
      </c>
      <c r="I26" s="4">
        <v>4</v>
      </c>
      <c r="J26" s="30"/>
      <c r="K26" s="32"/>
      <c r="L26" s="32"/>
      <c r="M26" s="32"/>
      <c r="N26" s="32"/>
      <c r="O26" s="32"/>
      <c r="P26" s="32"/>
      <c r="Q26" s="32"/>
      <c r="R26" s="32"/>
      <c r="S26" s="32"/>
      <c r="T26" s="32"/>
      <c r="U26" s="32"/>
      <c r="V26" s="29"/>
      <c r="W26" s="29"/>
      <c r="X26" s="29"/>
      <c r="Y26" s="29"/>
      <c r="Z26" s="29"/>
    </row>
    <row r="27" spans="1:26" ht="15.6" x14ac:dyDescent="0.3">
      <c r="A27" s="15" t="s">
        <v>2999</v>
      </c>
      <c r="B27" s="10">
        <v>123</v>
      </c>
      <c r="C27" s="39">
        <v>634</v>
      </c>
      <c r="E27" s="48" t="s">
        <v>2994</v>
      </c>
      <c r="F27" s="61">
        <v>260</v>
      </c>
      <c r="H27" s="48" t="s">
        <v>3040</v>
      </c>
      <c r="I27" s="4">
        <v>8</v>
      </c>
      <c r="J27" s="30"/>
      <c r="K27" s="32"/>
      <c r="L27" s="32"/>
      <c r="M27" s="32"/>
      <c r="N27" s="32"/>
      <c r="O27" s="32"/>
      <c r="P27" s="32"/>
      <c r="Q27" s="32"/>
      <c r="R27" s="32"/>
      <c r="S27" s="32"/>
      <c r="T27" s="32"/>
      <c r="U27" s="32"/>
      <c r="V27" s="29"/>
      <c r="W27" s="29"/>
      <c r="X27" s="29"/>
      <c r="Y27" s="29"/>
      <c r="Z27" s="29"/>
    </row>
    <row r="28" spans="1:26" ht="15.6" x14ac:dyDescent="0.3">
      <c r="A28" s="15" t="s">
        <v>3082</v>
      </c>
      <c r="B28" s="10"/>
      <c r="C28" s="39">
        <v>1</v>
      </c>
      <c r="E28" s="48" t="s">
        <v>2999</v>
      </c>
      <c r="F28" s="61">
        <v>757</v>
      </c>
      <c r="H28" s="48" t="s">
        <v>3100</v>
      </c>
      <c r="I28" s="4">
        <v>1</v>
      </c>
      <c r="J28" s="30"/>
      <c r="K28" s="32"/>
      <c r="L28" s="32"/>
      <c r="M28" s="32"/>
      <c r="N28" s="32"/>
      <c r="O28" s="32"/>
      <c r="P28" s="32"/>
      <c r="Q28" s="32"/>
      <c r="R28" s="32"/>
      <c r="S28" s="32"/>
      <c r="T28" s="32"/>
      <c r="U28" s="32"/>
      <c r="V28" s="29"/>
      <c r="W28" s="29"/>
      <c r="X28" s="29"/>
      <c r="Y28" s="29"/>
      <c r="Z28" s="29"/>
    </row>
    <row r="29" spans="1:26" ht="15.6" x14ac:dyDescent="0.3">
      <c r="A29" s="15" t="s">
        <v>3040</v>
      </c>
      <c r="B29" s="10">
        <v>4</v>
      </c>
      <c r="C29" s="39">
        <v>4</v>
      </c>
      <c r="E29" s="48" t="s">
        <v>4166</v>
      </c>
      <c r="F29" s="4">
        <v>1214</v>
      </c>
      <c r="H29" s="48" t="s">
        <v>3046</v>
      </c>
      <c r="I29" s="4">
        <v>2</v>
      </c>
      <c r="J29" s="30"/>
      <c r="K29" s="32"/>
      <c r="L29" s="32"/>
      <c r="M29" s="32"/>
      <c r="N29" s="32"/>
      <c r="O29" s="32"/>
      <c r="P29" s="32"/>
      <c r="Q29" s="32"/>
      <c r="R29" s="32"/>
      <c r="S29" s="32"/>
      <c r="T29" s="32"/>
      <c r="U29" s="32"/>
      <c r="V29" s="29"/>
      <c r="W29" s="29"/>
      <c r="X29" s="29"/>
      <c r="Y29" s="29"/>
      <c r="Z29" s="29"/>
    </row>
    <row r="30" spans="1:26" ht="15.6" x14ac:dyDescent="0.3">
      <c r="A30" s="15" t="s">
        <v>2994</v>
      </c>
      <c r="B30" s="10">
        <v>176</v>
      </c>
      <c r="C30" s="39">
        <v>84</v>
      </c>
      <c r="H30" s="48" t="s">
        <v>2996</v>
      </c>
      <c r="I30" s="4">
        <v>61</v>
      </c>
      <c r="J30" s="30"/>
      <c r="K30" s="32"/>
      <c r="L30" s="32"/>
      <c r="M30" s="32"/>
      <c r="N30" s="32"/>
      <c r="O30" s="32"/>
      <c r="P30" s="32"/>
      <c r="Q30" s="32"/>
      <c r="R30" s="32"/>
      <c r="S30" s="32"/>
      <c r="T30" s="32"/>
      <c r="U30" s="32"/>
      <c r="V30" s="29"/>
      <c r="W30" s="29"/>
      <c r="X30" s="29"/>
      <c r="Y30" s="29"/>
      <c r="Z30" s="29"/>
    </row>
    <row r="31" spans="1:26" ht="15.6" x14ac:dyDescent="0.3">
      <c r="A31" s="15" t="s">
        <v>3001</v>
      </c>
      <c r="B31" s="10">
        <v>155</v>
      </c>
      <c r="C31" s="39">
        <v>42</v>
      </c>
      <c r="H31" s="48" t="s">
        <v>2994</v>
      </c>
      <c r="I31" s="4">
        <v>260</v>
      </c>
      <c r="J31" s="30"/>
      <c r="K31" s="32"/>
      <c r="L31" s="32"/>
      <c r="M31" s="32"/>
      <c r="N31" s="32"/>
      <c r="O31" s="32"/>
      <c r="P31" s="32"/>
      <c r="Q31" s="32"/>
      <c r="R31" s="32"/>
      <c r="S31" s="32"/>
      <c r="T31" s="32"/>
      <c r="U31" s="32"/>
      <c r="V31" s="29"/>
      <c r="W31" s="29"/>
      <c r="X31" s="29"/>
      <c r="Y31" s="29"/>
      <c r="Z31" s="29"/>
    </row>
    <row r="32" spans="1:26" ht="15.6" x14ac:dyDescent="0.3">
      <c r="A32" s="15" t="s">
        <v>3008</v>
      </c>
      <c r="B32" s="10">
        <v>2</v>
      </c>
      <c r="C32" s="39">
        <v>2</v>
      </c>
      <c r="H32" s="48" t="s">
        <v>3202</v>
      </c>
      <c r="I32" s="4">
        <v>2</v>
      </c>
      <c r="J32" s="30"/>
      <c r="K32" s="32"/>
      <c r="L32" s="32"/>
      <c r="M32" s="32"/>
      <c r="N32" s="32"/>
      <c r="O32" s="32"/>
      <c r="P32" s="32"/>
      <c r="Q32" s="32"/>
      <c r="R32" s="32"/>
      <c r="S32" s="32"/>
      <c r="T32" s="32"/>
      <c r="U32" s="32"/>
      <c r="V32" s="29"/>
      <c r="W32" s="29"/>
      <c r="X32" s="29"/>
      <c r="Y32" s="29"/>
      <c r="Z32" s="29"/>
    </row>
    <row r="33" spans="1:26" ht="15.6" x14ac:dyDescent="0.3">
      <c r="A33" s="15" t="s">
        <v>3338</v>
      </c>
      <c r="B33" s="10"/>
      <c r="C33" s="39">
        <v>8</v>
      </c>
      <c r="H33" s="48" t="s">
        <v>2999</v>
      </c>
      <c r="I33" s="4">
        <v>757</v>
      </c>
      <c r="J33" s="30"/>
      <c r="K33" s="32"/>
      <c r="L33" s="32"/>
      <c r="M33" s="32"/>
      <c r="N33" s="32"/>
      <c r="O33" s="32"/>
      <c r="P33" s="32"/>
      <c r="Q33" s="32"/>
      <c r="R33" s="32"/>
      <c r="S33" s="32"/>
      <c r="T33" s="32"/>
      <c r="U33" s="32"/>
      <c r="V33" s="29"/>
      <c r="W33" s="29"/>
      <c r="X33" s="29"/>
      <c r="Y33" s="29"/>
      <c r="Z33" s="29"/>
    </row>
    <row r="34" spans="1:26" ht="15.6" x14ac:dyDescent="0.3">
      <c r="A34" s="15" t="s">
        <v>3100</v>
      </c>
      <c r="B34" s="10">
        <v>1</v>
      </c>
      <c r="C34" s="39"/>
      <c r="H34" s="48" t="s">
        <v>3001</v>
      </c>
      <c r="I34" s="4">
        <v>197</v>
      </c>
      <c r="J34" s="30"/>
      <c r="K34" s="32"/>
      <c r="L34" s="32"/>
      <c r="M34" s="32"/>
      <c r="N34" s="32"/>
      <c r="O34" s="32"/>
      <c r="P34" s="32"/>
      <c r="Q34" s="32"/>
      <c r="R34" s="32"/>
      <c r="S34" s="32"/>
      <c r="T34" s="32"/>
      <c r="U34" s="32"/>
      <c r="V34" s="29"/>
      <c r="W34" s="29"/>
      <c r="X34" s="29"/>
      <c r="Y34" s="29"/>
      <c r="Z34" s="29"/>
    </row>
    <row r="35" spans="1:26" ht="18" x14ac:dyDescent="0.3">
      <c r="A35" s="15" t="s">
        <v>2996</v>
      </c>
      <c r="B35" s="10">
        <v>31</v>
      </c>
      <c r="C35" s="39">
        <v>30</v>
      </c>
      <c r="H35" s="48" t="s">
        <v>3520</v>
      </c>
      <c r="I35" s="4">
        <v>2</v>
      </c>
      <c r="J35" s="30"/>
      <c r="K35" s="34"/>
      <c r="L35" s="32"/>
      <c r="M35" s="32"/>
      <c r="N35" s="32"/>
      <c r="O35" s="32"/>
      <c r="P35" s="32"/>
      <c r="Q35" s="32"/>
      <c r="R35" s="32"/>
      <c r="S35" s="31"/>
      <c r="T35" s="31"/>
      <c r="U35" s="31"/>
      <c r="V35" s="29"/>
      <c r="W35" s="29"/>
      <c r="X35" s="29"/>
      <c r="Y35" s="29"/>
      <c r="Z35" s="29"/>
    </row>
    <row r="36" spans="1:26" ht="15.6" x14ac:dyDescent="0.3">
      <c r="A36" s="15" t="s">
        <v>3102</v>
      </c>
      <c r="B36" s="10">
        <v>1</v>
      </c>
      <c r="C36" s="39"/>
      <c r="H36" s="48" t="s">
        <v>3338</v>
      </c>
      <c r="I36" s="4">
        <v>8</v>
      </c>
      <c r="J36" s="30"/>
      <c r="K36" s="30"/>
      <c r="L36" s="31"/>
      <c r="M36" s="31"/>
      <c r="N36" s="31"/>
      <c r="O36" s="31"/>
      <c r="P36" s="31"/>
      <c r="Q36" s="31"/>
      <c r="R36" s="31"/>
      <c r="S36" s="31"/>
      <c r="T36" s="31"/>
      <c r="U36" s="31"/>
      <c r="V36" s="29"/>
      <c r="W36" s="29"/>
      <c r="X36" s="29"/>
      <c r="Y36" s="29"/>
      <c r="Z36" s="29"/>
    </row>
    <row r="37" spans="1:26" ht="15.6" x14ac:dyDescent="0.3">
      <c r="A37" s="15" t="s">
        <v>3046</v>
      </c>
      <c r="B37" s="10">
        <v>1</v>
      </c>
      <c r="C37" s="39">
        <v>1</v>
      </c>
      <c r="H37" s="48" t="s">
        <v>3102</v>
      </c>
      <c r="I37" s="4">
        <v>1</v>
      </c>
      <c r="J37" s="30"/>
      <c r="K37" s="32"/>
      <c r="L37" s="32"/>
      <c r="M37" s="32"/>
      <c r="N37" s="32"/>
      <c r="O37" s="32"/>
      <c r="P37" s="32"/>
      <c r="Q37" s="32"/>
      <c r="R37" s="32"/>
      <c r="S37" s="32"/>
      <c r="T37" s="32"/>
      <c r="U37" s="32"/>
      <c r="V37" s="29"/>
      <c r="W37" s="29"/>
      <c r="X37" s="29"/>
      <c r="Y37" s="29"/>
      <c r="Z37" s="29"/>
    </row>
    <row r="38" spans="1:26" ht="15.6" x14ac:dyDescent="0.3">
      <c r="A38" s="15" t="s">
        <v>3202</v>
      </c>
      <c r="B38" s="10">
        <v>2</v>
      </c>
      <c r="C38" s="39"/>
      <c r="H38" s="48" t="s">
        <v>3248</v>
      </c>
      <c r="I38" s="4">
        <v>1</v>
      </c>
      <c r="J38" s="30"/>
      <c r="K38" s="32"/>
      <c r="L38" s="32"/>
      <c r="M38" s="32"/>
      <c r="N38" s="32"/>
      <c r="O38" s="32"/>
      <c r="P38" s="32"/>
      <c r="Q38" s="32"/>
      <c r="R38" s="32"/>
      <c r="S38" s="32"/>
      <c r="T38" s="32"/>
      <c r="U38" s="32"/>
      <c r="V38" s="29"/>
      <c r="W38" s="29"/>
      <c r="X38" s="29"/>
      <c r="Y38" s="29"/>
      <c r="Z38" s="29"/>
    </row>
    <row r="39" spans="1:26" ht="15.6" x14ac:dyDescent="0.3">
      <c r="A39" s="15" t="s">
        <v>3520</v>
      </c>
      <c r="B39" s="10">
        <v>1</v>
      </c>
      <c r="C39" s="39">
        <v>1</v>
      </c>
      <c r="J39" s="30"/>
      <c r="K39" s="32"/>
      <c r="L39" s="32"/>
      <c r="M39" s="32"/>
      <c r="N39" s="32"/>
      <c r="O39" s="32"/>
      <c r="P39" s="32"/>
      <c r="Q39" s="32"/>
      <c r="R39" s="32"/>
      <c r="S39" s="32"/>
      <c r="T39" s="32"/>
      <c r="U39" s="32"/>
      <c r="V39" s="29"/>
      <c r="W39" s="29"/>
      <c r="X39" s="29"/>
      <c r="Y39" s="29"/>
      <c r="Z39" s="29"/>
    </row>
    <row r="40" spans="1:26" ht="16.2" thickBot="1" x14ac:dyDescent="0.35">
      <c r="A40" s="17" t="s">
        <v>3248</v>
      </c>
      <c r="B40" s="18">
        <v>1</v>
      </c>
      <c r="C40" s="40"/>
      <c r="J40" s="30"/>
      <c r="K40" s="32"/>
      <c r="L40" s="32"/>
      <c r="M40" s="32"/>
      <c r="N40" s="32"/>
      <c r="O40" s="32"/>
      <c r="P40" s="32"/>
      <c r="Q40" s="32"/>
      <c r="R40" s="32"/>
      <c r="S40" s="32"/>
      <c r="T40" s="32"/>
      <c r="U40" s="32"/>
      <c r="V40" s="29"/>
      <c r="W40" s="29"/>
      <c r="X40" s="29"/>
      <c r="Y40" s="29"/>
      <c r="Z40" s="29"/>
    </row>
    <row r="41" spans="1:26" ht="15.6" x14ac:dyDescent="0.3">
      <c r="J41" s="30"/>
      <c r="K41" s="32"/>
      <c r="L41" s="32"/>
      <c r="M41" s="32"/>
      <c r="N41" s="32"/>
      <c r="O41" s="32"/>
      <c r="P41" s="32"/>
      <c r="Q41" s="32"/>
      <c r="R41" s="32"/>
      <c r="S41" s="32"/>
      <c r="T41" s="32"/>
      <c r="U41" s="32"/>
      <c r="V41" s="29"/>
      <c r="W41" s="29"/>
      <c r="X41" s="29"/>
      <c r="Y41" s="29"/>
      <c r="Z41" s="29"/>
    </row>
    <row r="42" spans="1:26" ht="15.6" x14ac:dyDescent="0.3">
      <c r="J42" s="30"/>
      <c r="K42" s="32"/>
      <c r="L42" s="32"/>
      <c r="M42" s="32"/>
      <c r="N42" s="32"/>
      <c r="O42" s="32"/>
      <c r="P42" s="32"/>
      <c r="Q42" s="32"/>
      <c r="R42" s="32"/>
      <c r="S42" s="32"/>
      <c r="T42" s="32"/>
      <c r="U42" s="32"/>
      <c r="V42" s="29"/>
      <c r="W42" s="29"/>
      <c r="X42" s="29"/>
      <c r="Y42" s="29"/>
      <c r="Z42" s="29"/>
    </row>
    <row r="43" spans="1:26" ht="15.6" x14ac:dyDescent="0.3">
      <c r="A43" s="7" t="s">
        <v>4184</v>
      </c>
      <c r="B43" s="4"/>
      <c r="C43" s="5"/>
      <c r="D43" s="4"/>
      <c r="J43" s="30"/>
      <c r="K43" s="32"/>
      <c r="L43" s="32"/>
      <c r="M43" s="32"/>
      <c r="N43" s="32"/>
      <c r="O43" s="32"/>
      <c r="P43" s="32"/>
      <c r="Q43" s="32"/>
      <c r="R43" s="32"/>
      <c r="S43" s="32"/>
      <c r="T43" s="32"/>
      <c r="U43" s="32"/>
      <c r="V43" s="29"/>
      <c r="W43" s="29"/>
      <c r="X43" s="29"/>
      <c r="Y43" s="29"/>
      <c r="Z43" s="29"/>
    </row>
    <row r="44" spans="1:26" ht="15.6" x14ac:dyDescent="0.3">
      <c r="J44" s="30"/>
      <c r="K44" s="32"/>
      <c r="L44" s="32"/>
      <c r="M44" s="32"/>
      <c r="N44" s="32"/>
      <c r="O44" s="32"/>
      <c r="P44" s="32"/>
      <c r="Q44" s="32"/>
      <c r="R44" s="32"/>
      <c r="S44" s="32"/>
      <c r="T44" s="32"/>
      <c r="U44" s="32"/>
      <c r="V44" s="29"/>
      <c r="W44" s="29"/>
      <c r="X44" s="29"/>
      <c r="Y44" s="29"/>
      <c r="Z44" s="29"/>
    </row>
    <row r="45" spans="1:26" ht="21" x14ac:dyDescent="0.3">
      <c r="A45" s="64" t="s">
        <v>4179</v>
      </c>
      <c r="B45" s="64"/>
      <c r="C45" s="64"/>
      <c r="D45" s="64"/>
      <c r="E45" s="64"/>
      <c r="J45" s="30"/>
      <c r="K45" s="32"/>
      <c r="L45" s="32"/>
      <c r="M45" s="32"/>
      <c r="N45" s="32"/>
      <c r="O45" s="32"/>
      <c r="P45" s="32"/>
      <c r="Q45" s="32"/>
      <c r="R45" s="32"/>
      <c r="S45" s="32"/>
      <c r="T45" s="32"/>
      <c r="U45" s="32"/>
      <c r="V45" s="29"/>
      <c r="W45" s="29"/>
      <c r="X45" s="29"/>
      <c r="Y45" s="29"/>
      <c r="Z45" s="29"/>
    </row>
    <row r="46" spans="1:26" ht="16.2" thickBot="1" x14ac:dyDescent="0.35">
      <c r="J46" s="30"/>
      <c r="K46" s="32"/>
      <c r="L46" s="32"/>
      <c r="M46" s="32"/>
      <c r="N46" s="32"/>
      <c r="O46" s="32"/>
      <c r="P46" s="32"/>
      <c r="Q46" s="32"/>
      <c r="R46" s="32"/>
      <c r="S46" s="32"/>
      <c r="T46" s="32"/>
      <c r="U46" s="32"/>
      <c r="V46" s="29"/>
      <c r="W46" s="29"/>
      <c r="X46" s="29"/>
      <c r="Y46" s="29"/>
      <c r="Z46" s="29"/>
    </row>
    <row r="47" spans="1:26" ht="15.6" x14ac:dyDescent="0.3">
      <c r="A47" s="20"/>
      <c r="B47" s="13"/>
      <c r="C47" s="21" t="s">
        <v>2115</v>
      </c>
      <c r="D47" s="21" t="s">
        <v>4176</v>
      </c>
      <c r="E47" s="13"/>
      <c r="F47" s="13"/>
      <c r="G47" s="13"/>
      <c r="H47" s="14"/>
      <c r="J47" s="30"/>
      <c r="K47" s="38" t="s">
        <v>4165</v>
      </c>
      <c r="L47" t="s">
        <v>4168</v>
      </c>
      <c r="N47" s="38" t="s">
        <v>4165</v>
      </c>
      <c r="O47" t="s">
        <v>4200</v>
      </c>
      <c r="P47" s="32"/>
      <c r="Q47" s="32"/>
      <c r="R47" s="32"/>
      <c r="S47" s="32"/>
      <c r="T47" s="31"/>
      <c r="U47" s="31"/>
      <c r="V47" s="29"/>
      <c r="W47" s="29"/>
      <c r="X47" s="29"/>
      <c r="Y47" s="29"/>
      <c r="Z47" s="29"/>
    </row>
    <row r="48" spans="1:26" ht="15.6" x14ac:dyDescent="0.3">
      <c r="A48" s="15"/>
      <c r="B48" s="9"/>
      <c r="C48" s="9" t="s">
        <v>4146</v>
      </c>
      <c r="D48" s="9"/>
      <c r="E48" s="9" t="s">
        <v>4154</v>
      </c>
      <c r="F48" s="9"/>
      <c r="G48" s="9" t="s">
        <v>4174</v>
      </c>
      <c r="H48" s="22" t="s">
        <v>4175</v>
      </c>
      <c r="J48" s="30"/>
      <c r="K48" s="48" t="s">
        <v>4147</v>
      </c>
      <c r="L48" s="61">
        <v>464</v>
      </c>
      <c r="N48" s="48" t="s">
        <v>4147</v>
      </c>
      <c r="O48" s="61">
        <v>464</v>
      </c>
      <c r="P48" s="32"/>
      <c r="Q48" s="32"/>
      <c r="R48" s="32"/>
      <c r="S48" s="32"/>
      <c r="T48" s="31"/>
      <c r="U48" s="31"/>
      <c r="V48" s="29"/>
      <c r="W48" s="29"/>
      <c r="X48" s="29"/>
      <c r="Y48" s="29"/>
      <c r="Z48" s="29"/>
    </row>
    <row r="49" spans="1:26" ht="15.6" x14ac:dyDescent="0.3">
      <c r="A49" s="23" t="s">
        <v>4139</v>
      </c>
      <c r="B49" s="8" t="s">
        <v>4143</v>
      </c>
      <c r="C49" s="9" t="s">
        <v>4172</v>
      </c>
      <c r="D49" s="9" t="s">
        <v>4169</v>
      </c>
      <c r="E49" s="9" t="s">
        <v>4172</v>
      </c>
      <c r="F49" s="9" t="s">
        <v>4169</v>
      </c>
      <c r="G49" s="9"/>
      <c r="H49" s="22"/>
      <c r="J49" s="30"/>
      <c r="K49" s="48" t="s">
        <v>4151</v>
      </c>
      <c r="L49" s="61">
        <v>841</v>
      </c>
      <c r="N49" s="48" t="s">
        <v>4151</v>
      </c>
      <c r="O49" s="61">
        <v>841</v>
      </c>
      <c r="P49" s="32"/>
      <c r="Q49" s="32"/>
      <c r="R49" s="32"/>
      <c r="S49" s="32"/>
      <c r="T49" s="31"/>
      <c r="U49" s="31"/>
      <c r="V49" s="29"/>
      <c r="W49" s="29"/>
      <c r="X49" s="29"/>
      <c r="Y49" s="29"/>
      <c r="Z49" s="29"/>
    </row>
    <row r="50" spans="1:26" ht="15.6" x14ac:dyDescent="0.3">
      <c r="A50" s="15" t="s">
        <v>4147</v>
      </c>
      <c r="B50" s="9"/>
      <c r="C50" s="10">
        <v>337</v>
      </c>
      <c r="D50" s="11">
        <v>0.72629310344827591</v>
      </c>
      <c r="E50" s="10">
        <v>127</v>
      </c>
      <c r="F50" s="11">
        <v>0.27370689655172414</v>
      </c>
      <c r="G50" s="10">
        <v>464</v>
      </c>
      <c r="H50" s="16">
        <v>1</v>
      </c>
      <c r="J50" s="30"/>
      <c r="K50" s="48" t="s">
        <v>4166</v>
      </c>
      <c r="L50" s="4">
        <v>1305</v>
      </c>
      <c r="N50" s="48" t="s">
        <v>4166</v>
      </c>
      <c r="O50" s="4">
        <v>1305</v>
      </c>
      <c r="P50" s="32"/>
      <c r="Q50" s="32"/>
      <c r="R50" s="32"/>
      <c r="S50" s="32"/>
      <c r="T50" s="31"/>
      <c r="U50" s="31"/>
      <c r="V50" s="29"/>
      <c r="W50" s="29"/>
      <c r="X50" s="29"/>
      <c r="Y50" s="29"/>
      <c r="Z50" s="29"/>
    </row>
    <row r="51" spans="1:26" ht="15.6" x14ac:dyDescent="0.3">
      <c r="A51" s="15"/>
      <c r="B51" s="9" t="s">
        <v>4155</v>
      </c>
      <c r="C51" s="10">
        <v>96</v>
      </c>
      <c r="D51" s="11">
        <v>0.80672268907563027</v>
      </c>
      <c r="E51" s="10">
        <v>23</v>
      </c>
      <c r="F51" s="11">
        <v>0.19327731092436976</v>
      </c>
      <c r="G51" s="35">
        <v>119</v>
      </c>
      <c r="H51" s="16">
        <v>1</v>
      </c>
      <c r="J51" s="30"/>
      <c r="N51" s="32"/>
      <c r="O51" s="32"/>
      <c r="P51" s="32"/>
      <c r="Q51" s="32"/>
      <c r="R51" s="32"/>
      <c r="S51" s="32"/>
      <c r="T51" s="31"/>
      <c r="U51" s="31"/>
      <c r="V51" s="29"/>
      <c r="W51" s="29"/>
      <c r="X51" s="29"/>
      <c r="Y51" s="29"/>
      <c r="Z51" s="29"/>
    </row>
    <row r="52" spans="1:26" ht="15.6" x14ac:dyDescent="0.3">
      <c r="A52" s="15"/>
      <c r="B52" s="9" t="s">
        <v>4148</v>
      </c>
      <c r="C52" s="10">
        <v>149</v>
      </c>
      <c r="D52" s="11">
        <v>0.67727272727272725</v>
      </c>
      <c r="E52" s="10">
        <v>71</v>
      </c>
      <c r="F52" s="11">
        <v>0.32272727272727275</v>
      </c>
      <c r="G52" s="35">
        <v>220</v>
      </c>
      <c r="H52" s="16">
        <v>1</v>
      </c>
      <c r="J52" s="30"/>
      <c r="N52" s="32"/>
      <c r="O52" s="32"/>
      <c r="P52" s="32"/>
      <c r="Q52" s="32"/>
      <c r="R52" s="32"/>
      <c r="S52" s="31"/>
      <c r="T52" s="31"/>
      <c r="U52" s="31"/>
      <c r="V52" s="29"/>
      <c r="W52" s="29"/>
      <c r="X52" s="29"/>
      <c r="Y52" s="29"/>
      <c r="Z52" s="29"/>
    </row>
    <row r="53" spans="1:26" ht="15.6" x14ac:dyDescent="0.3">
      <c r="A53" s="15"/>
      <c r="B53" s="9" t="s">
        <v>4159</v>
      </c>
      <c r="C53" s="10">
        <v>34</v>
      </c>
      <c r="D53" s="11">
        <v>0.72340425531914898</v>
      </c>
      <c r="E53" s="10">
        <v>13</v>
      </c>
      <c r="F53" s="11">
        <v>0.27659574468085107</v>
      </c>
      <c r="G53" s="35">
        <v>47</v>
      </c>
      <c r="H53" s="16">
        <v>1</v>
      </c>
      <c r="J53" s="30"/>
      <c r="K53" s="38" t="s">
        <v>4165</v>
      </c>
      <c r="L53" t="s">
        <v>4168</v>
      </c>
      <c r="O53" s="32"/>
      <c r="P53" s="32"/>
      <c r="Q53" s="32"/>
      <c r="R53" s="32"/>
      <c r="S53" s="31"/>
      <c r="T53" s="31"/>
      <c r="U53" s="31"/>
      <c r="V53" s="29"/>
      <c r="W53" s="29"/>
      <c r="Z53" s="29"/>
    </row>
    <row r="54" spans="1:26" ht="15.6" x14ac:dyDescent="0.3">
      <c r="A54" s="15"/>
      <c r="B54" s="9" t="s">
        <v>4157</v>
      </c>
      <c r="C54" s="10">
        <v>29</v>
      </c>
      <c r="D54" s="11">
        <v>0.90625</v>
      </c>
      <c r="E54" s="10">
        <v>3</v>
      </c>
      <c r="F54" s="11">
        <v>9.375E-2</v>
      </c>
      <c r="G54" s="35">
        <v>32</v>
      </c>
      <c r="H54" s="16">
        <v>1</v>
      </c>
      <c r="J54" s="30"/>
      <c r="K54" s="48" t="s">
        <v>4157</v>
      </c>
      <c r="L54" s="61">
        <v>95</v>
      </c>
      <c r="O54" s="32"/>
      <c r="P54" s="32"/>
      <c r="Q54" s="32"/>
      <c r="R54" s="32"/>
      <c r="S54" s="31"/>
      <c r="T54" s="31"/>
      <c r="U54" s="31"/>
      <c r="V54" s="29"/>
      <c r="W54" s="29"/>
    </row>
    <row r="55" spans="1:26" ht="15.6" x14ac:dyDescent="0.3">
      <c r="A55" s="15"/>
      <c r="B55" s="9" t="s">
        <v>4152</v>
      </c>
      <c r="C55" s="10">
        <v>29</v>
      </c>
      <c r="D55" s="11">
        <v>0.63043478260869568</v>
      </c>
      <c r="E55" s="10">
        <v>17</v>
      </c>
      <c r="F55" s="11">
        <v>0.36956521739130432</v>
      </c>
      <c r="G55" s="35">
        <v>46</v>
      </c>
      <c r="H55" s="16">
        <v>1</v>
      </c>
      <c r="J55" s="30"/>
      <c r="K55" s="48" t="s">
        <v>4159</v>
      </c>
      <c r="L55" s="61">
        <v>97</v>
      </c>
      <c r="O55" s="32"/>
      <c r="P55" s="32"/>
      <c r="Q55" s="32"/>
      <c r="R55" s="32"/>
      <c r="S55" s="30"/>
      <c r="T55" s="30"/>
      <c r="U55" s="30"/>
    </row>
    <row r="56" spans="1:26" ht="15.6" x14ac:dyDescent="0.3">
      <c r="A56" s="15" t="s">
        <v>4151</v>
      </c>
      <c r="B56" s="9"/>
      <c r="C56" s="10">
        <v>161</v>
      </c>
      <c r="D56" s="11">
        <v>0.19143876337693222</v>
      </c>
      <c r="E56" s="10">
        <v>680</v>
      </c>
      <c r="F56" s="11">
        <v>0.80856123662306778</v>
      </c>
      <c r="G56" s="10">
        <v>841</v>
      </c>
      <c r="H56" s="16">
        <v>1</v>
      </c>
      <c r="J56" s="30"/>
      <c r="K56" s="48" t="s">
        <v>4152</v>
      </c>
      <c r="L56" s="61">
        <v>99</v>
      </c>
      <c r="O56" s="32"/>
      <c r="P56" s="32"/>
      <c r="Q56" s="32"/>
      <c r="R56" s="32"/>
      <c r="S56" s="30"/>
      <c r="T56" s="30"/>
      <c r="U56" s="30"/>
    </row>
    <row r="57" spans="1:26" ht="15.6" x14ac:dyDescent="0.3">
      <c r="A57" s="15"/>
      <c r="B57" s="9" t="s">
        <v>4155</v>
      </c>
      <c r="C57" s="10">
        <v>44</v>
      </c>
      <c r="D57" s="11">
        <v>0.20183486238532111</v>
      </c>
      <c r="E57" s="10">
        <v>174</v>
      </c>
      <c r="F57" s="11">
        <v>0.79816513761467889</v>
      </c>
      <c r="G57" s="35">
        <v>218</v>
      </c>
      <c r="H57" s="16">
        <v>1</v>
      </c>
      <c r="J57" s="30"/>
      <c r="K57" s="48" t="s">
        <v>4155</v>
      </c>
      <c r="L57" s="61">
        <v>337</v>
      </c>
      <c r="O57" s="32"/>
      <c r="P57" s="32"/>
      <c r="Q57" s="32"/>
      <c r="R57" s="32"/>
      <c r="S57" s="30"/>
      <c r="T57" s="30"/>
      <c r="U57" s="30"/>
    </row>
    <row r="58" spans="1:26" ht="15.6" x14ac:dyDescent="0.3">
      <c r="A58" s="15"/>
      <c r="B58" s="9" t="s">
        <v>4148</v>
      </c>
      <c r="C58" s="10">
        <v>76</v>
      </c>
      <c r="D58" s="11">
        <v>0.16630196936542668</v>
      </c>
      <c r="E58" s="10">
        <v>381</v>
      </c>
      <c r="F58" s="11">
        <v>0.83369803063457326</v>
      </c>
      <c r="G58" s="35">
        <v>457</v>
      </c>
      <c r="H58" s="16">
        <v>1</v>
      </c>
      <c r="J58" s="30"/>
      <c r="K58" s="48" t="s">
        <v>4148</v>
      </c>
      <c r="L58" s="61">
        <v>677</v>
      </c>
      <c r="O58" s="32"/>
      <c r="P58" s="32"/>
      <c r="Q58" s="32"/>
      <c r="R58" s="32"/>
      <c r="S58" s="30"/>
      <c r="T58" s="30"/>
      <c r="U58" s="30"/>
    </row>
    <row r="59" spans="1:26" ht="15.6" x14ac:dyDescent="0.3">
      <c r="A59" s="15"/>
      <c r="B59" s="9" t="s">
        <v>4159</v>
      </c>
      <c r="C59" s="10">
        <v>4</v>
      </c>
      <c r="D59" s="11">
        <v>0.08</v>
      </c>
      <c r="E59" s="10">
        <v>46</v>
      </c>
      <c r="F59" s="11">
        <v>0.92</v>
      </c>
      <c r="G59" s="35">
        <v>50</v>
      </c>
      <c r="H59" s="16">
        <v>1</v>
      </c>
      <c r="J59" s="30"/>
      <c r="K59" s="48" t="s">
        <v>4166</v>
      </c>
      <c r="L59" s="4">
        <v>1305</v>
      </c>
      <c r="O59" s="32"/>
      <c r="P59" s="32"/>
      <c r="Q59" s="32"/>
      <c r="R59" s="32"/>
      <c r="S59" s="30"/>
      <c r="T59" s="30"/>
      <c r="U59" s="30"/>
    </row>
    <row r="60" spans="1:26" x14ac:dyDescent="0.3">
      <c r="A60" s="15"/>
      <c r="B60" s="9" t="s">
        <v>4157</v>
      </c>
      <c r="C60" s="10">
        <v>9</v>
      </c>
      <c r="D60" s="11">
        <v>0.14285714285714285</v>
      </c>
      <c r="E60" s="10">
        <v>54</v>
      </c>
      <c r="F60" s="11">
        <v>0.8571428571428571</v>
      </c>
      <c r="G60" s="35">
        <v>63</v>
      </c>
      <c r="H60" s="16">
        <v>1</v>
      </c>
    </row>
    <row r="61" spans="1:26" x14ac:dyDescent="0.3">
      <c r="A61" s="15"/>
      <c r="B61" s="9" t="s">
        <v>4152</v>
      </c>
      <c r="C61" s="10">
        <v>28</v>
      </c>
      <c r="D61" s="11">
        <v>0.52830188679245282</v>
      </c>
      <c r="E61" s="10">
        <v>25</v>
      </c>
      <c r="F61" s="11">
        <v>0.47169811320754718</v>
      </c>
      <c r="G61" s="35">
        <v>53</v>
      </c>
      <c r="H61" s="16">
        <v>1</v>
      </c>
    </row>
    <row r="62" spans="1:26" ht="15" thickBot="1" x14ac:dyDescent="0.35">
      <c r="A62" s="17" t="s">
        <v>4166</v>
      </c>
      <c r="B62" s="25"/>
      <c r="C62" s="18">
        <v>498</v>
      </c>
      <c r="D62" s="24">
        <v>0.38160919540229887</v>
      </c>
      <c r="E62" s="18">
        <v>807</v>
      </c>
      <c r="F62" s="24">
        <v>0.61839080459770113</v>
      </c>
      <c r="G62" s="18">
        <v>1305</v>
      </c>
      <c r="H62" s="19">
        <v>1</v>
      </c>
    </row>
    <row r="63" spans="1:26" ht="15.6" x14ac:dyDescent="0.3">
      <c r="A63" s="7" t="s">
        <v>4185</v>
      </c>
      <c r="C63" s="4"/>
      <c r="D63" s="5"/>
      <c r="E63" s="4"/>
      <c r="F63" s="5"/>
      <c r="G63" s="4"/>
      <c r="H63" s="5"/>
    </row>
    <row r="65" spans="1:15" ht="21" x14ac:dyDescent="0.3">
      <c r="A65" s="64" t="s">
        <v>4177</v>
      </c>
      <c r="B65" s="64"/>
      <c r="C65" s="64"/>
      <c r="D65" s="64"/>
      <c r="E65" s="64"/>
    </row>
    <row r="66" spans="1:15" ht="15" thickBot="1" x14ac:dyDescent="0.35">
      <c r="N66" s="29"/>
      <c r="O66" s="29"/>
    </row>
    <row r="67" spans="1:15" x14ac:dyDescent="0.3">
      <c r="A67" s="12" t="s">
        <v>4172</v>
      </c>
      <c r="B67" s="21" t="s">
        <v>4171</v>
      </c>
      <c r="C67" s="13"/>
      <c r="D67" s="14"/>
    </row>
    <row r="68" spans="1:15" x14ac:dyDescent="0.3">
      <c r="A68" s="23" t="s">
        <v>4165</v>
      </c>
      <c r="B68" s="9" t="s">
        <v>4146</v>
      </c>
      <c r="C68" s="9" t="s">
        <v>4154</v>
      </c>
      <c r="D68" s="22" t="s">
        <v>4166</v>
      </c>
      <c r="F68" s="38" t="s">
        <v>4165</v>
      </c>
      <c r="G68" t="s">
        <v>4168</v>
      </c>
    </row>
    <row r="69" spans="1:15" x14ac:dyDescent="0.3">
      <c r="A69" s="26" t="s">
        <v>4158</v>
      </c>
      <c r="B69" s="10">
        <v>97</v>
      </c>
      <c r="C69" s="10">
        <v>58</v>
      </c>
      <c r="D69" s="55">
        <v>155</v>
      </c>
      <c r="F69" s="48" t="s">
        <v>4156</v>
      </c>
      <c r="G69" s="61">
        <v>1067</v>
      </c>
    </row>
    <row r="70" spans="1:15" x14ac:dyDescent="0.3">
      <c r="A70" s="26" t="s">
        <v>4156</v>
      </c>
      <c r="B70" s="10">
        <v>342</v>
      </c>
      <c r="C70" s="10">
        <v>725</v>
      </c>
      <c r="D70" s="55">
        <v>1067</v>
      </c>
      <c r="F70" s="48" t="s">
        <v>4158</v>
      </c>
      <c r="G70" s="61">
        <v>155</v>
      </c>
    </row>
    <row r="71" spans="1:15" x14ac:dyDescent="0.3">
      <c r="A71" s="26" t="s">
        <v>4150</v>
      </c>
      <c r="B71" s="10">
        <v>59</v>
      </c>
      <c r="C71" s="10">
        <v>24</v>
      </c>
      <c r="D71" s="55">
        <v>83</v>
      </c>
      <c r="F71" s="48" t="s">
        <v>4150</v>
      </c>
      <c r="G71" s="61">
        <v>83</v>
      </c>
    </row>
    <row r="72" spans="1:15" ht="15" thickBot="1" x14ac:dyDescent="0.35">
      <c r="A72" s="27" t="s">
        <v>4166</v>
      </c>
      <c r="B72" s="18">
        <v>498</v>
      </c>
      <c r="C72" s="18">
        <v>807</v>
      </c>
      <c r="D72" s="40">
        <v>1305</v>
      </c>
      <c r="F72" s="48" t="s">
        <v>4166</v>
      </c>
      <c r="G72" s="4">
        <v>1305</v>
      </c>
    </row>
    <row r="74" spans="1:15" ht="15.6" x14ac:dyDescent="0.3">
      <c r="A74" s="7" t="s">
        <v>4186</v>
      </c>
      <c r="B74" s="4"/>
      <c r="C74" s="5"/>
      <c r="D74" s="4"/>
      <c r="E74" s="5"/>
      <c r="F74" s="4"/>
      <c r="G74" s="5"/>
    </row>
    <row r="76" spans="1:15" ht="21" x14ac:dyDescent="0.3">
      <c r="A76" s="64" t="s">
        <v>4180</v>
      </c>
      <c r="B76" s="64"/>
      <c r="C76" s="64"/>
      <c r="D76" s="64"/>
      <c r="E76" s="64"/>
      <c r="I76" s="38" t="s">
        <v>4165</v>
      </c>
      <c r="J76" t="s">
        <v>4168</v>
      </c>
    </row>
    <row r="77" spans="1:15" ht="15" thickBot="1" x14ac:dyDescent="0.35">
      <c r="I77" s="48" t="s">
        <v>4149</v>
      </c>
      <c r="J77" s="61">
        <v>786</v>
      </c>
    </row>
    <row r="78" spans="1:15" x14ac:dyDescent="0.3">
      <c r="A78" s="20"/>
      <c r="B78" s="21" t="s">
        <v>4171</v>
      </c>
      <c r="C78" s="13"/>
      <c r="D78" s="13"/>
      <c r="E78" s="13"/>
      <c r="F78" s="13"/>
      <c r="G78" s="14"/>
      <c r="I78" s="48" t="s">
        <v>4153</v>
      </c>
      <c r="J78" s="61">
        <v>519</v>
      </c>
    </row>
    <row r="79" spans="1:15" x14ac:dyDescent="0.3">
      <c r="A79" s="15"/>
      <c r="B79" s="9" t="s">
        <v>4146</v>
      </c>
      <c r="C79" s="9"/>
      <c r="D79" s="9" t="s">
        <v>4154</v>
      </c>
      <c r="E79" s="9"/>
      <c r="F79" s="9" t="s">
        <v>4174</v>
      </c>
      <c r="G79" s="22" t="s">
        <v>4175</v>
      </c>
      <c r="I79" s="48" t="s">
        <v>4166</v>
      </c>
      <c r="J79" s="4">
        <v>1305</v>
      </c>
    </row>
    <row r="80" spans="1:15" x14ac:dyDescent="0.3">
      <c r="A80" s="23" t="s">
        <v>4165</v>
      </c>
      <c r="B80" s="9" t="s">
        <v>4172</v>
      </c>
      <c r="C80" s="9" t="s">
        <v>4169</v>
      </c>
      <c r="D80" s="9" t="s">
        <v>4172</v>
      </c>
      <c r="E80" s="9" t="s">
        <v>4169</v>
      </c>
      <c r="F80" s="9"/>
      <c r="G80" s="22"/>
    </row>
    <row r="81" spans="1:10" x14ac:dyDescent="0.3">
      <c r="A81" s="26" t="s">
        <v>4149</v>
      </c>
      <c r="B81" s="10">
        <v>237</v>
      </c>
      <c r="C81" s="11">
        <v>0.30152671755725191</v>
      </c>
      <c r="D81" s="10">
        <v>549</v>
      </c>
      <c r="E81" s="11">
        <v>0.69847328244274809</v>
      </c>
      <c r="F81" s="35">
        <v>786</v>
      </c>
      <c r="G81" s="16">
        <v>1</v>
      </c>
    </row>
    <row r="82" spans="1:10" x14ac:dyDescent="0.3">
      <c r="A82" s="26" t="s">
        <v>4153</v>
      </c>
      <c r="B82" s="10">
        <v>261</v>
      </c>
      <c r="C82" s="11">
        <v>0.50289017341040465</v>
      </c>
      <c r="D82" s="10">
        <v>258</v>
      </c>
      <c r="E82" s="11">
        <v>0.49710982658959535</v>
      </c>
      <c r="F82" s="35">
        <v>519</v>
      </c>
      <c r="G82" s="16">
        <v>1</v>
      </c>
    </row>
    <row r="83" spans="1:10" ht="15" thickBot="1" x14ac:dyDescent="0.35">
      <c r="A83" s="27" t="s">
        <v>4166</v>
      </c>
      <c r="B83" s="18">
        <v>498</v>
      </c>
      <c r="C83" s="24">
        <v>0.38160919540229887</v>
      </c>
      <c r="D83" s="18">
        <v>807</v>
      </c>
      <c r="E83" s="24">
        <v>0.61839080459770113</v>
      </c>
      <c r="F83" s="18">
        <v>1305</v>
      </c>
      <c r="G83" s="19">
        <v>1</v>
      </c>
    </row>
    <row r="84" spans="1:10" ht="15.6" x14ac:dyDescent="0.3">
      <c r="A84" s="7" t="s">
        <v>4187</v>
      </c>
      <c r="B84" s="4"/>
      <c r="C84" s="5"/>
      <c r="D84" s="4"/>
      <c r="E84" s="5"/>
      <c r="F84" s="4"/>
      <c r="G84" s="5"/>
    </row>
    <row r="86" spans="1:10" ht="21" x14ac:dyDescent="0.3">
      <c r="A86" s="64" t="s">
        <v>4181</v>
      </c>
      <c r="B86" s="64"/>
      <c r="C86" s="64"/>
      <c r="D86" s="64"/>
      <c r="E86" s="64"/>
      <c r="I86" s="38" t="s">
        <v>4165</v>
      </c>
      <c r="J86" t="s">
        <v>4168</v>
      </c>
    </row>
    <row r="87" spans="1:10" ht="15" thickBot="1" x14ac:dyDescent="0.35">
      <c r="I87" s="48" t="s">
        <v>4178</v>
      </c>
      <c r="J87" s="4">
        <v>267</v>
      </c>
    </row>
    <row r="88" spans="1:10" x14ac:dyDescent="0.3">
      <c r="A88" s="20"/>
      <c r="B88" s="21" t="s">
        <v>2115</v>
      </c>
      <c r="C88" s="21" t="s">
        <v>4176</v>
      </c>
      <c r="D88" s="13"/>
      <c r="E88" s="13"/>
      <c r="F88" s="13"/>
      <c r="G88" s="14"/>
      <c r="I88" s="48" t="s">
        <v>4160</v>
      </c>
      <c r="J88" s="4">
        <v>125</v>
      </c>
    </row>
    <row r="89" spans="1:10" x14ac:dyDescent="0.3">
      <c r="A89" s="15"/>
      <c r="B89" s="9" t="s">
        <v>4146</v>
      </c>
      <c r="C89" s="9"/>
      <c r="D89" s="9" t="s">
        <v>4154</v>
      </c>
      <c r="E89" s="9"/>
      <c r="F89" s="9" t="s">
        <v>4174</v>
      </c>
      <c r="G89" s="22" t="s">
        <v>4175</v>
      </c>
      <c r="I89" s="48" t="s">
        <v>824</v>
      </c>
      <c r="J89" s="4">
        <v>913</v>
      </c>
    </row>
    <row r="90" spans="1:10" x14ac:dyDescent="0.3">
      <c r="A90" s="23" t="s">
        <v>4142</v>
      </c>
      <c r="B90" s="9" t="s">
        <v>4172</v>
      </c>
      <c r="C90" s="9" t="s">
        <v>4169</v>
      </c>
      <c r="D90" s="9" t="s">
        <v>4172</v>
      </c>
      <c r="E90" s="9" t="s">
        <v>4169</v>
      </c>
      <c r="F90" s="9"/>
      <c r="G90" s="22"/>
      <c r="I90" s="48" t="s">
        <v>4166</v>
      </c>
      <c r="J90" s="4">
        <v>1305</v>
      </c>
    </row>
    <row r="91" spans="1:10" x14ac:dyDescent="0.3">
      <c r="A91" s="15" t="s">
        <v>824</v>
      </c>
      <c r="B91" s="10">
        <v>304</v>
      </c>
      <c r="C91" s="11">
        <v>0.33296823658269442</v>
      </c>
      <c r="D91" s="10">
        <v>609</v>
      </c>
      <c r="E91" s="11">
        <v>0.66703176341730563</v>
      </c>
      <c r="F91" s="35">
        <v>913</v>
      </c>
      <c r="G91" s="16">
        <v>1</v>
      </c>
    </row>
    <row r="92" spans="1:10" x14ac:dyDescent="0.3">
      <c r="A92" s="15" t="s">
        <v>4178</v>
      </c>
      <c r="B92" s="10">
        <v>148</v>
      </c>
      <c r="C92" s="11">
        <v>0.55430711610486894</v>
      </c>
      <c r="D92" s="10">
        <v>119</v>
      </c>
      <c r="E92" s="11">
        <v>0.44569288389513106</v>
      </c>
      <c r="F92" s="35">
        <v>267</v>
      </c>
      <c r="G92" s="16">
        <v>1</v>
      </c>
    </row>
    <row r="93" spans="1:10" x14ac:dyDescent="0.3">
      <c r="A93" s="15" t="s">
        <v>4160</v>
      </c>
      <c r="B93" s="10">
        <v>46</v>
      </c>
      <c r="C93" s="11">
        <v>0.36799999999999999</v>
      </c>
      <c r="D93" s="10">
        <v>79</v>
      </c>
      <c r="E93" s="11">
        <v>0.63200000000000001</v>
      </c>
      <c r="F93" s="35">
        <v>125</v>
      </c>
      <c r="G93" s="16">
        <v>1</v>
      </c>
    </row>
    <row r="94" spans="1:10" ht="15" thickBot="1" x14ac:dyDescent="0.35">
      <c r="A94" s="17" t="s">
        <v>4166</v>
      </c>
      <c r="B94" s="18">
        <v>498</v>
      </c>
      <c r="C94" s="24">
        <v>0.38160919540229887</v>
      </c>
      <c r="D94" s="18">
        <v>807</v>
      </c>
      <c r="E94" s="24">
        <v>0.61839080459770113</v>
      </c>
      <c r="F94" s="18">
        <v>1305</v>
      </c>
      <c r="G94" s="19">
        <v>1</v>
      </c>
    </row>
    <row r="95" spans="1:10" ht="15.6" x14ac:dyDescent="0.3">
      <c r="A95" s="7" t="s">
        <v>4195</v>
      </c>
    </row>
    <row r="96" spans="1:10" ht="15" thickBot="1" x14ac:dyDescent="0.35"/>
    <row r="97" spans="1:8" x14ac:dyDescent="0.3">
      <c r="A97" s="20"/>
      <c r="B97" s="21" t="s">
        <v>4171</v>
      </c>
      <c r="C97" s="13"/>
      <c r="D97" s="13"/>
      <c r="E97" s="13"/>
      <c r="F97" s="13"/>
      <c r="G97" s="14"/>
    </row>
    <row r="98" spans="1:8" x14ac:dyDescent="0.3">
      <c r="A98" s="15"/>
      <c r="B98" s="9" t="s">
        <v>4146</v>
      </c>
      <c r="C98" s="9"/>
      <c r="D98" s="9" t="s">
        <v>4154</v>
      </c>
      <c r="E98" s="9"/>
      <c r="F98" s="9" t="s">
        <v>4174</v>
      </c>
      <c r="G98" s="22" t="s">
        <v>4175</v>
      </c>
    </row>
    <row r="99" spans="1:8" x14ac:dyDescent="0.3">
      <c r="A99" s="23" t="s">
        <v>4165</v>
      </c>
      <c r="B99" s="9" t="s">
        <v>4172</v>
      </c>
      <c r="C99" s="9" t="s">
        <v>4169</v>
      </c>
      <c r="D99" s="9" t="s">
        <v>4172</v>
      </c>
      <c r="E99" s="9" t="s">
        <v>4169</v>
      </c>
      <c r="F99" s="9"/>
      <c r="G99" s="22"/>
    </row>
    <row r="100" spans="1:8" x14ac:dyDescent="0.3">
      <c r="A100" s="26" t="s">
        <v>4147</v>
      </c>
      <c r="B100" s="10">
        <v>337</v>
      </c>
      <c r="C100" s="11">
        <v>0.72629310344827591</v>
      </c>
      <c r="D100" s="10">
        <v>127</v>
      </c>
      <c r="E100" s="11">
        <v>0.27370689655172414</v>
      </c>
      <c r="F100" s="10">
        <v>464</v>
      </c>
      <c r="G100" s="16">
        <v>1</v>
      </c>
    </row>
    <row r="101" spans="1:8" x14ac:dyDescent="0.3">
      <c r="A101" s="28" t="s">
        <v>4149</v>
      </c>
      <c r="B101" s="10">
        <v>140</v>
      </c>
      <c r="C101" s="11">
        <v>0.72916666666666663</v>
      </c>
      <c r="D101" s="10">
        <v>52</v>
      </c>
      <c r="E101" s="11">
        <v>0.27083333333333331</v>
      </c>
      <c r="F101" s="35">
        <v>192</v>
      </c>
      <c r="G101" s="16">
        <v>1</v>
      </c>
    </row>
    <row r="102" spans="1:8" x14ac:dyDescent="0.3">
      <c r="A102" s="28" t="s">
        <v>4153</v>
      </c>
      <c r="B102" s="10">
        <v>197</v>
      </c>
      <c r="C102" s="11">
        <v>0.72426470588235292</v>
      </c>
      <c r="D102" s="10">
        <v>75</v>
      </c>
      <c r="E102" s="11">
        <v>0.27573529411764708</v>
      </c>
      <c r="F102" s="35">
        <v>272</v>
      </c>
      <c r="G102" s="16">
        <v>1</v>
      </c>
    </row>
    <row r="103" spans="1:8" x14ac:dyDescent="0.3">
      <c r="A103" s="26" t="s">
        <v>4151</v>
      </c>
      <c r="B103" s="10">
        <v>161</v>
      </c>
      <c r="C103" s="11">
        <v>0.19143876337693222</v>
      </c>
      <c r="D103" s="10">
        <v>680</v>
      </c>
      <c r="E103" s="11">
        <v>0.80856123662306778</v>
      </c>
      <c r="F103" s="10">
        <v>841</v>
      </c>
      <c r="G103" s="16">
        <v>1</v>
      </c>
    </row>
    <row r="104" spans="1:8" x14ac:dyDescent="0.3">
      <c r="A104" s="28" t="s">
        <v>4149</v>
      </c>
      <c r="B104" s="10">
        <v>97</v>
      </c>
      <c r="C104" s="11">
        <v>0.16329966329966331</v>
      </c>
      <c r="D104" s="10">
        <v>497</v>
      </c>
      <c r="E104" s="11">
        <v>0.83670033670033672</v>
      </c>
      <c r="F104" s="35">
        <v>594</v>
      </c>
      <c r="G104" s="16">
        <v>1</v>
      </c>
    </row>
    <row r="105" spans="1:8" x14ac:dyDescent="0.3">
      <c r="A105" s="28" t="s">
        <v>4153</v>
      </c>
      <c r="B105" s="10">
        <v>64</v>
      </c>
      <c r="C105" s="11">
        <v>0.25910931174089069</v>
      </c>
      <c r="D105" s="10">
        <v>183</v>
      </c>
      <c r="E105" s="11">
        <v>0.74089068825910931</v>
      </c>
      <c r="F105" s="35">
        <v>247</v>
      </c>
      <c r="G105" s="16">
        <v>1</v>
      </c>
    </row>
    <row r="106" spans="1:8" ht="15" thickBot="1" x14ac:dyDescent="0.35">
      <c r="A106" s="27" t="s">
        <v>4166</v>
      </c>
      <c r="B106" s="18">
        <v>498</v>
      </c>
      <c r="C106" s="24">
        <v>0.38160919540229887</v>
      </c>
      <c r="D106" s="18">
        <v>807</v>
      </c>
      <c r="E106" s="24">
        <v>0.61839080459770113</v>
      </c>
      <c r="F106" s="18">
        <v>1305</v>
      </c>
      <c r="G106" s="19">
        <v>1</v>
      </c>
    </row>
    <row r="108" spans="1:8" ht="15" thickBot="1" x14ac:dyDescent="0.35"/>
    <row r="109" spans="1:8" x14ac:dyDescent="0.3">
      <c r="A109" s="20"/>
      <c r="B109" s="13"/>
      <c r="C109" s="21" t="s">
        <v>2115</v>
      </c>
      <c r="D109" s="21" t="s">
        <v>4176</v>
      </c>
      <c r="E109" s="13"/>
      <c r="F109" s="13"/>
      <c r="G109" s="13"/>
      <c r="H109" s="14"/>
    </row>
    <row r="110" spans="1:8" x14ac:dyDescent="0.3">
      <c r="A110" s="15"/>
      <c r="B110" s="9"/>
      <c r="C110" s="9" t="s">
        <v>4146</v>
      </c>
      <c r="D110" s="9"/>
      <c r="E110" s="9" t="s">
        <v>4154</v>
      </c>
      <c r="F110" s="9"/>
      <c r="G110" s="9" t="s">
        <v>4174</v>
      </c>
      <c r="H110" s="22" t="s">
        <v>4175</v>
      </c>
    </row>
    <row r="111" spans="1:8" x14ac:dyDescent="0.3">
      <c r="A111" s="23" t="s">
        <v>4142</v>
      </c>
      <c r="B111" s="8" t="s">
        <v>2116</v>
      </c>
      <c r="C111" s="9" t="s">
        <v>4172</v>
      </c>
      <c r="D111" s="9" t="s">
        <v>4169</v>
      </c>
      <c r="E111" s="9" t="s">
        <v>4172</v>
      </c>
      <c r="F111" s="9" t="s">
        <v>4169</v>
      </c>
      <c r="G111" s="9"/>
      <c r="H111" s="22"/>
    </row>
    <row r="112" spans="1:8" x14ac:dyDescent="0.3">
      <c r="A112" s="15" t="s">
        <v>4178</v>
      </c>
      <c r="B112" s="9"/>
      <c r="C112" s="10">
        <v>148</v>
      </c>
      <c r="D112" s="11">
        <v>0.55430711610486894</v>
      </c>
      <c r="E112" s="10">
        <v>119</v>
      </c>
      <c r="F112" s="11">
        <v>0.44569288389513106</v>
      </c>
      <c r="G112" s="10">
        <v>267</v>
      </c>
      <c r="H112" s="16">
        <v>1</v>
      </c>
    </row>
    <row r="113" spans="1:8" x14ac:dyDescent="0.3">
      <c r="A113" s="15"/>
      <c r="B113" s="9" t="s">
        <v>4145</v>
      </c>
      <c r="C113" s="10">
        <v>95</v>
      </c>
      <c r="D113" s="11">
        <v>0.68840579710144922</v>
      </c>
      <c r="E113" s="10">
        <v>43</v>
      </c>
      <c r="F113" s="11">
        <v>0.31159420289855072</v>
      </c>
      <c r="G113" s="35">
        <v>138</v>
      </c>
      <c r="H113" s="16">
        <v>1</v>
      </c>
    </row>
    <row r="114" spans="1:8" x14ac:dyDescent="0.3">
      <c r="A114" s="15"/>
      <c r="B114" s="9" t="s">
        <v>4161</v>
      </c>
      <c r="C114" s="10">
        <v>16</v>
      </c>
      <c r="D114" s="11">
        <v>0.5714285714285714</v>
      </c>
      <c r="E114" s="10">
        <v>12</v>
      </c>
      <c r="F114" s="11">
        <v>0.42857142857142855</v>
      </c>
      <c r="G114" s="35">
        <v>28</v>
      </c>
      <c r="H114" s="16">
        <v>1</v>
      </c>
    </row>
    <row r="115" spans="1:8" x14ac:dyDescent="0.3">
      <c r="A115" s="15"/>
      <c r="B115" s="9" t="s">
        <v>4162</v>
      </c>
      <c r="C115" s="10">
        <v>37</v>
      </c>
      <c r="D115" s="11">
        <v>0.36633663366336633</v>
      </c>
      <c r="E115" s="10">
        <v>64</v>
      </c>
      <c r="F115" s="11">
        <v>0.63366336633663367</v>
      </c>
      <c r="G115" s="35">
        <v>101</v>
      </c>
      <c r="H115" s="16">
        <v>1</v>
      </c>
    </row>
    <row r="116" spans="1:8" x14ac:dyDescent="0.3">
      <c r="A116" s="15" t="s">
        <v>4160</v>
      </c>
      <c r="B116" s="9"/>
      <c r="C116" s="10">
        <v>46</v>
      </c>
      <c r="D116" s="11">
        <v>0.36799999999999999</v>
      </c>
      <c r="E116" s="10">
        <v>79</v>
      </c>
      <c r="F116" s="11">
        <v>0.63200000000000001</v>
      </c>
      <c r="G116" s="10">
        <v>125</v>
      </c>
      <c r="H116" s="16">
        <v>1</v>
      </c>
    </row>
    <row r="117" spans="1:8" x14ac:dyDescent="0.3">
      <c r="A117" s="15"/>
      <c r="B117" s="9" t="s">
        <v>4145</v>
      </c>
      <c r="C117" s="10">
        <v>4</v>
      </c>
      <c r="D117" s="11">
        <v>0.8</v>
      </c>
      <c r="E117" s="10">
        <v>1</v>
      </c>
      <c r="F117" s="11">
        <v>0.2</v>
      </c>
      <c r="G117" s="35">
        <v>5</v>
      </c>
      <c r="H117" s="16">
        <v>1</v>
      </c>
    </row>
    <row r="118" spans="1:8" x14ac:dyDescent="0.3">
      <c r="A118" s="15"/>
      <c r="B118" s="9" t="s">
        <v>4161</v>
      </c>
      <c r="C118" s="10">
        <v>2</v>
      </c>
      <c r="D118" s="11">
        <v>0.2857142857142857</v>
      </c>
      <c r="E118" s="10">
        <v>5</v>
      </c>
      <c r="F118" s="11">
        <v>0.7142857142857143</v>
      </c>
      <c r="G118" s="35">
        <v>7</v>
      </c>
      <c r="H118" s="16">
        <v>1</v>
      </c>
    </row>
    <row r="119" spans="1:8" x14ac:dyDescent="0.3">
      <c r="A119" s="15"/>
      <c r="B119" s="9" t="s">
        <v>4162</v>
      </c>
      <c r="C119" s="10">
        <v>40</v>
      </c>
      <c r="D119" s="11">
        <v>0.35398230088495575</v>
      </c>
      <c r="E119" s="10">
        <v>73</v>
      </c>
      <c r="F119" s="11">
        <v>0.64601769911504425</v>
      </c>
      <c r="G119" s="35">
        <v>113</v>
      </c>
      <c r="H119" s="16">
        <v>1</v>
      </c>
    </row>
    <row r="120" spans="1:8" x14ac:dyDescent="0.3">
      <c r="A120" s="15" t="s">
        <v>824</v>
      </c>
      <c r="B120" s="9"/>
      <c r="C120" s="10">
        <v>304</v>
      </c>
      <c r="D120" s="11">
        <v>0.33296823658269442</v>
      </c>
      <c r="E120" s="10">
        <v>609</v>
      </c>
      <c r="F120" s="11">
        <v>0.66703176341730563</v>
      </c>
      <c r="G120" s="10">
        <v>913</v>
      </c>
      <c r="H120" s="16">
        <v>1</v>
      </c>
    </row>
    <row r="121" spans="1:8" x14ac:dyDescent="0.3">
      <c r="A121" s="15"/>
      <c r="B121" s="9" t="s">
        <v>4145</v>
      </c>
      <c r="C121" s="10">
        <v>99</v>
      </c>
      <c r="D121" s="11">
        <v>0.5625</v>
      </c>
      <c r="E121" s="10">
        <v>77</v>
      </c>
      <c r="F121" s="11">
        <v>0.4375</v>
      </c>
      <c r="G121" s="35">
        <v>176</v>
      </c>
      <c r="H121" s="16">
        <v>1</v>
      </c>
    </row>
    <row r="122" spans="1:8" x14ac:dyDescent="0.3">
      <c r="A122" s="15"/>
      <c r="B122" s="9" t="s">
        <v>4161</v>
      </c>
      <c r="C122" s="10">
        <v>101</v>
      </c>
      <c r="D122" s="11">
        <v>0.41735537190082644</v>
      </c>
      <c r="E122" s="10">
        <v>141</v>
      </c>
      <c r="F122" s="11">
        <v>0.5826446280991735</v>
      </c>
      <c r="G122" s="35">
        <v>242</v>
      </c>
      <c r="H122" s="16">
        <v>1</v>
      </c>
    </row>
    <row r="123" spans="1:8" x14ac:dyDescent="0.3">
      <c r="A123" s="15"/>
      <c r="B123" s="9" t="s">
        <v>4162</v>
      </c>
      <c r="C123" s="10">
        <v>104</v>
      </c>
      <c r="D123" s="11">
        <v>0.21010101010101009</v>
      </c>
      <c r="E123" s="10">
        <v>391</v>
      </c>
      <c r="F123" s="11">
        <v>0.78989898989898988</v>
      </c>
      <c r="G123" s="35">
        <v>495</v>
      </c>
      <c r="H123" s="16">
        <v>1</v>
      </c>
    </row>
    <row r="124" spans="1:8" ht="15" thickBot="1" x14ac:dyDescent="0.35">
      <c r="A124" s="17" t="s">
        <v>4166</v>
      </c>
      <c r="B124" s="25"/>
      <c r="C124" s="18">
        <v>498</v>
      </c>
      <c r="D124" s="24">
        <v>0.38160919540229887</v>
      </c>
      <c r="E124" s="18">
        <v>807</v>
      </c>
      <c r="F124" s="24">
        <v>0.61839080459770113</v>
      </c>
      <c r="G124" s="18">
        <v>1305</v>
      </c>
      <c r="H124" s="19">
        <v>1</v>
      </c>
    </row>
  </sheetData>
  <mergeCells count="8">
    <mergeCell ref="A45:E45"/>
    <mergeCell ref="A65:E65"/>
    <mergeCell ref="A76:E76"/>
    <mergeCell ref="A86:E86"/>
    <mergeCell ref="A1:F2"/>
    <mergeCell ref="A4:E4"/>
    <mergeCell ref="A12:E12"/>
    <mergeCell ref="A23:E23"/>
  </mergeCells>
  <conditionalFormatting pivot="1" sqref="B7 B8">
    <cfRule type="colorScale" priority="25">
      <colorScale>
        <cfvo type="min"/>
        <cfvo type="percentile" val="50"/>
        <cfvo type="max"/>
        <color rgb="FF63BE7B"/>
        <color rgb="FFFFEB84"/>
        <color rgb="FFF8696B"/>
      </colorScale>
    </cfRule>
  </conditionalFormatting>
  <conditionalFormatting pivot="1" sqref="B27:B40">
    <cfRule type="colorScale" priority="22">
      <colorScale>
        <cfvo type="min"/>
        <cfvo type="max"/>
        <color rgb="FFFCFCFF"/>
        <color rgb="FF63BE7B"/>
      </colorScale>
    </cfRule>
  </conditionalFormatting>
  <conditionalFormatting pivot="1" sqref="C27:C40">
    <cfRule type="colorScale" priority="21">
      <colorScale>
        <cfvo type="min"/>
        <cfvo type="max"/>
        <color rgb="FFFCFCFF"/>
        <color rgb="FFF8696B"/>
      </colorScale>
    </cfRule>
  </conditionalFormatting>
  <conditionalFormatting pivot="1" sqref="D51:D55">
    <cfRule type="colorScale" priority="20">
      <colorScale>
        <cfvo type="min"/>
        <cfvo type="max"/>
        <color rgb="FFFCFCFF"/>
        <color rgb="FF63BE7B"/>
      </colorScale>
    </cfRule>
  </conditionalFormatting>
  <conditionalFormatting pivot="1" sqref="D57:D61">
    <cfRule type="colorScale" priority="19">
      <colorScale>
        <cfvo type="min"/>
        <cfvo type="max"/>
        <color rgb="FFFCFCFF"/>
        <color rgb="FF63BE7B"/>
      </colorScale>
    </cfRule>
  </conditionalFormatting>
  <conditionalFormatting pivot="1" sqref="F51:F55">
    <cfRule type="colorScale" priority="18">
      <colorScale>
        <cfvo type="min"/>
        <cfvo type="max"/>
        <color rgb="FFFCFCFF"/>
        <color rgb="FFF8696B"/>
      </colorScale>
    </cfRule>
  </conditionalFormatting>
  <conditionalFormatting pivot="1" sqref="F57:F61">
    <cfRule type="colorScale" priority="17">
      <colorScale>
        <cfvo type="min"/>
        <cfvo type="max"/>
        <color rgb="FFFCFCFF"/>
        <color rgb="FFF8696B"/>
      </colorScale>
    </cfRule>
  </conditionalFormatting>
  <conditionalFormatting pivot="1" sqref="B69:B71">
    <cfRule type="colorScale" priority="16">
      <colorScale>
        <cfvo type="min"/>
        <cfvo type="max"/>
        <color rgb="FFFCFCFF"/>
        <color rgb="FF63BE7B"/>
      </colorScale>
    </cfRule>
  </conditionalFormatting>
  <conditionalFormatting pivot="1" sqref="C69:C71">
    <cfRule type="colorScale" priority="15">
      <colorScale>
        <cfvo type="min"/>
        <cfvo type="max"/>
        <color rgb="FFFCFCFF"/>
        <color rgb="FFF8696B"/>
      </colorScale>
    </cfRule>
  </conditionalFormatting>
  <conditionalFormatting pivot="1" sqref="C81:C82">
    <cfRule type="colorScale" priority="14">
      <colorScale>
        <cfvo type="min"/>
        <cfvo type="max"/>
        <color rgb="FFFCFCFF"/>
        <color rgb="FF63BE7B"/>
      </colorScale>
    </cfRule>
  </conditionalFormatting>
  <conditionalFormatting pivot="1" sqref="E81:E82">
    <cfRule type="colorScale" priority="13">
      <colorScale>
        <cfvo type="min"/>
        <cfvo type="max"/>
        <color rgb="FFFCFCFF"/>
        <color rgb="FFF8696B"/>
      </colorScale>
    </cfRule>
  </conditionalFormatting>
  <conditionalFormatting pivot="1" sqref="C91:C93">
    <cfRule type="colorScale" priority="12">
      <colorScale>
        <cfvo type="min"/>
        <cfvo type="max"/>
        <color rgb="FFFCFCFF"/>
        <color rgb="FF63BE7B"/>
      </colorScale>
    </cfRule>
  </conditionalFormatting>
  <conditionalFormatting pivot="1" sqref="E91:E93">
    <cfRule type="colorScale" priority="11">
      <colorScale>
        <cfvo type="min"/>
        <cfvo type="max"/>
        <color rgb="FFFCFCFF"/>
        <color rgb="FFF8696B"/>
      </colorScale>
    </cfRule>
  </conditionalFormatting>
  <conditionalFormatting pivot="1" sqref="C101:C102">
    <cfRule type="colorScale" priority="10">
      <colorScale>
        <cfvo type="min"/>
        <cfvo type="max"/>
        <color rgb="FFFCFCFF"/>
        <color rgb="FF63BE7B"/>
      </colorScale>
    </cfRule>
  </conditionalFormatting>
  <conditionalFormatting pivot="1" sqref="C104:C105">
    <cfRule type="colorScale" priority="9">
      <colorScale>
        <cfvo type="min"/>
        <cfvo type="max"/>
        <color rgb="FFFCFCFF"/>
        <color rgb="FF63BE7B"/>
      </colorScale>
    </cfRule>
  </conditionalFormatting>
  <conditionalFormatting pivot="1" sqref="E101:E102">
    <cfRule type="colorScale" priority="8">
      <colorScale>
        <cfvo type="min"/>
        <cfvo type="max"/>
        <color rgb="FFFCFCFF"/>
        <color rgb="FFF8696B"/>
      </colorScale>
    </cfRule>
  </conditionalFormatting>
  <conditionalFormatting pivot="1" sqref="E104:E105">
    <cfRule type="colorScale" priority="7">
      <colorScale>
        <cfvo type="min"/>
        <cfvo type="max"/>
        <color rgb="FFFCFCFF"/>
        <color rgb="FFF8696B"/>
      </colorScale>
    </cfRule>
  </conditionalFormatting>
  <conditionalFormatting pivot="1" sqref="D113:D115">
    <cfRule type="colorScale" priority="6">
      <colorScale>
        <cfvo type="min"/>
        <cfvo type="max"/>
        <color rgb="FFFCFCFF"/>
        <color rgb="FF63BE7B"/>
      </colorScale>
    </cfRule>
  </conditionalFormatting>
  <conditionalFormatting pivot="1" sqref="D117:D119">
    <cfRule type="colorScale" priority="5">
      <colorScale>
        <cfvo type="min"/>
        <cfvo type="max"/>
        <color rgb="FFFCFCFF"/>
        <color rgb="FF63BE7B"/>
      </colorScale>
    </cfRule>
  </conditionalFormatting>
  <conditionalFormatting pivot="1" sqref="D121:D123">
    <cfRule type="colorScale" priority="4">
      <colorScale>
        <cfvo type="min"/>
        <cfvo type="max"/>
        <color rgb="FFFCFCFF"/>
        <color rgb="FF63BE7B"/>
      </colorScale>
    </cfRule>
  </conditionalFormatting>
  <conditionalFormatting pivot="1" sqref="F113:F115">
    <cfRule type="colorScale" priority="3">
      <colorScale>
        <cfvo type="min"/>
        <cfvo type="max"/>
        <color rgb="FFFCFCFF"/>
        <color rgb="FFF8696B"/>
      </colorScale>
    </cfRule>
  </conditionalFormatting>
  <conditionalFormatting pivot="1" sqref="F117:F119">
    <cfRule type="colorScale" priority="2">
      <colorScale>
        <cfvo type="min"/>
        <cfvo type="max"/>
        <color rgb="FFFCFCFF"/>
        <color rgb="FFF8696B"/>
      </colorScale>
    </cfRule>
  </conditionalFormatting>
  <conditionalFormatting pivot="1" sqref="F121:F123">
    <cfRule type="colorScale" priority="1">
      <colorScale>
        <cfvo type="min"/>
        <cfvo type="max"/>
        <color rgb="FFFCFCFF"/>
        <color rgb="FFF8696B"/>
      </colorScale>
    </cfRule>
  </conditionalFormatting>
  <pageMargins left="0.7" right="0.7" top="0.75" bottom="0.75" header="0.3" footer="0.3"/>
  <pageSetup orientation="portrait" r:id="rId17"/>
  <drawing r:id="rId1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FF0B-3153-4A76-BF08-492620C32DB9}">
  <sheetPr>
    <pageSetUpPr autoPageBreaks="0"/>
  </sheetPr>
  <dimension ref="A1:Z42"/>
  <sheetViews>
    <sheetView showGridLines="0" tabSelected="1" zoomScale="60" zoomScaleNormal="115" workbookViewId="0">
      <selection activeCell="Z15" sqref="Z15"/>
    </sheetView>
  </sheetViews>
  <sheetFormatPr defaultColWidth="0" defaultRowHeight="14.4" zeroHeight="1" x14ac:dyDescent="0.3"/>
  <cols>
    <col min="1" max="26" width="8.88671875" customWidth="1"/>
    <col min="27" max="16384" width="8.88671875" hidden="1"/>
  </cols>
  <sheetData>
    <row r="1" spans="1:26" x14ac:dyDescent="0.3">
      <c r="A1" s="65"/>
      <c r="B1" s="65"/>
      <c r="C1" s="65"/>
      <c r="D1" s="65"/>
      <c r="E1" s="65"/>
      <c r="F1" s="65"/>
      <c r="G1" s="65"/>
      <c r="H1" s="65"/>
      <c r="I1" s="65"/>
      <c r="J1" s="65"/>
      <c r="K1" s="65"/>
      <c r="L1" s="65"/>
      <c r="M1" s="65"/>
      <c r="N1" s="65"/>
      <c r="O1" s="65"/>
      <c r="P1" s="65"/>
      <c r="Q1" s="65"/>
      <c r="R1" s="65"/>
      <c r="S1" s="65"/>
      <c r="T1" s="65"/>
      <c r="U1" s="65"/>
      <c r="V1" s="65"/>
      <c r="W1" s="65"/>
      <c r="X1" s="65"/>
      <c r="Y1" s="65"/>
      <c r="Z1" s="65"/>
    </row>
    <row r="2" spans="1:26" x14ac:dyDescent="0.3">
      <c r="A2" s="65"/>
      <c r="B2" s="65"/>
      <c r="C2" s="65"/>
      <c r="D2" s="65"/>
      <c r="E2" s="65"/>
      <c r="F2" s="65"/>
      <c r="G2" s="65"/>
      <c r="H2" s="65"/>
      <c r="I2" s="65"/>
      <c r="J2" s="65"/>
      <c r="K2" s="65"/>
      <c r="L2" s="65"/>
      <c r="M2" s="65"/>
      <c r="N2" s="65"/>
      <c r="O2" s="65"/>
      <c r="P2" s="65"/>
      <c r="Q2" s="65"/>
      <c r="R2" s="65"/>
      <c r="S2" s="65"/>
      <c r="T2" s="65"/>
      <c r="U2" s="65"/>
      <c r="V2" s="65"/>
      <c r="W2" s="65"/>
      <c r="X2" s="65"/>
      <c r="Y2" s="65"/>
      <c r="Z2" s="65"/>
    </row>
    <row r="3" spans="1:26" x14ac:dyDescent="0.3">
      <c r="A3" s="65"/>
      <c r="B3" s="65"/>
      <c r="C3" s="65"/>
      <c r="D3" s="65"/>
      <c r="E3" s="65"/>
      <c r="F3" s="65"/>
      <c r="G3" s="65"/>
      <c r="H3" s="65"/>
      <c r="I3" s="65"/>
      <c r="J3" s="65"/>
      <c r="K3" s="65"/>
      <c r="L3" s="65"/>
      <c r="M3" s="65"/>
      <c r="N3" s="65"/>
      <c r="O3" s="65"/>
      <c r="P3" s="65"/>
      <c r="Q3" s="65"/>
      <c r="R3" s="65"/>
      <c r="S3" s="65"/>
      <c r="T3" s="65"/>
      <c r="U3" s="65"/>
      <c r="V3" s="65"/>
      <c r="W3" s="65"/>
      <c r="X3" s="65"/>
      <c r="Y3" s="65"/>
      <c r="Z3" s="65"/>
    </row>
    <row r="4" spans="1:26" x14ac:dyDescent="0.3">
      <c r="A4" s="57"/>
      <c r="B4" s="57"/>
      <c r="C4" s="57"/>
      <c r="D4" s="57"/>
      <c r="E4" s="57"/>
      <c r="F4" s="57"/>
      <c r="G4" s="57"/>
      <c r="H4" s="57"/>
      <c r="I4" s="57"/>
      <c r="J4" s="57"/>
      <c r="K4" s="57"/>
      <c r="L4" s="57"/>
      <c r="M4" s="57"/>
      <c r="N4" s="57"/>
      <c r="O4" s="57"/>
      <c r="P4" s="57"/>
      <c r="Q4" s="57"/>
      <c r="R4" s="57"/>
      <c r="S4" s="57"/>
      <c r="T4" s="57"/>
      <c r="U4" s="57"/>
      <c r="V4" s="57"/>
      <c r="W4" s="57"/>
      <c r="X4" s="57"/>
      <c r="Y4" s="57"/>
      <c r="Z4" s="57"/>
    </row>
    <row r="5" spans="1:26" x14ac:dyDescent="0.3">
      <c r="A5" s="57"/>
      <c r="B5" s="57"/>
      <c r="C5" s="57"/>
      <c r="D5" s="57"/>
      <c r="E5" s="57"/>
      <c r="F5" s="57"/>
      <c r="G5" s="57"/>
      <c r="H5" s="57"/>
      <c r="I5" s="57"/>
      <c r="J5" s="57"/>
      <c r="K5" s="57"/>
      <c r="L5" s="57"/>
      <c r="M5" s="57"/>
      <c r="N5" s="57"/>
      <c r="O5" s="57"/>
      <c r="P5" s="57"/>
      <c r="Q5" s="57"/>
      <c r="R5" s="57"/>
      <c r="S5" s="57"/>
      <c r="T5" s="57"/>
      <c r="U5" s="57"/>
      <c r="V5" s="57"/>
      <c r="W5" s="57"/>
      <c r="X5" s="57"/>
      <c r="Y5" s="57"/>
      <c r="Z5" s="57"/>
    </row>
    <row r="6" spans="1:26" x14ac:dyDescent="0.3">
      <c r="A6" s="57"/>
      <c r="B6" s="57"/>
      <c r="C6" s="57"/>
      <c r="D6" s="57"/>
      <c r="E6" s="57"/>
      <c r="F6" s="57"/>
      <c r="G6" s="57"/>
      <c r="H6" s="57"/>
      <c r="I6" s="57"/>
      <c r="J6" s="57"/>
      <c r="K6" s="57"/>
      <c r="L6" s="57"/>
      <c r="M6" s="57"/>
      <c r="N6" s="57"/>
      <c r="O6" s="57"/>
      <c r="P6" s="57"/>
      <c r="Q6" s="57"/>
      <c r="R6" s="57"/>
      <c r="S6" s="57"/>
      <c r="T6" s="57"/>
      <c r="U6" s="57"/>
      <c r="V6" s="57"/>
      <c r="W6" s="57"/>
      <c r="X6" s="57"/>
      <c r="Y6" s="57"/>
      <c r="Z6" s="57"/>
    </row>
    <row r="7" spans="1:26" x14ac:dyDescent="0.3">
      <c r="A7" s="57"/>
      <c r="B7" s="57"/>
      <c r="C7" s="57"/>
      <c r="D7" s="57"/>
      <c r="E7" s="57"/>
      <c r="F7" s="57"/>
      <c r="G7" s="57"/>
      <c r="H7" s="57"/>
      <c r="I7" s="57"/>
      <c r="J7" s="57"/>
      <c r="K7" s="57"/>
      <c r="L7" s="57"/>
      <c r="M7" s="57"/>
      <c r="N7" s="57"/>
      <c r="O7" s="57"/>
      <c r="P7" s="57"/>
      <c r="Q7" s="57"/>
      <c r="R7" s="57"/>
      <c r="S7" s="57"/>
      <c r="T7" s="57"/>
      <c r="U7" s="57"/>
      <c r="V7" s="57"/>
      <c r="W7" s="57"/>
      <c r="X7" s="57"/>
      <c r="Y7" s="57"/>
      <c r="Z7" s="57"/>
    </row>
    <row r="8" spans="1:26" x14ac:dyDescent="0.3">
      <c r="A8" s="57"/>
      <c r="B8" s="57"/>
      <c r="C8" s="57"/>
      <c r="D8" s="57"/>
      <c r="E8" s="57"/>
      <c r="F8" s="57"/>
      <c r="G8" s="57"/>
      <c r="H8" s="57"/>
      <c r="I8" s="57"/>
      <c r="J8" s="57"/>
      <c r="K8" s="57"/>
      <c r="L8" s="57"/>
      <c r="M8" s="57"/>
      <c r="N8" s="57"/>
      <c r="O8" s="57"/>
      <c r="P8" s="57"/>
      <c r="Q8" s="57"/>
      <c r="R8" s="57"/>
      <c r="S8" s="57"/>
      <c r="T8" s="57"/>
      <c r="U8" s="57"/>
      <c r="V8" s="57"/>
      <c r="W8" s="57"/>
      <c r="X8" s="57"/>
      <c r="Y8" s="57"/>
      <c r="Z8" s="57"/>
    </row>
    <row r="9" spans="1:26" x14ac:dyDescent="0.3">
      <c r="A9" s="57"/>
      <c r="B9" s="57"/>
      <c r="C9" s="57"/>
      <c r="D9" s="57"/>
      <c r="E9" s="57"/>
      <c r="F9" s="57"/>
      <c r="G9" s="57"/>
      <c r="H9" s="57"/>
      <c r="I9" s="57"/>
      <c r="J9" s="57"/>
      <c r="K9" s="57"/>
      <c r="L9" s="57"/>
      <c r="M9" s="57"/>
      <c r="N9" s="57"/>
      <c r="O9" s="57"/>
      <c r="P9" s="57"/>
      <c r="Q9" s="57"/>
      <c r="R9" s="57"/>
      <c r="S9" s="57"/>
      <c r="T9" s="57"/>
      <c r="U9" s="57"/>
      <c r="V9" s="57"/>
      <c r="W9" s="57"/>
      <c r="X9" s="57"/>
      <c r="Y9" s="57"/>
      <c r="Z9" s="57"/>
    </row>
    <row r="10" spans="1:26" x14ac:dyDescent="0.3">
      <c r="A10" s="57"/>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spans="1:26" x14ac:dyDescent="0.3">
      <c r="A11" s="57"/>
      <c r="B11" s="57"/>
      <c r="C11" s="57"/>
      <c r="D11" s="57"/>
      <c r="E11" s="57"/>
      <c r="F11" s="57"/>
      <c r="G11" s="57"/>
      <c r="H11" s="57"/>
      <c r="I11" s="57"/>
      <c r="J11" s="57"/>
      <c r="K11" s="57"/>
      <c r="L11" s="57"/>
      <c r="M11" s="57"/>
      <c r="N11" s="57"/>
      <c r="O11" s="57"/>
      <c r="P11" s="57"/>
      <c r="Q11" s="57"/>
      <c r="R11" s="57"/>
      <c r="S11" s="57"/>
      <c r="T11" s="57"/>
      <c r="U11" s="57"/>
      <c r="V11" s="57"/>
      <c r="W11" s="57"/>
      <c r="X11" s="57"/>
      <c r="Y11" s="57"/>
      <c r="Z11" s="57"/>
    </row>
    <row r="12" spans="1:26" x14ac:dyDescent="0.3">
      <c r="A12" s="57"/>
      <c r="B12" s="57"/>
      <c r="C12" s="57"/>
      <c r="D12" s="57"/>
      <c r="E12" s="57"/>
      <c r="F12" s="57"/>
      <c r="G12" s="57"/>
      <c r="H12" s="57"/>
      <c r="I12" s="57"/>
      <c r="J12" s="57"/>
      <c r="K12" s="57"/>
      <c r="L12" s="57"/>
      <c r="M12" s="57"/>
      <c r="N12" s="57"/>
      <c r="O12" s="57"/>
      <c r="P12" s="57"/>
      <c r="Q12" s="57"/>
      <c r="R12" s="57"/>
      <c r="S12" s="57"/>
      <c r="T12" s="57"/>
      <c r="U12" s="57"/>
      <c r="V12" s="57"/>
      <c r="W12" s="57"/>
      <c r="X12" s="57"/>
      <c r="Y12" s="57"/>
      <c r="Z12" s="57"/>
    </row>
    <row r="13" spans="1:26" x14ac:dyDescent="0.3">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spans="1:26" x14ac:dyDescent="0.3">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spans="1:26" x14ac:dyDescent="0.3">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spans="1:26" x14ac:dyDescent="0.3">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spans="1:26" x14ac:dyDescent="0.3">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spans="1:26" x14ac:dyDescent="0.3">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spans="1:26" x14ac:dyDescent="0.3">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x14ac:dyDescent="0.3">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spans="1:26" x14ac:dyDescent="0.3">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spans="1:26" x14ac:dyDescent="0.3">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spans="1:26" x14ac:dyDescent="0.3">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spans="1:26" x14ac:dyDescent="0.3">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spans="1:26" x14ac:dyDescent="0.3">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spans="1:26" x14ac:dyDescent="0.3">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spans="1:26" x14ac:dyDescent="0.3">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spans="1:26" x14ac:dyDescent="0.3">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spans="1:26" x14ac:dyDescent="0.3">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spans="1:26" x14ac:dyDescent="0.3">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spans="1:26" x14ac:dyDescent="0.3">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spans="1:26" x14ac:dyDescent="0.3">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spans="1:26" x14ac:dyDescent="0.3">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spans="1:26" x14ac:dyDescent="0.3">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spans="1:26" x14ac:dyDescent="0.3">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spans="1:26" x14ac:dyDescent="0.3">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spans="1:26" x14ac:dyDescent="0.3">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spans="1:26" x14ac:dyDescent="0.3">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spans="1:26" x14ac:dyDescent="0.3">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spans="1:26" x14ac:dyDescent="0.3">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spans="1:26" x14ac:dyDescent="0.3">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spans="1:26" x14ac:dyDescent="0.3">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sheetData>
  <sheetProtection sheet="1" objects="1" scenarios="1" selectLockedCells="1" pivotTables="0" selectUnlockedCells="1"/>
  <mergeCells count="1">
    <mergeCell ref="A1:Z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BCA7-58D6-4758-AF5B-FA635C6BCE38}">
  <dimension ref="A1:E1310"/>
  <sheetViews>
    <sheetView workbookViewId="0">
      <selection activeCell="C1" sqref="C1:C1048576"/>
    </sheetView>
  </sheetViews>
  <sheetFormatPr defaultRowHeight="14.4" x14ac:dyDescent="0.3"/>
  <cols>
    <col min="1" max="1" width="68.88671875" bestFit="1" customWidth="1"/>
    <col min="2" max="2" width="22.44140625" bestFit="1" customWidth="1"/>
    <col min="3" max="3" width="12" bestFit="1" customWidth="1"/>
    <col min="4" max="4" width="46.77734375" bestFit="1" customWidth="1"/>
    <col min="5" max="5" width="7.77734375" bestFit="1" customWidth="1"/>
  </cols>
  <sheetData>
    <row r="1" spans="1:4" x14ac:dyDescent="0.3">
      <c r="A1" t="s">
        <v>2</v>
      </c>
      <c r="B1" t="s">
        <v>2993</v>
      </c>
      <c r="C1" t="s">
        <v>2117</v>
      </c>
      <c r="D1" t="s">
        <v>4138</v>
      </c>
    </row>
    <row r="2" spans="1:4" x14ac:dyDescent="0.3">
      <c r="A2" t="s">
        <v>14</v>
      </c>
      <c r="B2" t="s">
        <v>2118</v>
      </c>
      <c r="C2" t="s">
        <v>2994</v>
      </c>
      <c r="D2" t="s">
        <v>2995</v>
      </c>
    </row>
    <row r="3" spans="1:4" x14ac:dyDescent="0.3">
      <c r="A3" t="s">
        <v>19</v>
      </c>
      <c r="B3" t="s">
        <v>2119</v>
      </c>
      <c r="C3" t="s">
        <v>2996</v>
      </c>
      <c r="D3" t="s">
        <v>2997</v>
      </c>
    </row>
    <row r="4" spans="1:4" x14ac:dyDescent="0.3">
      <c r="A4" t="s">
        <v>23</v>
      </c>
      <c r="B4" t="s">
        <v>2119</v>
      </c>
      <c r="C4" t="s">
        <v>2994</v>
      </c>
      <c r="D4" t="s">
        <v>2998</v>
      </c>
    </row>
    <row r="5" spans="1:4" x14ac:dyDescent="0.3">
      <c r="A5" t="s">
        <v>24</v>
      </c>
      <c r="B5" t="s">
        <v>2119</v>
      </c>
      <c r="C5" t="s">
        <v>2999</v>
      </c>
      <c r="D5" t="s">
        <v>3000</v>
      </c>
    </row>
    <row r="6" spans="1:4" x14ac:dyDescent="0.3">
      <c r="A6" t="s">
        <v>25</v>
      </c>
      <c r="B6" t="s">
        <v>2119</v>
      </c>
      <c r="C6" t="s">
        <v>3001</v>
      </c>
      <c r="D6" t="s">
        <v>3002</v>
      </c>
    </row>
    <row r="7" spans="1:4" x14ac:dyDescent="0.3">
      <c r="A7" t="s">
        <v>26</v>
      </c>
      <c r="B7" t="s">
        <v>2120</v>
      </c>
      <c r="C7" t="s">
        <v>2999</v>
      </c>
      <c r="D7" t="s">
        <v>3003</v>
      </c>
    </row>
    <row r="8" spans="1:4" x14ac:dyDescent="0.3">
      <c r="A8" t="s">
        <v>29</v>
      </c>
      <c r="B8" t="s">
        <v>2121</v>
      </c>
      <c r="C8" t="s">
        <v>2994</v>
      </c>
      <c r="D8" t="s">
        <v>3004</v>
      </c>
    </row>
    <row r="9" spans="1:4" x14ac:dyDescent="0.3">
      <c r="A9" t="s">
        <v>32</v>
      </c>
      <c r="B9" t="s">
        <v>2121</v>
      </c>
      <c r="C9" t="s">
        <v>2999</v>
      </c>
      <c r="D9" t="s">
        <v>3005</v>
      </c>
    </row>
    <row r="10" spans="1:4" x14ac:dyDescent="0.3">
      <c r="A10" t="s">
        <v>35</v>
      </c>
      <c r="B10" t="s">
        <v>2122</v>
      </c>
      <c r="C10" t="s">
        <v>3001</v>
      </c>
      <c r="D10" t="s">
        <v>3006</v>
      </c>
    </row>
    <row r="11" spans="1:4" x14ac:dyDescent="0.3">
      <c r="A11" t="s">
        <v>39</v>
      </c>
      <c r="B11" t="s">
        <v>2123</v>
      </c>
      <c r="C11" t="s">
        <v>2999</v>
      </c>
      <c r="D11" t="s">
        <v>3007</v>
      </c>
    </row>
    <row r="12" spans="1:4" x14ac:dyDescent="0.3">
      <c r="A12" t="s">
        <v>43</v>
      </c>
      <c r="B12" t="s">
        <v>2124</v>
      </c>
      <c r="C12" t="s">
        <v>3008</v>
      </c>
      <c r="D12" t="s">
        <v>3009</v>
      </c>
    </row>
    <row r="13" spans="1:4" x14ac:dyDescent="0.3">
      <c r="A13" t="s">
        <v>46</v>
      </c>
      <c r="B13" t="s">
        <v>2124</v>
      </c>
      <c r="C13" t="s">
        <v>3001</v>
      </c>
      <c r="D13" t="s">
        <v>3010</v>
      </c>
    </row>
    <row r="14" spans="1:4" x14ac:dyDescent="0.3">
      <c r="A14" t="s">
        <v>47</v>
      </c>
      <c r="B14" t="s">
        <v>2125</v>
      </c>
      <c r="C14" t="s">
        <v>3011</v>
      </c>
      <c r="D14" t="s">
        <v>3012</v>
      </c>
    </row>
    <row r="15" spans="1:4" x14ac:dyDescent="0.3">
      <c r="A15" t="s">
        <v>51</v>
      </c>
      <c r="B15" t="s">
        <v>2126</v>
      </c>
      <c r="C15" t="s">
        <v>2994</v>
      </c>
      <c r="D15" t="s">
        <v>3013</v>
      </c>
    </row>
    <row r="16" spans="1:4" x14ac:dyDescent="0.3">
      <c r="A16" t="s">
        <v>52</v>
      </c>
      <c r="B16" t="s">
        <v>2127</v>
      </c>
      <c r="C16" t="s">
        <v>2999</v>
      </c>
      <c r="D16" t="s">
        <v>3014</v>
      </c>
    </row>
    <row r="17" spans="1:4" x14ac:dyDescent="0.3">
      <c r="A17" t="s">
        <v>56</v>
      </c>
      <c r="B17" t="s">
        <v>2128</v>
      </c>
      <c r="C17" t="s">
        <v>2999</v>
      </c>
      <c r="D17" t="s">
        <v>3015</v>
      </c>
    </row>
    <row r="18" spans="1:4" x14ac:dyDescent="0.3">
      <c r="A18" t="s">
        <v>58</v>
      </c>
      <c r="B18" t="s">
        <v>2129</v>
      </c>
      <c r="C18" t="s">
        <v>2999</v>
      </c>
      <c r="D18" t="s">
        <v>3016</v>
      </c>
    </row>
    <row r="19" spans="1:4" x14ac:dyDescent="0.3">
      <c r="A19" t="s">
        <v>62</v>
      </c>
      <c r="B19" t="s">
        <v>2129</v>
      </c>
      <c r="C19" t="s">
        <v>3001</v>
      </c>
      <c r="D19" t="s">
        <v>3017</v>
      </c>
    </row>
    <row r="20" spans="1:4" x14ac:dyDescent="0.3">
      <c r="A20" t="s">
        <v>63</v>
      </c>
      <c r="B20" t="s">
        <v>2130</v>
      </c>
      <c r="C20" t="s">
        <v>2994</v>
      </c>
      <c r="D20" t="s">
        <v>3018</v>
      </c>
    </row>
    <row r="21" spans="1:4" x14ac:dyDescent="0.3">
      <c r="A21" t="s">
        <v>65</v>
      </c>
      <c r="B21" t="s">
        <v>2131</v>
      </c>
      <c r="C21" t="s">
        <v>2999</v>
      </c>
      <c r="D21" t="s">
        <v>3019</v>
      </c>
    </row>
    <row r="22" spans="1:4" x14ac:dyDescent="0.3">
      <c r="A22" t="s">
        <v>69</v>
      </c>
      <c r="B22" t="s">
        <v>2132</v>
      </c>
      <c r="C22" t="s">
        <v>2999</v>
      </c>
      <c r="D22" t="s">
        <v>3020</v>
      </c>
    </row>
    <row r="23" spans="1:4" x14ac:dyDescent="0.3">
      <c r="A23" t="s">
        <v>71</v>
      </c>
      <c r="B23" t="s">
        <v>2132</v>
      </c>
      <c r="C23" t="s">
        <v>3001</v>
      </c>
      <c r="D23" t="s">
        <v>3021</v>
      </c>
    </row>
    <row r="24" spans="1:4" x14ac:dyDescent="0.3">
      <c r="A24" t="s">
        <v>72</v>
      </c>
      <c r="B24" t="s">
        <v>2133</v>
      </c>
      <c r="C24" t="s">
        <v>2999</v>
      </c>
      <c r="D24" t="s">
        <v>3022</v>
      </c>
    </row>
    <row r="25" spans="1:4" x14ac:dyDescent="0.3">
      <c r="A25" t="s">
        <v>74</v>
      </c>
      <c r="B25" t="s">
        <v>2134</v>
      </c>
      <c r="C25" t="s">
        <v>2994</v>
      </c>
      <c r="D25" t="s">
        <v>3023</v>
      </c>
    </row>
    <row r="26" spans="1:4" x14ac:dyDescent="0.3">
      <c r="A26" t="s">
        <v>75</v>
      </c>
      <c r="B26" t="s">
        <v>2135</v>
      </c>
      <c r="C26" t="s">
        <v>2994</v>
      </c>
      <c r="D26" t="s">
        <v>3024</v>
      </c>
    </row>
    <row r="27" spans="1:4" x14ac:dyDescent="0.3">
      <c r="A27" t="s">
        <v>78</v>
      </c>
      <c r="B27" t="s">
        <v>2136</v>
      </c>
      <c r="C27" t="s">
        <v>2999</v>
      </c>
      <c r="D27" t="s">
        <v>3025</v>
      </c>
    </row>
    <row r="28" spans="1:4" x14ac:dyDescent="0.3">
      <c r="A28" t="s">
        <v>80</v>
      </c>
      <c r="B28" t="s">
        <v>2137</v>
      </c>
      <c r="C28" t="s">
        <v>2999</v>
      </c>
      <c r="D28" t="s">
        <v>3026</v>
      </c>
    </row>
    <row r="29" spans="1:4" x14ac:dyDescent="0.3">
      <c r="A29" t="s">
        <v>83</v>
      </c>
      <c r="B29" t="s">
        <v>2137</v>
      </c>
      <c r="C29" t="s">
        <v>3001</v>
      </c>
      <c r="D29" t="s">
        <v>3027</v>
      </c>
    </row>
    <row r="30" spans="1:4" x14ac:dyDescent="0.3">
      <c r="A30" t="s">
        <v>84</v>
      </c>
      <c r="B30" t="s">
        <v>2138</v>
      </c>
      <c r="C30" t="s">
        <v>2994</v>
      </c>
      <c r="D30" t="s">
        <v>3028</v>
      </c>
    </row>
    <row r="31" spans="1:4" x14ac:dyDescent="0.3">
      <c r="A31" t="s">
        <v>87</v>
      </c>
      <c r="B31" t="s">
        <v>2139</v>
      </c>
      <c r="C31" t="s">
        <v>2999</v>
      </c>
      <c r="D31" t="s">
        <v>3029</v>
      </c>
    </row>
    <row r="32" spans="1:4" x14ac:dyDescent="0.3">
      <c r="A32" t="s">
        <v>90</v>
      </c>
      <c r="B32" t="s">
        <v>2140</v>
      </c>
      <c r="C32" t="s">
        <v>2999</v>
      </c>
      <c r="D32" t="s">
        <v>3030</v>
      </c>
    </row>
    <row r="33" spans="1:4" x14ac:dyDescent="0.3">
      <c r="A33" t="s">
        <v>93</v>
      </c>
      <c r="B33" t="s">
        <v>2141</v>
      </c>
      <c r="C33" t="s">
        <v>2999</v>
      </c>
      <c r="D33" t="s">
        <v>3031</v>
      </c>
    </row>
    <row r="34" spans="1:4" x14ac:dyDescent="0.3">
      <c r="A34" t="s">
        <v>96</v>
      </c>
      <c r="B34" t="s">
        <v>2142</v>
      </c>
      <c r="C34" t="s">
        <v>2994</v>
      </c>
      <c r="D34" t="s">
        <v>3032</v>
      </c>
    </row>
    <row r="35" spans="1:4" x14ac:dyDescent="0.3">
      <c r="A35" t="s">
        <v>99</v>
      </c>
      <c r="B35" t="s">
        <v>2142</v>
      </c>
      <c r="C35" t="s">
        <v>2994</v>
      </c>
      <c r="D35" t="s">
        <v>3033</v>
      </c>
    </row>
    <row r="36" spans="1:4" x14ac:dyDescent="0.3">
      <c r="A36" t="s">
        <v>102</v>
      </c>
      <c r="B36" t="s">
        <v>2143</v>
      </c>
      <c r="C36" t="s">
        <v>2999</v>
      </c>
      <c r="D36" t="s">
        <v>3034</v>
      </c>
    </row>
    <row r="37" spans="1:4" x14ac:dyDescent="0.3">
      <c r="A37" t="s">
        <v>105</v>
      </c>
      <c r="B37" t="s">
        <v>2144</v>
      </c>
      <c r="C37" t="s">
        <v>2994</v>
      </c>
      <c r="D37" t="s">
        <v>3035</v>
      </c>
    </row>
    <row r="38" spans="1:4" x14ac:dyDescent="0.3">
      <c r="A38" t="s">
        <v>108</v>
      </c>
      <c r="B38" t="s">
        <v>2145</v>
      </c>
      <c r="C38" t="s">
        <v>2994</v>
      </c>
      <c r="D38" t="s">
        <v>3036</v>
      </c>
    </row>
    <row r="39" spans="1:4" x14ac:dyDescent="0.3">
      <c r="A39" t="s">
        <v>111</v>
      </c>
      <c r="B39" t="s">
        <v>2146</v>
      </c>
      <c r="C39" t="s">
        <v>2999</v>
      </c>
      <c r="D39" t="s">
        <v>3037</v>
      </c>
    </row>
    <row r="40" spans="1:4" x14ac:dyDescent="0.3">
      <c r="A40" t="s">
        <v>113</v>
      </c>
      <c r="B40" t="s">
        <v>2147</v>
      </c>
      <c r="C40" t="s">
        <v>2999</v>
      </c>
      <c r="D40" t="s">
        <v>3038</v>
      </c>
    </row>
    <row r="41" spans="1:4" x14ac:dyDescent="0.3">
      <c r="A41" t="s">
        <v>116</v>
      </c>
      <c r="B41" t="s">
        <v>2148</v>
      </c>
      <c r="C41" t="s">
        <v>2999</v>
      </c>
      <c r="D41" t="s">
        <v>3039</v>
      </c>
    </row>
    <row r="42" spans="1:4" x14ac:dyDescent="0.3">
      <c r="A42" t="s">
        <v>120</v>
      </c>
      <c r="B42" t="s">
        <v>2149</v>
      </c>
      <c r="C42" t="s">
        <v>3040</v>
      </c>
      <c r="D42" t="s">
        <v>3041</v>
      </c>
    </row>
    <row r="43" spans="1:4" x14ac:dyDescent="0.3">
      <c r="A43" t="s">
        <v>122</v>
      </c>
      <c r="B43" t="s">
        <v>2150</v>
      </c>
      <c r="C43" t="s">
        <v>3001</v>
      </c>
      <c r="D43" t="s">
        <v>3042</v>
      </c>
    </row>
    <row r="44" spans="1:4" x14ac:dyDescent="0.3">
      <c r="A44" t="s">
        <v>126</v>
      </c>
      <c r="B44" t="s">
        <v>2150</v>
      </c>
      <c r="C44" t="s">
        <v>3001</v>
      </c>
      <c r="D44" t="s">
        <v>3043</v>
      </c>
    </row>
    <row r="45" spans="1:4" x14ac:dyDescent="0.3">
      <c r="A45" t="s">
        <v>128</v>
      </c>
      <c r="B45" t="s">
        <v>2151</v>
      </c>
      <c r="C45" t="s">
        <v>3001</v>
      </c>
      <c r="D45" t="s">
        <v>3044</v>
      </c>
    </row>
    <row r="46" spans="1:4" x14ac:dyDescent="0.3">
      <c r="A46" t="s">
        <v>129</v>
      </c>
      <c r="B46" t="s">
        <v>2152</v>
      </c>
      <c r="C46" t="s">
        <v>2994</v>
      </c>
      <c r="D46" t="s">
        <v>3045</v>
      </c>
    </row>
    <row r="47" spans="1:4" x14ac:dyDescent="0.3">
      <c r="A47" t="s">
        <v>131</v>
      </c>
      <c r="B47" t="s">
        <v>2153</v>
      </c>
      <c r="C47" t="s">
        <v>3046</v>
      </c>
      <c r="D47" t="s">
        <v>3047</v>
      </c>
    </row>
    <row r="48" spans="1:4" x14ac:dyDescent="0.3">
      <c r="A48" t="s">
        <v>134</v>
      </c>
      <c r="B48" t="s">
        <v>2154</v>
      </c>
      <c r="C48" t="s">
        <v>2999</v>
      </c>
      <c r="D48" t="s">
        <v>3048</v>
      </c>
    </row>
    <row r="49" spans="1:4" x14ac:dyDescent="0.3">
      <c r="A49" t="s">
        <v>135</v>
      </c>
      <c r="B49" t="s">
        <v>2155</v>
      </c>
      <c r="C49" t="s">
        <v>2999</v>
      </c>
      <c r="D49" t="s">
        <v>3049</v>
      </c>
    </row>
    <row r="50" spans="1:4" x14ac:dyDescent="0.3">
      <c r="A50" t="s">
        <v>138</v>
      </c>
      <c r="B50" t="s">
        <v>2156</v>
      </c>
      <c r="C50" t="s">
        <v>3001</v>
      </c>
      <c r="D50" t="s">
        <v>3050</v>
      </c>
    </row>
    <row r="51" spans="1:4" x14ac:dyDescent="0.3">
      <c r="A51" t="s">
        <v>140</v>
      </c>
      <c r="B51" t="s">
        <v>2157</v>
      </c>
      <c r="C51" t="s">
        <v>2999</v>
      </c>
      <c r="D51" t="s">
        <v>3051</v>
      </c>
    </row>
    <row r="52" spans="1:4" x14ac:dyDescent="0.3">
      <c r="A52" t="s">
        <v>144</v>
      </c>
      <c r="B52" t="s">
        <v>2157</v>
      </c>
      <c r="C52" t="s">
        <v>3001</v>
      </c>
      <c r="D52" t="s">
        <v>3052</v>
      </c>
    </row>
    <row r="53" spans="1:4" x14ac:dyDescent="0.3">
      <c r="A53" t="s">
        <v>146</v>
      </c>
      <c r="B53" t="s">
        <v>2158</v>
      </c>
      <c r="C53" t="s">
        <v>2999</v>
      </c>
      <c r="D53" t="s">
        <v>3053</v>
      </c>
    </row>
    <row r="54" spans="1:4" x14ac:dyDescent="0.3">
      <c r="A54" t="s">
        <v>147</v>
      </c>
      <c r="B54" t="s">
        <v>2159</v>
      </c>
      <c r="C54" t="s">
        <v>2999</v>
      </c>
      <c r="D54" t="s">
        <v>3054</v>
      </c>
    </row>
    <row r="55" spans="1:4" x14ac:dyDescent="0.3">
      <c r="A55" t="s">
        <v>148</v>
      </c>
      <c r="B55" t="s">
        <v>2159</v>
      </c>
      <c r="C55" t="s">
        <v>2999</v>
      </c>
      <c r="D55" t="s">
        <v>3055</v>
      </c>
    </row>
    <row r="56" spans="1:4" x14ac:dyDescent="0.3">
      <c r="A56" t="s">
        <v>149</v>
      </c>
      <c r="B56" t="s">
        <v>2160</v>
      </c>
      <c r="C56" t="s">
        <v>2996</v>
      </c>
      <c r="D56" t="s">
        <v>3056</v>
      </c>
    </row>
    <row r="57" spans="1:4" x14ac:dyDescent="0.3">
      <c r="A57" t="s">
        <v>152</v>
      </c>
      <c r="B57" t="s">
        <v>2160</v>
      </c>
      <c r="C57" t="s">
        <v>2994</v>
      </c>
      <c r="D57" t="s">
        <v>3057</v>
      </c>
    </row>
    <row r="58" spans="1:4" x14ac:dyDescent="0.3">
      <c r="A58" t="s">
        <v>153</v>
      </c>
      <c r="B58" t="s">
        <v>2160</v>
      </c>
      <c r="C58" t="s">
        <v>2999</v>
      </c>
      <c r="D58" t="s">
        <v>3058</v>
      </c>
    </row>
    <row r="59" spans="1:4" x14ac:dyDescent="0.3">
      <c r="A59" t="s">
        <v>154</v>
      </c>
      <c r="B59" t="s">
        <v>2160</v>
      </c>
      <c r="C59" t="s">
        <v>3001</v>
      </c>
      <c r="D59" t="s">
        <v>3059</v>
      </c>
    </row>
    <row r="60" spans="1:4" x14ac:dyDescent="0.3">
      <c r="A60" t="s">
        <v>155</v>
      </c>
      <c r="B60" t="s">
        <v>2161</v>
      </c>
      <c r="C60" t="s">
        <v>2999</v>
      </c>
      <c r="D60" t="s">
        <v>3060</v>
      </c>
    </row>
    <row r="61" spans="1:4" x14ac:dyDescent="0.3">
      <c r="A61" t="s">
        <v>157</v>
      </c>
      <c r="B61" t="s">
        <v>2162</v>
      </c>
      <c r="C61" t="s">
        <v>3001</v>
      </c>
      <c r="D61" t="s">
        <v>3061</v>
      </c>
    </row>
    <row r="62" spans="1:4" x14ac:dyDescent="0.3">
      <c r="A62" t="s">
        <v>158</v>
      </c>
      <c r="B62" t="s">
        <v>2163</v>
      </c>
      <c r="C62" t="s">
        <v>2999</v>
      </c>
      <c r="D62" t="s">
        <v>3062</v>
      </c>
    </row>
    <row r="63" spans="1:4" x14ac:dyDescent="0.3">
      <c r="A63" t="s">
        <v>161</v>
      </c>
      <c r="B63" t="s">
        <v>2163</v>
      </c>
      <c r="C63" t="s">
        <v>3001</v>
      </c>
      <c r="D63" t="s">
        <v>3063</v>
      </c>
    </row>
    <row r="64" spans="1:4" x14ac:dyDescent="0.3">
      <c r="A64" t="s">
        <v>162</v>
      </c>
      <c r="B64" t="s">
        <v>2164</v>
      </c>
      <c r="C64" t="s">
        <v>2999</v>
      </c>
      <c r="D64" t="s">
        <v>3064</v>
      </c>
    </row>
    <row r="65" spans="1:4" x14ac:dyDescent="0.3">
      <c r="A65" t="s">
        <v>166</v>
      </c>
      <c r="B65" t="s">
        <v>2164</v>
      </c>
      <c r="C65" t="s">
        <v>3001</v>
      </c>
      <c r="D65" t="s">
        <v>3065</v>
      </c>
    </row>
    <row r="66" spans="1:4" x14ac:dyDescent="0.3">
      <c r="A66" t="s">
        <v>167</v>
      </c>
      <c r="B66" t="s">
        <v>2165</v>
      </c>
      <c r="C66" t="s">
        <v>2999</v>
      </c>
      <c r="D66" t="s">
        <v>3066</v>
      </c>
    </row>
    <row r="67" spans="1:4" x14ac:dyDescent="0.3">
      <c r="A67" t="s">
        <v>170</v>
      </c>
      <c r="B67" t="s">
        <v>2165</v>
      </c>
      <c r="C67" t="s">
        <v>3001</v>
      </c>
      <c r="D67" t="s">
        <v>3067</v>
      </c>
    </row>
    <row r="68" spans="1:4" x14ac:dyDescent="0.3">
      <c r="A68" t="s">
        <v>171</v>
      </c>
      <c r="B68" t="s">
        <v>2166</v>
      </c>
      <c r="C68" t="s">
        <v>2994</v>
      </c>
      <c r="D68" t="s">
        <v>3068</v>
      </c>
    </row>
    <row r="69" spans="1:4" x14ac:dyDescent="0.3">
      <c r="A69" t="s">
        <v>173</v>
      </c>
      <c r="B69" t="s">
        <v>2167</v>
      </c>
      <c r="C69" t="s">
        <v>2994</v>
      </c>
      <c r="D69" t="s">
        <v>3069</v>
      </c>
    </row>
    <row r="70" spans="1:4" x14ac:dyDescent="0.3">
      <c r="A70" t="s">
        <v>176</v>
      </c>
      <c r="B70" t="s">
        <v>2168</v>
      </c>
      <c r="C70" t="s">
        <v>2999</v>
      </c>
      <c r="D70" t="s">
        <v>3070</v>
      </c>
    </row>
    <row r="71" spans="1:4" x14ac:dyDescent="0.3">
      <c r="A71" t="s">
        <v>179</v>
      </c>
      <c r="B71" t="s">
        <v>2169</v>
      </c>
      <c r="C71" t="s">
        <v>3001</v>
      </c>
      <c r="D71" t="s">
        <v>3071</v>
      </c>
    </row>
    <row r="72" spans="1:4" x14ac:dyDescent="0.3">
      <c r="A72" t="s">
        <v>180</v>
      </c>
      <c r="B72" t="s">
        <v>2170</v>
      </c>
      <c r="C72" t="s">
        <v>2999</v>
      </c>
      <c r="D72" t="s">
        <v>3072</v>
      </c>
    </row>
    <row r="73" spans="1:4" x14ac:dyDescent="0.3">
      <c r="A73" t="s">
        <v>182</v>
      </c>
      <c r="B73" t="s">
        <v>2171</v>
      </c>
      <c r="C73" t="s">
        <v>2999</v>
      </c>
      <c r="D73" t="s">
        <v>3073</v>
      </c>
    </row>
    <row r="74" spans="1:4" x14ac:dyDescent="0.3">
      <c r="A74" t="s">
        <v>184</v>
      </c>
      <c r="B74" t="s">
        <v>2171</v>
      </c>
      <c r="C74" t="s">
        <v>3001</v>
      </c>
      <c r="D74" t="s">
        <v>3074</v>
      </c>
    </row>
    <row r="75" spans="1:4" x14ac:dyDescent="0.3">
      <c r="A75" t="s">
        <v>185</v>
      </c>
      <c r="B75" t="s">
        <v>2172</v>
      </c>
      <c r="C75" t="s">
        <v>2994</v>
      </c>
      <c r="D75" t="s">
        <v>3075</v>
      </c>
    </row>
    <row r="76" spans="1:4" x14ac:dyDescent="0.3">
      <c r="A76" t="s">
        <v>186</v>
      </c>
      <c r="B76" t="s">
        <v>2173</v>
      </c>
      <c r="C76" t="s">
        <v>2999</v>
      </c>
      <c r="D76" t="s">
        <v>3076</v>
      </c>
    </row>
    <row r="77" spans="1:4" x14ac:dyDescent="0.3">
      <c r="A77" t="s">
        <v>189</v>
      </c>
      <c r="B77" t="s">
        <v>2174</v>
      </c>
      <c r="C77" t="s">
        <v>2999</v>
      </c>
      <c r="D77" t="s">
        <v>3077</v>
      </c>
    </row>
    <row r="78" spans="1:4" x14ac:dyDescent="0.3">
      <c r="A78" t="s">
        <v>192</v>
      </c>
      <c r="B78" t="s">
        <v>2175</v>
      </c>
      <c r="C78" t="s">
        <v>2994</v>
      </c>
      <c r="D78" t="s">
        <v>3078</v>
      </c>
    </row>
    <row r="79" spans="1:4" x14ac:dyDescent="0.3">
      <c r="A79" t="s">
        <v>196</v>
      </c>
      <c r="B79" t="s">
        <v>2175</v>
      </c>
      <c r="C79" t="s">
        <v>2999</v>
      </c>
      <c r="D79" t="s">
        <v>3079</v>
      </c>
    </row>
    <row r="80" spans="1:4" x14ac:dyDescent="0.3">
      <c r="A80" t="s">
        <v>198</v>
      </c>
      <c r="B80" t="s">
        <v>2175</v>
      </c>
      <c r="C80" t="s">
        <v>3001</v>
      </c>
      <c r="D80" t="s">
        <v>3080</v>
      </c>
    </row>
    <row r="81" spans="1:4" x14ac:dyDescent="0.3">
      <c r="A81" t="s">
        <v>200</v>
      </c>
      <c r="B81" t="s">
        <v>2176</v>
      </c>
      <c r="C81" t="s">
        <v>3001</v>
      </c>
      <c r="D81" t="s">
        <v>3081</v>
      </c>
    </row>
    <row r="82" spans="1:4" x14ac:dyDescent="0.3">
      <c r="A82" t="s">
        <v>201</v>
      </c>
      <c r="B82" t="s">
        <v>2177</v>
      </c>
      <c r="C82" t="s">
        <v>2999</v>
      </c>
      <c r="D82" t="s">
        <v>3038</v>
      </c>
    </row>
    <row r="83" spans="1:4" x14ac:dyDescent="0.3">
      <c r="A83" t="s">
        <v>203</v>
      </c>
      <c r="B83" t="s">
        <v>2178</v>
      </c>
      <c r="C83" t="s">
        <v>3082</v>
      </c>
      <c r="D83" t="s">
        <v>3083</v>
      </c>
    </row>
    <row r="84" spans="1:4" x14ac:dyDescent="0.3">
      <c r="A84" t="s">
        <v>207</v>
      </c>
      <c r="B84" t="s">
        <v>2178</v>
      </c>
      <c r="C84" t="s">
        <v>2994</v>
      </c>
      <c r="D84" t="s">
        <v>3084</v>
      </c>
    </row>
    <row r="85" spans="1:4" x14ac:dyDescent="0.3">
      <c r="A85" t="s">
        <v>208</v>
      </c>
      <c r="B85" t="s">
        <v>2178</v>
      </c>
      <c r="C85" t="s">
        <v>3001</v>
      </c>
      <c r="D85" t="s">
        <v>3085</v>
      </c>
    </row>
    <row r="86" spans="1:4" x14ac:dyDescent="0.3">
      <c r="A86" t="s">
        <v>210</v>
      </c>
      <c r="B86" t="s">
        <v>2179</v>
      </c>
      <c r="C86" t="s">
        <v>2999</v>
      </c>
      <c r="D86" t="s">
        <v>3086</v>
      </c>
    </row>
    <row r="87" spans="1:4" x14ac:dyDescent="0.3">
      <c r="A87" t="s">
        <v>213</v>
      </c>
      <c r="B87" t="s">
        <v>2179</v>
      </c>
      <c r="C87" t="s">
        <v>3001</v>
      </c>
      <c r="D87" t="s">
        <v>3087</v>
      </c>
    </row>
    <row r="88" spans="1:4" x14ac:dyDescent="0.3">
      <c r="A88" t="s">
        <v>214</v>
      </c>
      <c r="B88" t="s">
        <v>2180</v>
      </c>
      <c r="C88" t="s">
        <v>2999</v>
      </c>
      <c r="D88" t="s">
        <v>3088</v>
      </c>
    </row>
    <row r="89" spans="1:4" x14ac:dyDescent="0.3">
      <c r="A89" t="s">
        <v>218</v>
      </c>
      <c r="B89" t="s">
        <v>2181</v>
      </c>
      <c r="C89" t="s">
        <v>2999</v>
      </c>
      <c r="D89" t="s">
        <v>3089</v>
      </c>
    </row>
    <row r="90" spans="1:4" x14ac:dyDescent="0.3">
      <c r="A90" t="s">
        <v>219</v>
      </c>
      <c r="B90" t="s">
        <v>2182</v>
      </c>
      <c r="C90" t="s">
        <v>2994</v>
      </c>
      <c r="D90" t="s">
        <v>3090</v>
      </c>
    </row>
    <row r="91" spans="1:4" x14ac:dyDescent="0.3">
      <c r="A91" t="s">
        <v>220</v>
      </c>
      <c r="B91" t="s">
        <v>2183</v>
      </c>
      <c r="C91" t="s">
        <v>2999</v>
      </c>
      <c r="D91" t="s">
        <v>3091</v>
      </c>
    </row>
    <row r="92" spans="1:4" x14ac:dyDescent="0.3">
      <c r="A92" t="s">
        <v>223</v>
      </c>
      <c r="B92" t="s">
        <v>2183</v>
      </c>
      <c r="C92" t="s">
        <v>3001</v>
      </c>
      <c r="D92" t="s">
        <v>3092</v>
      </c>
    </row>
    <row r="93" spans="1:4" x14ac:dyDescent="0.3">
      <c r="A93" t="s">
        <v>224</v>
      </c>
      <c r="B93" t="s">
        <v>2184</v>
      </c>
      <c r="C93" t="s">
        <v>2999</v>
      </c>
      <c r="D93" t="s">
        <v>3093</v>
      </c>
    </row>
    <row r="94" spans="1:4" x14ac:dyDescent="0.3">
      <c r="A94" t="s">
        <v>227</v>
      </c>
      <c r="B94" t="s">
        <v>2184</v>
      </c>
      <c r="C94" t="s">
        <v>3001</v>
      </c>
      <c r="D94" t="s">
        <v>3094</v>
      </c>
    </row>
    <row r="95" spans="1:4" x14ac:dyDescent="0.3">
      <c r="A95" t="s">
        <v>228</v>
      </c>
      <c r="B95" t="s">
        <v>2185</v>
      </c>
      <c r="C95" t="s">
        <v>3040</v>
      </c>
      <c r="D95" t="s">
        <v>3095</v>
      </c>
    </row>
    <row r="96" spans="1:4" x14ac:dyDescent="0.3">
      <c r="A96" t="s">
        <v>230</v>
      </c>
      <c r="B96" t="s">
        <v>2185</v>
      </c>
      <c r="C96" t="s">
        <v>2996</v>
      </c>
      <c r="D96" t="s">
        <v>3095</v>
      </c>
    </row>
    <row r="97" spans="1:4" x14ac:dyDescent="0.3">
      <c r="A97" t="s">
        <v>231</v>
      </c>
      <c r="B97" t="s">
        <v>2185</v>
      </c>
      <c r="C97" t="s">
        <v>3001</v>
      </c>
      <c r="D97" t="s">
        <v>3096</v>
      </c>
    </row>
    <row r="98" spans="1:4" x14ac:dyDescent="0.3">
      <c r="A98" t="s">
        <v>232</v>
      </c>
      <c r="B98" t="s">
        <v>2186</v>
      </c>
      <c r="C98" t="s">
        <v>2999</v>
      </c>
      <c r="D98" t="s">
        <v>3097</v>
      </c>
    </row>
    <row r="99" spans="1:4" x14ac:dyDescent="0.3">
      <c r="A99" t="s">
        <v>236</v>
      </c>
      <c r="B99" t="s">
        <v>2186</v>
      </c>
      <c r="C99" t="s">
        <v>3001</v>
      </c>
      <c r="D99" t="s">
        <v>3098</v>
      </c>
    </row>
    <row r="100" spans="1:4" x14ac:dyDescent="0.3">
      <c r="A100" t="s">
        <v>237</v>
      </c>
      <c r="B100" t="s">
        <v>2186</v>
      </c>
      <c r="C100" t="s">
        <v>3001</v>
      </c>
      <c r="D100" t="s">
        <v>3099</v>
      </c>
    </row>
    <row r="101" spans="1:4" x14ac:dyDescent="0.3">
      <c r="A101" t="s">
        <v>238</v>
      </c>
      <c r="B101" t="s">
        <v>2187</v>
      </c>
      <c r="C101" t="s">
        <v>3100</v>
      </c>
      <c r="D101" t="s">
        <v>3101</v>
      </c>
    </row>
    <row r="102" spans="1:4" x14ac:dyDescent="0.3">
      <c r="A102" t="s">
        <v>241</v>
      </c>
      <c r="B102" t="s">
        <v>2187</v>
      </c>
      <c r="C102" t="s">
        <v>3102</v>
      </c>
      <c r="D102" t="s">
        <v>3103</v>
      </c>
    </row>
    <row r="103" spans="1:4" x14ac:dyDescent="0.3">
      <c r="A103" t="s">
        <v>244</v>
      </c>
      <c r="B103" t="s">
        <v>2188</v>
      </c>
      <c r="C103" t="s">
        <v>2999</v>
      </c>
      <c r="D103" t="s">
        <v>3104</v>
      </c>
    </row>
    <row r="104" spans="1:4" x14ac:dyDescent="0.3">
      <c r="A104" t="s">
        <v>247</v>
      </c>
      <c r="B104" t="s">
        <v>2189</v>
      </c>
      <c r="C104" t="s">
        <v>3001</v>
      </c>
      <c r="D104" t="s">
        <v>3105</v>
      </c>
    </row>
    <row r="105" spans="1:4" x14ac:dyDescent="0.3">
      <c r="A105" t="s">
        <v>250</v>
      </c>
      <c r="B105" t="s">
        <v>2190</v>
      </c>
      <c r="C105" t="s">
        <v>2994</v>
      </c>
      <c r="D105" t="s">
        <v>3106</v>
      </c>
    </row>
    <row r="106" spans="1:4" x14ac:dyDescent="0.3">
      <c r="A106" t="s">
        <v>252</v>
      </c>
      <c r="B106" t="s">
        <v>2191</v>
      </c>
      <c r="C106" t="s">
        <v>2994</v>
      </c>
      <c r="D106" t="s">
        <v>3107</v>
      </c>
    </row>
    <row r="107" spans="1:4" x14ac:dyDescent="0.3">
      <c r="A107" t="s">
        <v>255</v>
      </c>
      <c r="B107" t="s">
        <v>2192</v>
      </c>
      <c r="C107" t="s">
        <v>2994</v>
      </c>
      <c r="D107" t="s">
        <v>3108</v>
      </c>
    </row>
    <row r="108" spans="1:4" x14ac:dyDescent="0.3">
      <c r="A108" t="s">
        <v>258</v>
      </c>
      <c r="B108" t="s">
        <v>2193</v>
      </c>
      <c r="C108" t="s">
        <v>2999</v>
      </c>
      <c r="D108" t="s">
        <v>3109</v>
      </c>
    </row>
    <row r="109" spans="1:4" x14ac:dyDescent="0.3">
      <c r="A109" t="s">
        <v>260</v>
      </c>
      <c r="B109" t="s">
        <v>2194</v>
      </c>
      <c r="C109" t="s">
        <v>3001</v>
      </c>
      <c r="D109" t="s">
        <v>3110</v>
      </c>
    </row>
    <row r="110" spans="1:4" x14ac:dyDescent="0.3">
      <c r="A110" t="s">
        <v>262</v>
      </c>
      <c r="B110" t="s">
        <v>2195</v>
      </c>
      <c r="C110" t="s">
        <v>2994</v>
      </c>
      <c r="D110" t="s">
        <v>3111</v>
      </c>
    </row>
    <row r="111" spans="1:4" x14ac:dyDescent="0.3">
      <c r="A111" t="s">
        <v>263</v>
      </c>
      <c r="B111" t="s">
        <v>2196</v>
      </c>
      <c r="C111" t="s">
        <v>2999</v>
      </c>
      <c r="D111" t="s">
        <v>3112</v>
      </c>
    </row>
    <row r="112" spans="1:4" x14ac:dyDescent="0.3">
      <c r="A112" t="s">
        <v>267</v>
      </c>
      <c r="B112" t="s">
        <v>2197</v>
      </c>
      <c r="C112" t="s">
        <v>2999</v>
      </c>
      <c r="D112" t="s">
        <v>3113</v>
      </c>
    </row>
    <row r="113" spans="1:4" x14ac:dyDescent="0.3">
      <c r="A113" t="s">
        <v>269</v>
      </c>
      <c r="B113" t="s">
        <v>2198</v>
      </c>
      <c r="C113" t="s">
        <v>2994</v>
      </c>
      <c r="D113" t="s">
        <v>3114</v>
      </c>
    </row>
    <row r="114" spans="1:4" x14ac:dyDescent="0.3">
      <c r="A114" t="s">
        <v>272</v>
      </c>
      <c r="B114" t="s">
        <v>2198</v>
      </c>
      <c r="C114" t="s">
        <v>2994</v>
      </c>
      <c r="D114" t="s">
        <v>3115</v>
      </c>
    </row>
    <row r="115" spans="1:4" x14ac:dyDescent="0.3">
      <c r="A115" t="s">
        <v>273</v>
      </c>
      <c r="B115" t="s">
        <v>2198</v>
      </c>
      <c r="C115" t="s">
        <v>2994</v>
      </c>
      <c r="D115" t="s">
        <v>3116</v>
      </c>
    </row>
    <row r="116" spans="1:4" x14ac:dyDescent="0.3">
      <c r="A116" t="s">
        <v>274</v>
      </c>
      <c r="B116" t="s">
        <v>2198</v>
      </c>
      <c r="C116" t="s">
        <v>2999</v>
      </c>
      <c r="D116" t="s">
        <v>3117</v>
      </c>
    </row>
    <row r="117" spans="1:4" x14ac:dyDescent="0.3">
      <c r="A117" t="s">
        <v>275</v>
      </c>
      <c r="B117" t="s">
        <v>2198</v>
      </c>
      <c r="C117" t="s">
        <v>2999</v>
      </c>
      <c r="D117" t="s">
        <v>3118</v>
      </c>
    </row>
    <row r="118" spans="1:4" x14ac:dyDescent="0.3">
      <c r="A118" t="s">
        <v>276</v>
      </c>
      <c r="B118" t="s">
        <v>2198</v>
      </c>
      <c r="C118" t="s">
        <v>3001</v>
      </c>
      <c r="D118" t="s">
        <v>3119</v>
      </c>
    </row>
    <row r="119" spans="1:4" x14ac:dyDescent="0.3">
      <c r="A119" t="s">
        <v>277</v>
      </c>
      <c r="B119" t="s">
        <v>2199</v>
      </c>
      <c r="C119" t="s">
        <v>2994</v>
      </c>
      <c r="D119" t="s">
        <v>3120</v>
      </c>
    </row>
    <row r="120" spans="1:4" x14ac:dyDescent="0.3">
      <c r="A120" t="s">
        <v>279</v>
      </c>
      <c r="B120" t="s">
        <v>2200</v>
      </c>
      <c r="C120" t="s">
        <v>2999</v>
      </c>
      <c r="D120" t="s">
        <v>3121</v>
      </c>
    </row>
    <row r="121" spans="1:4" x14ac:dyDescent="0.3">
      <c r="A121" t="s">
        <v>282</v>
      </c>
      <c r="B121" t="s">
        <v>2201</v>
      </c>
      <c r="C121" t="s">
        <v>3040</v>
      </c>
      <c r="D121" t="s">
        <v>3122</v>
      </c>
    </row>
    <row r="122" spans="1:4" x14ac:dyDescent="0.3">
      <c r="A122" t="s">
        <v>284</v>
      </c>
      <c r="B122" t="s">
        <v>2201</v>
      </c>
      <c r="C122" t="s">
        <v>2999</v>
      </c>
      <c r="D122" t="s">
        <v>3123</v>
      </c>
    </row>
    <row r="123" spans="1:4" x14ac:dyDescent="0.3">
      <c r="A123" t="s">
        <v>286</v>
      </c>
      <c r="B123" t="s">
        <v>2201</v>
      </c>
      <c r="C123" t="s">
        <v>3001</v>
      </c>
      <c r="D123" t="s">
        <v>3124</v>
      </c>
    </row>
    <row r="124" spans="1:4" x14ac:dyDescent="0.3">
      <c r="A124" t="s">
        <v>287</v>
      </c>
      <c r="B124" t="s">
        <v>2202</v>
      </c>
      <c r="C124" t="s">
        <v>2994</v>
      </c>
      <c r="D124" t="s">
        <v>3125</v>
      </c>
    </row>
    <row r="125" spans="1:4" x14ac:dyDescent="0.3">
      <c r="A125" t="s">
        <v>290</v>
      </c>
      <c r="B125" t="s">
        <v>2203</v>
      </c>
      <c r="C125" t="s">
        <v>2999</v>
      </c>
      <c r="D125" t="s">
        <v>3126</v>
      </c>
    </row>
    <row r="126" spans="1:4" x14ac:dyDescent="0.3">
      <c r="A126" t="s">
        <v>292</v>
      </c>
      <c r="B126" t="s">
        <v>2203</v>
      </c>
      <c r="C126" t="s">
        <v>3001</v>
      </c>
      <c r="D126" t="s">
        <v>3127</v>
      </c>
    </row>
    <row r="127" spans="1:4" x14ac:dyDescent="0.3">
      <c r="A127" t="s">
        <v>293</v>
      </c>
      <c r="B127" t="s">
        <v>2204</v>
      </c>
      <c r="C127" t="s">
        <v>2999</v>
      </c>
      <c r="D127" t="s">
        <v>3128</v>
      </c>
    </row>
    <row r="128" spans="1:4" x14ac:dyDescent="0.3">
      <c r="A128" t="s">
        <v>295</v>
      </c>
      <c r="B128" t="s">
        <v>2205</v>
      </c>
      <c r="C128" t="s">
        <v>2999</v>
      </c>
      <c r="D128" t="s">
        <v>3129</v>
      </c>
    </row>
    <row r="129" spans="1:4" x14ac:dyDescent="0.3">
      <c r="A129" t="s">
        <v>298</v>
      </c>
      <c r="B129" t="s">
        <v>2205</v>
      </c>
      <c r="C129" t="s">
        <v>3001</v>
      </c>
      <c r="D129" t="s">
        <v>3130</v>
      </c>
    </row>
    <row r="130" spans="1:4" x14ac:dyDescent="0.3">
      <c r="A130" t="s">
        <v>299</v>
      </c>
      <c r="B130" t="s">
        <v>2206</v>
      </c>
      <c r="C130" t="s">
        <v>2999</v>
      </c>
      <c r="D130" t="s">
        <v>3131</v>
      </c>
    </row>
    <row r="131" spans="1:4" x14ac:dyDescent="0.3">
      <c r="A131" t="s">
        <v>302</v>
      </c>
      <c r="B131" t="s">
        <v>2207</v>
      </c>
      <c r="C131" t="s">
        <v>2994</v>
      </c>
      <c r="D131" t="s">
        <v>3132</v>
      </c>
    </row>
    <row r="132" spans="1:4" x14ac:dyDescent="0.3">
      <c r="A132" t="s">
        <v>304</v>
      </c>
      <c r="B132" t="s">
        <v>2208</v>
      </c>
      <c r="C132" t="s">
        <v>2994</v>
      </c>
      <c r="D132" t="s">
        <v>3133</v>
      </c>
    </row>
    <row r="133" spans="1:4" x14ac:dyDescent="0.3">
      <c r="A133" t="s">
        <v>305</v>
      </c>
      <c r="B133" t="s">
        <v>2208</v>
      </c>
      <c r="C133" t="s">
        <v>3001</v>
      </c>
      <c r="D133" t="s">
        <v>3134</v>
      </c>
    </row>
    <row r="134" spans="1:4" x14ac:dyDescent="0.3">
      <c r="A134" t="s">
        <v>306</v>
      </c>
      <c r="B134" t="s">
        <v>2209</v>
      </c>
      <c r="C134" t="s">
        <v>2999</v>
      </c>
      <c r="D134" t="s">
        <v>3135</v>
      </c>
    </row>
    <row r="135" spans="1:4" x14ac:dyDescent="0.3">
      <c r="A135" t="s">
        <v>309</v>
      </c>
      <c r="B135" t="s">
        <v>2210</v>
      </c>
      <c r="C135" t="s">
        <v>2999</v>
      </c>
      <c r="D135" t="s">
        <v>3136</v>
      </c>
    </row>
    <row r="136" spans="1:4" x14ac:dyDescent="0.3">
      <c r="A136" t="s">
        <v>312</v>
      </c>
      <c r="B136" t="s">
        <v>2210</v>
      </c>
      <c r="C136" t="s">
        <v>3001</v>
      </c>
      <c r="D136" t="s">
        <v>3137</v>
      </c>
    </row>
    <row r="137" spans="1:4" x14ac:dyDescent="0.3">
      <c r="A137" t="s">
        <v>313</v>
      </c>
      <c r="B137" t="s">
        <v>2211</v>
      </c>
      <c r="C137" t="s">
        <v>2999</v>
      </c>
      <c r="D137" t="s">
        <v>3138</v>
      </c>
    </row>
    <row r="138" spans="1:4" x14ac:dyDescent="0.3">
      <c r="A138" t="s">
        <v>316</v>
      </c>
      <c r="B138" t="s">
        <v>2212</v>
      </c>
      <c r="C138" t="s">
        <v>3008</v>
      </c>
      <c r="D138" t="s">
        <v>3139</v>
      </c>
    </row>
    <row r="139" spans="1:4" x14ac:dyDescent="0.3">
      <c r="A139" t="s">
        <v>318</v>
      </c>
      <c r="B139" t="s">
        <v>2213</v>
      </c>
      <c r="C139" t="s">
        <v>2994</v>
      </c>
      <c r="D139" t="s">
        <v>3140</v>
      </c>
    </row>
    <row r="140" spans="1:4" x14ac:dyDescent="0.3">
      <c r="A140" t="s">
        <v>321</v>
      </c>
      <c r="B140" t="s">
        <v>2213</v>
      </c>
      <c r="C140" t="s">
        <v>2999</v>
      </c>
      <c r="D140" t="s">
        <v>3141</v>
      </c>
    </row>
    <row r="141" spans="1:4" x14ac:dyDescent="0.3">
      <c r="A141" t="s">
        <v>324</v>
      </c>
      <c r="B141" t="s">
        <v>2213</v>
      </c>
      <c r="C141" t="s">
        <v>3001</v>
      </c>
      <c r="D141" t="s">
        <v>3142</v>
      </c>
    </row>
    <row r="142" spans="1:4" x14ac:dyDescent="0.3">
      <c r="A142" t="s">
        <v>326</v>
      </c>
      <c r="B142" t="s">
        <v>2214</v>
      </c>
      <c r="C142" t="s">
        <v>2999</v>
      </c>
      <c r="D142" t="s">
        <v>3143</v>
      </c>
    </row>
    <row r="143" spans="1:4" x14ac:dyDescent="0.3">
      <c r="A143" t="s">
        <v>329</v>
      </c>
      <c r="B143" t="s">
        <v>2214</v>
      </c>
      <c r="C143" t="s">
        <v>3001</v>
      </c>
      <c r="D143" t="s">
        <v>3144</v>
      </c>
    </row>
    <row r="144" spans="1:4" x14ac:dyDescent="0.3">
      <c r="A144" t="s">
        <v>330</v>
      </c>
      <c r="B144" t="s">
        <v>2215</v>
      </c>
      <c r="C144" t="s">
        <v>2999</v>
      </c>
      <c r="D144" t="s">
        <v>3145</v>
      </c>
    </row>
    <row r="145" spans="1:4" x14ac:dyDescent="0.3">
      <c r="A145" t="s">
        <v>332</v>
      </c>
      <c r="B145" t="s">
        <v>2216</v>
      </c>
      <c r="C145" t="s">
        <v>2999</v>
      </c>
      <c r="D145" t="s">
        <v>3146</v>
      </c>
    </row>
    <row r="146" spans="1:4" x14ac:dyDescent="0.3">
      <c r="A146" t="s">
        <v>334</v>
      </c>
      <c r="B146" t="s">
        <v>2216</v>
      </c>
      <c r="C146" t="s">
        <v>3001</v>
      </c>
      <c r="D146" t="s">
        <v>3147</v>
      </c>
    </row>
    <row r="147" spans="1:4" x14ac:dyDescent="0.3">
      <c r="A147" t="s">
        <v>335</v>
      </c>
      <c r="B147" t="s">
        <v>2217</v>
      </c>
      <c r="C147" t="s">
        <v>2999</v>
      </c>
      <c r="D147" t="s">
        <v>3148</v>
      </c>
    </row>
    <row r="148" spans="1:4" x14ac:dyDescent="0.3">
      <c r="A148" t="s">
        <v>338</v>
      </c>
      <c r="B148" t="s">
        <v>2217</v>
      </c>
      <c r="C148" t="s">
        <v>3001</v>
      </c>
      <c r="D148" t="s">
        <v>3149</v>
      </c>
    </row>
    <row r="149" spans="1:4" x14ac:dyDescent="0.3">
      <c r="A149" t="s">
        <v>339</v>
      </c>
      <c r="B149" t="s">
        <v>2218</v>
      </c>
      <c r="C149" t="s">
        <v>2999</v>
      </c>
      <c r="D149" t="s">
        <v>3150</v>
      </c>
    </row>
    <row r="150" spans="1:4" x14ac:dyDescent="0.3">
      <c r="A150" t="s">
        <v>340</v>
      </c>
      <c r="B150" t="s">
        <v>2219</v>
      </c>
      <c r="C150" t="s">
        <v>2999</v>
      </c>
      <c r="D150" t="s">
        <v>3151</v>
      </c>
    </row>
    <row r="151" spans="1:4" x14ac:dyDescent="0.3">
      <c r="A151" t="s">
        <v>342</v>
      </c>
      <c r="B151" t="s">
        <v>2219</v>
      </c>
      <c r="C151" t="s">
        <v>3001</v>
      </c>
      <c r="D151" t="s">
        <v>3152</v>
      </c>
    </row>
    <row r="152" spans="1:4" x14ac:dyDescent="0.3">
      <c r="A152" t="s">
        <v>343</v>
      </c>
      <c r="B152" t="s">
        <v>2220</v>
      </c>
      <c r="C152" t="s">
        <v>2999</v>
      </c>
      <c r="D152" t="s">
        <v>3153</v>
      </c>
    </row>
    <row r="153" spans="1:4" x14ac:dyDescent="0.3">
      <c r="A153" t="s">
        <v>345</v>
      </c>
      <c r="B153" t="s">
        <v>2221</v>
      </c>
      <c r="C153" t="s">
        <v>2999</v>
      </c>
      <c r="D153" t="s">
        <v>3154</v>
      </c>
    </row>
    <row r="154" spans="1:4" x14ac:dyDescent="0.3">
      <c r="A154" t="s">
        <v>347</v>
      </c>
      <c r="B154" t="s">
        <v>2222</v>
      </c>
      <c r="C154" t="s">
        <v>2999</v>
      </c>
      <c r="D154" t="s">
        <v>3155</v>
      </c>
    </row>
    <row r="155" spans="1:4" x14ac:dyDescent="0.3">
      <c r="A155" t="s">
        <v>350</v>
      </c>
      <c r="B155" t="s">
        <v>2223</v>
      </c>
      <c r="C155" t="s">
        <v>2994</v>
      </c>
      <c r="D155" t="s">
        <v>3156</v>
      </c>
    </row>
    <row r="156" spans="1:4" x14ac:dyDescent="0.3">
      <c r="A156" t="s">
        <v>351</v>
      </c>
      <c r="B156" t="s">
        <v>2223</v>
      </c>
      <c r="C156" t="s">
        <v>2999</v>
      </c>
      <c r="D156" t="s">
        <v>3157</v>
      </c>
    </row>
    <row r="157" spans="1:4" x14ac:dyDescent="0.3">
      <c r="A157" t="s">
        <v>353</v>
      </c>
      <c r="B157" t="s">
        <v>2223</v>
      </c>
      <c r="C157" t="s">
        <v>3001</v>
      </c>
      <c r="D157" t="s">
        <v>3158</v>
      </c>
    </row>
    <row r="158" spans="1:4" x14ac:dyDescent="0.3">
      <c r="A158" t="s">
        <v>354</v>
      </c>
      <c r="B158" t="s">
        <v>2224</v>
      </c>
      <c r="C158" t="s">
        <v>2999</v>
      </c>
      <c r="D158" t="s">
        <v>3159</v>
      </c>
    </row>
    <row r="159" spans="1:4" x14ac:dyDescent="0.3">
      <c r="A159" t="s">
        <v>357</v>
      </c>
      <c r="B159" t="s">
        <v>2225</v>
      </c>
      <c r="C159" t="s">
        <v>2999</v>
      </c>
      <c r="D159" t="s">
        <v>3160</v>
      </c>
    </row>
    <row r="160" spans="1:4" x14ac:dyDescent="0.3">
      <c r="A160" t="s">
        <v>360</v>
      </c>
      <c r="B160" t="s">
        <v>2226</v>
      </c>
      <c r="C160" t="s">
        <v>2999</v>
      </c>
      <c r="D160" t="s">
        <v>3161</v>
      </c>
    </row>
    <row r="161" spans="1:4" x14ac:dyDescent="0.3">
      <c r="A161" t="s">
        <v>363</v>
      </c>
      <c r="B161" t="s">
        <v>2227</v>
      </c>
      <c r="C161" t="s">
        <v>2994</v>
      </c>
      <c r="D161" t="s">
        <v>3162</v>
      </c>
    </row>
    <row r="162" spans="1:4" x14ac:dyDescent="0.3">
      <c r="A162" t="s">
        <v>366</v>
      </c>
      <c r="B162" t="s">
        <v>2227</v>
      </c>
      <c r="C162" t="s">
        <v>3001</v>
      </c>
      <c r="D162" t="s">
        <v>3163</v>
      </c>
    </row>
    <row r="163" spans="1:4" x14ac:dyDescent="0.3">
      <c r="A163" t="s">
        <v>367</v>
      </c>
      <c r="B163" t="s">
        <v>2228</v>
      </c>
      <c r="C163" t="s">
        <v>3001</v>
      </c>
      <c r="D163" t="s">
        <v>3164</v>
      </c>
    </row>
    <row r="164" spans="1:4" x14ac:dyDescent="0.3">
      <c r="A164" t="s">
        <v>369</v>
      </c>
      <c r="B164" t="s">
        <v>2229</v>
      </c>
      <c r="C164" t="s">
        <v>2999</v>
      </c>
      <c r="D164" t="s">
        <v>3165</v>
      </c>
    </row>
    <row r="165" spans="1:4" x14ac:dyDescent="0.3">
      <c r="A165" t="s">
        <v>370</v>
      </c>
      <c r="B165" t="s">
        <v>2229</v>
      </c>
      <c r="C165" t="s">
        <v>3001</v>
      </c>
      <c r="D165" t="s">
        <v>3166</v>
      </c>
    </row>
    <row r="166" spans="1:4" x14ac:dyDescent="0.3">
      <c r="A166" t="s">
        <v>371</v>
      </c>
      <c r="B166" t="s">
        <v>2230</v>
      </c>
      <c r="C166" t="s">
        <v>2999</v>
      </c>
      <c r="D166" t="s">
        <v>3167</v>
      </c>
    </row>
    <row r="167" spans="1:4" x14ac:dyDescent="0.3">
      <c r="A167" t="s">
        <v>373</v>
      </c>
      <c r="B167" t="s">
        <v>2231</v>
      </c>
      <c r="C167" t="s">
        <v>2999</v>
      </c>
      <c r="D167" t="s">
        <v>3168</v>
      </c>
    </row>
    <row r="168" spans="1:4" x14ac:dyDescent="0.3">
      <c r="A168" t="s">
        <v>376</v>
      </c>
      <c r="B168" t="s">
        <v>2231</v>
      </c>
      <c r="C168" t="s">
        <v>2999</v>
      </c>
      <c r="D168" t="s">
        <v>3169</v>
      </c>
    </row>
    <row r="169" spans="1:4" x14ac:dyDescent="0.3">
      <c r="A169" t="s">
        <v>378</v>
      </c>
      <c r="B169" t="s">
        <v>2231</v>
      </c>
      <c r="C169" t="s">
        <v>3001</v>
      </c>
      <c r="D169" t="s">
        <v>3170</v>
      </c>
    </row>
    <row r="170" spans="1:4" x14ac:dyDescent="0.3">
      <c r="A170" t="s">
        <v>379</v>
      </c>
      <c r="B170" t="s">
        <v>2232</v>
      </c>
      <c r="C170" t="s">
        <v>2994</v>
      </c>
      <c r="D170" t="s">
        <v>3171</v>
      </c>
    </row>
    <row r="171" spans="1:4" x14ac:dyDescent="0.3">
      <c r="A171" t="s">
        <v>381</v>
      </c>
      <c r="B171" t="s">
        <v>2233</v>
      </c>
      <c r="C171" t="s">
        <v>2994</v>
      </c>
      <c r="D171" t="s">
        <v>3172</v>
      </c>
    </row>
    <row r="172" spans="1:4" x14ac:dyDescent="0.3">
      <c r="A172" t="s">
        <v>385</v>
      </c>
      <c r="B172" t="s">
        <v>2234</v>
      </c>
      <c r="C172" t="s">
        <v>2999</v>
      </c>
      <c r="D172" t="s">
        <v>3173</v>
      </c>
    </row>
    <row r="173" spans="1:4" x14ac:dyDescent="0.3">
      <c r="A173" t="s">
        <v>388</v>
      </c>
      <c r="B173" t="s">
        <v>2235</v>
      </c>
      <c r="C173" t="s">
        <v>2999</v>
      </c>
      <c r="D173" t="s">
        <v>3174</v>
      </c>
    </row>
    <row r="174" spans="1:4" x14ac:dyDescent="0.3">
      <c r="A174" t="s">
        <v>390</v>
      </c>
      <c r="B174" t="s">
        <v>2236</v>
      </c>
      <c r="C174" t="s">
        <v>2999</v>
      </c>
      <c r="D174" t="s">
        <v>3175</v>
      </c>
    </row>
    <row r="175" spans="1:4" x14ac:dyDescent="0.3">
      <c r="A175" t="s">
        <v>393</v>
      </c>
      <c r="B175" t="s">
        <v>2237</v>
      </c>
      <c r="C175" t="s">
        <v>2999</v>
      </c>
      <c r="D175" t="s">
        <v>3176</v>
      </c>
    </row>
    <row r="176" spans="1:4" x14ac:dyDescent="0.3">
      <c r="A176" t="s">
        <v>395</v>
      </c>
      <c r="B176" t="s">
        <v>2238</v>
      </c>
      <c r="C176" t="s">
        <v>2999</v>
      </c>
      <c r="D176" t="s">
        <v>3177</v>
      </c>
    </row>
    <row r="177" spans="1:4" x14ac:dyDescent="0.3">
      <c r="A177" t="s">
        <v>398</v>
      </c>
      <c r="B177" t="s">
        <v>2239</v>
      </c>
      <c r="C177" t="s">
        <v>2999</v>
      </c>
      <c r="D177" t="s">
        <v>3178</v>
      </c>
    </row>
    <row r="178" spans="1:4" x14ac:dyDescent="0.3">
      <c r="A178" t="s">
        <v>401</v>
      </c>
      <c r="B178" t="s">
        <v>2239</v>
      </c>
      <c r="C178" t="s">
        <v>3001</v>
      </c>
      <c r="D178" t="s">
        <v>3179</v>
      </c>
    </row>
    <row r="179" spans="1:4" x14ac:dyDescent="0.3">
      <c r="A179" t="s">
        <v>402</v>
      </c>
      <c r="B179" t="s">
        <v>2240</v>
      </c>
      <c r="C179" t="s">
        <v>2999</v>
      </c>
      <c r="D179" t="s">
        <v>3180</v>
      </c>
    </row>
    <row r="180" spans="1:4" x14ac:dyDescent="0.3">
      <c r="A180" t="s">
        <v>405</v>
      </c>
      <c r="B180" t="s">
        <v>2240</v>
      </c>
      <c r="C180" t="s">
        <v>3001</v>
      </c>
      <c r="D180" t="s">
        <v>3181</v>
      </c>
    </row>
    <row r="181" spans="1:4" x14ac:dyDescent="0.3">
      <c r="A181" t="s">
        <v>406</v>
      </c>
      <c r="B181" t="s">
        <v>2241</v>
      </c>
      <c r="C181" t="s">
        <v>2999</v>
      </c>
      <c r="D181" t="s">
        <v>3182</v>
      </c>
    </row>
    <row r="182" spans="1:4" x14ac:dyDescent="0.3">
      <c r="A182" t="s">
        <v>409</v>
      </c>
      <c r="B182" t="s">
        <v>2242</v>
      </c>
      <c r="C182" t="s">
        <v>2994</v>
      </c>
      <c r="D182" t="s">
        <v>3183</v>
      </c>
    </row>
    <row r="183" spans="1:4" x14ac:dyDescent="0.3">
      <c r="A183" t="s">
        <v>410</v>
      </c>
      <c r="B183" t="s">
        <v>2243</v>
      </c>
      <c r="C183" t="s">
        <v>3040</v>
      </c>
      <c r="D183" t="s">
        <v>3184</v>
      </c>
    </row>
    <row r="184" spans="1:4" x14ac:dyDescent="0.3">
      <c r="A184" t="s">
        <v>412</v>
      </c>
      <c r="B184" t="s">
        <v>2244</v>
      </c>
      <c r="C184" t="s">
        <v>2994</v>
      </c>
      <c r="D184" t="s">
        <v>3185</v>
      </c>
    </row>
    <row r="185" spans="1:4" x14ac:dyDescent="0.3">
      <c r="A185" t="s">
        <v>413</v>
      </c>
      <c r="B185" t="s">
        <v>2245</v>
      </c>
      <c r="C185" t="s">
        <v>2999</v>
      </c>
      <c r="D185" t="s">
        <v>3186</v>
      </c>
    </row>
    <row r="186" spans="1:4" x14ac:dyDescent="0.3">
      <c r="A186" t="s">
        <v>415</v>
      </c>
      <c r="B186" t="s">
        <v>2246</v>
      </c>
      <c r="C186" t="s">
        <v>2999</v>
      </c>
      <c r="D186" t="s">
        <v>3187</v>
      </c>
    </row>
    <row r="187" spans="1:4" x14ac:dyDescent="0.3">
      <c r="A187" t="s">
        <v>417</v>
      </c>
      <c r="B187" t="s">
        <v>2247</v>
      </c>
      <c r="C187" t="s">
        <v>2999</v>
      </c>
      <c r="D187" t="s">
        <v>3188</v>
      </c>
    </row>
    <row r="188" spans="1:4" x14ac:dyDescent="0.3">
      <c r="A188" t="s">
        <v>419</v>
      </c>
      <c r="B188" t="s">
        <v>2248</v>
      </c>
      <c r="C188" t="s">
        <v>3001</v>
      </c>
      <c r="D188" t="s">
        <v>3189</v>
      </c>
    </row>
    <row r="189" spans="1:4" x14ac:dyDescent="0.3">
      <c r="A189" t="s">
        <v>420</v>
      </c>
      <c r="B189" t="s">
        <v>2249</v>
      </c>
      <c r="C189" t="s">
        <v>2994</v>
      </c>
      <c r="D189" t="s">
        <v>3190</v>
      </c>
    </row>
    <row r="190" spans="1:4" x14ac:dyDescent="0.3">
      <c r="A190" t="s">
        <v>423</v>
      </c>
      <c r="B190" t="s">
        <v>2249</v>
      </c>
      <c r="C190" t="s">
        <v>3001</v>
      </c>
      <c r="D190" t="s">
        <v>3191</v>
      </c>
    </row>
    <row r="191" spans="1:4" x14ac:dyDescent="0.3">
      <c r="A191" t="s">
        <v>424</v>
      </c>
      <c r="B191" t="s">
        <v>2250</v>
      </c>
      <c r="C191" t="s">
        <v>2999</v>
      </c>
      <c r="D191" t="s">
        <v>3192</v>
      </c>
    </row>
    <row r="192" spans="1:4" x14ac:dyDescent="0.3">
      <c r="A192" t="s">
        <v>427</v>
      </c>
      <c r="B192" t="s">
        <v>2251</v>
      </c>
      <c r="C192" t="s">
        <v>2994</v>
      </c>
      <c r="D192" t="s">
        <v>3193</v>
      </c>
    </row>
    <row r="193" spans="1:4" x14ac:dyDescent="0.3">
      <c r="A193" t="s">
        <v>429</v>
      </c>
      <c r="B193" t="s">
        <v>2252</v>
      </c>
      <c r="C193" t="s">
        <v>2999</v>
      </c>
      <c r="D193" t="s">
        <v>3194</v>
      </c>
    </row>
    <row r="194" spans="1:4" x14ac:dyDescent="0.3">
      <c r="A194" t="s">
        <v>431</v>
      </c>
      <c r="B194" t="s">
        <v>2253</v>
      </c>
      <c r="C194" t="s">
        <v>2994</v>
      </c>
      <c r="D194" t="s">
        <v>3195</v>
      </c>
    </row>
    <row r="195" spans="1:4" x14ac:dyDescent="0.3">
      <c r="A195" t="s">
        <v>434</v>
      </c>
      <c r="B195" t="s">
        <v>2254</v>
      </c>
      <c r="C195" t="s">
        <v>2994</v>
      </c>
      <c r="D195" t="s">
        <v>3196</v>
      </c>
    </row>
    <row r="196" spans="1:4" x14ac:dyDescent="0.3">
      <c r="A196" t="s">
        <v>435</v>
      </c>
      <c r="B196" t="s">
        <v>2255</v>
      </c>
      <c r="C196" t="s">
        <v>2999</v>
      </c>
      <c r="D196" t="s">
        <v>3197</v>
      </c>
    </row>
    <row r="197" spans="1:4" x14ac:dyDescent="0.3">
      <c r="A197" t="s">
        <v>438</v>
      </c>
      <c r="B197" t="s">
        <v>2256</v>
      </c>
      <c r="C197" t="s">
        <v>2994</v>
      </c>
      <c r="D197" t="s">
        <v>3198</v>
      </c>
    </row>
    <row r="198" spans="1:4" x14ac:dyDescent="0.3">
      <c r="A198" t="s">
        <v>440</v>
      </c>
      <c r="B198" t="s">
        <v>2257</v>
      </c>
      <c r="C198" t="s">
        <v>2999</v>
      </c>
      <c r="D198" t="s">
        <v>3199</v>
      </c>
    </row>
    <row r="199" spans="1:4" x14ac:dyDescent="0.3">
      <c r="A199" t="s">
        <v>442</v>
      </c>
      <c r="B199" t="s">
        <v>2258</v>
      </c>
      <c r="C199" t="s">
        <v>2999</v>
      </c>
      <c r="D199" t="s">
        <v>3200</v>
      </c>
    </row>
    <row r="200" spans="1:4" x14ac:dyDescent="0.3">
      <c r="A200" t="s">
        <v>444</v>
      </c>
      <c r="B200" t="s">
        <v>2258</v>
      </c>
      <c r="C200" t="s">
        <v>3001</v>
      </c>
      <c r="D200" t="s">
        <v>3201</v>
      </c>
    </row>
    <row r="201" spans="1:4" x14ac:dyDescent="0.3">
      <c r="A201" t="s">
        <v>445</v>
      </c>
      <c r="B201" t="s">
        <v>2259</v>
      </c>
      <c r="C201" t="s">
        <v>3202</v>
      </c>
      <c r="D201" t="s">
        <v>3203</v>
      </c>
    </row>
    <row r="202" spans="1:4" x14ac:dyDescent="0.3">
      <c r="A202" t="s">
        <v>449</v>
      </c>
      <c r="B202" t="s">
        <v>2260</v>
      </c>
      <c r="C202" t="s">
        <v>2999</v>
      </c>
      <c r="D202" t="s">
        <v>3204</v>
      </c>
    </row>
    <row r="203" spans="1:4" x14ac:dyDescent="0.3">
      <c r="A203" t="s">
        <v>451</v>
      </c>
      <c r="B203" t="s">
        <v>2261</v>
      </c>
      <c r="C203" t="s">
        <v>2999</v>
      </c>
      <c r="D203" t="s">
        <v>3205</v>
      </c>
    </row>
    <row r="204" spans="1:4" x14ac:dyDescent="0.3">
      <c r="A204" t="s">
        <v>453</v>
      </c>
      <c r="B204" t="s">
        <v>2262</v>
      </c>
      <c r="C204" t="s">
        <v>2999</v>
      </c>
      <c r="D204" t="s">
        <v>3206</v>
      </c>
    </row>
    <row r="205" spans="1:4" x14ac:dyDescent="0.3">
      <c r="A205" t="s">
        <v>455</v>
      </c>
      <c r="B205" t="s">
        <v>2263</v>
      </c>
      <c r="C205" t="s">
        <v>2999</v>
      </c>
      <c r="D205" t="s">
        <v>3207</v>
      </c>
    </row>
    <row r="206" spans="1:4" x14ac:dyDescent="0.3">
      <c r="A206" t="s">
        <v>457</v>
      </c>
      <c r="B206" t="s">
        <v>2263</v>
      </c>
      <c r="C206" t="s">
        <v>3001</v>
      </c>
      <c r="D206" t="s">
        <v>3208</v>
      </c>
    </row>
    <row r="207" spans="1:4" x14ac:dyDescent="0.3">
      <c r="A207" t="s">
        <v>458</v>
      </c>
      <c r="B207" t="s">
        <v>2264</v>
      </c>
      <c r="C207" t="s">
        <v>2999</v>
      </c>
      <c r="D207" t="s">
        <v>3209</v>
      </c>
    </row>
    <row r="208" spans="1:4" x14ac:dyDescent="0.3">
      <c r="A208" t="s">
        <v>461</v>
      </c>
      <c r="B208" t="s">
        <v>2265</v>
      </c>
      <c r="C208" t="s">
        <v>3040</v>
      </c>
      <c r="D208" t="s">
        <v>3161</v>
      </c>
    </row>
    <row r="209" spans="1:4" x14ac:dyDescent="0.3">
      <c r="A209" t="s">
        <v>465</v>
      </c>
      <c r="B209" t="s">
        <v>2265</v>
      </c>
      <c r="C209" t="s">
        <v>2994</v>
      </c>
      <c r="D209" t="s">
        <v>3210</v>
      </c>
    </row>
    <row r="210" spans="1:4" x14ac:dyDescent="0.3">
      <c r="A210" t="s">
        <v>467</v>
      </c>
      <c r="B210" t="s">
        <v>2265</v>
      </c>
      <c r="C210" t="s">
        <v>3001</v>
      </c>
      <c r="D210" t="s">
        <v>3211</v>
      </c>
    </row>
    <row r="211" spans="1:4" x14ac:dyDescent="0.3">
      <c r="A211" t="s">
        <v>468</v>
      </c>
      <c r="B211" t="s">
        <v>2266</v>
      </c>
      <c r="C211" t="s">
        <v>2999</v>
      </c>
      <c r="D211" t="s">
        <v>3212</v>
      </c>
    </row>
    <row r="212" spans="1:4" x14ac:dyDescent="0.3">
      <c r="A212" t="s">
        <v>469</v>
      </c>
      <c r="B212" t="s">
        <v>2267</v>
      </c>
      <c r="C212" t="s">
        <v>2999</v>
      </c>
      <c r="D212" t="s">
        <v>3213</v>
      </c>
    </row>
    <row r="213" spans="1:4" x14ac:dyDescent="0.3">
      <c r="A213" t="s">
        <v>471</v>
      </c>
      <c r="B213" t="s">
        <v>2268</v>
      </c>
      <c r="C213" t="s">
        <v>2999</v>
      </c>
      <c r="D213" t="s">
        <v>3214</v>
      </c>
    </row>
    <row r="214" spans="1:4" x14ac:dyDescent="0.3">
      <c r="A214" t="s">
        <v>472</v>
      </c>
      <c r="B214" t="s">
        <v>2269</v>
      </c>
      <c r="C214" t="s">
        <v>2999</v>
      </c>
      <c r="D214" t="s">
        <v>3150</v>
      </c>
    </row>
    <row r="215" spans="1:4" x14ac:dyDescent="0.3">
      <c r="A215" t="s">
        <v>475</v>
      </c>
      <c r="B215" t="s">
        <v>2270</v>
      </c>
      <c r="C215" t="s">
        <v>2994</v>
      </c>
      <c r="D215" t="s">
        <v>3215</v>
      </c>
    </row>
    <row r="216" spans="1:4" x14ac:dyDescent="0.3">
      <c r="A216" t="s">
        <v>478</v>
      </c>
      <c r="B216" t="s">
        <v>2270</v>
      </c>
      <c r="C216" t="s">
        <v>2994</v>
      </c>
      <c r="D216" t="s">
        <v>3216</v>
      </c>
    </row>
    <row r="217" spans="1:4" x14ac:dyDescent="0.3">
      <c r="A217" t="s">
        <v>479</v>
      </c>
      <c r="B217" t="s">
        <v>2270</v>
      </c>
      <c r="C217" t="s">
        <v>2999</v>
      </c>
      <c r="D217" t="s">
        <v>3217</v>
      </c>
    </row>
    <row r="218" spans="1:4" x14ac:dyDescent="0.3">
      <c r="A218" t="s">
        <v>481</v>
      </c>
      <c r="B218" t="s">
        <v>2271</v>
      </c>
      <c r="C218" t="s">
        <v>2994</v>
      </c>
      <c r="D218" t="s">
        <v>3218</v>
      </c>
    </row>
    <row r="219" spans="1:4" x14ac:dyDescent="0.3">
      <c r="A219" t="s">
        <v>483</v>
      </c>
      <c r="B219" t="s">
        <v>2272</v>
      </c>
      <c r="C219" t="s">
        <v>2999</v>
      </c>
      <c r="D219" t="s">
        <v>3219</v>
      </c>
    </row>
    <row r="220" spans="1:4" x14ac:dyDescent="0.3">
      <c r="A220" t="s">
        <v>485</v>
      </c>
      <c r="B220" t="s">
        <v>2273</v>
      </c>
      <c r="C220" t="s">
        <v>3220</v>
      </c>
      <c r="D220" t="s">
        <v>3221</v>
      </c>
    </row>
    <row r="221" spans="1:4" x14ac:dyDescent="0.3">
      <c r="A221" t="s">
        <v>488</v>
      </c>
      <c r="B221" t="s">
        <v>2274</v>
      </c>
      <c r="C221" t="s">
        <v>2999</v>
      </c>
      <c r="D221" t="s">
        <v>3222</v>
      </c>
    </row>
    <row r="222" spans="1:4" x14ac:dyDescent="0.3">
      <c r="A222" t="s">
        <v>490</v>
      </c>
      <c r="B222" t="s">
        <v>2275</v>
      </c>
      <c r="C222" t="s">
        <v>2994</v>
      </c>
      <c r="D222" t="s">
        <v>3223</v>
      </c>
    </row>
    <row r="223" spans="1:4" x14ac:dyDescent="0.3">
      <c r="A223" t="s">
        <v>493</v>
      </c>
      <c r="B223" t="s">
        <v>2275</v>
      </c>
      <c r="C223" t="s">
        <v>2999</v>
      </c>
      <c r="D223" t="s">
        <v>3224</v>
      </c>
    </row>
    <row r="224" spans="1:4" x14ac:dyDescent="0.3">
      <c r="A224" t="s">
        <v>495</v>
      </c>
      <c r="B224" t="s">
        <v>2276</v>
      </c>
      <c r="C224" t="s">
        <v>2999</v>
      </c>
      <c r="D224" t="s">
        <v>3225</v>
      </c>
    </row>
    <row r="225" spans="1:4" x14ac:dyDescent="0.3">
      <c r="A225" t="s">
        <v>499</v>
      </c>
      <c r="B225" t="s">
        <v>2277</v>
      </c>
      <c r="C225" t="s">
        <v>2999</v>
      </c>
      <c r="D225" t="s">
        <v>3226</v>
      </c>
    </row>
    <row r="226" spans="1:4" x14ac:dyDescent="0.3">
      <c r="A226" t="s">
        <v>501</v>
      </c>
      <c r="B226" t="s">
        <v>2278</v>
      </c>
      <c r="C226" t="s">
        <v>2999</v>
      </c>
      <c r="D226" t="s">
        <v>3227</v>
      </c>
    </row>
    <row r="227" spans="1:4" x14ac:dyDescent="0.3">
      <c r="A227" t="s">
        <v>503</v>
      </c>
      <c r="B227" t="s">
        <v>2279</v>
      </c>
      <c r="C227" t="s">
        <v>2999</v>
      </c>
      <c r="D227" t="s">
        <v>3228</v>
      </c>
    </row>
    <row r="228" spans="1:4" x14ac:dyDescent="0.3">
      <c r="A228" t="s">
        <v>505</v>
      </c>
      <c r="B228" t="s">
        <v>2280</v>
      </c>
      <c r="C228" t="s">
        <v>2999</v>
      </c>
      <c r="D228" t="s">
        <v>3229</v>
      </c>
    </row>
    <row r="229" spans="1:4" x14ac:dyDescent="0.3">
      <c r="A229" t="s">
        <v>508</v>
      </c>
      <c r="B229" t="s">
        <v>2280</v>
      </c>
      <c r="C229" t="s">
        <v>3001</v>
      </c>
      <c r="D229" t="s">
        <v>3230</v>
      </c>
    </row>
    <row r="230" spans="1:4" x14ac:dyDescent="0.3">
      <c r="A230" t="s">
        <v>509</v>
      </c>
      <c r="B230" t="s">
        <v>2281</v>
      </c>
      <c r="C230" t="s">
        <v>2999</v>
      </c>
      <c r="D230" t="s">
        <v>3231</v>
      </c>
    </row>
    <row r="231" spans="1:4" x14ac:dyDescent="0.3">
      <c r="A231" t="s">
        <v>512</v>
      </c>
      <c r="B231" t="s">
        <v>2281</v>
      </c>
      <c r="C231" t="s">
        <v>3001</v>
      </c>
      <c r="D231" t="s">
        <v>3232</v>
      </c>
    </row>
    <row r="232" spans="1:4" x14ac:dyDescent="0.3">
      <c r="A232" t="s">
        <v>513</v>
      </c>
      <c r="B232" t="s">
        <v>2282</v>
      </c>
      <c r="C232" t="s">
        <v>2994</v>
      </c>
      <c r="D232" t="s">
        <v>3233</v>
      </c>
    </row>
    <row r="233" spans="1:4" x14ac:dyDescent="0.3">
      <c r="A233" t="s">
        <v>515</v>
      </c>
      <c r="B233" t="s">
        <v>2283</v>
      </c>
      <c r="C233" t="s">
        <v>3046</v>
      </c>
      <c r="D233" t="s">
        <v>3234</v>
      </c>
    </row>
    <row r="234" spans="1:4" x14ac:dyDescent="0.3">
      <c r="A234" t="s">
        <v>518</v>
      </c>
      <c r="B234" t="s">
        <v>2284</v>
      </c>
      <c r="C234" t="s">
        <v>2999</v>
      </c>
      <c r="D234" t="s">
        <v>3235</v>
      </c>
    </row>
    <row r="235" spans="1:4" x14ac:dyDescent="0.3">
      <c r="A235" t="s">
        <v>521</v>
      </c>
      <c r="B235" t="s">
        <v>2285</v>
      </c>
      <c r="C235" t="s">
        <v>3001</v>
      </c>
      <c r="D235" t="s">
        <v>3236</v>
      </c>
    </row>
    <row r="236" spans="1:4" x14ac:dyDescent="0.3">
      <c r="A236" t="s">
        <v>523</v>
      </c>
      <c r="B236" t="s">
        <v>2286</v>
      </c>
      <c r="C236" t="s">
        <v>3237</v>
      </c>
      <c r="D236" t="s">
        <v>3238</v>
      </c>
    </row>
    <row r="237" spans="1:4" x14ac:dyDescent="0.3">
      <c r="A237" t="s">
        <v>525</v>
      </c>
      <c r="B237" t="s">
        <v>2287</v>
      </c>
      <c r="C237" t="s">
        <v>2999</v>
      </c>
      <c r="D237" t="s">
        <v>3239</v>
      </c>
    </row>
    <row r="238" spans="1:4" x14ac:dyDescent="0.3">
      <c r="A238" t="s">
        <v>528</v>
      </c>
      <c r="B238" t="s">
        <v>2288</v>
      </c>
      <c r="C238" t="s">
        <v>2999</v>
      </c>
      <c r="D238" t="s">
        <v>3240</v>
      </c>
    </row>
    <row r="239" spans="1:4" x14ac:dyDescent="0.3">
      <c r="A239" t="s">
        <v>529</v>
      </c>
      <c r="B239" t="s">
        <v>2289</v>
      </c>
      <c r="C239" t="s">
        <v>2999</v>
      </c>
      <c r="D239" t="s">
        <v>3135</v>
      </c>
    </row>
    <row r="240" spans="1:4" x14ac:dyDescent="0.3">
      <c r="A240" t="s">
        <v>530</v>
      </c>
      <c r="B240" t="s">
        <v>2290</v>
      </c>
      <c r="C240" t="s">
        <v>3001</v>
      </c>
      <c r="D240" t="s">
        <v>3241</v>
      </c>
    </row>
    <row r="241" spans="1:5" x14ac:dyDescent="0.3">
      <c r="A241" t="s">
        <v>532</v>
      </c>
      <c r="B241" t="s">
        <v>2291</v>
      </c>
      <c r="C241" t="s">
        <v>2999</v>
      </c>
      <c r="D241" t="s">
        <v>3242</v>
      </c>
    </row>
    <row r="242" spans="1:5" x14ac:dyDescent="0.3">
      <c r="A242" t="s">
        <v>535</v>
      </c>
      <c r="B242" t="s">
        <v>2292</v>
      </c>
      <c r="C242" t="s">
        <v>2999</v>
      </c>
      <c r="D242" t="s">
        <v>3243</v>
      </c>
    </row>
    <row r="243" spans="1:5" x14ac:dyDescent="0.3">
      <c r="A243" t="s">
        <v>536</v>
      </c>
      <c r="B243" t="s">
        <v>2293</v>
      </c>
      <c r="C243" t="s">
        <v>2999</v>
      </c>
      <c r="D243" t="s">
        <v>3244</v>
      </c>
    </row>
    <row r="244" spans="1:5" x14ac:dyDescent="0.3">
      <c r="A244" t="s">
        <v>539</v>
      </c>
      <c r="B244" t="s">
        <v>2294</v>
      </c>
      <c r="C244" t="s">
        <v>2994</v>
      </c>
      <c r="D244" t="s">
        <v>3245</v>
      </c>
    </row>
    <row r="245" spans="1:5" x14ac:dyDescent="0.3">
      <c r="A245" t="s">
        <v>542</v>
      </c>
      <c r="B245" t="s">
        <v>2295</v>
      </c>
      <c r="C245" t="s">
        <v>2999</v>
      </c>
      <c r="D245" t="s">
        <v>3246</v>
      </c>
    </row>
    <row r="246" spans="1:5" x14ac:dyDescent="0.3">
      <c r="A246" t="s">
        <v>544</v>
      </c>
      <c r="B246" t="s">
        <v>2296</v>
      </c>
      <c r="C246" t="s">
        <v>2999</v>
      </c>
      <c r="D246" t="s">
        <v>3247</v>
      </c>
    </row>
    <row r="247" spans="1:5" x14ac:dyDescent="0.3">
      <c r="A247" t="s">
        <v>546</v>
      </c>
      <c r="B247" t="s">
        <v>2297</v>
      </c>
      <c r="C247" t="s">
        <v>3248</v>
      </c>
      <c r="D247" t="s">
        <v>3249</v>
      </c>
    </row>
    <row r="248" spans="1:5" x14ac:dyDescent="0.3">
      <c r="A248" t="s">
        <v>548</v>
      </c>
      <c r="B248" t="s">
        <v>2298</v>
      </c>
      <c r="C248" t="s">
        <v>2999</v>
      </c>
      <c r="D248" t="s">
        <v>3250</v>
      </c>
    </row>
    <row r="249" spans="1:5" x14ac:dyDescent="0.3">
      <c r="A249" t="s">
        <v>550</v>
      </c>
      <c r="B249" t="s">
        <v>2298</v>
      </c>
      <c r="C249" t="s">
        <v>3001</v>
      </c>
      <c r="D249" t="s">
        <v>3251</v>
      </c>
      <c r="E249" t="s">
        <v>3252</v>
      </c>
    </row>
    <row r="250" spans="1:5" x14ac:dyDescent="0.3">
      <c r="A250" t="s">
        <v>551</v>
      </c>
      <c r="B250" t="s">
        <v>2299</v>
      </c>
      <c r="C250" t="s">
        <v>2999</v>
      </c>
      <c r="D250" t="s">
        <v>3253</v>
      </c>
    </row>
    <row r="251" spans="1:5" x14ac:dyDescent="0.3">
      <c r="A251" t="s">
        <v>552</v>
      </c>
      <c r="B251" t="s">
        <v>2300</v>
      </c>
      <c r="C251" t="s">
        <v>2996</v>
      </c>
      <c r="D251" t="s">
        <v>3254</v>
      </c>
    </row>
    <row r="252" spans="1:5" x14ac:dyDescent="0.3">
      <c r="A252" t="s">
        <v>555</v>
      </c>
      <c r="B252" t="s">
        <v>2300</v>
      </c>
      <c r="C252" t="s">
        <v>2994</v>
      </c>
      <c r="D252" t="s">
        <v>3255</v>
      </c>
    </row>
    <row r="253" spans="1:5" x14ac:dyDescent="0.3">
      <c r="A253" t="s">
        <v>556</v>
      </c>
      <c r="B253" t="s">
        <v>2300</v>
      </c>
      <c r="C253" t="s">
        <v>2994</v>
      </c>
      <c r="D253" t="s">
        <v>3256</v>
      </c>
    </row>
    <row r="254" spans="1:5" x14ac:dyDescent="0.3">
      <c r="A254" t="s">
        <v>557</v>
      </c>
      <c r="B254" t="s">
        <v>2300</v>
      </c>
      <c r="C254" t="s">
        <v>2999</v>
      </c>
      <c r="D254" t="s">
        <v>3257</v>
      </c>
    </row>
    <row r="255" spans="1:5" x14ac:dyDescent="0.3">
      <c r="A255" t="s">
        <v>558</v>
      </c>
      <c r="B255" t="s">
        <v>2300</v>
      </c>
      <c r="C255" t="s">
        <v>3001</v>
      </c>
      <c r="D255" t="s">
        <v>3258</v>
      </c>
    </row>
    <row r="256" spans="1:5" x14ac:dyDescent="0.3">
      <c r="A256" t="s">
        <v>559</v>
      </c>
      <c r="B256" t="s">
        <v>2301</v>
      </c>
      <c r="C256" t="s">
        <v>2999</v>
      </c>
      <c r="D256" t="s">
        <v>3259</v>
      </c>
    </row>
    <row r="257" spans="1:4" x14ac:dyDescent="0.3">
      <c r="A257" t="s">
        <v>561</v>
      </c>
      <c r="B257" t="s">
        <v>2302</v>
      </c>
      <c r="C257" t="s">
        <v>3202</v>
      </c>
      <c r="D257" t="s">
        <v>3260</v>
      </c>
    </row>
    <row r="258" spans="1:4" x14ac:dyDescent="0.3">
      <c r="A258" t="s">
        <v>562</v>
      </c>
      <c r="B258" t="s">
        <v>2303</v>
      </c>
      <c r="C258" t="s">
        <v>2999</v>
      </c>
      <c r="D258" t="s">
        <v>3261</v>
      </c>
    </row>
    <row r="259" spans="1:4" x14ac:dyDescent="0.3">
      <c r="A259" t="s">
        <v>563</v>
      </c>
      <c r="B259" t="s">
        <v>2304</v>
      </c>
      <c r="C259" t="s">
        <v>3001</v>
      </c>
      <c r="D259" t="s">
        <v>3262</v>
      </c>
    </row>
    <row r="260" spans="1:4" x14ac:dyDescent="0.3">
      <c r="A260" t="s">
        <v>565</v>
      </c>
      <c r="B260" t="s">
        <v>2305</v>
      </c>
      <c r="C260" t="s">
        <v>2994</v>
      </c>
      <c r="D260" t="s">
        <v>3263</v>
      </c>
    </row>
    <row r="261" spans="1:4" x14ac:dyDescent="0.3">
      <c r="A261" t="s">
        <v>566</v>
      </c>
      <c r="B261" t="s">
        <v>2306</v>
      </c>
      <c r="C261" t="s">
        <v>2999</v>
      </c>
      <c r="D261" t="s">
        <v>3264</v>
      </c>
    </row>
    <row r="262" spans="1:4" x14ac:dyDescent="0.3">
      <c r="A262" t="s">
        <v>567</v>
      </c>
      <c r="B262" t="s">
        <v>2307</v>
      </c>
      <c r="C262" t="s">
        <v>2994</v>
      </c>
      <c r="D262" t="s">
        <v>3265</v>
      </c>
    </row>
    <row r="263" spans="1:4" x14ac:dyDescent="0.3">
      <c r="A263" t="s">
        <v>569</v>
      </c>
      <c r="B263" t="s">
        <v>2308</v>
      </c>
      <c r="C263" t="s">
        <v>2999</v>
      </c>
      <c r="D263" t="s">
        <v>3266</v>
      </c>
    </row>
    <row r="264" spans="1:4" x14ac:dyDescent="0.3">
      <c r="A264" t="s">
        <v>571</v>
      </c>
      <c r="B264" t="s">
        <v>2309</v>
      </c>
      <c r="C264" t="s">
        <v>2999</v>
      </c>
      <c r="D264" t="s">
        <v>3267</v>
      </c>
    </row>
    <row r="265" spans="1:4" x14ac:dyDescent="0.3">
      <c r="A265" t="s">
        <v>574</v>
      </c>
      <c r="B265" t="s">
        <v>2309</v>
      </c>
      <c r="C265" t="s">
        <v>3001</v>
      </c>
      <c r="D265" t="s">
        <v>3268</v>
      </c>
    </row>
    <row r="266" spans="1:4" x14ac:dyDescent="0.3">
      <c r="A266" t="s">
        <v>575</v>
      </c>
      <c r="B266" t="s">
        <v>2310</v>
      </c>
      <c r="C266" t="s">
        <v>3008</v>
      </c>
      <c r="D266" t="s">
        <v>3269</v>
      </c>
    </row>
    <row r="267" spans="1:4" x14ac:dyDescent="0.3">
      <c r="A267" t="s">
        <v>578</v>
      </c>
      <c r="B267" t="s">
        <v>2311</v>
      </c>
      <c r="C267" t="s">
        <v>2999</v>
      </c>
      <c r="D267" t="s">
        <v>3270</v>
      </c>
    </row>
    <row r="268" spans="1:4" x14ac:dyDescent="0.3">
      <c r="A268" t="s">
        <v>581</v>
      </c>
      <c r="B268" t="s">
        <v>2312</v>
      </c>
      <c r="C268" t="s">
        <v>2999</v>
      </c>
      <c r="D268" t="s">
        <v>3271</v>
      </c>
    </row>
    <row r="269" spans="1:4" x14ac:dyDescent="0.3">
      <c r="A269" t="s">
        <v>582</v>
      </c>
      <c r="B269" t="s">
        <v>2313</v>
      </c>
      <c r="C269" t="s">
        <v>2999</v>
      </c>
      <c r="D269" t="s">
        <v>3272</v>
      </c>
    </row>
    <row r="270" spans="1:4" x14ac:dyDescent="0.3">
      <c r="A270" t="s">
        <v>585</v>
      </c>
      <c r="B270" t="s">
        <v>2313</v>
      </c>
      <c r="C270" t="s">
        <v>2999</v>
      </c>
      <c r="D270" t="s">
        <v>3273</v>
      </c>
    </row>
    <row r="271" spans="1:4" x14ac:dyDescent="0.3">
      <c r="A271" t="s">
        <v>588</v>
      </c>
      <c r="B271" t="s">
        <v>2313</v>
      </c>
      <c r="C271" t="s">
        <v>2999</v>
      </c>
      <c r="D271" t="s">
        <v>3274</v>
      </c>
    </row>
    <row r="272" spans="1:4" x14ac:dyDescent="0.3">
      <c r="A272" t="s">
        <v>591</v>
      </c>
      <c r="B272" t="s">
        <v>2313</v>
      </c>
      <c r="C272" t="s">
        <v>3001</v>
      </c>
      <c r="D272" t="s">
        <v>3275</v>
      </c>
    </row>
    <row r="273" spans="1:4" x14ac:dyDescent="0.3">
      <c r="A273" t="s">
        <v>592</v>
      </c>
      <c r="B273" t="s">
        <v>2314</v>
      </c>
      <c r="C273" t="s">
        <v>2999</v>
      </c>
      <c r="D273" t="s">
        <v>3276</v>
      </c>
    </row>
    <row r="274" spans="1:4" x14ac:dyDescent="0.3">
      <c r="A274" t="s">
        <v>595</v>
      </c>
      <c r="B274" t="s">
        <v>2314</v>
      </c>
      <c r="C274" t="s">
        <v>3001</v>
      </c>
      <c r="D274" t="s">
        <v>3277</v>
      </c>
    </row>
    <row r="275" spans="1:4" x14ac:dyDescent="0.3">
      <c r="A275" t="s">
        <v>596</v>
      </c>
      <c r="B275" t="s">
        <v>2315</v>
      </c>
      <c r="C275" t="s">
        <v>2996</v>
      </c>
      <c r="D275" t="s">
        <v>3278</v>
      </c>
    </row>
    <row r="276" spans="1:4" x14ac:dyDescent="0.3">
      <c r="A276" t="s">
        <v>599</v>
      </c>
      <c r="B276" t="s">
        <v>2315</v>
      </c>
      <c r="C276" t="s">
        <v>2999</v>
      </c>
      <c r="D276" t="s">
        <v>3279</v>
      </c>
    </row>
    <row r="277" spans="1:4" x14ac:dyDescent="0.3">
      <c r="A277" t="s">
        <v>600</v>
      </c>
      <c r="B277" t="s">
        <v>2315</v>
      </c>
      <c r="C277" t="s">
        <v>3001</v>
      </c>
      <c r="D277" t="s">
        <v>3280</v>
      </c>
    </row>
    <row r="278" spans="1:4" x14ac:dyDescent="0.3">
      <c r="A278" t="s">
        <v>601</v>
      </c>
      <c r="B278" t="s">
        <v>2316</v>
      </c>
      <c r="C278" t="s">
        <v>2999</v>
      </c>
      <c r="D278" t="s">
        <v>3281</v>
      </c>
    </row>
    <row r="279" spans="1:4" x14ac:dyDescent="0.3">
      <c r="A279" t="s">
        <v>603</v>
      </c>
      <c r="B279" t="s">
        <v>2316</v>
      </c>
      <c r="C279" t="s">
        <v>3001</v>
      </c>
      <c r="D279" t="s">
        <v>3282</v>
      </c>
    </row>
    <row r="280" spans="1:4" x14ac:dyDescent="0.3">
      <c r="A280" t="s">
        <v>604</v>
      </c>
      <c r="B280" t="s">
        <v>2317</v>
      </c>
      <c r="C280" t="s">
        <v>3040</v>
      </c>
      <c r="D280" t="s">
        <v>3283</v>
      </c>
    </row>
    <row r="281" spans="1:4" x14ac:dyDescent="0.3">
      <c r="A281" t="s">
        <v>606</v>
      </c>
      <c r="B281" t="s">
        <v>2318</v>
      </c>
      <c r="C281" t="s">
        <v>2999</v>
      </c>
      <c r="D281" t="s">
        <v>3284</v>
      </c>
    </row>
    <row r="282" spans="1:4" x14ac:dyDescent="0.3">
      <c r="A282" t="s">
        <v>609</v>
      </c>
      <c r="B282" t="s">
        <v>2319</v>
      </c>
      <c r="C282" t="s">
        <v>2999</v>
      </c>
      <c r="D282" t="s">
        <v>3285</v>
      </c>
    </row>
    <row r="283" spans="1:4" x14ac:dyDescent="0.3">
      <c r="A283" t="s">
        <v>612</v>
      </c>
      <c r="B283" t="s">
        <v>2319</v>
      </c>
      <c r="C283" t="s">
        <v>3001</v>
      </c>
      <c r="D283" t="s">
        <v>3286</v>
      </c>
    </row>
    <row r="284" spans="1:4" x14ac:dyDescent="0.3">
      <c r="A284" t="s">
        <v>613</v>
      </c>
      <c r="B284" t="s">
        <v>2320</v>
      </c>
      <c r="C284" t="s">
        <v>3001</v>
      </c>
      <c r="D284" t="s">
        <v>3287</v>
      </c>
    </row>
    <row r="285" spans="1:4" x14ac:dyDescent="0.3">
      <c r="A285" t="s">
        <v>615</v>
      </c>
      <c r="B285" t="s">
        <v>2321</v>
      </c>
      <c r="C285" t="s">
        <v>2999</v>
      </c>
      <c r="D285" t="s">
        <v>3288</v>
      </c>
    </row>
    <row r="286" spans="1:4" x14ac:dyDescent="0.3">
      <c r="A286" t="s">
        <v>618</v>
      </c>
      <c r="B286" t="s">
        <v>2322</v>
      </c>
      <c r="C286" t="s">
        <v>3001</v>
      </c>
      <c r="D286" t="s">
        <v>3289</v>
      </c>
    </row>
    <row r="287" spans="1:4" x14ac:dyDescent="0.3">
      <c r="A287" t="s">
        <v>620</v>
      </c>
      <c r="B287" t="s">
        <v>2323</v>
      </c>
      <c r="C287" t="s">
        <v>2999</v>
      </c>
      <c r="D287" t="s">
        <v>3290</v>
      </c>
    </row>
    <row r="288" spans="1:4" x14ac:dyDescent="0.3">
      <c r="A288" t="s">
        <v>622</v>
      </c>
      <c r="B288" t="s">
        <v>2323</v>
      </c>
      <c r="C288" t="s">
        <v>3001</v>
      </c>
      <c r="D288" t="s">
        <v>3291</v>
      </c>
    </row>
    <row r="289" spans="1:4" x14ac:dyDescent="0.3">
      <c r="A289" t="s">
        <v>623</v>
      </c>
      <c r="B289" t="s">
        <v>2324</v>
      </c>
      <c r="C289" t="s">
        <v>2999</v>
      </c>
      <c r="D289" t="s">
        <v>3292</v>
      </c>
    </row>
    <row r="290" spans="1:4" x14ac:dyDescent="0.3">
      <c r="A290" t="s">
        <v>626</v>
      </c>
      <c r="B290" t="s">
        <v>2325</v>
      </c>
      <c r="C290" t="s">
        <v>3001</v>
      </c>
      <c r="D290" t="s">
        <v>3293</v>
      </c>
    </row>
    <row r="291" spans="1:4" x14ac:dyDescent="0.3">
      <c r="A291" t="s">
        <v>627</v>
      </c>
      <c r="B291" t="s">
        <v>2326</v>
      </c>
      <c r="C291" t="s">
        <v>2994</v>
      </c>
      <c r="D291" t="s">
        <v>3294</v>
      </c>
    </row>
    <row r="292" spans="1:4" x14ac:dyDescent="0.3">
      <c r="A292" t="s">
        <v>629</v>
      </c>
      <c r="B292" t="s">
        <v>2326</v>
      </c>
      <c r="C292" t="s">
        <v>2999</v>
      </c>
      <c r="D292" t="s">
        <v>3039</v>
      </c>
    </row>
    <row r="293" spans="1:4" x14ac:dyDescent="0.3">
      <c r="A293" t="s">
        <v>631</v>
      </c>
      <c r="B293" t="s">
        <v>2326</v>
      </c>
      <c r="C293" t="s">
        <v>3001</v>
      </c>
      <c r="D293" t="s">
        <v>3295</v>
      </c>
    </row>
    <row r="294" spans="1:4" x14ac:dyDescent="0.3">
      <c r="A294" t="s">
        <v>632</v>
      </c>
      <c r="B294" t="s">
        <v>2327</v>
      </c>
      <c r="C294" t="s">
        <v>2999</v>
      </c>
      <c r="D294" t="s">
        <v>3296</v>
      </c>
    </row>
    <row r="295" spans="1:4" x14ac:dyDescent="0.3">
      <c r="A295" t="s">
        <v>636</v>
      </c>
      <c r="B295" t="s">
        <v>2327</v>
      </c>
      <c r="C295" t="s">
        <v>3001</v>
      </c>
      <c r="D295" t="s">
        <v>3297</v>
      </c>
    </row>
    <row r="296" spans="1:4" x14ac:dyDescent="0.3">
      <c r="A296" t="s">
        <v>637</v>
      </c>
      <c r="B296" t="s">
        <v>2328</v>
      </c>
      <c r="C296" t="s">
        <v>2999</v>
      </c>
      <c r="D296" t="s">
        <v>3298</v>
      </c>
    </row>
    <row r="297" spans="1:4" x14ac:dyDescent="0.3">
      <c r="A297" t="s">
        <v>639</v>
      </c>
      <c r="B297" t="s">
        <v>2328</v>
      </c>
      <c r="C297" t="s">
        <v>2999</v>
      </c>
      <c r="D297" t="s">
        <v>3299</v>
      </c>
    </row>
    <row r="298" spans="1:4" x14ac:dyDescent="0.3">
      <c r="A298" t="s">
        <v>641</v>
      </c>
      <c r="B298" t="s">
        <v>2328</v>
      </c>
      <c r="C298" t="s">
        <v>3001</v>
      </c>
      <c r="D298" t="s">
        <v>3300</v>
      </c>
    </row>
    <row r="299" spans="1:4" x14ac:dyDescent="0.3">
      <c r="A299" t="s">
        <v>642</v>
      </c>
      <c r="B299" t="s">
        <v>2329</v>
      </c>
      <c r="C299" t="s">
        <v>3001</v>
      </c>
      <c r="D299" t="s">
        <v>3301</v>
      </c>
    </row>
    <row r="300" spans="1:4" x14ac:dyDescent="0.3">
      <c r="A300" t="s">
        <v>643</v>
      </c>
      <c r="B300" t="s">
        <v>2330</v>
      </c>
      <c r="C300" t="s">
        <v>2999</v>
      </c>
      <c r="D300" t="s">
        <v>3302</v>
      </c>
    </row>
    <row r="301" spans="1:4" x14ac:dyDescent="0.3">
      <c r="A301" t="s">
        <v>646</v>
      </c>
      <c r="B301" t="s">
        <v>2331</v>
      </c>
      <c r="C301" t="s">
        <v>3303</v>
      </c>
      <c r="D301" t="s">
        <v>3304</v>
      </c>
    </row>
    <row r="302" spans="1:4" x14ac:dyDescent="0.3">
      <c r="A302" t="s">
        <v>649</v>
      </c>
      <c r="B302" t="s">
        <v>2332</v>
      </c>
      <c r="C302" t="s">
        <v>2999</v>
      </c>
      <c r="D302" t="s">
        <v>3305</v>
      </c>
    </row>
    <row r="303" spans="1:4" x14ac:dyDescent="0.3">
      <c r="A303" t="s">
        <v>651</v>
      </c>
      <c r="B303" t="s">
        <v>2333</v>
      </c>
      <c r="C303" t="s">
        <v>2999</v>
      </c>
      <c r="D303" t="s">
        <v>3306</v>
      </c>
    </row>
    <row r="304" spans="1:4" x14ac:dyDescent="0.3">
      <c r="A304" t="s">
        <v>654</v>
      </c>
      <c r="B304" t="s">
        <v>2334</v>
      </c>
      <c r="C304" t="s">
        <v>2994</v>
      </c>
      <c r="D304" t="s">
        <v>3307</v>
      </c>
    </row>
    <row r="305" spans="1:4" x14ac:dyDescent="0.3">
      <c r="A305" t="s">
        <v>655</v>
      </c>
      <c r="B305" t="s">
        <v>2335</v>
      </c>
      <c r="C305" t="s">
        <v>2999</v>
      </c>
      <c r="D305" t="s">
        <v>3308</v>
      </c>
    </row>
    <row r="306" spans="1:4" x14ac:dyDescent="0.3">
      <c r="A306" t="s">
        <v>657</v>
      </c>
      <c r="B306" t="s">
        <v>2335</v>
      </c>
      <c r="C306" t="s">
        <v>3001</v>
      </c>
      <c r="D306" t="s">
        <v>3309</v>
      </c>
    </row>
    <row r="307" spans="1:4" x14ac:dyDescent="0.3">
      <c r="A307" t="s">
        <v>658</v>
      </c>
      <c r="B307" t="s">
        <v>2336</v>
      </c>
      <c r="C307" t="s">
        <v>3008</v>
      </c>
      <c r="D307" t="s">
        <v>3109</v>
      </c>
    </row>
    <row r="308" spans="1:4" x14ac:dyDescent="0.3">
      <c r="A308" t="s">
        <v>660</v>
      </c>
      <c r="B308" t="s">
        <v>2337</v>
      </c>
      <c r="C308" t="s">
        <v>2999</v>
      </c>
      <c r="D308" t="s">
        <v>3310</v>
      </c>
    </row>
    <row r="309" spans="1:4" x14ac:dyDescent="0.3">
      <c r="A309" t="s">
        <v>663</v>
      </c>
      <c r="B309" t="s">
        <v>2337</v>
      </c>
      <c r="C309" t="s">
        <v>2999</v>
      </c>
      <c r="D309" t="s">
        <v>3311</v>
      </c>
    </row>
    <row r="310" spans="1:4" x14ac:dyDescent="0.3">
      <c r="A310" t="s">
        <v>664</v>
      </c>
      <c r="B310" t="s">
        <v>2337</v>
      </c>
      <c r="C310" t="s">
        <v>3001</v>
      </c>
      <c r="D310" t="s">
        <v>3312</v>
      </c>
    </row>
    <row r="311" spans="1:4" x14ac:dyDescent="0.3">
      <c r="A311" t="s">
        <v>667</v>
      </c>
      <c r="B311" t="s">
        <v>2338</v>
      </c>
      <c r="C311" t="s">
        <v>2994</v>
      </c>
      <c r="D311" t="s">
        <v>3313</v>
      </c>
    </row>
    <row r="312" spans="1:4" x14ac:dyDescent="0.3">
      <c r="A312" t="s">
        <v>668</v>
      </c>
      <c r="B312" t="s">
        <v>2338</v>
      </c>
      <c r="C312" t="s">
        <v>2999</v>
      </c>
      <c r="D312" t="s">
        <v>3314</v>
      </c>
    </row>
    <row r="313" spans="1:4" x14ac:dyDescent="0.3">
      <c r="A313" t="s">
        <v>669</v>
      </c>
      <c r="B313" t="s">
        <v>2338</v>
      </c>
      <c r="C313" t="s">
        <v>3001</v>
      </c>
      <c r="D313" t="s">
        <v>3315</v>
      </c>
    </row>
    <row r="314" spans="1:4" x14ac:dyDescent="0.3">
      <c r="A314" t="s">
        <v>670</v>
      </c>
      <c r="B314" t="s">
        <v>2339</v>
      </c>
      <c r="C314" t="s">
        <v>2999</v>
      </c>
      <c r="D314" t="s">
        <v>3316</v>
      </c>
    </row>
    <row r="315" spans="1:4" x14ac:dyDescent="0.3">
      <c r="A315" t="s">
        <v>673</v>
      </c>
      <c r="B315" t="s">
        <v>2339</v>
      </c>
      <c r="C315" t="s">
        <v>2999</v>
      </c>
      <c r="D315" t="s">
        <v>3317</v>
      </c>
    </row>
    <row r="316" spans="1:4" x14ac:dyDescent="0.3">
      <c r="A316" t="s">
        <v>675</v>
      </c>
      <c r="B316" t="s">
        <v>2339</v>
      </c>
      <c r="C316" t="s">
        <v>3001</v>
      </c>
      <c r="D316" t="s">
        <v>3318</v>
      </c>
    </row>
    <row r="317" spans="1:4" x14ac:dyDescent="0.3">
      <c r="A317" t="s">
        <v>676</v>
      </c>
      <c r="B317" t="s">
        <v>2340</v>
      </c>
      <c r="C317" t="s">
        <v>2994</v>
      </c>
      <c r="D317" t="s">
        <v>3319</v>
      </c>
    </row>
    <row r="318" spans="1:4" x14ac:dyDescent="0.3">
      <c r="A318" t="s">
        <v>678</v>
      </c>
      <c r="B318" t="s">
        <v>2341</v>
      </c>
      <c r="C318" t="s">
        <v>2999</v>
      </c>
      <c r="D318" t="s">
        <v>3320</v>
      </c>
    </row>
    <row r="319" spans="1:4" x14ac:dyDescent="0.3">
      <c r="A319" t="s">
        <v>681</v>
      </c>
      <c r="B319" t="s">
        <v>2341</v>
      </c>
      <c r="C319" t="s">
        <v>2999</v>
      </c>
      <c r="D319" t="s">
        <v>3321</v>
      </c>
    </row>
    <row r="320" spans="1:4" x14ac:dyDescent="0.3">
      <c r="A320" t="s">
        <v>682</v>
      </c>
      <c r="B320" t="s">
        <v>2342</v>
      </c>
      <c r="C320" t="s">
        <v>2999</v>
      </c>
      <c r="D320" t="s">
        <v>3322</v>
      </c>
    </row>
    <row r="321" spans="1:4" x14ac:dyDescent="0.3">
      <c r="A321" t="s">
        <v>684</v>
      </c>
      <c r="B321" t="s">
        <v>2343</v>
      </c>
      <c r="C321" t="s">
        <v>2994</v>
      </c>
      <c r="D321" t="s">
        <v>3323</v>
      </c>
    </row>
    <row r="322" spans="1:4" x14ac:dyDescent="0.3">
      <c r="A322" t="s">
        <v>686</v>
      </c>
      <c r="B322" t="s">
        <v>2344</v>
      </c>
      <c r="C322" t="s">
        <v>2999</v>
      </c>
      <c r="D322" t="s">
        <v>3324</v>
      </c>
    </row>
    <row r="323" spans="1:4" x14ac:dyDescent="0.3">
      <c r="A323" t="s">
        <v>687</v>
      </c>
      <c r="B323" t="s">
        <v>2345</v>
      </c>
      <c r="C323" t="s">
        <v>2999</v>
      </c>
      <c r="D323" t="s">
        <v>3325</v>
      </c>
    </row>
    <row r="324" spans="1:4" x14ac:dyDescent="0.3">
      <c r="A324" t="s">
        <v>689</v>
      </c>
      <c r="B324" t="s">
        <v>2346</v>
      </c>
      <c r="C324" t="s">
        <v>2994</v>
      </c>
      <c r="D324" t="s">
        <v>3326</v>
      </c>
    </row>
    <row r="325" spans="1:4" x14ac:dyDescent="0.3">
      <c r="A325" t="s">
        <v>691</v>
      </c>
      <c r="B325" t="s">
        <v>2347</v>
      </c>
      <c r="C325" t="s">
        <v>2999</v>
      </c>
      <c r="D325" t="s">
        <v>3327</v>
      </c>
    </row>
    <row r="326" spans="1:4" x14ac:dyDescent="0.3">
      <c r="A326" t="s">
        <v>694</v>
      </c>
      <c r="B326" t="s">
        <v>2347</v>
      </c>
      <c r="C326" t="s">
        <v>3001</v>
      </c>
      <c r="D326" t="s">
        <v>3328</v>
      </c>
    </row>
    <row r="327" spans="1:4" x14ac:dyDescent="0.3">
      <c r="A327" t="s">
        <v>695</v>
      </c>
      <c r="B327" t="s">
        <v>2348</v>
      </c>
      <c r="C327" t="s">
        <v>2999</v>
      </c>
      <c r="D327" t="s">
        <v>3329</v>
      </c>
    </row>
    <row r="328" spans="1:4" x14ac:dyDescent="0.3">
      <c r="A328" t="s">
        <v>697</v>
      </c>
      <c r="B328" t="s">
        <v>2349</v>
      </c>
      <c r="C328" t="s">
        <v>2999</v>
      </c>
      <c r="D328" t="s">
        <v>3330</v>
      </c>
    </row>
    <row r="329" spans="1:4" x14ac:dyDescent="0.3">
      <c r="A329" t="s">
        <v>699</v>
      </c>
      <c r="B329" t="s">
        <v>2349</v>
      </c>
      <c r="C329" t="s">
        <v>2999</v>
      </c>
      <c r="D329" t="s">
        <v>3331</v>
      </c>
    </row>
    <row r="330" spans="1:4" x14ac:dyDescent="0.3">
      <c r="A330" t="s">
        <v>702</v>
      </c>
      <c r="B330" t="s">
        <v>2350</v>
      </c>
      <c r="C330" t="s">
        <v>2999</v>
      </c>
      <c r="D330" t="s">
        <v>3332</v>
      </c>
    </row>
    <row r="331" spans="1:4" x14ac:dyDescent="0.3">
      <c r="A331" t="s">
        <v>704</v>
      </c>
      <c r="B331" t="s">
        <v>2350</v>
      </c>
      <c r="C331" t="s">
        <v>3001</v>
      </c>
      <c r="D331" t="s">
        <v>3333</v>
      </c>
    </row>
    <row r="332" spans="1:4" x14ac:dyDescent="0.3">
      <c r="A332" t="s">
        <v>705</v>
      </c>
      <c r="B332" t="s">
        <v>2351</v>
      </c>
      <c r="C332" t="s">
        <v>2999</v>
      </c>
      <c r="D332" t="s">
        <v>3109</v>
      </c>
    </row>
    <row r="333" spans="1:4" x14ac:dyDescent="0.3">
      <c r="A333" t="s">
        <v>707</v>
      </c>
      <c r="B333" t="s">
        <v>2352</v>
      </c>
      <c r="C333" t="s">
        <v>2999</v>
      </c>
      <c r="D333" t="s">
        <v>3334</v>
      </c>
    </row>
    <row r="334" spans="1:4" x14ac:dyDescent="0.3">
      <c r="A334" t="s">
        <v>709</v>
      </c>
      <c r="B334" t="s">
        <v>2353</v>
      </c>
      <c r="C334" t="s">
        <v>2999</v>
      </c>
      <c r="D334" t="s">
        <v>3335</v>
      </c>
    </row>
    <row r="335" spans="1:4" x14ac:dyDescent="0.3">
      <c r="A335" t="s">
        <v>712</v>
      </c>
      <c r="B335" t="s">
        <v>2354</v>
      </c>
      <c r="C335" t="s">
        <v>3001</v>
      </c>
      <c r="D335" t="s">
        <v>3336</v>
      </c>
    </row>
    <row r="336" spans="1:4" x14ac:dyDescent="0.3">
      <c r="A336" t="s">
        <v>714</v>
      </c>
      <c r="B336" t="s">
        <v>2355</v>
      </c>
      <c r="C336" t="s">
        <v>2999</v>
      </c>
      <c r="D336" t="s">
        <v>3337</v>
      </c>
    </row>
    <row r="337" spans="1:4" x14ac:dyDescent="0.3">
      <c r="A337" t="s">
        <v>717</v>
      </c>
      <c r="B337" t="s">
        <v>2356</v>
      </c>
      <c r="C337" t="s">
        <v>3338</v>
      </c>
      <c r="D337" t="s">
        <v>3339</v>
      </c>
    </row>
    <row r="338" spans="1:4" x14ac:dyDescent="0.3">
      <c r="A338" t="s">
        <v>720</v>
      </c>
      <c r="B338" t="s">
        <v>2357</v>
      </c>
      <c r="C338" t="s">
        <v>2999</v>
      </c>
      <c r="D338" t="s">
        <v>3340</v>
      </c>
    </row>
    <row r="339" spans="1:4" x14ac:dyDescent="0.3">
      <c r="A339" t="s">
        <v>722</v>
      </c>
      <c r="B339" t="s">
        <v>2357</v>
      </c>
      <c r="C339" t="s">
        <v>3001</v>
      </c>
      <c r="D339" t="s">
        <v>3341</v>
      </c>
    </row>
    <row r="340" spans="1:4" x14ac:dyDescent="0.3">
      <c r="A340" t="s">
        <v>723</v>
      </c>
      <c r="B340" t="s">
        <v>2358</v>
      </c>
      <c r="C340" t="s">
        <v>2999</v>
      </c>
      <c r="D340" t="s">
        <v>3342</v>
      </c>
    </row>
    <row r="341" spans="1:4" x14ac:dyDescent="0.3">
      <c r="A341" t="s">
        <v>725</v>
      </c>
      <c r="B341" t="s">
        <v>2359</v>
      </c>
      <c r="C341" t="s">
        <v>2996</v>
      </c>
      <c r="D341" t="s">
        <v>3343</v>
      </c>
    </row>
    <row r="342" spans="1:4" x14ac:dyDescent="0.3">
      <c r="A342" t="s">
        <v>728</v>
      </c>
      <c r="B342" t="s">
        <v>2359</v>
      </c>
      <c r="C342" t="s">
        <v>2994</v>
      </c>
      <c r="D342" t="s">
        <v>3344</v>
      </c>
    </row>
    <row r="343" spans="1:4" x14ac:dyDescent="0.3">
      <c r="A343" t="s">
        <v>729</v>
      </c>
      <c r="B343" t="s">
        <v>2359</v>
      </c>
      <c r="C343" t="s">
        <v>2994</v>
      </c>
      <c r="D343" t="s">
        <v>3345</v>
      </c>
    </row>
    <row r="344" spans="1:4" x14ac:dyDescent="0.3">
      <c r="A344" t="s">
        <v>730</v>
      </c>
      <c r="B344" t="s">
        <v>2359</v>
      </c>
      <c r="C344" t="s">
        <v>3001</v>
      </c>
      <c r="D344" t="s">
        <v>3346</v>
      </c>
    </row>
    <row r="345" spans="1:4" x14ac:dyDescent="0.3">
      <c r="A345" t="s">
        <v>731</v>
      </c>
      <c r="B345" t="s">
        <v>2360</v>
      </c>
      <c r="C345" t="s">
        <v>2999</v>
      </c>
      <c r="D345" t="s">
        <v>3347</v>
      </c>
    </row>
    <row r="346" spans="1:4" x14ac:dyDescent="0.3">
      <c r="A346" t="s">
        <v>733</v>
      </c>
      <c r="B346" t="s">
        <v>2361</v>
      </c>
      <c r="C346" t="s">
        <v>2994</v>
      </c>
      <c r="D346" t="s">
        <v>3348</v>
      </c>
    </row>
    <row r="347" spans="1:4" x14ac:dyDescent="0.3">
      <c r="A347" t="s">
        <v>735</v>
      </c>
      <c r="B347" t="s">
        <v>2362</v>
      </c>
      <c r="C347" t="s">
        <v>2999</v>
      </c>
      <c r="D347" t="s">
        <v>3349</v>
      </c>
    </row>
    <row r="348" spans="1:4" x14ac:dyDescent="0.3">
      <c r="A348" t="s">
        <v>737</v>
      </c>
      <c r="B348" t="s">
        <v>2363</v>
      </c>
      <c r="C348" t="s">
        <v>2999</v>
      </c>
      <c r="D348" t="s">
        <v>3350</v>
      </c>
    </row>
    <row r="349" spans="1:4" x14ac:dyDescent="0.3">
      <c r="A349" t="s">
        <v>739</v>
      </c>
      <c r="B349" t="s">
        <v>2364</v>
      </c>
      <c r="C349" t="s">
        <v>2999</v>
      </c>
      <c r="D349" t="s">
        <v>3351</v>
      </c>
    </row>
    <row r="350" spans="1:4" x14ac:dyDescent="0.3">
      <c r="A350" t="s">
        <v>740</v>
      </c>
      <c r="B350" t="s">
        <v>2365</v>
      </c>
      <c r="C350" t="s">
        <v>2999</v>
      </c>
      <c r="D350" t="s">
        <v>3352</v>
      </c>
    </row>
    <row r="351" spans="1:4" x14ac:dyDescent="0.3">
      <c r="A351" t="s">
        <v>742</v>
      </c>
      <c r="B351" t="s">
        <v>2150</v>
      </c>
      <c r="C351" t="s">
        <v>2994</v>
      </c>
      <c r="D351" t="s">
        <v>3353</v>
      </c>
    </row>
    <row r="352" spans="1:4" x14ac:dyDescent="0.3">
      <c r="A352" t="s">
        <v>745</v>
      </c>
      <c r="B352" t="s">
        <v>2150</v>
      </c>
      <c r="C352" t="s">
        <v>2994</v>
      </c>
      <c r="D352" t="s">
        <v>3354</v>
      </c>
    </row>
    <row r="353" spans="1:4" x14ac:dyDescent="0.3">
      <c r="A353" t="s">
        <v>747</v>
      </c>
      <c r="B353" t="s">
        <v>2150</v>
      </c>
      <c r="C353" t="s">
        <v>2999</v>
      </c>
      <c r="D353" t="s">
        <v>3355</v>
      </c>
    </row>
    <row r="354" spans="1:4" x14ac:dyDescent="0.3">
      <c r="A354" t="s">
        <v>748</v>
      </c>
      <c r="B354" t="s">
        <v>2150</v>
      </c>
      <c r="C354" t="s">
        <v>3001</v>
      </c>
      <c r="D354" t="s">
        <v>3356</v>
      </c>
    </row>
    <row r="355" spans="1:4" x14ac:dyDescent="0.3">
      <c r="A355" t="s">
        <v>749</v>
      </c>
      <c r="B355" t="s">
        <v>2366</v>
      </c>
      <c r="C355" t="s">
        <v>2994</v>
      </c>
      <c r="D355" t="s">
        <v>3357</v>
      </c>
    </row>
    <row r="356" spans="1:4" x14ac:dyDescent="0.3">
      <c r="A356" t="s">
        <v>751</v>
      </c>
      <c r="B356" t="s">
        <v>2366</v>
      </c>
      <c r="C356" t="s">
        <v>2999</v>
      </c>
      <c r="D356" t="s">
        <v>3358</v>
      </c>
    </row>
    <row r="357" spans="1:4" x14ac:dyDescent="0.3">
      <c r="A357" t="s">
        <v>752</v>
      </c>
      <c r="B357" t="s">
        <v>2367</v>
      </c>
      <c r="C357" t="s">
        <v>2994</v>
      </c>
      <c r="D357" t="s">
        <v>3359</v>
      </c>
    </row>
    <row r="358" spans="1:4" x14ac:dyDescent="0.3">
      <c r="A358" t="s">
        <v>754</v>
      </c>
      <c r="B358" t="s">
        <v>2368</v>
      </c>
      <c r="C358" t="s">
        <v>2999</v>
      </c>
      <c r="D358" t="s">
        <v>3360</v>
      </c>
    </row>
    <row r="359" spans="1:4" x14ac:dyDescent="0.3">
      <c r="A359" t="s">
        <v>756</v>
      </c>
      <c r="B359" t="s">
        <v>2369</v>
      </c>
      <c r="C359" t="s">
        <v>3338</v>
      </c>
      <c r="D359" t="s">
        <v>3361</v>
      </c>
    </row>
    <row r="360" spans="1:4" x14ac:dyDescent="0.3">
      <c r="A360" t="s">
        <v>757</v>
      </c>
      <c r="B360" t="s">
        <v>2370</v>
      </c>
      <c r="C360" t="s">
        <v>3001</v>
      </c>
      <c r="D360" t="s">
        <v>3362</v>
      </c>
    </row>
    <row r="361" spans="1:4" x14ac:dyDescent="0.3">
      <c r="A361" t="s">
        <v>758</v>
      </c>
      <c r="B361" t="s">
        <v>2371</v>
      </c>
      <c r="C361" t="s">
        <v>2996</v>
      </c>
      <c r="D361" t="s">
        <v>3363</v>
      </c>
    </row>
    <row r="362" spans="1:4" x14ac:dyDescent="0.3">
      <c r="A362" t="s">
        <v>760</v>
      </c>
      <c r="B362" t="s">
        <v>2371</v>
      </c>
      <c r="C362" t="s">
        <v>2999</v>
      </c>
      <c r="D362" t="s">
        <v>3364</v>
      </c>
    </row>
    <row r="363" spans="1:4" x14ac:dyDescent="0.3">
      <c r="A363" t="s">
        <v>761</v>
      </c>
      <c r="B363" t="s">
        <v>2371</v>
      </c>
      <c r="C363" t="s">
        <v>3001</v>
      </c>
      <c r="D363" t="s">
        <v>3365</v>
      </c>
    </row>
    <row r="364" spans="1:4" x14ac:dyDescent="0.3">
      <c r="A364" t="s">
        <v>762</v>
      </c>
      <c r="B364" t="s">
        <v>2372</v>
      </c>
      <c r="C364" t="s">
        <v>2994</v>
      </c>
      <c r="D364" t="s">
        <v>3366</v>
      </c>
    </row>
    <row r="365" spans="1:4" x14ac:dyDescent="0.3">
      <c r="A365" t="s">
        <v>765</v>
      </c>
      <c r="B365" t="s">
        <v>2373</v>
      </c>
      <c r="C365" t="s">
        <v>2999</v>
      </c>
      <c r="D365" t="s">
        <v>3153</v>
      </c>
    </row>
    <row r="366" spans="1:4" x14ac:dyDescent="0.3">
      <c r="A366" t="s">
        <v>766</v>
      </c>
      <c r="B366" t="s">
        <v>2374</v>
      </c>
      <c r="C366" t="s">
        <v>2999</v>
      </c>
      <c r="D366" t="s">
        <v>3153</v>
      </c>
    </row>
    <row r="367" spans="1:4" x14ac:dyDescent="0.3">
      <c r="A367" t="s">
        <v>767</v>
      </c>
      <c r="B367" t="s">
        <v>2160</v>
      </c>
      <c r="C367" t="s">
        <v>3001</v>
      </c>
      <c r="D367" t="s">
        <v>3367</v>
      </c>
    </row>
    <row r="368" spans="1:4" x14ac:dyDescent="0.3">
      <c r="A368" t="s">
        <v>768</v>
      </c>
      <c r="B368" t="s">
        <v>2160</v>
      </c>
      <c r="C368" t="s">
        <v>3338</v>
      </c>
      <c r="D368" t="s">
        <v>3368</v>
      </c>
    </row>
    <row r="369" spans="1:4" x14ac:dyDescent="0.3">
      <c r="A369" t="s">
        <v>769</v>
      </c>
      <c r="B369" t="s">
        <v>2375</v>
      </c>
      <c r="C369" t="s">
        <v>2999</v>
      </c>
      <c r="D369" t="s">
        <v>3369</v>
      </c>
    </row>
    <row r="370" spans="1:4" x14ac:dyDescent="0.3">
      <c r="A370" t="s">
        <v>771</v>
      </c>
      <c r="B370" t="s">
        <v>2375</v>
      </c>
      <c r="C370" t="s">
        <v>2999</v>
      </c>
      <c r="D370" t="s">
        <v>3370</v>
      </c>
    </row>
    <row r="371" spans="1:4" x14ac:dyDescent="0.3">
      <c r="A371" t="s">
        <v>774</v>
      </c>
      <c r="B371" t="s">
        <v>2375</v>
      </c>
      <c r="C371" t="s">
        <v>3001</v>
      </c>
      <c r="D371" t="s">
        <v>3371</v>
      </c>
    </row>
    <row r="372" spans="1:4" x14ac:dyDescent="0.3">
      <c r="A372" t="s">
        <v>775</v>
      </c>
      <c r="B372" t="s">
        <v>2376</v>
      </c>
      <c r="C372" t="s">
        <v>2994</v>
      </c>
      <c r="D372" t="s">
        <v>3372</v>
      </c>
    </row>
    <row r="373" spans="1:4" x14ac:dyDescent="0.3">
      <c r="A373" t="s">
        <v>776</v>
      </c>
      <c r="B373" t="s">
        <v>2376</v>
      </c>
      <c r="C373" t="s">
        <v>3001</v>
      </c>
      <c r="D373" t="s">
        <v>3373</v>
      </c>
    </row>
    <row r="374" spans="1:4" x14ac:dyDescent="0.3">
      <c r="A374" t="s">
        <v>777</v>
      </c>
      <c r="B374" t="s">
        <v>2377</v>
      </c>
      <c r="C374" t="s">
        <v>2999</v>
      </c>
      <c r="D374" t="s">
        <v>3374</v>
      </c>
    </row>
    <row r="375" spans="1:4" x14ac:dyDescent="0.3">
      <c r="A375" t="s">
        <v>779</v>
      </c>
      <c r="B375" t="s">
        <v>2377</v>
      </c>
      <c r="C375" t="s">
        <v>3001</v>
      </c>
      <c r="D375" t="s">
        <v>3375</v>
      </c>
    </row>
    <row r="376" spans="1:4" x14ac:dyDescent="0.3">
      <c r="A376" t="s">
        <v>780</v>
      </c>
      <c r="B376" t="s">
        <v>2378</v>
      </c>
      <c r="C376" t="s">
        <v>2999</v>
      </c>
      <c r="D376" t="s">
        <v>3376</v>
      </c>
    </row>
    <row r="377" spans="1:4" x14ac:dyDescent="0.3">
      <c r="A377" t="s">
        <v>783</v>
      </c>
      <c r="B377" t="s">
        <v>2379</v>
      </c>
      <c r="C377" t="s">
        <v>2999</v>
      </c>
      <c r="D377" t="s">
        <v>3377</v>
      </c>
    </row>
    <row r="378" spans="1:4" x14ac:dyDescent="0.3">
      <c r="A378" t="s">
        <v>785</v>
      </c>
      <c r="B378" t="s">
        <v>2380</v>
      </c>
      <c r="C378" t="s">
        <v>2999</v>
      </c>
      <c r="D378" t="s">
        <v>3378</v>
      </c>
    </row>
    <row r="379" spans="1:4" x14ac:dyDescent="0.3">
      <c r="A379" t="s">
        <v>787</v>
      </c>
      <c r="B379" t="s">
        <v>2381</v>
      </c>
      <c r="C379" t="s">
        <v>2994</v>
      </c>
      <c r="D379" t="s">
        <v>3379</v>
      </c>
    </row>
    <row r="380" spans="1:4" x14ac:dyDescent="0.3">
      <c r="A380" t="s">
        <v>790</v>
      </c>
      <c r="B380" t="s">
        <v>2381</v>
      </c>
      <c r="C380" t="s">
        <v>2999</v>
      </c>
      <c r="D380" t="s">
        <v>3380</v>
      </c>
    </row>
    <row r="381" spans="1:4" x14ac:dyDescent="0.3">
      <c r="A381" t="s">
        <v>791</v>
      </c>
      <c r="B381" t="s">
        <v>2381</v>
      </c>
      <c r="C381" t="s">
        <v>3001</v>
      </c>
      <c r="D381" t="s">
        <v>3381</v>
      </c>
    </row>
    <row r="382" spans="1:4" x14ac:dyDescent="0.3">
      <c r="A382" t="s">
        <v>792</v>
      </c>
      <c r="B382" t="s">
        <v>2382</v>
      </c>
      <c r="C382" t="s">
        <v>3001</v>
      </c>
      <c r="D382" t="s">
        <v>3382</v>
      </c>
    </row>
    <row r="383" spans="1:4" x14ac:dyDescent="0.3">
      <c r="A383" t="s">
        <v>795</v>
      </c>
      <c r="B383" t="s">
        <v>2383</v>
      </c>
      <c r="C383" t="s">
        <v>3001</v>
      </c>
      <c r="D383" t="s">
        <v>3383</v>
      </c>
    </row>
    <row r="384" spans="1:4" x14ac:dyDescent="0.3">
      <c r="A384" t="s">
        <v>797</v>
      </c>
      <c r="B384" t="s">
        <v>2384</v>
      </c>
      <c r="C384" t="s">
        <v>3001</v>
      </c>
      <c r="D384" t="s">
        <v>3384</v>
      </c>
    </row>
    <row r="385" spans="1:4" x14ac:dyDescent="0.3">
      <c r="A385" t="s">
        <v>800</v>
      </c>
      <c r="B385" t="s">
        <v>2385</v>
      </c>
      <c r="C385" t="s">
        <v>2999</v>
      </c>
      <c r="D385" t="s">
        <v>3385</v>
      </c>
    </row>
    <row r="386" spans="1:4" x14ac:dyDescent="0.3">
      <c r="A386" t="s">
        <v>801</v>
      </c>
      <c r="B386" t="s">
        <v>2386</v>
      </c>
      <c r="C386" t="s">
        <v>2999</v>
      </c>
      <c r="D386" t="s">
        <v>3386</v>
      </c>
    </row>
    <row r="387" spans="1:4" x14ac:dyDescent="0.3">
      <c r="A387" t="s">
        <v>802</v>
      </c>
      <c r="B387" t="s">
        <v>2387</v>
      </c>
      <c r="C387" t="s">
        <v>2996</v>
      </c>
      <c r="D387" t="s">
        <v>3387</v>
      </c>
    </row>
    <row r="388" spans="1:4" x14ac:dyDescent="0.3">
      <c r="A388" t="s">
        <v>805</v>
      </c>
      <c r="B388" t="s">
        <v>2387</v>
      </c>
      <c r="C388" t="s">
        <v>2999</v>
      </c>
      <c r="D388" t="s">
        <v>3369</v>
      </c>
    </row>
    <row r="389" spans="1:4" x14ac:dyDescent="0.3">
      <c r="A389" t="s">
        <v>808</v>
      </c>
      <c r="B389" t="s">
        <v>2387</v>
      </c>
      <c r="C389" t="s">
        <v>3001</v>
      </c>
      <c r="D389" t="s">
        <v>3388</v>
      </c>
    </row>
    <row r="390" spans="1:4" x14ac:dyDescent="0.3">
      <c r="A390" t="s">
        <v>809</v>
      </c>
      <c r="B390" t="s">
        <v>2388</v>
      </c>
      <c r="C390" t="s">
        <v>2994</v>
      </c>
      <c r="D390" t="s">
        <v>3389</v>
      </c>
    </row>
    <row r="391" spans="1:4" x14ac:dyDescent="0.3">
      <c r="A391" t="s">
        <v>811</v>
      </c>
      <c r="B391" t="s">
        <v>2389</v>
      </c>
      <c r="C391" t="s">
        <v>2999</v>
      </c>
      <c r="D391" t="s">
        <v>3390</v>
      </c>
    </row>
    <row r="392" spans="1:4" x14ac:dyDescent="0.3">
      <c r="A392" t="s">
        <v>813</v>
      </c>
      <c r="B392" t="s">
        <v>2390</v>
      </c>
      <c r="C392" t="s">
        <v>2999</v>
      </c>
      <c r="D392" t="s">
        <v>3391</v>
      </c>
    </row>
    <row r="393" spans="1:4" x14ac:dyDescent="0.3">
      <c r="A393" t="s">
        <v>814</v>
      </c>
      <c r="B393" t="s">
        <v>2391</v>
      </c>
      <c r="C393" t="s">
        <v>2999</v>
      </c>
      <c r="D393" t="s">
        <v>3392</v>
      </c>
    </row>
    <row r="394" spans="1:4" x14ac:dyDescent="0.3">
      <c r="A394" t="s">
        <v>817</v>
      </c>
      <c r="B394" t="s">
        <v>2391</v>
      </c>
      <c r="C394" t="s">
        <v>3001</v>
      </c>
      <c r="D394" t="s">
        <v>3393</v>
      </c>
    </row>
    <row r="395" spans="1:4" x14ac:dyDescent="0.3">
      <c r="A395" t="s">
        <v>818</v>
      </c>
      <c r="B395" t="s">
        <v>2392</v>
      </c>
      <c r="C395" t="s">
        <v>2999</v>
      </c>
      <c r="D395" t="s">
        <v>3394</v>
      </c>
    </row>
    <row r="396" spans="1:4" x14ac:dyDescent="0.3">
      <c r="A396" t="s">
        <v>821</v>
      </c>
      <c r="B396" t="s">
        <v>2393</v>
      </c>
      <c r="C396" t="s">
        <v>2999</v>
      </c>
      <c r="D396" t="s">
        <v>3153</v>
      </c>
    </row>
    <row r="397" spans="1:4" x14ac:dyDescent="0.3">
      <c r="A397" t="s">
        <v>823</v>
      </c>
      <c r="B397" t="s">
        <v>2394</v>
      </c>
      <c r="C397" t="s">
        <v>2994</v>
      </c>
      <c r="D397" t="s">
        <v>3395</v>
      </c>
    </row>
    <row r="398" spans="1:4" x14ac:dyDescent="0.3">
      <c r="A398" t="s">
        <v>825</v>
      </c>
      <c r="B398" t="s">
        <v>2394</v>
      </c>
      <c r="C398" t="s">
        <v>3001</v>
      </c>
      <c r="D398" t="s">
        <v>3396</v>
      </c>
    </row>
    <row r="399" spans="1:4" x14ac:dyDescent="0.3">
      <c r="A399" t="s">
        <v>826</v>
      </c>
      <c r="B399" t="s">
        <v>2395</v>
      </c>
      <c r="C399" t="s">
        <v>2999</v>
      </c>
      <c r="D399" t="s">
        <v>3397</v>
      </c>
    </row>
    <row r="400" spans="1:4" x14ac:dyDescent="0.3">
      <c r="A400" t="s">
        <v>828</v>
      </c>
      <c r="B400" t="s">
        <v>2396</v>
      </c>
      <c r="C400" t="s">
        <v>2996</v>
      </c>
      <c r="D400" t="s">
        <v>3398</v>
      </c>
    </row>
    <row r="401" spans="1:4" x14ac:dyDescent="0.3">
      <c r="A401" t="s">
        <v>830</v>
      </c>
      <c r="B401" t="s">
        <v>2396</v>
      </c>
      <c r="C401" t="s">
        <v>2999</v>
      </c>
      <c r="D401" t="s">
        <v>3399</v>
      </c>
    </row>
    <row r="402" spans="1:4" x14ac:dyDescent="0.3">
      <c r="A402" t="s">
        <v>831</v>
      </c>
      <c r="B402" t="s">
        <v>2396</v>
      </c>
      <c r="C402" t="s">
        <v>3001</v>
      </c>
      <c r="D402" t="s">
        <v>3400</v>
      </c>
    </row>
    <row r="403" spans="1:4" x14ac:dyDescent="0.3">
      <c r="A403" t="s">
        <v>832</v>
      </c>
      <c r="B403" t="s">
        <v>2397</v>
      </c>
      <c r="C403" t="s">
        <v>2994</v>
      </c>
      <c r="D403" t="s">
        <v>3401</v>
      </c>
    </row>
    <row r="404" spans="1:4" x14ac:dyDescent="0.3">
      <c r="A404" t="s">
        <v>835</v>
      </c>
      <c r="B404" t="s">
        <v>2397</v>
      </c>
      <c r="C404" t="s">
        <v>2994</v>
      </c>
      <c r="D404" t="s">
        <v>3402</v>
      </c>
    </row>
    <row r="405" spans="1:4" x14ac:dyDescent="0.3">
      <c r="A405" t="s">
        <v>837</v>
      </c>
      <c r="B405" t="s">
        <v>2398</v>
      </c>
      <c r="C405" t="s">
        <v>2999</v>
      </c>
      <c r="D405" t="s">
        <v>3403</v>
      </c>
    </row>
    <row r="406" spans="1:4" x14ac:dyDescent="0.3">
      <c r="A406" t="s">
        <v>839</v>
      </c>
      <c r="B406" t="s">
        <v>2399</v>
      </c>
      <c r="C406" t="s">
        <v>2999</v>
      </c>
      <c r="D406" t="s">
        <v>3404</v>
      </c>
    </row>
    <row r="407" spans="1:4" x14ac:dyDescent="0.3">
      <c r="A407" t="s">
        <v>841</v>
      </c>
      <c r="B407" t="s">
        <v>2400</v>
      </c>
      <c r="C407" t="s">
        <v>2999</v>
      </c>
      <c r="D407" t="s">
        <v>3405</v>
      </c>
    </row>
    <row r="408" spans="1:4" x14ac:dyDescent="0.3">
      <c r="A408" t="s">
        <v>843</v>
      </c>
      <c r="B408" t="s">
        <v>2401</v>
      </c>
      <c r="C408" t="s">
        <v>2999</v>
      </c>
      <c r="D408" t="s">
        <v>3003</v>
      </c>
    </row>
    <row r="409" spans="1:4" x14ac:dyDescent="0.3">
      <c r="A409" t="s">
        <v>845</v>
      </c>
      <c r="B409" t="s">
        <v>2401</v>
      </c>
      <c r="C409" t="s">
        <v>3001</v>
      </c>
      <c r="D409" t="s">
        <v>3406</v>
      </c>
    </row>
    <row r="410" spans="1:4" x14ac:dyDescent="0.3">
      <c r="A410" t="s">
        <v>846</v>
      </c>
      <c r="B410" t="s">
        <v>2402</v>
      </c>
      <c r="C410" t="s">
        <v>2999</v>
      </c>
      <c r="D410" t="s">
        <v>3407</v>
      </c>
    </row>
    <row r="411" spans="1:4" x14ac:dyDescent="0.3">
      <c r="A411" t="s">
        <v>849</v>
      </c>
      <c r="B411" t="s">
        <v>2403</v>
      </c>
      <c r="C411" t="s">
        <v>2999</v>
      </c>
      <c r="D411" t="s">
        <v>3408</v>
      </c>
    </row>
    <row r="412" spans="1:4" x14ac:dyDescent="0.3">
      <c r="A412" t="s">
        <v>850</v>
      </c>
      <c r="B412" t="s">
        <v>2404</v>
      </c>
      <c r="C412" t="s">
        <v>2999</v>
      </c>
      <c r="D412" t="s">
        <v>3409</v>
      </c>
    </row>
    <row r="413" spans="1:4" x14ac:dyDescent="0.3">
      <c r="A413" t="s">
        <v>851</v>
      </c>
      <c r="B413" t="s">
        <v>2405</v>
      </c>
      <c r="C413" t="s">
        <v>2994</v>
      </c>
      <c r="D413" t="s">
        <v>3410</v>
      </c>
    </row>
    <row r="414" spans="1:4" x14ac:dyDescent="0.3">
      <c r="A414" t="s">
        <v>853</v>
      </c>
      <c r="B414" t="s">
        <v>2406</v>
      </c>
      <c r="C414" t="s">
        <v>2999</v>
      </c>
      <c r="D414" t="s">
        <v>3411</v>
      </c>
    </row>
    <row r="415" spans="1:4" x14ac:dyDescent="0.3">
      <c r="A415" t="s">
        <v>855</v>
      </c>
      <c r="B415" t="s">
        <v>2407</v>
      </c>
      <c r="C415" t="s">
        <v>2999</v>
      </c>
      <c r="D415" t="s">
        <v>3003</v>
      </c>
    </row>
    <row r="416" spans="1:4" x14ac:dyDescent="0.3">
      <c r="A416" t="s">
        <v>857</v>
      </c>
      <c r="B416" t="s">
        <v>2407</v>
      </c>
      <c r="C416" t="s">
        <v>2999</v>
      </c>
      <c r="D416" t="s">
        <v>3412</v>
      </c>
    </row>
    <row r="417" spans="1:4" x14ac:dyDescent="0.3">
      <c r="A417" t="s">
        <v>858</v>
      </c>
      <c r="B417" t="s">
        <v>2408</v>
      </c>
      <c r="C417" t="s">
        <v>2994</v>
      </c>
      <c r="D417" t="s">
        <v>3413</v>
      </c>
    </row>
    <row r="418" spans="1:4" x14ac:dyDescent="0.3">
      <c r="A418" t="s">
        <v>859</v>
      </c>
      <c r="B418" t="s">
        <v>2409</v>
      </c>
      <c r="C418" t="s">
        <v>2999</v>
      </c>
      <c r="D418" t="s">
        <v>3414</v>
      </c>
    </row>
    <row r="419" spans="1:4" x14ac:dyDescent="0.3">
      <c r="A419" t="s">
        <v>860</v>
      </c>
      <c r="B419" t="s">
        <v>2410</v>
      </c>
      <c r="C419" t="s">
        <v>2999</v>
      </c>
      <c r="D419" t="s">
        <v>3347</v>
      </c>
    </row>
    <row r="420" spans="1:4" x14ac:dyDescent="0.3">
      <c r="A420" t="s">
        <v>861</v>
      </c>
      <c r="B420" t="s">
        <v>2411</v>
      </c>
      <c r="C420" t="s">
        <v>2999</v>
      </c>
      <c r="D420" t="s">
        <v>3153</v>
      </c>
    </row>
    <row r="421" spans="1:4" x14ac:dyDescent="0.3">
      <c r="A421" t="s">
        <v>864</v>
      </c>
      <c r="B421" t="s">
        <v>2412</v>
      </c>
      <c r="C421" t="s">
        <v>2999</v>
      </c>
      <c r="D421" t="s">
        <v>3415</v>
      </c>
    </row>
    <row r="422" spans="1:4" x14ac:dyDescent="0.3">
      <c r="A422" t="s">
        <v>866</v>
      </c>
      <c r="B422" t="s">
        <v>2412</v>
      </c>
      <c r="C422" t="s">
        <v>2999</v>
      </c>
      <c r="D422" t="s">
        <v>3416</v>
      </c>
    </row>
    <row r="423" spans="1:4" x14ac:dyDescent="0.3">
      <c r="A423" t="s">
        <v>867</v>
      </c>
      <c r="B423" t="s">
        <v>2412</v>
      </c>
      <c r="C423" t="s">
        <v>2999</v>
      </c>
      <c r="D423" t="s">
        <v>3417</v>
      </c>
    </row>
    <row r="424" spans="1:4" x14ac:dyDescent="0.3">
      <c r="A424" t="s">
        <v>869</v>
      </c>
      <c r="B424" t="s">
        <v>2413</v>
      </c>
      <c r="C424" t="s">
        <v>2999</v>
      </c>
      <c r="D424" t="s">
        <v>3418</v>
      </c>
    </row>
    <row r="425" spans="1:4" x14ac:dyDescent="0.3">
      <c r="A425" t="s">
        <v>871</v>
      </c>
      <c r="B425" t="s">
        <v>2414</v>
      </c>
      <c r="C425" t="s">
        <v>2999</v>
      </c>
      <c r="D425" t="s">
        <v>3419</v>
      </c>
    </row>
    <row r="426" spans="1:4" x14ac:dyDescent="0.3">
      <c r="A426" t="s">
        <v>872</v>
      </c>
      <c r="B426" t="s">
        <v>2415</v>
      </c>
      <c r="C426" t="s">
        <v>2999</v>
      </c>
      <c r="D426" t="s">
        <v>3420</v>
      </c>
    </row>
    <row r="427" spans="1:4" x14ac:dyDescent="0.3">
      <c r="A427" t="s">
        <v>873</v>
      </c>
      <c r="B427" t="s">
        <v>2416</v>
      </c>
      <c r="C427" t="s">
        <v>2999</v>
      </c>
      <c r="D427" t="s">
        <v>3327</v>
      </c>
    </row>
    <row r="428" spans="1:4" x14ac:dyDescent="0.3">
      <c r="A428" t="s">
        <v>874</v>
      </c>
      <c r="B428" t="s">
        <v>2417</v>
      </c>
      <c r="C428" t="s">
        <v>2999</v>
      </c>
      <c r="D428" t="s">
        <v>3421</v>
      </c>
    </row>
    <row r="429" spans="1:4" x14ac:dyDescent="0.3">
      <c r="A429" t="s">
        <v>876</v>
      </c>
      <c r="B429" t="s">
        <v>2418</v>
      </c>
      <c r="C429" t="s">
        <v>2996</v>
      </c>
      <c r="D429" t="s">
        <v>3422</v>
      </c>
    </row>
    <row r="430" spans="1:4" x14ac:dyDescent="0.3">
      <c r="A430" t="s">
        <v>878</v>
      </c>
      <c r="B430" t="s">
        <v>2418</v>
      </c>
      <c r="C430" t="s">
        <v>3001</v>
      </c>
      <c r="D430" t="s">
        <v>3423</v>
      </c>
    </row>
    <row r="431" spans="1:4" x14ac:dyDescent="0.3">
      <c r="A431" t="s">
        <v>879</v>
      </c>
      <c r="B431" t="s">
        <v>2419</v>
      </c>
      <c r="C431" t="s">
        <v>2999</v>
      </c>
      <c r="D431" t="s">
        <v>3424</v>
      </c>
    </row>
    <row r="432" spans="1:4" x14ac:dyDescent="0.3">
      <c r="A432" t="s">
        <v>881</v>
      </c>
      <c r="B432" t="s">
        <v>2217</v>
      </c>
      <c r="C432" t="s">
        <v>2994</v>
      </c>
      <c r="D432" t="s">
        <v>3425</v>
      </c>
    </row>
    <row r="433" spans="1:4" x14ac:dyDescent="0.3">
      <c r="A433" t="s">
        <v>883</v>
      </c>
      <c r="B433" t="s">
        <v>2217</v>
      </c>
      <c r="C433" t="s">
        <v>3338</v>
      </c>
      <c r="D433" t="s">
        <v>3109</v>
      </c>
    </row>
    <row r="434" spans="1:4" x14ac:dyDescent="0.3">
      <c r="A434" t="s">
        <v>884</v>
      </c>
      <c r="B434" t="s">
        <v>2219</v>
      </c>
      <c r="C434" t="s">
        <v>2999</v>
      </c>
      <c r="D434" t="s">
        <v>3325</v>
      </c>
    </row>
    <row r="435" spans="1:4" x14ac:dyDescent="0.3">
      <c r="A435" t="s">
        <v>886</v>
      </c>
      <c r="B435" t="s">
        <v>2219</v>
      </c>
      <c r="C435" t="s">
        <v>2999</v>
      </c>
      <c r="D435" t="s">
        <v>3426</v>
      </c>
    </row>
    <row r="436" spans="1:4" x14ac:dyDescent="0.3">
      <c r="A436" t="s">
        <v>889</v>
      </c>
      <c r="B436" t="s">
        <v>2420</v>
      </c>
      <c r="C436" t="s">
        <v>2994</v>
      </c>
      <c r="D436" t="s">
        <v>3427</v>
      </c>
    </row>
    <row r="437" spans="1:4" x14ac:dyDescent="0.3">
      <c r="A437" t="s">
        <v>892</v>
      </c>
      <c r="B437" t="s">
        <v>2420</v>
      </c>
      <c r="C437" t="s">
        <v>2999</v>
      </c>
      <c r="D437" t="s">
        <v>3145</v>
      </c>
    </row>
    <row r="438" spans="1:4" x14ac:dyDescent="0.3">
      <c r="A438" t="s">
        <v>893</v>
      </c>
      <c r="B438" t="s">
        <v>2420</v>
      </c>
      <c r="C438" t="s">
        <v>3001</v>
      </c>
      <c r="D438" t="s">
        <v>3428</v>
      </c>
    </row>
    <row r="439" spans="1:4" x14ac:dyDescent="0.3">
      <c r="A439" t="s">
        <v>894</v>
      </c>
      <c r="B439" t="s">
        <v>2421</v>
      </c>
      <c r="C439" t="s">
        <v>2994</v>
      </c>
      <c r="D439" t="s">
        <v>3075</v>
      </c>
    </row>
    <row r="440" spans="1:4" x14ac:dyDescent="0.3">
      <c r="A440" t="s">
        <v>896</v>
      </c>
      <c r="B440" t="s">
        <v>2421</v>
      </c>
      <c r="C440" t="s">
        <v>2994</v>
      </c>
      <c r="D440" t="s">
        <v>3359</v>
      </c>
    </row>
    <row r="441" spans="1:4" x14ac:dyDescent="0.3">
      <c r="A441" t="s">
        <v>897</v>
      </c>
      <c r="B441" t="s">
        <v>2421</v>
      </c>
      <c r="C441" t="s">
        <v>2999</v>
      </c>
      <c r="D441" t="s">
        <v>3327</v>
      </c>
    </row>
    <row r="442" spans="1:4" x14ac:dyDescent="0.3">
      <c r="A442" t="s">
        <v>898</v>
      </c>
      <c r="B442" t="s">
        <v>2421</v>
      </c>
      <c r="C442" t="s">
        <v>3001</v>
      </c>
      <c r="D442" t="s">
        <v>3429</v>
      </c>
    </row>
    <row r="443" spans="1:4" x14ac:dyDescent="0.3">
      <c r="A443" t="s">
        <v>899</v>
      </c>
      <c r="B443" t="s">
        <v>2422</v>
      </c>
      <c r="C443" t="s">
        <v>3001</v>
      </c>
      <c r="D443" t="s">
        <v>3430</v>
      </c>
    </row>
    <row r="444" spans="1:4" x14ac:dyDescent="0.3">
      <c r="A444" t="s">
        <v>901</v>
      </c>
      <c r="B444" t="s">
        <v>2423</v>
      </c>
      <c r="C444" t="s">
        <v>2999</v>
      </c>
      <c r="D444" t="s">
        <v>3431</v>
      </c>
    </row>
    <row r="445" spans="1:4" x14ac:dyDescent="0.3">
      <c r="A445" t="s">
        <v>903</v>
      </c>
      <c r="B445" t="s">
        <v>2423</v>
      </c>
      <c r="C445" t="s">
        <v>2999</v>
      </c>
      <c r="D445" t="s">
        <v>3432</v>
      </c>
    </row>
    <row r="446" spans="1:4" x14ac:dyDescent="0.3">
      <c r="A446" t="s">
        <v>904</v>
      </c>
      <c r="B446" t="s">
        <v>2423</v>
      </c>
      <c r="C446" t="s">
        <v>2999</v>
      </c>
      <c r="D446" t="s">
        <v>3433</v>
      </c>
    </row>
    <row r="447" spans="1:4" x14ac:dyDescent="0.3">
      <c r="A447" t="s">
        <v>905</v>
      </c>
      <c r="B447" t="s">
        <v>2424</v>
      </c>
      <c r="C447" t="s">
        <v>2994</v>
      </c>
      <c r="D447" t="s">
        <v>3434</v>
      </c>
    </row>
    <row r="448" spans="1:4" x14ac:dyDescent="0.3">
      <c r="A448" t="s">
        <v>907</v>
      </c>
      <c r="B448" t="s">
        <v>2425</v>
      </c>
      <c r="C448" t="s">
        <v>2994</v>
      </c>
      <c r="D448" t="s">
        <v>3013</v>
      </c>
    </row>
    <row r="449" spans="1:4" x14ac:dyDescent="0.3">
      <c r="A449" t="s">
        <v>909</v>
      </c>
      <c r="B449" t="s">
        <v>2425</v>
      </c>
      <c r="C449" t="s">
        <v>2999</v>
      </c>
      <c r="D449" t="s">
        <v>3435</v>
      </c>
    </row>
    <row r="450" spans="1:4" x14ac:dyDescent="0.3">
      <c r="A450" t="s">
        <v>910</v>
      </c>
      <c r="B450" t="s">
        <v>2425</v>
      </c>
      <c r="C450" t="s">
        <v>2999</v>
      </c>
      <c r="D450" t="s">
        <v>3436</v>
      </c>
    </row>
    <row r="451" spans="1:4" x14ac:dyDescent="0.3">
      <c r="A451" t="s">
        <v>912</v>
      </c>
      <c r="B451" t="s">
        <v>2425</v>
      </c>
      <c r="C451" t="s">
        <v>3001</v>
      </c>
      <c r="D451" t="s">
        <v>3437</v>
      </c>
    </row>
    <row r="452" spans="1:4" x14ac:dyDescent="0.3">
      <c r="A452" t="s">
        <v>913</v>
      </c>
      <c r="B452" t="s">
        <v>2426</v>
      </c>
      <c r="C452" t="s">
        <v>2999</v>
      </c>
      <c r="D452" t="s">
        <v>3438</v>
      </c>
    </row>
    <row r="453" spans="1:4" x14ac:dyDescent="0.3">
      <c r="A453" t="s">
        <v>914</v>
      </c>
      <c r="B453" t="s">
        <v>2427</v>
      </c>
      <c r="C453" t="s">
        <v>2999</v>
      </c>
      <c r="D453" t="s">
        <v>3439</v>
      </c>
    </row>
    <row r="454" spans="1:4" x14ac:dyDescent="0.3">
      <c r="A454" t="s">
        <v>916</v>
      </c>
      <c r="B454" t="s">
        <v>2427</v>
      </c>
      <c r="C454" t="s">
        <v>3001</v>
      </c>
      <c r="D454" t="s">
        <v>3440</v>
      </c>
    </row>
    <row r="455" spans="1:4" x14ac:dyDescent="0.3">
      <c r="A455" t="s">
        <v>917</v>
      </c>
      <c r="B455" t="s">
        <v>2428</v>
      </c>
      <c r="C455" t="s">
        <v>2999</v>
      </c>
      <c r="D455" t="s">
        <v>3441</v>
      </c>
    </row>
    <row r="456" spans="1:4" x14ac:dyDescent="0.3">
      <c r="A456" t="s">
        <v>918</v>
      </c>
      <c r="B456" t="s">
        <v>2429</v>
      </c>
      <c r="C456" t="s">
        <v>2999</v>
      </c>
      <c r="D456" t="s">
        <v>3442</v>
      </c>
    </row>
    <row r="457" spans="1:4" x14ac:dyDescent="0.3">
      <c r="A457" t="s">
        <v>920</v>
      </c>
      <c r="B457" t="s">
        <v>2430</v>
      </c>
      <c r="C457" t="s">
        <v>2999</v>
      </c>
      <c r="D457" t="s">
        <v>3145</v>
      </c>
    </row>
    <row r="458" spans="1:4" x14ac:dyDescent="0.3">
      <c r="A458" t="s">
        <v>922</v>
      </c>
      <c r="B458" t="s">
        <v>2430</v>
      </c>
      <c r="C458" t="s">
        <v>3001</v>
      </c>
      <c r="D458" t="s">
        <v>3443</v>
      </c>
    </row>
    <row r="459" spans="1:4" x14ac:dyDescent="0.3">
      <c r="A459" t="s">
        <v>923</v>
      </c>
      <c r="B459" t="s">
        <v>2431</v>
      </c>
      <c r="C459" t="s">
        <v>2999</v>
      </c>
      <c r="D459" t="s">
        <v>3444</v>
      </c>
    </row>
    <row r="460" spans="1:4" x14ac:dyDescent="0.3">
      <c r="A460" t="s">
        <v>925</v>
      </c>
      <c r="B460" t="s">
        <v>2432</v>
      </c>
      <c r="C460" t="s">
        <v>2994</v>
      </c>
      <c r="D460" t="s">
        <v>3185</v>
      </c>
    </row>
    <row r="461" spans="1:4" x14ac:dyDescent="0.3">
      <c r="A461" t="s">
        <v>927</v>
      </c>
      <c r="B461" t="s">
        <v>2433</v>
      </c>
      <c r="C461" t="s">
        <v>2999</v>
      </c>
      <c r="D461" t="s">
        <v>3445</v>
      </c>
    </row>
    <row r="462" spans="1:4" x14ac:dyDescent="0.3">
      <c r="A462" t="s">
        <v>928</v>
      </c>
      <c r="B462" t="s">
        <v>2433</v>
      </c>
      <c r="C462" t="s">
        <v>3001</v>
      </c>
      <c r="D462" t="s">
        <v>3446</v>
      </c>
    </row>
    <row r="463" spans="1:4" x14ac:dyDescent="0.3">
      <c r="A463" t="s">
        <v>929</v>
      </c>
      <c r="B463" t="s">
        <v>2434</v>
      </c>
      <c r="C463" t="s">
        <v>2999</v>
      </c>
      <c r="D463" t="s">
        <v>3447</v>
      </c>
    </row>
    <row r="464" spans="1:4" x14ac:dyDescent="0.3">
      <c r="A464" t="s">
        <v>931</v>
      </c>
      <c r="B464" t="s">
        <v>2435</v>
      </c>
      <c r="C464" t="s">
        <v>2999</v>
      </c>
      <c r="D464" t="s">
        <v>3448</v>
      </c>
    </row>
    <row r="465" spans="1:4" x14ac:dyDescent="0.3">
      <c r="A465" t="s">
        <v>932</v>
      </c>
      <c r="B465" t="s">
        <v>2435</v>
      </c>
      <c r="C465" t="s">
        <v>2999</v>
      </c>
      <c r="D465" t="s">
        <v>3449</v>
      </c>
    </row>
    <row r="466" spans="1:4" x14ac:dyDescent="0.3">
      <c r="A466" t="s">
        <v>933</v>
      </c>
      <c r="B466" t="s">
        <v>2436</v>
      </c>
      <c r="C466" t="s">
        <v>2999</v>
      </c>
      <c r="D466" t="s">
        <v>3450</v>
      </c>
    </row>
    <row r="467" spans="1:4" x14ac:dyDescent="0.3">
      <c r="A467" t="s">
        <v>936</v>
      </c>
      <c r="B467" t="s">
        <v>2437</v>
      </c>
      <c r="C467" t="s">
        <v>3001</v>
      </c>
      <c r="D467" t="s">
        <v>3451</v>
      </c>
    </row>
    <row r="468" spans="1:4" x14ac:dyDescent="0.3">
      <c r="A468" t="s">
        <v>938</v>
      </c>
      <c r="B468" t="s">
        <v>2438</v>
      </c>
      <c r="C468" t="s">
        <v>2999</v>
      </c>
      <c r="D468" t="s">
        <v>3452</v>
      </c>
    </row>
    <row r="469" spans="1:4" x14ac:dyDescent="0.3">
      <c r="A469" t="s">
        <v>940</v>
      </c>
      <c r="B469" t="s">
        <v>2438</v>
      </c>
      <c r="C469" t="s">
        <v>3001</v>
      </c>
      <c r="D469" t="s">
        <v>3453</v>
      </c>
    </row>
    <row r="470" spans="1:4" x14ac:dyDescent="0.3">
      <c r="A470" t="s">
        <v>941</v>
      </c>
      <c r="B470" t="s">
        <v>2439</v>
      </c>
      <c r="C470" t="s">
        <v>3001</v>
      </c>
      <c r="D470" t="s">
        <v>3454</v>
      </c>
    </row>
    <row r="471" spans="1:4" x14ac:dyDescent="0.3">
      <c r="A471" t="s">
        <v>943</v>
      </c>
      <c r="B471" t="s">
        <v>2440</v>
      </c>
      <c r="C471" t="s">
        <v>2994</v>
      </c>
      <c r="D471" t="s">
        <v>3455</v>
      </c>
    </row>
    <row r="472" spans="1:4" x14ac:dyDescent="0.3">
      <c r="A472" t="s">
        <v>946</v>
      </c>
      <c r="B472" t="s">
        <v>2440</v>
      </c>
      <c r="C472" t="s">
        <v>2999</v>
      </c>
      <c r="D472" t="s">
        <v>3456</v>
      </c>
    </row>
    <row r="473" spans="1:4" x14ac:dyDescent="0.3">
      <c r="A473" t="s">
        <v>947</v>
      </c>
      <c r="B473" t="s">
        <v>2441</v>
      </c>
      <c r="C473" t="s">
        <v>3001</v>
      </c>
      <c r="D473" t="s">
        <v>3457</v>
      </c>
    </row>
    <row r="474" spans="1:4" x14ac:dyDescent="0.3">
      <c r="A474" t="s">
        <v>948</v>
      </c>
      <c r="B474" t="s">
        <v>2442</v>
      </c>
      <c r="C474" t="s">
        <v>3338</v>
      </c>
      <c r="D474" t="s">
        <v>3458</v>
      </c>
    </row>
    <row r="475" spans="1:4" x14ac:dyDescent="0.3">
      <c r="A475" t="s">
        <v>950</v>
      </c>
      <c r="B475" t="s">
        <v>2443</v>
      </c>
      <c r="C475" t="s">
        <v>2999</v>
      </c>
      <c r="D475" t="s">
        <v>3459</v>
      </c>
    </row>
    <row r="476" spans="1:4" x14ac:dyDescent="0.3">
      <c r="A476" t="s">
        <v>951</v>
      </c>
      <c r="B476" t="s">
        <v>2444</v>
      </c>
      <c r="C476" t="s">
        <v>2999</v>
      </c>
      <c r="D476" t="s">
        <v>3460</v>
      </c>
    </row>
    <row r="477" spans="1:4" x14ac:dyDescent="0.3">
      <c r="A477" t="s">
        <v>954</v>
      </c>
      <c r="B477" t="s">
        <v>2445</v>
      </c>
      <c r="C477" t="s">
        <v>3001</v>
      </c>
      <c r="D477" t="s">
        <v>3461</v>
      </c>
    </row>
    <row r="478" spans="1:4" x14ac:dyDescent="0.3">
      <c r="A478" t="s">
        <v>955</v>
      </c>
      <c r="B478" t="s">
        <v>2445</v>
      </c>
      <c r="C478" t="s">
        <v>3338</v>
      </c>
      <c r="D478" t="s">
        <v>3153</v>
      </c>
    </row>
    <row r="479" spans="1:4" x14ac:dyDescent="0.3">
      <c r="A479" t="s">
        <v>956</v>
      </c>
      <c r="B479" t="s">
        <v>2446</v>
      </c>
      <c r="C479" t="s">
        <v>2999</v>
      </c>
      <c r="D479" t="s">
        <v>3462</v>
      </c>
    </row>
    <row r="480" spans="1:4" x14ac:dyDescent="0.3">
      <c r="A480" t="s">
        <v>957</v>
      </c>
      <c r="B480" t="s">
        <v>2447</v>
      </c>
      <c r="C480" t="s">
        <v>2994</v>
      </c>
      <c r="D480" t="s">
        <v>3463</v>
      </c>
    </row>
    <row r="481" spans="1:4" x14ac:dyDescent="0.3">
      <c r="A481" t="s">
        <v>960</v>
      </c>
      <c r="B481" t="s">
        <v>2447</v>
      </c>
      <c r="C481" t="s">
        <v>2994</v>
      </c>
      <c r="D481" t="s">
        <v>3464</v>
      </c>
    </row>
    <row r="482" spans="1:4" x14ac:dyDescent="0.3">
      <c r="A482" t="s">
        <v>961</v>
      </c>
      <c r="B482" t="s">
        <v>2447</v>
      </c>
      <c r="C482" t="s">
        <v>2999</v>
      </c>
      <c r="D482" t="s">
        <v>3465</v>
      </c>
    </row>
    <row r="483" spans="1:4" x14ac:dyDescent="0.3">
      <c r="A483" t="s">
        <v>962</v>
      </c>
      <c r="B483" t="s">
        <v>2447</v>
      </c>
      <c r="C483" t="s">
        <v>3001</v>
      </c>
      <c r="D483" t="s">
        <v>3466</v>
      </c>
    </row>
    <row r="484" spans="1:4" x14ac:dyDescent="0.3">
      <c r="A484" t="s">
        <v>963</v>
      </c>
      <c r="B484" t="s">
        <v>2448</v>
      </c>
      <c r="C484" t="s">
        <v>2994</v>
      </c>
      <c r="D484" t="s">
        <v>3185</v>
      </c>
    </row>
    <row r="485" spans="1:4" x14ac:dyDescent="0.3">
      <c r="A485" t="s">
        <v>966</v>
      </c>
      <c r="B485" t="s">
        <v>2449</v>
      </c>
      <c r="C485" t="s">
        <v>2994</v>
      </c>
      <c r="D485" t="s">
        <v>3467</v>
      </c>
    </row>
    <row r="486" spans="1:4" x14ac:dyDescent="0.3">
      <c r="A486" t="s">
        <v>968</v>
      </c>
      <c r="B486" t="s">
        <v>2450</v>
      </c>
      <c r="C486" t="s">
        <v>3001</v>
      </c>
      <c r="D486" t="s">
        <v>3468</v>
      </c>
    </row>
    <row r="487" spans="1:4" x14ac:dyDescent="0.3">
      <c r="A487" t="s">
        <v>970</v>
      </c>
      <c r="B487" t="s">
        <v>2451</v>
      </c>
      <c r="C487" t="s">
        <v>2999</v>
      </c>
      <c r="D487" t="s">
        <v>3469</v>
      </c>
    </row>
    <row r="488" spans="1:4" x14ac:dyDescent="0.3">
      <c r="A488" t="s">
        <v>972</v>
      </c>
      <c r="B488" t="s">
        <v>2452</v>
      </c>
      <c r="C488" t="s">
        <v>2999</v>
      </c>
      <c r="D488" t="s">
        <v>3470</v>
      </c>
    </row>
    <row r="489" spans="1:4" x14ac:dyDescent="0.3">
      <c r="A489" t="s">
        <v>974</v>
      </c>
      <c r="B489" t="s">
        <v>2453</v>
      </c>
      <c r="C489" t="s">
        <v>2999</v>
      </c>
      <c r="D489" t="s">
        <v>3109</v>
      </c>
    </row>
    <row r="490" spans="1:4" x14ac:dyDescent="0.3">
      <c r="A490" t="s">
        <v>975</v>
      </c>
      <c r="B490" t="s">
        <v>2454</v>
      </c>
      <c r="C490" t="s">
        <v>2999</v>
      </c>
      <c r="D490" t="s">
        <v>3117</v>
      </c>
    </row>
    <row r="491" spans="1:4" x14ac:dyDescent="0.3">
      <c r="A491" t="s">
        <v>978</v>
      </c>
      <c r="B491" t="s">
        <v>2454</v>
      </c>
      <c r="C491" t="s">
        <v>3001</v>
      </c>
      <c r="D491" t="s">
        <v>3471</v>
      </c>
    </row>
    <row r="492" spans="1:4" x14ac:dyDescent="0.3">
      <c r="A492" t="s">
        <v>979</v>
      </c>
      <c r="B492" t="s">
        <v>2455</v>
      </c>
      <c r="C492" t="s">
        <v>3001</v>
      </c>
      <c r="D492" t="s">
        <v>3472</v>
      </c>
    </row>
    <row r="493" spans="1:4" x14ac:dyDescent="0.3">
      <c r="A493" t="s">
        <v>983</v>
      </c>
      <c r="B493" t="s">
        <v>2456</v>
      </c>
      <c r="C493" t="s">
        <v>2999</v>
      </c>
      <c r="D493" t="s">
        <v>3473</v>
      </c>
    </row>
    <row r="494" spans="1:4" x14ac:dyDescent="0.3">
      <c r="A494" t="s">
        <v>985</v>
      </c>
      <c r="B494" t="s">
        <v>2457</v>
      </c>
      <c r="C494" t="s">
        <v>2996</v>
      </c>
      <c r="D494" t="s">
        <v>3474</v>
      </c>
    </row>
    <row r="495" spans="1:4" x14ac:dyDescent="0.3">
      <c r="A495" t="s">
        <v>988</v>
      </c>
      <c r="B495" t="s">
        <v>2457</v>
      </c>
      <c r="C495" t="s">
        <v>2999</v>
      </c>
      <c r="D495" t="s">
        <v>3475</v>
      </c>
    </row>
    <row r="496" spans="1:4" x14ac:dyDescent="0.3">
      <c r="A496" t="s">
        <v>989</v>
      </c>
      <c r="B496" t="s">
        <v>2457</v>
      </c>
      <c r="C496" t="s">
        <v>3001</v>
      </c>
      <c r="D496" t="s">
        <v>3476</v>
      </c>
    </row>
    <row r="497" spans="1:4" x14ac:dyDescent="0.3">
      <c r="A497" t="s">
        <v>990</v>
      </c>
      <c r="B497" t="s">
        <v>2458</v>
      </c>
      <c r="C497" t="s">
        <v>2999</v>
      </c>
      <c r="D497" t="s">
        <v>3477</v>
      </c>
    </row>
    <row r="498" spans="1:4" x14ac:dyDescent="0.3">
      <c r="A498" t="s">
        <v>992</v>
      </c>
      <c r="B498" t="s">
        <v>2459</v>
      </c>
      <c r="C498" t="s">
        <v>2999</v>
      </c>
      <c r="D498" t="s">
        <v>3349</v>
      </c>
    </row>
    <row r="499" spans="1:4" x14ac:dyDescent="0.3">
      <c r="A499" t="s">
        <v>994</v>
      </c>
      <c r="B499" t="s">
        <v>2460</v>
      </c>
      <c r="C499" t="s">
        <v>2999</v>
      </c>
      <c r="D499" t="s">
        <v>3478</v>
      </c>
    </row>
    <row r="500" spans="1:4" x14ac:dyDescent="0.3">
      <c r="A500" t="s">
        <v>996</v>
      </c>
      <c r="B500" t="s">
        <v>2461</v>
      </c>
      <c r="C500" t="s">
        <v>2999</v>
      </c>
      <c r="D500" t="s">
        <v>3479</v>
      </c>
    </row>
    <row r="501" spans="1:4" x14ac:dyDescent="0.3">
      <c r="A501" t="s">
        <v>998</v>
      </c>
      <c r="B501" t="s">
        <v>2462</v>
      </c>
      <c r="C501" t="s">
        <v>2999</v>
      </c>
      <c r="D501" t="s">
        <v>3480</v>
      </c>
    </row>
    <row r="502" spans="1:4" x14ac:dyDescent="0.3">
      <c r="A502" t="s">
        <v>1000</v>
      </c>
      <c r="B502" t="s">
        <v>2463</v>
      </c>
      <c r="C502" t="s">
        <v>2999</v>
      </c>
      <c r="D502" t="s">
        <v>3481</v>
      </c>
    </row>
    <row r="503" spans="1:4" x14ac:dyDescent="0.3">
      <c r="A503" t="s">
        <v>1001</v>
      </c>
      <c r="B503" t="s">
        <v>2464</v>
      </c>
      <c r="C503" t="s">
        <v>2994</v>
      </c>
      <c r="D503" t="s">
        <v>3482</v>
      </c>
    </row>
    <row r="504" spans="1:4" x14ac:dyDescent="0.3">
      <c r="A504" t="s">
        <v>1003</v>
      </c>
      <c r="B504" t="s">
        <v>2464</v>
      </c>
      <c r="C504" t="s">
        <v>3001</v>
      </c>
      <c r="D504" t="s">
        <v>3483</v>
      </c>
    </row>
    <row r="505" spans="1:4" x14ac:dyDescent="0.3">
      <c r="A505" t="s">
        <v>1004</v>
      </c>
      <c r="B505" t="s">
        <v>2465</v>
      </c>
      <c r="C505" t="s">
        <v>2999</v>
      </c>
      <c r="D505" t="s">
        <v>3349</v>
      </c>
    </row>
    <row r="506" spans="1:4" x14ac:dyDescent="0.3">
      <c r="A506" t="s">
        <v>1007</v>
      </c>
      <c r="B506" t="s">
        <v>2263</v>
      </c>
      <c r="C506" t="s">
        <v>2999</v>
      </c>
      <c r="D506" t="s">
        <v>3484</v>
      </c>
    </row>
    <row r="507" spans="1:4" x14ac:dyDescent="0.3">
      <c r="A507" t="s">
        <v>1009</v>
      </c>
      <c r="B507" t="s">
        <v>2466</v>
      </c>
      <c r="C507" t="s">
        <v>2999</v>
      </c>
      <c r="D507" t="s">
        <v>3485</v>
      </c>
    </row>
    <row r="508" spans="1:4" x14ac:dyDescent="0.3">
      <c r="A508" t="s">
        <v>1011</v>
      </c>
      <c r="B508" t="s">
        <v>2467</v>
      </c>
      <c r="C508" t="s">
        <v>2999</v>
      </c>
      <c r="D508" t="s">
        <v>3486</v>
      </c>
    </row>
    <row r="509" spans="1:4" x14ac:dyDescent="0.3">
      <c r="A509" t="s">
        <v>1014</v>
      </c>
      <c r="B509" t="s">
        <v>2468</v>
      </c>
      <c r="C509" t="s">
        <v>3338</v>
      </c>
      <c r="D509" t="s">
        <v>3487</v>
      </c>
    </row>
    <row r="510" spans="1:4" x14ac:dyDescent="0.3">
      <c r="A510" t="s">
        <v>1015</v>
      </c>
      <c r="B510" t="s">
        <v>2469</v>
      </c>
      <c r="C510" t="s">
        <v>3040</v>
      </c>
      <c r="D510" t="s">
        <v>3488</v>
      </c>
    </row>
    <row r="511" spans="1:4" x14ac:dyDescent="0.3">
      <c r="A511" t="s">
        <v>1017</v>
      </c>
      <c r="B511" t="s">
        <v>2470</v>
      </c>
      <c r="C511" t="s">
        <v>2999</v>
      </c>
      <c r="D511" t="s">
        <v>3489</v>
      </c>
    </row>
    <row r="512" spans="1:4" x14ac:dyDescent="0.3">
      <c r="A512" t="s">
        <v>1018</v>
      </c>
      <c r="B512" t="s">
        <v>2471</v>
      </c>
      <c r="C512" t="s">
        <v>2999</v>
      </c>
      <c r="D512" t="s">
        <v>3490</v>
      </c>
    </row>
    <row r="513" spans="1:4" x14ac:dyDescent="0.3">
      <c r="A513" t="s">
        <v>1020</v>
      </c>
      <c r="B513" t="s">
        <v>2472</v>
      </c>
      <c r="C513" t="s">
        <v>2999</v>
      </c>
      <c r="D513" t="s">
        <v>3204</v>
      </c>
    </row>
    <row r="514" spans="1:4" x14ac:dyDescent="0.3">
      <c r="A514" t="s">
        <v>1022</v>
      </c>
      <c r="B514" t="s">
        <v>2473</v>
      </c>
      <c r="C514" t="s">
        <v>2999</v>
      </c>
      <c r="D514" t="s">
        <v>3491</v>
      </c>
    </row>
    <row r="515" spans="1:4" x14ac:dyDescent="0.3">
      <c r="A515" t="s">
        <v>1023</v>
      </c>
      <c r="B515" t="s">
        <v>2473</v>
      </c>
      <c r="C515" t="s">
        <v>3001</v>
      </c>
      <c r="D515" t="s">
        <v>3492</v>
      </c>
    </row>
    <row r="516" spans="1:4" x14ac:dyDescent="0.3">
      <c r="A516" t="s">
        <v>1024</v>
      </c>
      <c r="B516" t="s">
        <v>2474</v>
      </c>
      <c r="C516" t="s">
        <v>2996</v>
      </c>
      <c r="D516" t="s">
        <v>3493</v>
      </c>
    </row>
    <row r="517" spans="1:4" x14ac:dyDescent="0.3">
      <c r="A517" t="s">
        <v>1027</v>
      </c>
      <c r="B517" t="s">
        <v>2474</v>
      </c>
      <c r="C517" t="s">
        <v>2996</v>
      </c>
      <c r="D517" t="s">
        <v>3494</v>
      </c>
    </row>
    <row r="518" spans="1:4" x14ac:dyDescent="0.3">
      <c r="A518" t="s">
        <v>1028</v>
      </c>
      <c r="B518" t="s">
        <v>2474</v>
      </c>
      <c r="C518" t="s">
        <v>2999</v>
      </c>
      <c r="D518" t="s">
        <v>3495</v>
      </c>
    </row>
    <row r="519" spans="1:4" x14ac:dyDescent="0.3">
      <c r="A519" t="s">
        <v>1029</v>
      </c>
      <c r="B519" t="s">
        <v>2475</v>
      </c>
      <c r="C519" t="s">
        <v>2999</v>
      </c>
      <c r="D519" t="s">
        <v>3496</v>
      </c>
    </row>
    <row r="520" spans="1:4" x14ac:dyDescent="0.3">
      <c r="A520" t="s">
        <v>1030</v>
      </c>
      <c r="B520" t="s">
        <v>2476</v>
      </c>
      <c r="C520" t="s">
        <v>2999</v>
      </c>
      <c r="D520" t="s">
        <v>3407</v>
      </c>
    </row>
    <row r="521" spans="1:4" x14ac:dyDescent="0.3">
      <c r="A521" t="s">
        <v>1032</v>
      </c>
      <c r="B521" t="s">
        <v>2477</v>
      </c>
      <c r="C521" t="s">
        <v>2999</v>
      </c>
      <c r="D521" t="s">
        <v>3278</v>
      </c>
    </row>
    <row r="522" spans="1:4" x14ac:dyDescent="0.3">
      <c r="A522" t="s">
        <v>1034</v>
      </c>
      <c r="B522" t="s">
        <v>2478</v>
      </c>
      <c r="C522" t="s">
        <v>2999</v>
      </c>
      <c r="D522" t="s">
        <v>3497</v>
      </c>
    </row>
    <row r="523" spans="1:4" x14ac:dyDescent="0.3">
      <c r="A523" t="s">
        <v>1038</v>
      </c>
      <c r="B523" t="s">
        <v>2479</v>
      </c>
      <c r="C523" t="s">
        <v>3001</v>
      </c>
      <c r="D523" t="s">
        <v>3498</v>
      </c>
    </row>
    <row r="524" spans="1:4" x14ac:dyDescent="0.3">
      <c r="A524" t="s">
        <v>1041</v>
      </c>
      <c r="B524" t="s">
        <v>2480</v>
      </c>
      <c r="C524" t="s">
        <v>2999</v>
      </c>
      <c r="D524" t="s">
        <v>3128</v>
      </c>
    </row>
    <row r="525" spans="1:4" x14ac:dyDescent="0.3">
      <c r="A525" t="s">
        <v>1043</v>
      </c>
      <c r="B525" t="s">
        <v>2481</v>
      </c>
      <c r="C525" t="s">
        <v>2999</v>
      </c>
      <c r="D525" t="s">
        <v>3499</v>
      </c>
    </row>
    <row r="526" spans="1:4" x14ac:dyDescent="0.3">
      <c r="A526" t="s">
        <v>1046</v>
      </c>
      <c r="B526" t="s">
        <v>2482</v>
      </c>
      <c r="C526" t="s">
        <v>2999</v>
      </c>
      <c r="D526" t="s">
        <v>3500</v>
      </c>
    </row>
    <row r="527" spans="1:4" x14ac:dyDescent="0.3">
      <c r="A527" t="s">
        <v>1049</v>
      </c>
      <c r="B527" t="s">
        <v>2483</v>
      </c>
      <c r="C527" t="s">
        <v>3040</v>
      </c>
      <c r="D527" t="s">
        <v>3414</v>
      </c>
    </row>
    <row r="528" spans="1:4" x14ac:dyDescent="0.3">
      <c r="A528" t="s">
        <v>1051</v>
      </c>
      <c r="B528" t="s">
        <v>2484</v>
      </c>
      <c r="C528" t="s">
        <v>2999</v>
      </c>
      <c r="D528" t="s">
        <v>3501</v>
      </c>
    </row>
    <row r="529" spans="1:4" x14ac:dyDescent="0.3">
      <c r="A529" t="s">
        <v>1053</v>
      </c>
      <c r="B529" t="s">
        <v>2485</v>
      </c>
      <c r="C529" t="s">
        <v>2999</v>
      </c>
      <c r="D529" t="s">
        <v>3502</v>
      </c>
    </row>
    <row r="530" spans="1:4" x14ac:dyDescent="0.3">
      <c r="A530" t="s">
        <v>1056</v>
      </c>
      <c r="B530" t="s">
        <v>2486</v>
      </c>
      <c r="C530" t="s">
        <v>2999</v>
      </c>
      <c r="D530" t="s">
        <v>3503</v>
      </c>
    </row>
    <row r="531" spans="1:4" x14ac:dyDescent="0.3">
      <c r="A531" t="s">
        <v>1057</v>
      </c>
      <c r="B531" t="s">
        <v>2487</v>
      </c>
      <c r="C531" t="s">
        <v>3001</v>
      </c>
      <c r="D531" t="s">
        <v>3504</v>
      </c>
    </row>
    <row r="532" spans="1:4" x14ac:dyDescent="0.3">
      <c r="A532" t="s">
        <v>1059</v>
      </c>
      <c r="B532" t="s">
        <v>2488</v>
      </c>
      <c r="C532" t="s">
        <v>2999</v>
      </c>
      <c r="D532" t="s">
        <v>3505</v>
      </c>
    </row>
    <row r="533" spans="1:4" x14ac:dyDescent="0.3">
      <c r="A533" t="s">
        <v>1061</v>
      </c>
      <c r="B533" t="s">
        <v>2489</v>
      </c>
      <c r="C533" t="s">
        <v>2999</v>
      </c>
      <c r="D533" t="s">
        <v>3506</v>
      </c>
    </row>
    <row r="534" spans="1:4" x14ac:dyDescent="0.3">
      <c r="A534" t="s">
        <v>1063</v>
      </c>
      <c r="B534" t="s">
        <v>2490</v>
      </c>
      <c r="C534" t="s">
        <v>3338</v>
      </c>
      <c r="D534" t="s">
        <v>3507</v>
      </c>
    </row>
    <row r="535" spans="1:4" x14ac:dyDescent="0.3">
      <c r="A535" t="s">
        <v>1064</v>
      </c>
      <c r="B535" t="s">
        <v>2491</v>
      </c>
      <c r="C535" t="s">
        <v>2994</v>
      </c>
      <c r="D535" t="s">
        <v>3508</v>
      </c>
    </row>
    <row r="536" spans="1:4" x14ac:dyDescent="0.3">
      <c r="A536" t="s">
        <v>1067</v>
      </c>
      <c r="B536" t="s">
        <v>2491</v>
      </c>
      <c r="C536" t="s">
        <v>2994</v>
      </c>
      <c r="D536" t="s">
        <v>3509</v>
      </c>
    </row>
    <row r="537" spans="1:4" x14ac:dyDescent="0.3">
      <c r="A537" t="s">
        <v>1069</v>
      </c>
      <c r="B537" t="s">
        <v>2491</v>
      </c>
      <c r="C537" t="s">
        <v>2999</v>
      </c>
      <c r="D537" t="s">
        <v>3510</v>
      </c>
    </row>
    <row r="538" spans="1:4" x14ac:dyDescent="0.3">
      <c r="A538" t="s">
        <v>1070</v>
      </c>
      <c r="B538" t="s">
        <v>2492</v>
      </c>
      <c r="C538" t="s">
        <v>3001</v>
      </c>
      <c r="D538" t="s">
        <v>3511</v>
      </c>
    </row>
    <row r="539" spans="1:4" x14ac:dyDescent="0.3">
      <c r="A539" t="s">
        <v>1072</v>
      </c>
      <c r="B539" t="s">
        <v>2493</v>
      </c>
      <c r="C539" t="s">
        <v>2999</v>
      </c>
      <c r="D539" t="s">
        <v>3250</v>
      </c>
    </row>
    <row r="540" spans="1:4" x14ac:dyDescent="0.3">
      <c r="A540" t="s">
        <v>1074</v>
      </c>
      <c r="B540" t="s">
        <v>2494</v>
      </c>
      <c r="C540" t="s">
        <v>2999</v>
      </c>
      <c r="D540" t="s">
        <v>3512</v>
      </c>
    </row>
    <row r="541" spans="1:4" x14ac:dyDescent="0.3">
      <c r="A541" t="s">
        <v>1077</v>
      </c>
      <c r="B541" t="s">
        <v>2495</v>
      </c>
      <c r="C541" t="s">
        <v>2999</v>
      </c>
      <c r="D541" t="s">
        <v>3513</v>
      </c>
    </row>
    <row r="542" spans="1:4" x14ac:dyDescent="0.3">
      <c r="A542" t="s">
        <v>1079</v>
      </c>
      <c r="B542" t="s">
        <v>2496</v>
      </c>
      <c r="C542" t="s">
        <v>2994</v>
      </c>
      <c r="D542" t="s">
        <v>3514</v>
      </c>
    </row>
    <row r="543" spans="1:4" x14ac:dyDescent="0.3">
      <c r="A543" t="s">
        <v>1081</v>
      </c>
      <c r="B543" t="s">
        <v>2496</v>
      </c>
      <c r="C543" t="s">
        <v>2994</v>
      </c>
      <c r="D543" t="s">
        <v>3515</v>
      </c>
    </row>
    <row r="544" spans="1:4" x14ac:dyDescent="0.3">
      <c r="A544" t="s">
        <v>1082</v>
      </c>
      <c r="B544" t="s">
        <v>2496</v>
      </c>
      <c r="C544" t="s">
        <v>3001</v>
      </c>
      <c r="D544" t="s">
        <v>3516</v>
      </c>
    </row>
    <row r="545" spans="1:4" x14ac:dyDescent="0.3">
      <c r="A545" t="s">
        <v>1083</v>
      </c>
      <c r="B545" t="s">
        <v>2497</v>
      </c>
      <c r="C545" t="s">
        <v>2999</v>
      </c>
      <c r="D545" t="s">
        <v>3517</v>
      </c>
    </row>
    <row r="546" spans="1:4" x14ac:dyDescent="0.3">
      <c r="A546" t="s">
        <v>1086</v>
      </c>
      <c r="B546" t="s">
        <v>2498</v>
      </c>
      <c r="C546" t="s">
        <v>2999</v>
      </c>
      <c r="D546" t="s">
        <v>3518</v>
      </c>
    </row>
    <row r="547" spans="1:4" x14ac:dyDescent="0.3">
      <c r="A547" t="s">
        <v>1088</v>
      </c>
      <c r="B547" t="s">
        <v>2498</v>
      </c>
      <c r="C547" t="s">
        <v>3001</v>
      </c>
      <c r="D547" t="s">
        <v>3519</v>
      </c>
    </row>
    <row r="548" spans="1:4" x14ac:dyDescent="0.3">
      <c r="A548" t="s">
        <v>1089</v>
      </c>
      <c r="B548" t="s">
        <v>2499</v>
      </c>
      <c r="C548" t="s">
        <v>3520</v>
      </c>
      <c r="D548" t="s">
        <v>3521</v>
      </c>
    </row>
    <row r="549" spans="1:4" x14ac:dyDescent="0.3">
      <c r="A549" t="s">
        <v>1091</v>
      </c>
      <c r="B549" t="s">
        <v>2500</v>
      </c>
      <c r="C549" t="s">
        <v>2999</v>
      </c>
      <c r="D549" t="s">
        <v>3522</v>
      </c>
    </row>
    <row r="550" spans="1:4" x14ac:dyDescent="0.3">
      <c r="A550" t="s">
        <v>1093</v>
      </c>
      <c r="B550" t="s">
        <v>2501</v>
      </c>
      <c r="C550" t="s">
        <v>2996</v>
      </c>
      <c r="D550" t="s">
        <v>3523</v>
      </c>
    </row>
    <row r="551" spans="1:4" x14ac:dyDescent="0.3">
      <c r="A551" t="s">
        <v>1094</v>
      </c>
      <c r="B551" t="s">
        <v>2501</v>
      </c>
      <c r="C551" t="s">
        <v>2996</v>
      </c>
      <c r="D551" t="s">
        <v>3524</v>
      </c>
    </row>
    <row r="552" spans="1:4" x14ac:dyDescent="0.3">
      <c r="A552" t="s">
        <v>1095</v>
      </c>
      <c r="B552" t="s">
        <v>2501</v>
      </c>
      <c r="C552" t="s">
        <v>3001</v>
      </c>
      <c r="D552" t="s">
        <v>3525</v>
      </c>
    </row>
    <row r="553" spans="1:4" x14ac:dyDescent="0.3">
      <c r="A553" t="s">
        <v>1096</v>
      </c>
      <c r="B553" t="s">
        <v>2502</v>
      </c>
      <c r="C553" t="s">
        <v>2994</v>
      </c>
      <c r="D553" t="s">
        <v>3526</v>
      </c>
    </row>
    <row r="554" spans="1:4" x14ac:dyDescent="0.3">
      <c r="A554" t="s">
        <v>1099</v>
      </c>
      <c r="B554" t="s">
        <v>2503</v>
      </c>
      <c r="C554" t="s">
        <v>2999</v>
      </c>
      <c r="D554" t="s">
        <v>3527</v>
      </c>
    </row>
    <row r="555" spans="1:4" x14ac:dyDescent="0.3">
      <c r="A555" t="s">
        <v>1100</v>
      </c>
      <c r="B555" t="s">
        <v>2504</v>
      </c>
      <c r="C555" t="s">
        <v>2994</v>
      </c>
      <c r="D555" t="s">
        <v>3528</v>
      </c>
    </row>
    <row r="556" spans="1:4" x14ac:dyDescent="0.3">
      <c r="A556" t="s">
        <v>1103</v>
      </c>
      <c r="B556" t="s">
        <v>2505</v>
      </c>
      <c r="C556" t="s">
        <v>2999</v>
      </c>
      <c r="D556" t="s">
        <v>3484</v>
      </c>
    </row>
    <row r="557" spans="1:4" x14ac:dyDescent="0.3">
      <c r="A557" t="s">
        <v>1104</v>
      </c>
      <c r="B557" t="s">
        <v>2506</v>
      </c>
      <c r="C557" t="s">
        <v>2999</v>
      </c>
      <c r="D557" t="s">
        <v>3529</v>
      </c>
    </row>
    <row r="558" spans="1:4" x14ac:dyDescent="0.3">
      <c r="A558" t="s">
        <v>1105</v>
      </c>
      <c r="B558" t="s">
        <v>2507</v>
      </c>
      <c r="C558" t="s">
        <v>2999</v>
      </c>
      <c r="D558" t="s">
        <v>3530</v>
      </c>
    </row>
    <row r="559" spans="1:4" x14ac:dyDescent="0.3">
      <c r="A559" t="s">
        <v>1107</v>
      </c>
      <c r="B559" t="s">
        <v>2508</v>
      </c>
      <c r="C559" t="s">
        <v>3001</v>
      </c>
      <c r="D559" t="s">
        <v>3531</v>
      </c>
    </row>
    <row r="560" spans="1:4" x14ac:dyDescent="0.3">
      <c r="A560" t="s">
        <v>1109</v>
      </c>
      <c r="B560" t="s">
        <v>2509</v>
      </c>
      <c r="C560" t="s">
        <v>2994</v>
      </c>
      <c r="D560" t="s">
        <v>3532</v>
      </c>
    </row>
    <row r="561" spans="1:4" x14ac:dyDescent="0.3">
      <c r="A561" t="s">
        <v>1111</v>
      </c>
      <c r="B561" t="s">
        <v>2510</v>
      </c>
      <c r="C561" t="s">
        <v>2994</v>
      </c>
      <c r="D561" t="s">
        <v>3533</v>
      </c>
    </row>
    <row r="562" spans="1:4" x14ac:dyDescent="0.3">
      <c r="A562" t="s">
        <v>1112</v>
      </c>
      <c r="B562" t="s">
        <v>2511</v>
      </c>
      <c r="C562" t="s">
        <v>2994</v>
      </c>
      <c r="D562" t="s">
        <v>3307</v>
      </c>
    </row>
    <row r="563" spans="1:4" x14ac:dyDescent="0.3">
      <c r="A563" t="s">
        <v>1114</v>
      </c>
      <c r="B563" t="s">
        <v>2512</v>
      </c>
      <c r="C563" t="s">
        <v>2999</v>
      </c>
      <c r="D563" t="s">
        <v>3534</v>
      </c>
    </row>
    <row r="564" spans="1:4" x14ac:dyDescent="0.3">
      <c r="A564" t="s">
        <v>1116</v>
      </c>
      <c r="B564" t="s">
        <v>2513</v>
      </c>
      <c r="C564" t="s">
        <v>2994</v>
      </c>
      <c r="D564" t="s">
        <v>3535</v>
      </c>
    </row>
    <row r="565" spans="1:4" x14ac:dyDescent="0.3">
      <c r="A565" t="s">
        <v>1117</v>
      </c>
      <c r="B565" t="s">
        <v>2514</v>
      </c>
      <c r="C565" t="s">
        <v>2999</v>
      </c>
      <c r="D565" t="s">
        <v>3536</v>
      </c>
    </row>
    <row r="566" spans="1:4" x14ac:dyDescent="0.3">
      <c r="A566" t="s">
        <v>1118</v>
      </c>
      <c r="B566" t="s">
        <v>2313</v>
      </c>
      <c r="C566" t="s">
        <v>2994</v>
      </c>
      <c r="D566" t="s">
        <v>3537</v>
      </c>
    </row>
    <row r="567" spans="1:4" x14ac:dyDescent="0.3">
      <c r="A567" t="s">
        <v>1119</v>
      </c>
      <c r="B567" t="s">
        <v>2515</v>
      </c>
      <c r="C567" t="s">
        <v>2999</v>
      </c>
      <c r="D567" t="s">
        <v>3538</v>
      </c>
    </row>
    <row r="568" spans="1:4" x14ac:dyDescent="0.3">
      <c r="A568" t="s">
        <v>1121</v>
      </c>
      <c r="B568" t="s">
        <v>2516</v>
      </c>
      <c r="C568" t="s">
        <v>2999</v>
      </c>
      <c r="D568" t="s">
        <v>3539</v>
      </c>
    </row>
    <row r="569" spans="1:4" x14ac:dyDescent="0.3">
      <c r="A569" t="s">
        <v>1122</v>
      </c>
      <c r="B569" t="s">
        <v>2517</v>
      </c>
      <c r="C569" t="s">
        <v>2999</v>
      </c>
      <c r="D569" t="s">
        <v>3540</v>
      </c>
    </row>
    <row r="570" spans="1:4" x14ac:dyDescent="0.3">
      <c r="A570" t="s">
        <v>1125</v>
      </c>
      <c r="B570" t="s">
        <v>2518</v>
      </c>
      <c r="C570" t="s">
        <v>2999</v>
      </c>
      <c r="D570" t="s">
        <v>3325</v>
      </c>
    </row>
    <row r="571" spans="1:4" x14ac:dyDescent="0.3">
      <c r="A571" t="s">
        <v>1127</v>
      </c>
      <c r="B571" t="s">
        <v>2519</v>
      </c>
      <c r="C571" t="s">
        <v>2999</v>
      </c>
      <c r="D571" t="s">
        <v>3541</v>
      </c>
    </row>
    <row r="572" spans="1:4" x14ac:dyDescent="0.3">
      <c r="A572" t="s">
        <v>1128</v>
      </c>
      <c r="B572" t="s">
        <v>2520</v>
      </c>
      <c r="C572" t="s">
        <v>2994</v>
      </c>
      <c r="D572" t="s">
        <v>3024</v>
      </c>
    </row>
    <row r="573" spans="1:4" x14ac:dyDescent="0.3">
      <c r="A573" t="s">
        <v>1130</v>
      </c>
      <c r="B573" t="s">
        <v>2521</v>
      </c>
      <c r="C573" t="s">
        <v>2999</v>
      </c>
      <c r="D573" t="s">
        <v>3542</v>
      </c>
    </row>
    <row r="574" spans="1:4" x14ac:dyDescent="0.3">
      <c r="A574" t="s">
        <v>1131</v>
      </c>
      <c r="B574" t="s">
        <v>2522</v>
      </c>
      <c r="C574" t="s">
        <v>3001</v>
      </c>
      <c r="D574" t="s">
        <v>3543</v>
      </c>
    </row>
    <row r="575" spans="1:4" x14ac:dyDescent="0.3">
      <c r="A575" t="s">
        <v>1133</v>
      </c>
      <c r="B575" t="s">
        <v>2523</v>
      </c>
      <c r="C575" t="s">
        <v>2994</v>
      </c>
      <c r="D575" t="s">
        <v>3544</v>
      </c>
    </row>
    <row r="576" spans="1:4" x14ac:dyDescent="0.3">
      <c r="A576" t="s">
        <v>1135</v>
      </c>
      <c r="B576" t="s">
        <v>2524</v>
      </c>
      <c r="C576" t="s">
        <v>2999</v>
      </c>
      <c r="D576" t="s">
        <v>3545</v>
      </c>
    </row>
    <row r="577" spans="1:4" x14ac:dyDescent="0.3">
      <c r="A577" t="s">
        <v>1137</v>
      </c>
      <c r="B577" t="s">
        <v>2524</v>
      </c>
      <c r="C577" t="s">
        <v>3001</v>
      </c>
      <c r="D577" t="s">
        <v>3546</v>
      </c>
    </row>
    <row r="578" spans="1:4" x14ac:dyDescent="0.3">
      <c r="A578" t="s">
        <v>1138</v>
      </c>
      <c r="B578" t="s">
        <v>2525</v>
      </c>
      <c r="C578" t="s">
        <v>2999</v>
      </c>
      <c r="D578" t="s">
        <v>3547</v>
      </c>
    </row>
    <row r="579" spans="1:4" x14ac:dyDescent="0.3">
      <c r="A579" t="s">
        <v>1140</v>
      </c>
      <c r="B579" t="s">
        <v>2526</v>
      </c>
      <c r="C579" t="s">
        <v>2994</v>
      </c>
      <c r="D579" t="s">
        <v>3548</v>
      </c>
    </row>
    <row r="580" spans="1:4" x14ac:dyDescent="0.3">
      <c r="A580" t="s">
        <v>1141</v>
      </c>
      <c r="B580" t="s">
        <v>2527</v>
      </c>
      <c r="C580" t="s">
        <v>2999</v>
      </c>
      <c r="D580" t="s">
        <v>3034</v>
      </c>
    </row>
    <row r="581" spans="1:4" x14ac:dyDescent="0.3">
      <c r="A581" t="s">
        <v>1144</v>
      </c>
      <c r="B581" t="s">
        <v>2527</v>
      </c>
      <c r="C581" t="s">
        <v>2999</v>
      </c>
      <c r="D581" t="s">
        <v>3549</v>
      </c>
    </row>
    <row r="582" spans="1:4" x14ac:dyDescent="0.3">
      <c r="A582" t="s">
        <v>1145</v>
      </c>
      <c r="B582" t="s">
        <v>2527</v>
      </c>
      <c r="C582" t="s">
        <v>3001</v>
      </c>
      <c r="D582" t="s">
        <v>3550</v>
      </c>
    </row>
    <row r="583" spans="1:4" x14ac:dyDescent="0.3">
      <c r="A583" t="s">
        <v>1146</v>
      </c>
      <c r="B583" t="s">
        <v>2528</v>
      </c>
      <c r="C583" t="s">
        <v>2999</v>
      </c>
      <c r="D583" t="s">
        <v>3551</v>
      </c>
    </row>
    <row r="584" spans="1:4" x14ac:dyDescent="0.3">
      <c r="A584" t="s">
        <v>1147</v>
      </c>
      <c r="B584" t="s">
        <v>2529</v>
      </c>
      <c r="C584" t="s">
        <v>2994</v>
      </c>
      <c r="D584" t="s">
        <v>3552</v>
      </c>
    </row>
    <row r="585" spans="1:4" x14ac:dyDescent="0.3">
      <c r="A585" t="s">
        <v>1150</v>
      </c>
      <c r="B585" t="s">
        <v>2529</v>
      </c>
      <c r="C585" t="s">
        <v>3001</v>
      </c>
      <c r="D585" t="s">
        <v>3553</v>
      </c>
    </row>
    <row r="586" spans="1:4" x14ac:dyDescent="0.3">
      <c r="A586" t="s">
        <v>1151</v>
      </c>
      <c r="B586" t="s">
        <v>2530</v>
      </c>
      <c r="C586" t="s">
        <v>2994</v>
      </c>
      <c r="D586" t="s">
        <v>3554</v>
      </c>
    </row>
    <row r="587" spans="1:4" x14ac:dyDescent="0.3">
      <c r="A587" t="s">
        <v>1153</v>
      </c>
      <c r="B587" t="s">
        <v>2531</v>
      </c>
      <c r="C587" t="s">
        <v>2999</v>
      </c>
      <c r="D587" t="s">
        <v>3555</v>
      </c>
    </row>
    <row r="588" spans="1:4" x14ac:dyDescent="0.3">
      <c r="A588" t="s">
        <v>1155</v>
      </c>
      <c r="B588" t="s">
        <v>2531</v>
      </c>
      <c r="C588" t="s">
        <v>3001</v>
      </c>
      <c r="D588" t="s">
        <v>3556</v>
      </c>
    </row>
    <row r="589" spans="1:4" x14ac:dyDescent="0.3">
      <c r="A589" t="s">
        <v>1156</v>
      </c>
      <c r="B589" t="s">
        <v>2532</v>
      </c>
      <c r="C589" t="s">
        <v>2996</v>
      </c>
      <c r="D589" t="s">
        <v>3557</v>
      </c>
    </row>
    <row r="590" spans="1:4" x14ac:dyDescent="0.3">
      <c r="A590" t="s">
        <v>1157</v>
      </c>
      <c r="B590" t="s">
        <v>2532</v>
      </c>
      <c r="C590" t="s">
        <v>2994</v>
      </c>
      <c r="D590" t="s">
        <v>3558</v>
      </c>
    </row>
    <row r="591" spans="1:4" x14ac:dyDescent="0.3">
      <c r="A591" t="s">
        <v>1158</v>
      </c>
      <c r="B591" t="s">
        <v>2532</v>
      </c>
      <c r="C591" t="s">
        <v>3001</v>
      </c>
      <c r="D591" t="s">
        <v>3559</v>
      </c>
    </row>
    <row r="592" spans="1:4" x14ac:dyDescent="0.3">
      <c r="A592" t="s">
        <v>1159</v>
      </c>
      <c r="B592" t="s">
        <v>2533</v>
      </c>
      <c r="C592" t="s">
        <v>2994</v>
      </c>
      <c r="D592" t="s">
        <v>3560</v>
      </c>
    </row>
    <row r="593" spans="1:4" x14ac:dyDescent="0.3">
      <c r="A593" t="s">
        <v>1162</v>
      </c>
      <c r="B593" t="s">
        <v>2533</v>
      </c>
      <c r="C593" t="s">
        <v>2994</v>
      </c>
      <c r="D593" t="s">
        <v>3561</v>
      </c>
    </row>
    <row r="594" spans="1:4" x14ac:dyDescent="0.3">
      <c r="A594" t="s">
        <v>1163</v>
      </c>
      <c r="B594" t="s">
        <v>2533</v>
      </c>
      <c r="C594" t="s">
        <v>2999</v>
      </c>
      <c r="D594" t="s">
        <v>3562</v>
      </c>
    </row>
    <row r="595" spans="1:4" x14ac:dyDescent="0.3">
      <c r="A595" t="s">
        <v>1164</v>
      </c>
      <c r="B595" t="s">
        <v>2533</v>
      </c>
      <c r="C595" t="s">
        <v>3001</v>
      </c>
      <c r="D595" t="s">
        <v>3563</v>
      </c>
    </row>
    <row r="596" spans="1:4" x14ac:dyDescent="0.3">
      <c r="A596" t="s">
        <v>1165</v>
      </c>
      <c r="B596" t="s">
        <v>2534</v>
      </c>
      <c r="C596" t="s">
        <v>2999</v>
      </c>
      <c r="D596" t="s">
        <v>3564</v>
      </c>
    </row>
    <row r="597" spans="1:4" x14ac:dyDescent="0.3">
      <c r="A597" t="s">
        <v>1168</v>
      </c>
      <c r="B597" t="s">
        <v>2535</v>
      </c>
      <c r="C597" t="s">
        <v>2999</v>
      </c>
      <c r="D597" t="s">
        <v>3565</v>
      </c>
    </row>
    <row r="598" spans="1:4" x14ac:dyDescent="0.3">
      <c r="A598" t="s">
        <v>1170</v>
      </c>
      <c r="B598" t="s">
        <v>2536</v>
      </c>
      <c r="C598" t="s">
        <v>2999</v>
      </c>
      <c r="D598" t="s">
        <v>3566</v>
      </c>
    </row>
    <row r="599" spans="1:4" x14ac:dyDescent="0.3">
      <c r="A599" t="s">
        <v>1171</v>
      </c>
      <c r="B599" t="s">
        <v>2341</v>
      </c>
      <c r="C599" t="s">
        <v>2999</v>
      </c>
      <c r="D599" t="s">
        <v>3567</v>
      </c>
    </row>
    <row r="600" spans="1:4" x14ac:dyDescent="0.3">
      <c r="A600" t="s">
        <v>1173</v>
      </c>
      <c r="B600" t="s">
        <v>2345</v>
      </c>
      <c r="C600" t="s">
        <v>2994</v>
      </c>
      <c r="D600" t="s">
        <v>3568</v>
      </c>
    </row>
    <row r="601" spans="1:4" x14ac:dyDescent="0.3">
      <c r="A601" t="s">
        <v>1175</v>
      </c>
      <c r="B601" t="s">
        <v>2537</v>
      </c>
      <c r="C601" t="s">
        <v>2994</v>
      </c>
      <c r="D601" t="s">
        <v>3569</v>
      </c>
    </row>
    <row r="602" spans="1:4" x14ac:dyDescent="0.3">
      <c r="A602" t="s">
        <v>1176</v>
      </c>
      <c r="B602" t="s">
        <v>2538</v>
      </c>
      <c r="C602" t="s">
        <v>2999</v>
      </c>
      <c r="D602" t="s">
        <v>3570</v>
      </c>
    </row>
    <row r="603" spans="1:4" x14ac:dyDescent="0.3">
      <c r="A603" t="s">
        <v>1178</v>
      </c>
      <c r="B603" t="s">
        <v>2539</v>
      </c>
      <c r="C603" t="s">
        <v>2996</v>
      </c>
      <c r="D603" t="s">
        <v>3571</v>
      </c>
    </row>
    <row r="604" spans="1:4" x14ac:dyDescent="0.3">
      <c r="A604" t="s">
        <v>1181</v>
      </c>
      <c r="B604" t="s">
        <v>2539</v>
      </c>
      <c r="C604" t="s">
        <v>2999</v>
      </c>
      <c r="D604" t="s">
        <v>3572</v>
      </c>
    </row>
    <row r="605" spans="1:4" x14ac:dyDescent="0.3">
      <c r="A605" t="s">
        <v>1182</v>
      </c>
      <c r="B605" t="s">
        <v>2539</v>
      </c>
      <c r="C605" t="s">
        <v>3001</v>
      </c>
      <c r="D605" t="s">
        <v>3573</v>
      </c>
    </row>
    <row r="606" spans="1:4" x14ac:dyDescent="0.3">
      <c r="A606" t="s">
        <v>1183</v>
      </c>
      <c r="B606" t="s">
        <v>2540</v>
      </c>
      <c r="C606" t="s">
        <v>2994</v>
      </c>
      <c r="D606" t="s">
        <v>3574</v>
      </c>
    </row>
    <row r="607" spans="1:4" x14ac:dyDescent="0.3">
      <c r="A607" t="s">
        <v>1185</v>
      </c>
      <c r="B607" t="s">
        <v>2540</v>
      </c>
      <c r="C607" t="s">
        <v>2999</v>
      </c>
      <c r="D607" t="s">
        <v>3575</v>
      </c>
    </row>
    <row r="608" spans="1:4" x14ac:dyDescent="0.3">
      <c r="A608" t="s">
        <v>1188</v>
      </c>
      <c r="B608" t="s">
        <v>2541</v>
      </c>
      <c r="C608" t="s">
        <v>2999</v>
      </c>
      <c r="D608" t="s">
        <v>3576</v>
      </c>
    </row>
    <row r="609" spans="1:4" x14ac:dyDescent="0.3">
      <c r="A609" t="s">
        <v>1191</v>
      </c>
      <c r="B609" t="s">
        <v>2542</v>
      </c>
      <c r="C609" t="s">
        <v>3001</v>
      </c>
      <c r="D609" t="s">
        <v>3577</v>
      </c>
    </row>
    <row r="610" spans="1:4" x14ac:dyDescent="0.3">
      <c r="A610" t="s">
        <v>1193</v>
      </c>
      <c r="B610" t="s">
        <v>2543</v>
      </c>
      <c r="C610" t="s">
        <v>2999</v>
      </c>
      <c r="D610" t="s">
        <v>3578</v>
      </c>
    </row>
    <row r="611" spans="1:4" x14ac:dyDescent="0.3">
      <c r="A611" t="s">
        <v>1196</v>
      </c>
      <c r="B611" t="s">
        <v>2544</v>
      </c>
      <c r="C611" t="s">
        <v>2999</v>
      </c>
      <c r="D611" t="s">
        <v>3109</v>
      </c>
    </row>
    <row r="612" spans="1:4" x14ac:dyDescent="0.3">
      <c r="A612" t="s">
        <v>1198</v>
      </c>
      <c r="B612" t="s">
        <v>2545</v>
      </c>
      <c r="C612" t="s">
        <v>3001</v>
      </c>
      <c r="D612" t="s">
        <v>3579</v>
      </c>
    </row>
    <row r="613" spans="1:4" x14ac:dyDescent="0.3">
      <c r="A613" t="s">
        <v>1200</v>
      </c>
      <c r="B613" t="s">
        <v>2546</v>
      </c>
      <c r="C613" t="s">
        <v>2996</v>
      </c>
      <c r="D613" t="s">
        <v>3580</v>
      </c>
    </row>
    <row r="614" spans="1:4" x14ac:dyDescent="0.3">
      <c r="A614" t="s">
        <v>1202</v>
      </c>
      <c r="B614" t="s">
        <v>2546</v>
      </c>
      <c r="C614" t="s">
        <v>3001</v>
      </c>
      <c r="D614" t="s">
        <v>3581</v>
      </c>
    </row>
    <row r="615" spans="1:4" x14ac:dyDescent="0.3">
      <c r="A615" t="s">
        <v>1203</v>
      </c>
      <c r="B615" t="s">
        <v>2547</v>
      </c>
      <c r="C615" t="s">
        <v>2999</v>
      </c>
      <c r="D615" t="s">
        <v>3582</v>
      </c>
    </row>
    <row r="616" spans="1:4" x14ac:dyDescent="0.3">
      <c r="A616" t="s">
        <v>1205</v>
      </c>
      <c r="B616" t="s">
        <v>2548</v>
      </c>
      <c r="C616" t="s">
        <v>2999</v>
      </c>
      <c r="D616" t="s">
        <v>3153</v>
      </c>
    </row>
    <row r="617" spans="1:4" x14ac:dyDescent="0.3">
      <c r="A617" t="s">
        <v>1207</v>
      </c>
      <c r="B617" t="s">
        <v>2549</v>
      </c>
      <c r="C617" t="s">
        <v>2999</v>
      </c>
      <c r="D617" t="s">
        <v>3583</v>
      </c>
    </row>
    <row r="618" spans="1:4" x14ac:dyDescent="0.3">
      <c r="A618" t="s">
        <v>1210</v>
      </c>
      <c r="B618" t="s">
        <v>2550</v>
      </c>
      <c r="C618" t="s">
        <v>2999</v>
      </c>
      <c r="D618" t="s">
        <v>3584</v>
      </c>
    </row>
    <row r="619" spans="1:4" x14ac:dyDescent="0.3">
      <c r="A619" t="s">
        <v>1212</v>
      </c>
      <c r="B619" t="s">
        <v>2550</v>
      </c>
      <c r="C619" t="s">
        <v>2999</v>
      </c>
      <c r="D619" t="s">
        <v>3153</v>
      </c>
    </row>
    <row r="620" spans="1:4" x14ac:dyDescent="0.3">
      <c r="A620" t="s">
        <v>1215</v>
      </c>
      <c r="B620" t="s">
        <v>2118</v>
      </c>
      <c r="C620" t="s">
        <v>2999</v>
      </c>
      <c r="D620" t="s">
        <v>3419</v>
      </c>
    </row>
    <row r="621" spans="1:4" x14ac:dyDescent="0.3">
      <c r="A621" t="s">
        <v>1217</v>
      </c>
      <c r="B621" t="s">
        <v>2551</v>
      </c>
      <c r="C621" t="s">
        <v>2999</v>
      </c>
      <c r="D621" t="s">
        <v>3585</v>
      </c>
    </row>
    <row r="622" spans="1:4" x14ac:dyDescent="0.3">
      <c r="A622" t="s">
        <v>1219</v>
      </c>
      <c r="B622" t="s">
        <v>2552</v>
      </c>
      <c r="C622" t="s">
        <v>2999</v>
      </c>
      <c r="D622" t="s">
        <v>3586</v>
      </c>
    </row>
    <row r="623" spans="1:4" x14ac:dyDescent="0.3">
      <c r="A623" t="s">
        <v>1222</v>
      </c>
      <c r="B623" t="s">
        <v>2553</v>
      </c>
      <c r="C623" t="s">
        <v>2994</v>
      </c>
      <c r="D623" t="s">
        <v>3587</v>
      </c>
    </row>
    <row r="624" spans="1:4" x14ac:dyDescent="0.3">
      <c r="A624" t="s">
        <v>1223</v>
      </c>
      <c r="B624" t="s">
        <v>2554</v>
      </c>
      <c r="C624" t="s">
        <v>2996</v>
      </c>
      <c r="D624" t="s">
        <v>3588</v>
      </c>
    </row>
    <row r="625" spans="1:4" x14ac:dyDescent="0.3">
      <c r="A625" t="s">
        <v>1225</v>
      </c>
      <c r="B625" t="s">
        <v>2554</v>
      </c>
      <c r="C625" t="s">
        <v>2994</v>
      </c>
      <c r="D625" t="s">
        <v>3589</v>
      </c>
    </row>
    <row r="626" spans="1:4" x14ac:dyDescent="0.3">
      <c r="A626" t="s">
        <v>1226</v>
      </c>
      <c r="B626" t="s">
        <v>2554</v>
      </c>
      <c r="C626" t="s">
        <v>2994</v>
      </c>
      <c r="D626" t="s">
        <v>3590</v>
      </c>
    </row>
    <row r="627" spans="1:4" x14ac:dyDescent="0.3">
      <c r="A627" t="s">
        <v>1227</v>
      </c>
      <c r="B627" t="s">
        <v>2554</v>
      </c>
      <c r="C627" t="s">
        <v>2994</v>
      </c>
      <c r="D627" t="s">
        <v>3591</v>
      </c>
    </row>
    <row r="628" spans="1:4" x14ac:dyDescent="0.3">
      <c r="A628" t="s">
        <v>1229</v>
      </c>
      <c r="B628" t="s">
        <v>2554</v>
      </c>
      <c r="C628" t="s">
        <v>2994</v>
      </c>
      <c r="D628" t="s">
        <v>3592</v>
      </c>
    </row>
    <row r="629" spans="1:4" x14ac:dyDescent="0.3">
      <c r="A629" t="s">
        <v>1231</v>
      </c>
      <c r="B629" t="s">
        <v>2554</v>
      </c>
      <c r="C629" t="s">
        <v>2994</v>
      </c>
      <c r="D629" t="s">
        <v>3593</v>
      </c>
    </row>
    <row r="630" spans="1:4" x14ac:dyDescent="0.3">
      <c r="A630" t="s">
        <v>1232</v>
      </c>
      <c r="B630" t="s">
        <v>2554</v>
      </c>
      <c r="C630" t="s">
        <v>2994</v>
      </c>
      <c r="D630" t="s">
        <v>3594</v>
      </c>
    </row>
    <row r="631" spans="1:4" x14ac:dyDescent="0.3">
      <c r="A631" t="s">
        <v>1233</v>
      </c>
      <c r="B631" t="s">
        <v>2554</v>
      </c>
      <c r="C631" t="s">
        <v>2999</v>
      </c>
      <c r="D631" t="s">
        <v>3595</v>
      </c>
    </row>
    <row r="632" spans="1:4" x14ac:dyDescent="0.3">
      <c r="A632" t="s">
        <v>1234</v>
      </c>
      <c r="B632" t="s">
        <v>2554</v>
      </c>
      <c r="C632" t="s">
        <v>2999</v>
      </c>
      <c r="D632" t="s">
        <v>3596</v>
      </c>
    </row>
    <row r="633" spans="1:4" x14ac:dyDescent="0.3">
      <c r="A633" t="s">
        <v>1235</v>
      </c>
      <c r="B633" t="s">
        <v>2554</v>
      </c>
      <c r="C633" t="s">
        <v>2999</v>
      </c>
      <c r="D633" t="s">
        <v>3597</v>
      </c>
    </row>
    <row r="634" spans="1:4" x14ac:dyDescent="0.3">
      <c r="A634" t="s">
        <v>1237</v>
      </c>
      <c r="B634" t="s">
        <v>2554</v>
      </c>
      <c r="C634" t="s">
        <v>3001</v>
      </c>
      <c r="D634" t="s">
        <v>3598</v>
      </c>
    </row>
    <row r="635" spans="1:4" x14ac:dyDescent="0.3">
      <c r="A635" t="s">
        <v>1238</v>
      </c>
      <c r="B635" t="s">
        <v>2555</v>
      </c>
      <c r="C635" t="s">
        <v>2999</v>
      </c>
      <c r="D635" t="s">
        <v>3599</v>
      </c>
    </row>
    <row r="636" spans="1:4" x14ac:dyDescent="0.3">
      <c r="A636" t="s">
        <v>1240</v>
      </c>
      <c r="B636" t="s">
        <v>2556</v>
      </c>
      <c r="C636" t="s">
        <v>2999</v>
      </c>
      <c r="D636" t="s">
        <v>3600</v>
      </c>
    </row>
    <row r="637" spans="1:4" x14ac:dyDescent="0.3">
      <c r="A637" t="s">
        <v>1242</v>
      </c>
      <c r="B637" t="s">
        <v>2557</v>
      </c>
      <c r="C637" t="s">
        <v>2999</v>
      </c>
      <c r="D637" t="s">
        <v>3601</v>
      </c>
    </row>
    <row r="638" spans="1:4" x14ac:dyDescent="0.3">
      <c r="A638" t="s">
        <v>1244</v>
      </c>
      <c r="B638" t="s">
        <v>2557</v>
      </c>
      <c r="C638" t="s">
        <v>3001</v>
      </c>
      <c r="D638" t="s">
        <v>3602</v>
      </c>
    </row>
    <row r="639" spans="1:4" x14ac:dyDescent="0.3">
      <c r="A639" t="s">
        <v>1245</v>
      </c>
      <c r="B639" t="s">
        <v>2558</v>
      </c>
      <c r="C639" t="s">
        <v>2999</v>
      </c>
      <c r="D639" t="s">
        <v>3603</v>
      </c>
    </row>
    <row r="640" spans="1:4" x14ac:dyDescent="0.3">
      <c r="A640" t="s">
        <v>1247</v>
      </c>
      <c r="B640" t="s">
        <v>2559</v>
      </c>
      <c r="C640" t="s">
        <v>2999</v>
      </c>
      <c r="D640" t="s">
        <v>3604</v>
      </c>
    </row>
    <row r="641" spans="1:4" x14ac:dyDescent="0.3">
      <c r="A641" t="s">
        <v>1249</v>
      </c>
      <c r="B641" t="s">
        <v>2560</v>
      </c>
      <c r="C641" t="s">
        <v>2996</v>
      </c>
      <c r="D641" t="s">
        <v>3605</v>
      </c>
    </row>
    <row r="642" spans="1:4" x14ac:dyDescent="0.3">
      <c r="A642" t="s">
        <v>1251</v>
      </c>
      <c r="B642" t="s">
        <v>2560</v>
      </c>
      <c r="C642" t="s">
        <v>2996</v>
      </c>
      <c r="D642" t="s">
        <v>3606</v>
      </c>
    </row>
    <row r="643" spans="1:4" x14ac:dyDescent="0.3">
      <c r="A643" t="s">
        <v>1253</v>
      </c>
      <c r="B643" t="s">
        <v>2560</v>
      </c>
      <c r="C643" t="s">
        <v>2996</v>
      </c>
      <c r="D643" t="s">
        <v>3607</v>
      </c>
    </row>
    <row r="644" spans="1:4" x14ac:dyDescent="0.3">
      <c r="A644" t="s">
        <v>1254</v>
      </c>
      <c r="B644" t="s">
        <v>2560</v>
      </c>
      <c r="C644" t="s">
        <v>2996</v>
      </c>
      <c r="D644" t="s">
        <v>3608</v>
      </c>
    </row>
    <row r="645" spans="1:4" x14ac:dyDescent="0.3">
      <c r="A645" t="s">
        <v>1255</v>
      </c>
      <c r="B645" t="s">
        <v>2560</v>
      </c>
      <c r="C645" t="s">
        <v>2994</v>
      </c>
      <c r="D645" t="s">
        <v>3609</v>
      </c>
    </row>
    <row r="646" spans="1:4" x14ac:dyDescent="0.3">
      <c r="A646" t="s">
        <v>1256</v>
      </c>
      <c r="B646" t="s">
        <v>2560</v>
      </c>
      <c r="C646" t="s">
        <v>2999</v>
      </c>
      <c r="D646" t="s">
        <v>3610</v>
      </c>
    </row>
    <row r="647" spans="1:4" x14ac:dyDescent="0.3">
      <c r="A647" t="s">
        <v>1257</v>
      </c>
      <c r="B647" t="s">
        <v>2560</v>
      </c>
      <c r="C647" t="s">
        <v>2999</v>
      </c>
      <c r="D647" t="s">
        <v>3611</v>
      </c>
    </row>
    <row r="648" spans="1:4" x14ac:dyDescent="0.3">
      <c r="A648" t="s">
        <v>1259</v>
      </c>
      <c r="B648" t="s">
        <v>2560</v>
      </c>
      <c r="C648" t="s">
        <v>3001</v>
      </c>
      <c r="D648" t="s">
        <v>3612</v>
      </c>
    </row>
    <row r="649" spans="1:4" x14ac:dyDescent="0.3">
      <c r="A649" t="s">
        <v>1260</v>
      </c>
      <c r="B649" t="s">
        <v>2561</v>
      </c>
      <c r="C649" t="s">
        <v>3001</v>
      </c>
      <c r="D649" t="s">
        <v>3613</v>
      </c>
    </row>
    <row r="650" spans="1:4" x14ac:dyDescent="0.3">
      <c r="A650" t="s">
        <v>1262</v>
      </c>
      <c r="B650" t="s">
        <v>2562</v>
      </c>
      <c r="C650" t="s">
        <v>2999</v>
      </c>
      <c r="D650" t="s">
        <v>3614</v>
      </c>
    </row>
    <row r="651" spans="1:4" x14ac:dyDescent="0.3">
      <c r="A651" t="s">
        <v>1263</v>
      </c>
      <c r="B651" t="s">
        <v>2563</v>
      </c>
      <c r="C651" t="s">
        <v>2999</v>
      </c>
      <c r="D651" t="s">
        <v>3615</v>
      </c>
    </row>
    <row r="652" spans="1:4" x14ac:dyDescent="0.3">
      <c r="A652" t="s">
        <v>1265</v>
      </c>
      <c r="B652" t="s">
        <v>2564</v>
      </c>
      <c r="C652" t="s">
        <v>2994</v>
      </c>
      <c r="D652" t="s">
        <v>3616</v>
      </c>
    </row>
    <row r="653" spans="1:4" x14ac:dyDescent="0.3">
      <c r="A653" t="s">
        <v>1266</v>
      </c>
      <c r="B653" t="s">
        <v>2564</v>
      </c>
      <c r="C653" t="s">
        <v>2999</v>
      </c>
      <c r="D653" t="s">
        <v>3617</v>
      </c>
    </row>
    <row r="654" spans="1:4" x14ac:dyDescent="0.3">
      <c r="A654" t="s">
        <v>1267</v>
      </c>
      <c r="B654" t="s">
        <v>2565</v>
      </c>
      <c r="C654" t="s">
        <v>2999</v>
      </c>
      <c r="D654" t="s">
        <v>3475</v>
      </c>
    </row>
    <row r="655" spans="1:4" x14ac:dyDescent="0.3">
      <c r="A655" t="s">
        <v>1269</v>
      </c>
      <c r="B655" t="s">
        <v>2566</v>
      </c>
      <c r="C655" t="s">
        <v>2994</v>
      </c>
      <c r="D655" t="s">
        <v>3618</v>
      </c>
    </row>
    <row r="656" spans="1:4" x14ac:dyDescent="0.3">
      <c r="A656" t="s">
        <v>1271</v>
      </c>
      <c r="B656" t="s">
        <v>2567</v>
      </c>
      <c r="C656" t="s">
        <v>2999</v>
      </c>
      <c r="D656" t="s">
        <v>3619</v>
      </c>
    </row>
    <row r="657" spans="1:4" x14ac:dyDescent="0.3">
      <c r="A657" t="s">
        <v>1272</v>
      </c>
      <c r="B657" t="s">
        <v>2568</v>
      </c>
      <c r="C657" t="s">
        <v>2999</v>
      </c>
      <c r="D657" t="s">
        <v>3620</v>
      </c>
    </row>
    <row r="658" spans="1:4" x14ac:dyDescent="0.3">
      <c r="A658" t="s">
        <v>1274</v>
      </c>
      <c r="B658" t="s">
        <v>2568</v>
      </c>
      <c r="C658" t="s">
        <v>3001</v>
      </c>
      <c r="D658" t="s">
        <v>3621</v>
      </c>
    </row>
    <row r="659" spans="1:4" x14ac:dyDescent="0.3">
      <c r="A659" t="s">
        <v>1275</v>
      </c>
      <c r="B659" t="s">
        <v>2569</v>
      </c>
      <c r="C659" t="s">
        <v>2994</v>
      </c>
      <c r="D659" t="s">
        <v>3622</v>
      </c>
    </row>
    <row r="660" spans="1:4" x14ac:dyDescent="0.3">
      <c r="A660" t="s">
        <v>1277</v>
      </c>
      <c r="B660" t="s">
        <v>2569</v>
      </c>
      <c r="C660" t="s">
        <v>2994</v>
      </c>
      <c r="D660" t="s">
        <v>3623</v>
      </c>
    </row>
    <row r="661" spans="1:4" x14ac:dyDescent="0.3">
      <c r="A661" t="s">
        <v>1278</v>
      </c>
      <c r="B661" t="s">
        <v>2569</v>
      </c>
      <c r="C661" t="s">
        <v>2994</v>
      </c>
      <c r="D661" t="s">
        <v>3624</v>
      </c>
    </row>
    <row r="662" spans="1:4" x14ac:dyDescent="0.3">
      <c r="A662" t="s">
        <v>1279</v>
      </c>
      <c r="B662" t="s">
        <v>2569</v>
      </c>
      <c r="C662" t="s">
        <v>3001</v>
      </c>
      <c r="D662" t="s">
        <v>3625</v>
      </c>
    </row>
    <row r="663" spans="1:4" x14ac:dyDescent="0.3">
      <c r="A663" t="s">
        <v>1280</v>
      </c>
      <c r="B663" t="s">
        <v>2570</v>
      </c>
      <c r="C663" t="s">
        <v>2994</v>
      </c>
      <c r="D663" t="s">
        <v>3626</v>
      </c>
    </row>
    <row r="664" spans="1:4" x14ac:dyDescent="0.3">
      <c r="A664" t="s">
        <v>1283</v>
      </c>
      <c r="B664" t="s">
        <v>2571</v>
      </c>
      <c r="C664" t="s">
        <v>2999</v>
      </c>
      <c r="D664" t="s">
        <v>3627</v>
      </c>
    </row>
    <row r="665" spans="1:4" x14ac:dyDescent="0.3">
      <c r="A665" t="s">
        <v>1284</v>
      </c>
      <c r="B665" t="s">
        <v>2572</v>
      </c>
      <c r="C665" t="s">
        <v>2999</v>
      </c>
      <c r="D665" t="s">
        <v>3628</v>
      </c>
    </row>
    <row r="666" spans="1:4" x14ac:dyDescent="0.3">
      <c r="A666" t="s">
        <v>1285</v>
      </c>
      <c r="B666" t="s">
        <v>2573</v>
      </c>
      <c r="C666" t="s">
        <v>2999</v>
      </c>
      <c r="D666" t="s">
        <v>3629</v>
      </c>
    </row>
    <row r="667" spans="1:4" x14ac:dyDescent="0.3">
      <c r="A667" t="s">
        <v>1286</v>
      </c>
      <c r="B667" t="s">
        <v>2574</v>
      </c>
      <c r="C667" t="s">
        <v>2994</v>
      </c>
      <c r="D667" t="s">
        <v>3630</v>
      </c>
    </row>
    <row r="668" spans="1:4" x14ac:dyDescent="0.3">
      <c r="A668" t="s">
        <v>1288</v>
      </c>
      <c r="B668" t="s">
        <v>2574</v>
      </c>
      <c r="C668" t="s">
        <v>3001</v>
      </c>
      <c r="D668" t="s">
        <v>3631</v>
      </c>
    </row>
    <row r="669" spans="1:4" x14ac:dyDescent="0.3">
      <c r="A669" t="s">
        <v>1289</v>
      </c>
      <c r="B669" t="s">
        <v>2575</v>
      </c>
      <c r="C669" t="s">
        <v>2994</v>
      </c>
      <c r="D669" t="s">
        <v>3632</v>
      </c>
    </row>
    <row r="670" spans="1:4" x14ac:dyDescent="0.3">
      <c r="A670" t="s">
        <v>1290</v>
      </c>
      <c r="B670" t="s">
        <v>2576</v>
      </c>
      <c r="C670" t="s">
        <v>2999</v>
      </c>
      <c r="D670" t="s">
        <v>3633</v>
      </c>
    </row>
    <row r="671" spans="1:4" x14ac:dyDescent="0.3">
      <c r="A671" t="s">
        <v>1292</v>
      </c>
      <c r="B671" t="s">
        <v>2577</v>
      </c>
      <c r="C671" t="s">
        <v>2999</v>
      </c>
      <c r="D671" t="s">
        <v>3284</v>
      </c>
    </row>
    <row r="672" spans="1:4" x14ac:dyDescent="0.3">
      <c r="A672" t="s">
        <v>1293</v>
      </c>
      <c r="B672" t="s">
        <v>2578</v>
      </c>
      <c r="C672" t="s">
        <v>2999</v>
      </c>
      <c r="D672" t="s">
        <v>3634</v>
      </c>
    </row>
    <row r="673" spans="1:4" x14ac:dyDescent="0.3">
      <c r="A673" t="s">
        <v>1295</v>
      </c>
      <c r="B673" t="s">
        <v>2579</v>
      </c>
      <c r="C673" t="s">
        <v>2999</v>
      </c>
      <c r="D673" t="s">
        <v>3635</v>
      </c>
    </row>
    <row r="674" spans="1:4" x14ac:dyDescent="0.3">
      <c r="A674" t="s">
        <v>1298</v>
      </c>
      <c r="B674" t="s">
        <v>2580</v>
      </c>
      <c r="C674" t="s">
        <v>2996</v>
      </c>
      <c r="D674" t="s">
        <v>3636</v>
      </c>
    </row>
    <row r="675" spans="1:4" x14ac:dyDescent="0.3">
      <c r="A675" t="s">
        <v>1299</v>
      </c>
      <c r="B675" t="s">
        <v>2580</v>
      </c>
      <c r="C675" t="s">
        <v>2999</v>
      </c>
      <c r="D675" t="s">
        <v>3637</v>
      </c>
    </row>
    <row r="676" spans="1:4" x14ac:dyDescent="0.3">
      <c r="A676" t="s">
        <v>1301</v>
      </c>
      <c r="B676" t="s">
        <v>2581</v>
      </c>
      <c r="C676" t="s">
        <v>2999</v>
      </c>
      <c r="D676" t="s">
        <v>3638</v>
      </c>
    </row>
    <row r="677" spans="1:4" x14ac:dyDescent="0.3">
      <c r="A677" t="s">
        <v>1303</v>
      </c>
      <c r="B677" t="s">
        <v>2582</v>
      </c>
      <c r="C677" t="s">
        <v>2999</v>
      </c>
      <c r="D677" t="s">
        <v>3639</v>
      </c>
    </row>
    <row r="678" spans="1:4" x14ac:dyDescent="0.3">
      <c r="A678" t="s">
        <v>1305</v>
      </c>
      <c r="B678" t="s">
        <v>2583</v>
      </c>
      <c r="C678" t="s">
        <v>2999</v>
      </c>
      <c r="D678" t="s">
        <v>3640</v>
      </c>
    </row>
    <row r="679" spans="1:4" x14ac:dyDescent="0.3">
      <c r="A679" t="s">
        <v>1307</v>
      </c>
      <c r="B679" t="s">
        <v>2584</v>
      </c>
      <c r="C679" t="s">
        <v>2999</v>
      </c>
      <c r="D679" t="s">
        <v>3641</v>
      </c>
    </row>
    <row r="680" spans="1:4" x14ac:dyDescent="0.3">
      <c r="A680" t="s">
        <v>1308</v>
      </c>
      <c r="B680" t="s">
        <v>2585</v>
      </c>
      <c r="C680" t="s">
        <v>2996</v>
      </c>
      <c r="D680" t="s">
        <v>3642</v>
      </c>
    </row>
    <row r="681" spans="1:4" x14ac:dyDescent="0.3">
      <c r="A681" t="s">
        <v>1310</v>
      </c>
      <c r="B681" t="s">
        <v>2585</v>
      </c>
      <c r="C681" t="s">
        <v>2994</v>
      </c>
      <c r="D681" t="s">
        <v>3643</v>
      </c>
    </row>
    <row r="682" spans="1:4" x14ac:dyDescent="0.3">
      <c r="A682" t="s">
        <v>1311</v>
      </c>
      <c r="B682" t="s">
        <v>2585</v>
      </c>
      <c r="C682" t="s">
        <v>2999</v>
      </c>
      <c r="D682" t="s">
        <v>3644</v>
      </c>
    </row>
    <row r="683" spans="1:4" x14ac:dyDescent="0.3">
      <c r="A683" t="s">
        <v>1312</v>
      </c>
      <c r="B683" t="s">
        <v>2585</v>
      </c>
      <c r="C683" t="s">
        <v>3001</v>
      </c>
      <c r="D683" t="s">
        <v>3645</v>
      </c>
    </row>
    <row r="684" spans="1:4" x14ac:dyDescent="0.3">
      <c r="A684" t="s">
        <v>1313</v>
      </c>
      <c r="B684" t="s">
        <v>2586</v>
      </c>
      <c r="C684" t="s">
        <v>2994</v>
      </c>
      <c r="D684" t="s">
        <v>3389</v>
      </c>
    </row>
    <row r="685" spans="1:4" x14ac:dyDescent="0.3">
      <c r="A685" t="s">
        <v>1315</v>
      </c>
      <c r="B685" t="s">
        <v>2586</v>
      </c>
      <c r="C685" t="s">
        <v>2999</v>
      </c>
      <c r="D685" t="s">
        <v>3109</v>
      </c>
    </row>
    <row r="686" spans="1:4" x14ac:dyDescent="0.3">
      <c r="A686" t="s">
        <v>1316</v>
      </c>
      <c r="B686" t="s">
        <v>2586</v>
      </c>
      <c r="C686" t="s">
        <v>3001</v>
      </c>
      <c r="D686" t="s">
        <v>3646</v>
      </c>
    </row>
    <row r="687" spans="1:4" x14ac:dyDescent="0.3">
      <c r="A687" t="s">
        <v>1317</v>
      </c>
      <c r="B687" t="s">
        <v>2144</v>
      </c>
      <c r="C687" t="s">
        <v>2999</v>
      </c>
      <c r="D687" t="s">
        <v>3647</v>
      </c>
    </row>
    <row r="688" spans="1:4" x14ac:dyDescent="0.3">
      <c r="A688" t="s">
        <v>1319</v>
      </c>
      <c r="B688" t="s">
        <v>2146</v>
      </c>
      <c r="C688" t="s">
        <v>2994</v>
      </c>
      <c r="D688" t="s">
        <v>3648</v>
      </c>
    </row>
    <row r="689" spans="1:4" x14ac:dyDescent="0.3">
      <c r="A689" t="s">
        <v>1321</v>
      </c>
      <c r="B689" t="s">
        <v>2587</v>
      </c>
      <c r="C689" t="s">
        <v>2994</v>
      </c>
      <c r="D689" t="s">
        <v>3649</v>
      </c>
    </row>
    <row r="690" spans="1:4" x14ac:dyDescent="0.3">
      <c r="A690" t="s">
        <v>1323</v>
      </c>
      <c r="B690" t="s">
        <v>2588</v>
      </c>
      <c r="C690" t="s">
        <v>2999</v>
      </c>
      <c r="D690" t="s">
        <v>3650</v>
      </c>
    </row>
    <row r="691" spans="1:4" x14ac:dyDescent="0.3">
      <c r="A691" t="s">
        <v>1325</v>
      </c>
      <c r="B691" t="s">
        <v>2588</v>
      </c>
      <c r="C691" t="s">
        <v>2999</v>
      </c>
      <c r="D691" t="s">
        <v>3651</v>
      </c>
    </row>
    <row r="692" spans="1:4" x14ac:dyDescent="0.3">
      <c r="A692" t="s">
        <v>1327</v>
      </c>
      <c r="B692" t="s">
        <v>2589</v>
      </c>
      <c r="C692" t="s">
        <v>2999</v>
      </c>
      <c r="D692" t="s">
        <v>3652</v>
      </c>
    </row>
    <row r="693" spans="1:4" x14ac:dyDescent="0.3">
      <c r="A693" t="s">
        <v>1328</v>
      </c>
      <c r="B693" t="s">
        <v>2590</v>
      </c>
      <c r="C693" t="s">
        <v>2999</v>
      </c>
      <c r="D693" t="s">
        <v>3653</v>
      </c>
    </row>
    <row r="694" spans="1:4" x14ac:dyDescent="0.3">
      <c r="A694" t="s">
        <v>1330</v>
      </c>
      <c r="B694" t="s">
        <v>2591</v>
      </c>
      <c r="C694" t="s">
        <v>2994</v>
      </c>
      <c r="D694" t="s">
        <v>3654</v>
      </c>
    </row>
    <row r="695" spans="1:4" x14ac:dyDescent="0.3">
      <c r="A695" t="s">
        <v>1332</v>
      </c>
      <c r="B695" t="s">
        <v>2591</v>
      </c>
      <c r="C695" t="s">
        <v>2999</v>
      </c>
      <c r="D695" t="s">
        <v>3456</v>
      </c>
    </row>
    <row r="696" spans="1:4" x14ac:dyDescent="0.3">
      <c r="A696" t="s">
        <v>1334</v>
      </c>
      <c r="B696" t="s">
        <v>2592</v>
      </c>
      <c r="C696" t="s">
        <v>2999</v>
      </c>
      <c r="D696" t="s">
        <v>3655</v>
      </c>
    </row>
    <row r="697" spans="1:4" x14ac:dyDescent="0.3">
      <c r="A697" t="s">
        <v>1336</v>
      </c>
      <c r="B697" t="s">
        <v>2152</v>
      </c>
      <c r="C697" t="s">
        <v>2994</v>
      </c>
      <c r="D697" t="s">
        <v>3656</v>
      </c>
    </row>
    <row r="698" spans="1:4" x14ac:dyDescent="0.3">
      <c r="A698" t="s">
        <v>1338</v>
      </c>
      <c r="B698" t="s">
        <v>2593</v>
      </c>
      <c r="C698" t="s">
        <v>2994</v>
      </c>
      <c r="D698" t="s">
        <v>3657</v>
      </c>
    </row>
    <row r="699" spans="1:4" x14ac:dyDescent="0.3">
      <c r="A699" t="s">
        <v>1339</v>
      </c>
      <c r="B699" t="s">
        <v>2593</v>
      </c>
      <c r="C699" t="s">
        <v>2994</v>
      </c>
      <c r="D699" t="s">
        <v>3658</v>
      </c>
    </row>
    <row r="700" spans="1:4" x14ac:dyDescent="0.3">
      <c r="A700" t="s">
        <v>1340</v>
      </c>
      <c r="B700" t="s">
        <v>2593</v>
      </c>
      <c r="C700" t="s">
        <v>2999</v>
      </c>
      <c r="D700" t="s">
        <v>3659</v>
      </c>
    </row>
    <row r="701" spans="1:4" x14ac:dyDescent="0.3">
      <c r="A701" t="s">
        <v>1341</v>
      </c>
      <c r="B701" t="s">
        <v>2593</v>
      </c>
      <c r="C701" t="s">
        <v>2999</v>
      </c>
      <c r="D701" t="s">
        <v>3660</v>
      </c>
    </row>
    <row r="702" spans="1:4" x14ac:dyDescent="0.3">
      <c r="A702" t="s">
        <v>1343</v>
      </c>
      <c r="B702" t="s">
        <v>2594</v>
      </c>
      <c r="C702" t="s">
        <v>2999</v>
      </c>
      <c r="D702" t="s">
        <v>3661</v>
      </c>
    </row>
    <row r="703" spans="1:4" x14ac:dyDescent="0.3">
      <c r="A703" t="s">
        <v>1344</v>
      </c>
      <c r="B703" t="s">
        <v>2594</v>
      </c>
      <c r="C703" t="s">
        <v>2999</v>
      </c>
      <c r="D703" t="s">
        <v>3662</v>
      </c>
    </row>
    <row r="704" spans="1:4" x14ac:dyDescent="0.3">
      <c r="A704" t="s">
        <v>1345</v>
      </c>
      <c r="B704" t="s">
        <v>2595</v>
      </c>
      <c r="C704" t="s">
        <v>2994</v>
      </c>
      <c r="D704" t="s">
        <v>3389</v>
      </c>
    </row>
    <row r="705" spans="1:4" x14ac:dyDescent="0.3">
      <c r="A705" t="s">
        <v>1346</v>
      </c>
      <c r="B705" t="s">
        <v>2595</v>
      </c>
      <c r="C705" t="s">
        <v>2999</v>
      </c>
      <c r="D705" t="s">
        <v>3663</v>
      </c>
    </row>
    <row r="706" spans="1:4" x14ac:dyDescent="0.3">
      <c r="A706" t="s">
        <v>1348</v>
      </c>
      <c r="B706" t="s">
        <v>2596</v>
      </c>
      <c r="C706" t="s">
        <v>2999</v>
      </c>
      <c r="D706" t="s">
        <v>3664</v>
      </c>
    </row>
    <row r="707" spans="1:4" x14ac:dyDescent="0.3">
      <c r="A707" t="s">
        <v>1350</v>
      </c>
      <c r="B707" t="s">
        <v>2597</v>
      </c>
      <c r="C707" t="s">
        <v>2999</v>
      </c>
      <c r="D707" t="s">
        <v>3665</v>
      </c>
    </row>
    <row r="708" spans="1:4" x14ac:dyDescent="0.3">
      <c r="A708" t="s">
        <v>1351</v>
      </c>
      <c r="B708" t="s">
        <v>2597</v>
      </c>
      <c r="C708" t="s">
        <v>3001</v>
      </c>
      <c r="D708" t="s">
        <v>3666</v>
      </c>
    </row>
    <row r="709" spans="1:4" x14ac:dyDescent="0.3">
      <c r="A709" t="s">
        <v>1352</v>
      </c>
      <c r="B709" t="s">
        <v>2158</v>
      </c>
      <c r="C709" t="s">
        <v>2999</v>
      </c>
      <c r="D709" t="s">
        <v>3667</v>
      </c>
    </row>
    <row r="710" spans="1:4" x14ac:dyDescent="0.3">
      <c r="A710" t="s">
        <v>1354</v>
      </c>
      <c r="B710" t="s">
        <v>2158</v>
      </c>
      <c r="C710" t="s">
        <v>2999</v>
      </c>
      <c r="D710" t="s">
        <v>3668</v>
      </c>
    </row>
    <row r="711" spans="1:4" x14ac:dyDescent="0.3">
      <c r="A711" t="s">
        <v>1356</v>
      </c>
      <c r="B711" t="s">
        <v>2598</v>
      </c>
      <c r="C711" t="s">
        <v>2994</v>
      </c>
      <c r="D711" t="s">
        <v>3669</v>
      </c>
    </row>
    <row r="712" spans="1:4" x14ac:dyDescent="0.3">
      <c r="A712" t="s">
        <v>1358</v>
      </c>
      <c r="B712" t="s">
        <v>2598</v>
      </c>
      <c r="C712" t="s">
        <v>2994</v>
      </c>
      <c r="D712" t="s">
        <v>3670</v>
      </c>
    </row>
    <row r="713" spans="1:4" x14ac:dyDescent="0.3">
      <c r="A713" t="s">
        <v>1360</v>
      </c>
      <c r="B713" t="s">
        <v>2599</v>
      </c>
      <c r="C713" t="s">
        <v>2999</v>
      </c>
      <c r="D713" t="s">
        <v>3671</v>
      </c>
    </row>
    <row r="714" spans="1:4" x14ac:dyDescent="0.3">
      <c r="A714" t="s">
        <v>1362</v>
      </c>
      <c r="B714" t="s">
        <v>2600</v>
      </c>
      <c r="C714" t="s">
        <v>2999</v>
      </c>
      <c r="D714" t="s">
        <v>3672</v>
      </c>
    </row>
    <row r="715" spans="1:4" x14ac:dyDescent="0.3">
      <c r="A715" t="s">
        <v>1363</v>
      </c>
      <c r="B715" t="s">
        <v>2601</v>
      </c>
      <c r="C715" t="s">
        <v>2999</v>
      </c>
      <c r="D715" t="s">
        <v>3517</v>
      </c>
    </row>
    <row r="716" spans="1:4" x14ac:dyDescent="0.3">
      <c r="A716" t="s">
        <v>1366</v>
      </c>
      <c r="B716" t="s">
        <v>2602</v>
      </c>
      <c r="C716" t="s">
        <v>2999</v>
      </c>
      <c r="D716" t="s">
        <v>3673</v>
      </c>
    </row>
    <row r="717" spans="1:4" x14ac:dyDescent="0.3">
      <c r="A717" t="s">
        <v>1367</v>
      </c>
      <c r="B717" t="s">
        <v>2603</v>
      </c>
      <c r="C717" t="s">
        <v>2999</v>
      </c>
      <c r="D717" t="s">
        <v>3039</v>
      </c>
    </row>
    <row r="718" spans="1:4" x14ac:dyDescent="0.3">
      <c r="A718" t="s">
        <v>1368</v>
      </c>
      <c r="B718" t="s">
        <v>2604</v>
      </c>
      <c r="C718" t="s">
        <v>2999</v>
      </c>
      <c r="D718" t="s">
        <v>3674</v>
      </c>
    </row>
    <row r="719" spans="1:4" x14ac:dyDescent="0.3">
      <c r="A719" t="s">
        <v>1370</v>
      </c>
      <c r="B719" t="s">
        <v>2604</v>
      </c>
      <c r="C719" t="s">
        <v>2999</v>
      </c>
      <c r="D719" t="s">
        <v>3675</v>
      </c>
    </row>
    <row r="720" spans="1:4" x14ac:dyDescent="0.3">
      <c r="A720" t="s">
        <v>1371</v>
      </c>
      <c r="B720" t="s">
        <v>2605</v>
      </c>
      <c r="C720" t="s">
        <v>2999</v>
      </c>
      <c r="D720" t="s">
        <v>3676</v>
      </c>
    </row>
    <row r="721" spans="1:4" x14ac:dyDescent="0.3">
      <c r="A721" t="s">
        <v>1374</v>
      </c>
      <c r="B721" t="s">
        <v>2606</v>
      </c>
      <c r="C721" t="s">
        <v>2999</v>
      </c>
      <c r="D721" t="s">
        <v>3677</v>
      </c>
    </row>
    <row r="722" spans="1:4" x14ac:dyDescent="0.3">
      <c r="A722" t="s">
        <v>1377</v>
      </c>
      <c r="B722" t="s">
        <v>2607</v>
      </c>
      <c r="C722" t="s">
        <v>2999</v>
      </c>
      <c r="D722" t="s">
        <v>3663</v>
      </c>
    </row>
    <row r="723" spans="1:4" x14ac:dyDescent="0.3">
      <c r="A723" t="s">
        <v>1379</v>
      </c>
      <c r="B723" t="s">
        <v>2608</v>
      </c>
      <c r="C723" t="s">
        <v>2999</v>
      </c>
      <c r="D723" t="s">
        <v>3678</v>
      </c>
    </row>
    <row r="724" spans="1:4" x14ac:dyDescent="0.3">
      <c r="A724" t="s">
        <v>1380</v>
      </c>
      <c r="B724" t="s">
        <v>2608</v>
      </c>
      <c r="C724" t="s">
        <v>2999</v>
      </c>
      <c r="D724" t="s">
        <v>3679</v>
      </c>
    </row>
    <row r="725" spans="1:4" x14ac:dyDescent="0.3">
      <c r="A725" t="s">
        <v>1381</v>
      </c>
      <c r="B725" t="s">
        <v>2609</v>
      </c>
      <c r="C725" t="s">
        <v>2999</v>
      </c>
      <c r="D725" t="s">
        <v>3680</v>
      </c>
    </row>
    <row r="726" spans="1:4" x14ac:dyDescent="0.3">
      <c r="A726" t="s">
        <v>1382</v>
      </c>
      <c r="B726" t="s">
        <v>2610</v>
      </c>
      <c r="C726" t="s">
        <v>2999</v>
      </c>
      <c r="D726" t="s">
        <v>3681</v>
      </c>
    </row>
    <row r="727" spans="1:4" x14ac:dyDescent="0.3">
      <c r="A727" t="s">
        <v>1384</v>
      </c>
      <c r="B727" t="s">
        <v>2611</v>
      </c>
      <c r="C727" t="s">
        <v>2994</v>
      </c>
      <c r="D727" t="s">
        <v>3359</v>
      </c>
    </row>
    <row r="728" spans="1:4" x14ac:dyDescent="0.3">
      <c r="A728" t="s">
        <v>1384</v>
      </c>
      <c r="B728" t="s">
        <v>2611</v>
      </c>
      <c r="C728" t="s">
        <v>2994</v>
      </c>
      <c r="D728" t="s">
        <v>3359</v>
      </c>
    </row>
    <row r="729" spans="1:4" x14ac:dyDescent="0.3">
      <c r="A729" t="s">
        <v>1386</v>
      </c>
      <c r="B729" t="s">
        <v>2612</v>
      </c>
      <c r="C729" t="s">
        <v>2999</v>
      </c>
      <c r="D729" t="s">
        <v>3663</v>
      </c>
    </row>
    <row r="730" spans="1:4" x14ac:dyDescent="0.3">
      <c r="A730" t="s">
        <v>1387</v>
      </c>
      <c r="B730" t="s">
        <v>2382</v>
      </c>
      <c r="C730" t="s">
        <v>2999</v>
      </c>
      <c r="D730" t="s">
        <v>3682</v>
      </c>
    </row>
    <row r="731" spans="1:4" x14ac:dyDescent="0.3">
      <c r="A731" t="s">
        <v>1389</v>
      </c>
      <c r="B731" t="s">
        <v>2613</v>
      </c>
      <c r="C731" t="s">
        <v>2999</v>
      </c>
      <c r="D731" t="s">
        <v>3683</v>
      </c>
    </row>
    <row r="732" spans="1:4" x14ac:dyDescent="0.3">
      <c r="A732" t="s">
        <v>1391</v>
      </c>
      <c r="B732" t="s">
        <v>2613</v>
      </c>
      <c r="C732" t="s">
        <v>2999</v>
      </c>
      <c r="D732" t="s">
        <v>3684</v>
      </c>
    </row>
    <row r="733" spans="1:4" x14ac:dyDescent="0.3">
      <c r="A733" t="s">
        <v>1392</v>
      </c>
      <c r="B733" t="s">
        <v>2613</v>
      </c>
      <c r="C733" t="s">
        <v>2999</v>
      </c>
      <c r="D733" t="s">
        <v>3685</v>
      </c>
    </row>
    <row r="734" spans="1:4" x14ac:dyDescent="0.3">
      <c r="A734" t="s">
        <v>1393</v>
      </c>
      <c r="B734" t="s">
        <v>2614</v>
      </c>
      <c r="C734" t="s">
        <v>2999</v>
      </c>
      <c r="D734" t="s">
        <v>3003</v>
      </c>
    </row>
    <row r="735" spans="1:4" x14ac:dyDescent="0.3">
      <c r="A735" t="s">
        <v>1395</v>
      </c>
      <c r="B735" t="s">
        <v>2615</v>
      </c>
      <c r="C735" t="s">
        <v>2996</v>
      </c>
      <c r="D735" t="s">
        <v>3686</v>
      </c>
    </row>
    <row r="736" spans="1:4" x14ac:dyDescent="0.3">
      <c r="A736" t="s">
        <v>1398</v>
      </c>
      <c r="B736" t="s">
        <v>2615</v>
      </c>
      <c r="C736" t="s">
        <v>2996</v>
      </c>
      <c r="D736" t="s">
        <v>3687</v>
      </c>
    </row>
    <row r="737" spans="1:4" x14ac:dyDescent="0.3">
      <c r="A737" t="s">
        <v>1399</v>
      </c>
      <c r="B737" t="s">
        <v>2615</v>
      </c>
      <c r="C737" t="s">
        <v>3001</v>
      </c>
      <c r="D737" t="s">
        <v>3688</v>
      </c>
    </row>
    <row r="738" spans="1:4" x14ac:dyDescent="0.3">
      <c r="A738" t="s">
        <v>1400</v>
      </c>
      <c r="B738" t="s">
        <v>2616</v>
      </c>
      <c r="C738" t="s">
        <v>2999</v>
      </c>
      <c r="D738" t="s">
        <v>3456</v>
      </c>
    </row>
    <row r="739" spans="1:4" x14ac:dyDescent="0.3">
      <c r="A739" t="s">
        <v>1402</v>
      </c>
      <c r="B739" t="s">
        <v>2617</v>
      </c>
      <c r="C739" t="s">
        <v>2999</v>
      </c>
      <c r="D739" t="s">
        <v>3689</v>
      </c>
    </row>
    <row r="740" spans="1:4" x14ac:dyDescent="0.3">
      <c r="A740" t="s">
        <v>1405</v>
      </c>
      <c r="B740" t="s">
        <v>2618</v>
      </c>
      <c r="C740" t="s">
        <v>2994</v>
      </c>
      <c r="D740" t="s">
        <v>3690</v>
      </c>
    </row>
    <row r="741" spans="1:4" x14ac:dyDescent="0.3">
      <c r="A741" t="s">
        <v>1407</v>
      </c>
      <c r="B741" t="s">
        <v>2618</v>
      </c>
      <c r="C741" t="s">
        <v>2999</v>
      </c>
      <c r="D741" t="s">
        <v>3691</v>
      </c>
    </row>
    <row r="742" spans="1:4" x14ac:dyDescent="0.3">
      <c r="A742" t="s">
        <v>1408</v>
      </c>
      <c r="B742" t="s">
        <v>2619</v>
      </c>
      <c r="C742" t="s">
        <v>2999</v>
      </c>
      <c r="D742" t="s">
        <v>3692</v>
      </c>
    </row>
    <row r="743" spans="1:4" x14ac:dyDescent="0.3">
      <c r="A743" t="s">
        <v>1410</v>
      </c>
      <c r="B743" t="s">
        <v>2620</v>
      </c>
      <c r="C743" t="s">
        <v>2999</v>
      </c>
      <c r="D743" t="s">
        <v>3693</v>
      </c>
    </row>
    <row r="744" spans="1:4" x14ac:dyDescent="0.3">
      <c r="A744" t="s">
        <v>1411</v>
      </c>
      <c r="B744" t="s">
        <v>2621</v>
      </c>
      <c r="C744" t="s">
        <v>2999</v>
      </c>
      <c r="D744" t="s">
        <v>3694</v>
      </c>
    </row>
    <row r="745" spans="1:4" x14ac:dyDescent="0.3">
      <c r="A745" t="s">
        <v>1413</v>
      </c>
      <c r="B745" t="s">
        <v>2622</v>
      </c>
      <c r="C745" t="s">
        <v>2994</v>
      </c>
      <c r="D745" t="s">
        <v>3695</v>
      </c>
    </row>
    <row r="746" spans="1:4" x14ac:dyDescent="0.3">
      <c r="A746" t="s">
        <v>1415</v>
      </c>
      <c r="B746" t="s">
        <v>2623</v>
      </c>
      <c r="C746" t="s">
        <v>2999</v>
      </c>
      <c r="D746" t="s">
        <v>3696</v>
      </c>
    </row>
    <row r="747" spans="1:4" x14ac:dyDescent="0.3">
      <c r="A747" t="s">
        <v>1416</v>
      </c>
      <c r="B747" t="s">
        <v>2180</v>
      </c>
      <c r="C747" t="s">
        <v>2994</v>
      </c>
      <c r="D747" t="s">
        <v>3697</v>
      </c>
    </row>
    <row r="748" spans="1:4" x14ac:dyDescent="0.3">
      <c r="A748" t="s">
        <v>1418</v>
      </c>
      <c r="B748" t="s">
        <v>2180</v>
      </c>
      <c r="C748" t="s">
        <v>2999</v>
      </c>
      <c r="D748" t="s">
        <v>3698</v>
      </c>
    </row>
    <row r="749" spans="1:4" x14ac:dyDescent="0.3">
      <c r="A749" t="s">
        <v>1420</v>
      </c>
      <c r="B749" t="s">
        <v>2624</v>
      </c>
      <c r="C749" t="s">
        <v>2996</v>
      </c>
      <c r="D749" t="s">
        <v>3699</v>
      </c>
    </row>
    <row r="750" spans="1:4" x14ac:dyDescent="0.3">
      <c r="A750" t="s">
        <v>1422</v>
      </c>
      <c r="B750" t="s">
        <v>2624</v>
      </c>
      <c r="C750" t="s">
        <v>2999</v>
      </c>
      <c r="D750" t="s">
        <v>3700</v>
      </c>
    </row>
    <row r="751" spans="1:4" x14ac:dyDescent="0.3">
      <c r="A751" t="s">
        <v>1423</v>
      </c>
      <c r="B751" t="s">
        <v>2624</v>
      </c>
      <c r="C751" t="s">
        <v>3001</v>
      </c>
      <c r="D751" t="s">
        <v>3701</v>
      </c>
    </row>
    <row r="752" spans="1:4" x14ac:dyDescent="0.3">
      <c r="A752" t="s">
        <v>1424</v>
      </c>
      <c r="B752" t="s">
        <v>2625</v>
      </c>
      <c r="C752" t="s">
        <v>2999</v>
      </c>
      <c r="D752" t="s">
        <v>3702</v>
      </c>
    </row>
    <row r="753" spans="1:4" x14ac:dyDescent="0.3">
      <c r="A753" t="s">
        <v>1425</v>
      </c>
      <c r="B753" t="s">
        <v>2626</v>
      </c>
      <c r="C753" t="s">
        <v>2999</v>
      </c>
      <c r="D753" t="s">
        <v>3703</v>
      </c>
    </row>
    <row r="754" spans="1:4" x14ac:dyDescent="0.3">
      <c r="A754" t="s">
        <v>1426</v>
      </c>
      <c r="B754" t="s">
        <v>2387</v>
      </c>
      <c r="C754" t="s">
        <v>2999</v>
      </c>
      <c r="D754" t="s">
        <v>3704</v>
      </c>
    </row>
    <row r="755" spans="1:4" x14ac:dyDescent="0.3">
      <c r="A755" t="s">
        <v>1429</v>
      </c>
      <c r="B755" t="s">
        <v>2387</v>
      </c>
      <c r="C755" t="s">
        <v>2999</v>
      </c>
      <c r="D755" t="s">
        <v>3705</v>
      </c>
    </row>
    <row r="756" spans="1:4" x14ac:dyDescent="0.3">
      <c r="A756" t="s">
        <v>1431</v>
      </c>
      <c r="B756" t="s">
        <v>2387</v>
      </c>
      <c r="C756" t="s">
        <v>2999</v>
      </c>
      <c r="D756" t="s">
        <v>3706</v>
      </c>
    </row>
    <row r="757" spans="1:4" x14ac:dyDescent="0.3">
      <c r="A757" t="s">
        <v>1432</v>
      </c>
      <c r="B757" t="s">
        <v>2387</v>
      </c>
      <c r="C757" t="s">
        <v>2999</v>
      </c>
      <c r="D757" t="s">
        <v>3665</v>
      </c>
    </row>
    <row r="758" spans="1:4" x14ac:dyDescent="0.3">
      <c r="A758" t="s">
        <v>1434</v>
      </c>
      <c r="B758" t="s">
        <v>2627</v>
      </c>
      <c r="C758" t="s">
        <v>2999</v>
      </c>
      <c r="D758" t="s">
        <v>3680</v>
      </c>
    </row>
    <row r="759" spans="1:4" x14ac:dyDescent="0.3">
      <c r="A759" t="s">
        <v>1436</v>
      </c>
      <c r="B759" t="s">
        <v>2627</v>
      </c>
      <c r="C759" t="s">
        <v>3001</v>
      </c>
      <c r="D759" t="s">
        <v>3707</v>
      </c>
    </row>
    <row r="760" spans="1:4" x14ac:dyDescent="0.3">
      <c r="A760" t="s">
        <v>1437</v>
      </c>
      <c r="B760" t="s">
        <v>2628</v>
      </c>
      <c r="C760" t="s">
        <v>2999</v>
      </c>
      <c r="D760" t="s">
        <v>3708</v>
      </c>
    </row>
    <row r="761" spans="1:4" x14ac:dyDescent="0.3">
      <c r="A761" t="s">
        <v>1439</v>
      </c>
      <c r="B761" t="s">
        <v>2628</v>
      </c>
      <c r="C761" t="s">
        <v>3001</v>
      </c>
      <c r="D761" t="s">
        <v>3709</v>
      </c>
    </row>
    <row r="762" spans="1:4" x14ac:dyDescent="0.3">
      <c r="A762" t="s">
        <v>1440</v>
      </c>
      <c r="B762" t="s">
        <v>2629</v>
      </c>
      <c r="C762" t="s">
        <v>2999</v>
      </c>
      <c r="D762" t="s">
        <v>3710</v>
      </c>
    </row>
    <row r="763" spans="1:4" x14ac:dyDescent="0.3">
      <c r="A763" t="s">
        <v>1442</v>
      </c>
      <c r="B763" t="s">
        <v>2630</v>
      </c>
      <c r="C763" t="s">
        <v>2999</v>
      </c>
      <c r="D763" t="s">
        <v>3711</v>
      </c>
    </row>
    <row r="764" spans="1:4" x14ac:dyDescent="0.3">
      <c r="A764" t="s">
        <v>1443</v>
      </c>
      <c r="B764" t="s">
        <v>2631</v>
      </c>
      <c r="C764" t="s">
        <v>2996</v>
      </c>
      <c r="D764" t="s">
        <v>3712</v>
      </c>
    </row>
    <row r="765" spans="1:4" x14ac:dyDescent="0.3">
      <c r="A765" t="s">
        <v>1446</v>
      </c>
      <c r="B765" t="s">
        <v>2631</v>
      </c>
      <c r="C765" t="s">
        <v>2994</v>
      </c>
      <c r="D765" t="s">
        <v>3713</v>
      </c>
    </row>
    <row r="766" spans="1:4" x14ac:dyDescent="0.3">
      <c r="A766" t="s">
        <v>1447</v>
      </c>
      <c r="B766" t="s">
        <v>2631</v>
      </c>
      <c r="C766" t="s">
        <v>2999</v>
      </c>
      <c r="D766" t="s">
        <v>3714</v>
      </c>
    </row>
    <row r="767" spans="1:4" x14ac:dyDescent="0.3">
      <c r="A767" t="s">
        <v>1448</v>
      </c>
      <c r="B767" t="s">
        <v>2631</v>
      </c>
      <c r="C767" t="s">
        <v>3001</v>
      </c>
      <c r="D767" t="s">
        <v>3715</v>
      </c>
    </row>
    <row r="768" spans="1:4" x14ac:dyDescent="0.3">
      <c r="A768" t="s">
        <v>1449</v>
      </c>
      <c r="B768" t="s">
        <v>2632</v>
      </c>
      <c r="C768" t="s">
        <v>2999</v>
      </c>
      <c r="D768" t="s">
        <v>3716</v>
      </c>
    </row>
    <row r="769" spans="1:4" x14ac:dyDescent="0.3">
      <c r="A769" t="s">
        <v>1450</v>
      </c>
      <c r="B769" t="s">
        <v>2633</v>
      </c>
      <c r="C769" t="s">
        <v>2999</v>
      </c>
      <c r="D769" t="s">
        <v>3717</v>
      </c>
    </row>
    <row r="770" spans="1:4" x14ac:dyDescent="0.3">
      <c r="A770" t="s">
        <v>1451</v>
      </c>
      <c r="B770" t="s">
        <v>2634</v>
      </c>
      <c r="C770" t="s">
        <v>2999</v>
      </c>
      <c r="D770" t="s">
        <v>3718</v>
      </c>
    </row>
    <row r="771" spans="1:4" x14ac:dyDescent="0.3">
      <c r="A771" t="s">
        <v>1453</v>
      </c>
      <c r="B771" t="s">
        <v>2635</v>
      </c>
      <c r="C771" t="s">
        <v>2999</v>
      </c>
      <c r="D771" t="s">
        <v>3327</v>
      </c>
    </row>
    <row r="772" spans="1:4" x14ac:dyDescent="0.3">
      <c r="A772" t="s">
        <v>1455</v>
      </c>
      <c r="B772" t="s">
        <v>2635</v>
      </c>
      <c r="C772" t="s">
        <v>2999</v>
      </c>
      <c r="D772" t="s">
        <v>3153</v>
      </c>
    </row>
    <row r="773" spans="1:4" x14ac:dyDescent="0.3">
      <c r="A773" t="s">
        <v>1457</v>
      </c>
      <c r="B773" t="s">
        <v>2636</v>
      </c>
      <c r="C773" t="s">
        <v>2994</v>
      </c>
      <c r="D773" t="s">
        <v>3719</v>
      </c>
    </row>
    <row r="774" spans="1:4" x14ac:dyDescent="0.3">
      <c r="A774" t="s">
        <v>1459</v>
      </c>
      <c r="B774" t="s">
        <v>2637</v>
      </c>
      <c r="C774" t="s">
        <v>2999</v>
      </c>
      <c r="D774" t="s">
        <v>3720</v>
      </c>
    </row>
    <row r="775" spans="1:4" x14ac:dyDescent="0.3">
      <c r="A775" t="s">
        <v>1460</v>
      </c>
      <c r="B775" t="s">
        <v>2638</v>
      </c>
      <c r="C775" t="s">
        <v>2999</v>
      </c>
      <c r="D775" t="s">
        <v>3721</v>
      </c>
    </row>
    <row r="776" spans="1:4" x14ac:dyDescent="0.3">
      <c r="A776" t="s">
        <v>1461</v>
      </c>
      <c r="B776" t="s">
        <v>2639</v>
      </c>
      <c r="C776" t="s">
        <v>2999</v>
      </c>
      <c r="D776" t="s">
        <v>3722</v>
      </c>
    </row>
    <row r="777" spans="1:4" x14ac:dyDescent="0.3">
      <c r="A777" t="s">
        <v>1462</v>
      </c>
      <c r="B777" t="s">
        <v>2640</v>
      </c>
      <c r="C777" t="s">
        <v>2999</v>
      </c>
      <c r="D777" t="s">
        <v>3637</v>
      </c>
    </row>
    <row r="778" spans="1:4" x14ac:dyDescent="0.3">
      <c r="A778" t="s">
        <v>1463</v>
      </c>
      <c r="B778" t="s">
        <v>2641</v>
      </c>
      <c r="C778" t="s">
        <v>2999</v>
      </c>
      <c r="D778" t="s">
        <v>3663</v>
      </c>
    </row>
    <row r="779" spans="1:4" x14ac:dyDescent="0.3">
      <c r="A779" t="s">
        <v>1464</v>
      </c>
      <c r="B779" t="s">
        <v>2642</v>
      </c>
      <c r="C779" t="s">
        <v>2999</v>
      </c>
      <c r="D779" t="s">
        <v>3723</v>
      </c>
    </row>
    <row r="780" spans="1:4" x14ac:dyDescent="0.3">
      <c r="A780" t="s">
        <v>1467</v>
      </c>
      <c r="B780" t="s">
        <v>2643</v>
      </c>
      <c r="C780" t="s">
        <v>2994</v>
      </c>
      <c r="D780" t="s">
        <v>3033</v>
      </c>
    </row>
    <row r="781" spans="1:4" x14ac:dyDescent="0.3">
      <c r="A781" t="s">
        <v>1469</v>
      </c>
      <c r="B781" t="s">
        <v>2644</v>
      </c>
      <c r="C781" t="s">
        <v>2994</v>
      </c>
      <c r="D781" t="s">
        <v>3033</v>
      </c>
    </row>
    <row r="782" spans="1:4" x14ac:dyDescent="0.3">
      <c r="A782" t="s">
        <v>1470</v>
      </c>
      <c r="B782" t="s">
        <v>2645</v>
      </c>
      <c r="C782" t="s">
        <v>2994</v>
      </c>
      <c r="D782" t="s">
        <v>3724</v>
      </c>
    </row>
    <row r="783" spans="1:4" x14ac:dyDescent="0.3">
      <c r="A783" t="s">
        <v>1473</v>
      </c>
      <c r="B783" t="s">
        <v>2646</v>
      </c>
      <c r="C783" t="s">
        <v>2999</v>
      </c>
      <c r="D783" t="s">
        <v>3725</v>
      </c>
    </row>
    <row r="784" spans="1:4" x14ac:dyDescent="0.3">
      <c r="A784" t="s">
        <v>1475</v>
      </c>
      <c r="B784" t="s">
        <v>2647</v>
      </c>
      <c r="C784" t="s">
        <v>2999</v>
      </c>
      <c r="D784" t="s">
        <v>3726</v>
      </c>
    </row>
    <row r="785" spans="1:4" x14ac:dyDescent="0.3">
      <c r="A785" t="s">
        <v>1476</v>
      </c>
      <c r="B785" t="s">
        <v>2648</v>
      </c>
      <c r="C785" t="s">
        <v>2999</v>
      </c>
      <c r="D785" t="s">
        <v>3665</v>
      </c>
    </row>
    <row r="786" spans="1:4" x14ac:dyDescent="0.3">
      <c r="A786" t="s">
        <v>1478</v>
      </c>
      <c r="B786" t="s">
        <v>2649</v>
      </c>
      <c r="C786" t="s">
        <v>2999</v>
      </c>
      <c r="D786" t="s">
        <v>3727</v>
      </c>
    </row>
    <row r="787" spans="1:4" x14ac:dyDescent="0.3">
      <c r="A787" t="s">
        <v>1480</v>
      </c>
      <c r="B787" t="s">
        <v>2649</v>
      </c>
      <c r="C787" t="s">
        <v>3001</v>
      </c>
      <c r="D787" t="s">
        <v>3728</v>
      </c>
    </row>
    <row r="788" spans="1:4" x14ac:dyDescent="0.3">
      <c r="A788" t="s">
        <v>1481</v>
      </c>
      <c r="B788" t="s">
        <v>2650</v>
      </c>
      <c r="C788" t="s">
        <v>2999</v>
      </c>
      <c r="D788" t="s">
        <v>3729</v>
      </c>
    </row>
    <row r="789" spans="1:4" x14ac:dyDescent="0.3">
      <c r="A789" t="s">
        <v>1483</v>
      </c>
      <c r="B789" t="s">
        <v>2651</v>
      </c>
      <c r="C789" t="s">
        <v>2999</v>
      </c>
      <c r="D789" t="s">
        <v>3730</v>
      </c>
    </row>
    <row r="790" spans="1:4" x14ac:dyDescent="0.3">
      <c r="A790" t="s">
        <v>1485</v>
      </c>
      <c r="B790" t="s">
        <v>2652</v>
      </c>
      <c r="C790" t="s">
        <v>2999</v>
      </c>
      <c r="D790" t="s">
        <v>3731</v>
      </c>
    </row>
    <row r="791" spans="1:4" x14ac:dyDescent="0.3">
      <c r="A791" t="s">
        <v>1487</v>
      </c>
      <c r="B791" t="s">
        <v>2653</v>
      </c>
      <c r="C791" t="s">
        <v>2999</v>
      </c>
      <c r="D791" t="s">
        <v>3732</v>
      </c>
    </row>
    <row r="792" spans="1:4" x14ac:dyDescent="0.3">
      <c r="A792" t="s">
        <v>1488</v>
      </c>
      <c r="B792" t="s">
        <v>2653</v>
      </c>
      <c r="C792" t="s">
        <v>2999</v>
      </c>
      <c r="D792" t="s">
        <v>3665</v>
      </c>
    </row>
    <row r="793" spans="1:4" x14ac:dyDescent="0.3">
      <c r="A793" t="s">
        <v>1489</v>
      </c>
      <c r="B793" t="s">
        <v>2653</v>
      </c>
      <c r="C793" t="s">
        <v>2999</v>
      </c>
      <c r="D793" t="s">
        <v>3733</v>
      </c>
    </row>
    <row r="794" spans="1:4" x14ac:dyDescent="0.3">
      <c r="A794" t="s">
        <v>1490</v>
      </c>
      <c r="B794" t="s">
        <v>2653</v>
      </c>
      <c r="C794" t="s">
        <v>2999</v>
      </c>
      <c r="D794" t="s">
        <v>3637</v>
      </c>
    </row>
    <row r="795" spans="1:4" x14ac:dyDescent="0.3">
      <c r="A795" t="s">
        <v>1491</v>
      </c>
      <c r="B795" t="s">
        <v>2654</v>
      </c>
      <c r="C795" t="s">
        <v>2999</v>
      </c>
      <c r="D795" t="s">
        <v>3397</v>
      </c>
    </row>
    <row r="796" spans="1:4" x14ac:dyDescent="0.3">
      <c r="A796" t="s">
        <v>1494</v>
      </c>
      <c r="B796" t="s">
        <v>2655</v>
      </c>
      <c r="C796" t="s">
        <v>2994</v>
      </c>
      <c r="D796" t="s">
        <v>3734</v>
      </c>
    </row>
    <row r="797" spans="1:4" x14ac:dyDescent="0.3">
      <c r="A797" t="s">
        <v>1495</v>
      </c>
      <c r="B797" t="s">
        <v>2656</v>
      </c>
      <c r="C797" t="s">
        <v>2999</v>
      </c>
      <c r="D797" t="s">
        <v>3735</v>
      </c>
    </row>
    <row r="798" spans="1:4" x14ac:dyDescent="0.3">
      <c r="A798" t="s">
        <v>1496</v>
      </c>
      <c r="B798" t="s">
        <v>2657</v>
      </c>
      <c r="C798" t="s">
        <v>2999</v>
      </c>
      <c r="D798" t="s">
        <v>3736</v>
      </c>
    </row>
    <row r="799" spans="1:4" x14ac:dyDescent="0.3">
      <c r="A799" t="s">
        <v>1498</v>
      </c>
      <c r="B799" t="s">
        <v>2658</v>
      </c>
      <c r="C799" t="s">
        <v>2999</v>
      </c>
      <c r="D799" t="s">
        <v>3547</v>
      </c>
    </row>
    <row r="800" spans="1:4" x14ac:dyDescent="0.3">
      <c r="A800" t="s">
        <v>1500</v>
      </c>
      <c r="B800" t="s">
        <v>2659</v>
      </c>
      <c r="C800" t="s">
        <v>2999</v>
      </c>
      <c r="D800" t="s">
        <v>3737</v>
      </c>
    </row>
    <row r="801" spans="1:4" x14ac:dyDescent="0.3">
      <c r="A801" t="s">
        <v>1503</v>
      </c>
      <c r="B801" t="s">
        <v>2660</v>
      </c>
      <c r="C801" t="s">
        <v>2999</v>
      </c>
      <c r="D801" t="s">
        <v>3738</v>
      </c>
    </row>
    <row r="802" spans="1:4" x14ac:dyDescent="0.3">
      <c r="A802" t="s">
        <v>1504</v>
      </c>
      <c r="B802" t="s">
        <v>2195</v>
      </c>
      <c r="C802" t="s">
        <v>2994</v>
      </c>
      <c r="D802" t="s">
        <v>3739</v>
      </c>
    </row>
    <row r="803" spans="1:4" x14ac:dyDescent="0.3">
      <c r="A803" t="s">
        <v>1505</v>
      </c>
      <c r="B803" t="s">
        <v>2196</v>
      </c>
      <c r="C803" t="s">
        <v>2999</v>
      </c>
      <c r="D803" t="s">
        <v>3547</v>
      </c>
    </row>
    <row r="804" spans="1:4" x14ac:dyDescent="0.3">
      <c r="A804" t="s">
        <v>1506</v>
      </c>
      <c r="B804" t="s">
        <v>2196</v>
      </c>
      <c r="C804" t="s">
        <v>2999</v>
      </c>
      <c r="D804" t="s">
        <v>3109</v>
      </c>
    </row>
    <row r="805" spans="1:4" x14ac:dyDescent="0.3">
      <c r="A805" t="s">
        <v>1507</v>
      </c>
      <c r="B805" t="s">
        <v>2661</v>
      </c>
      <c r="C805" t="s">
        <v>2999</v>
      </c>
      <c r="D805" t="s">
        <v>3665</v>
      </c>
    </row>
    <row r="806" spans="1:4" x14ac:dyDescent="0.3">
      <c r="A806" t="s">
        <v>1508</v>
      </c>
      <c r="B806" t="s">
        <v>2661</v>
      </c>
      <c r="C806" t="s">
        <v>2999</v>
      </c>
      <c r="D806" t="s">
        <v>3153</v>
      </c>
    </row>
    <row r="807" spans="1:4" x14ac:dyDescent="0.3">
      <c r="A807" t="s">
        <v>1509</v>
      </c>
      <c r="B807" t="s">
        <v>2662</v>
      </c>
      <c r="C807" t="s">
        <v>2999</v>
      </c>
      <c r="D807" t="s">
        <v>3740</v>
      </c>
    </row>
    <row r="808" spans="1:4" x14ac:dyDescent="0.3">
      <c r="A808" t="s">
        <v>1510</v>
      </c>
      <c r="B808" t="s">
        <v>2663</v>
      </c>
      <c r="C808" t="s">
        <v>2994</v>
      </c>
      <c r="D808" t="s">
        <v>3741</v>
      </c>
    </row>
    <row r="809" spans="1:4" x14ac:dyDescent="0.3">
      <c r="A809" t="s">
        <v>1513</v>
      </c>
      <c r="B809" t="s">
        <v>2663</v>
      </c>
      <c r="C809" t="s">
        <v>2994</v>
      </c>
      <c r="D809" t="s">
        <v>3742</v>
      </c>
    </row>
    <row r="810" spans="1:4" x14ac:dyDescent="0.3">
      <c r="A810" t="s">
        <v>1514</v>
      </c>
      <c r="B810" t="s">
        <v>2663</v>
      </c>
      <c r="C810" t="s">
        <v>2999</v>
      </c>
      <c r="D810" t="s">
        <v>3743</v>
      </c>
    </row>
    <row r="811" spans="1:4" x14ac:dyDescent="0.3">
      <c r="A811" t="s">
        <v>1517</v>
      </c>
      <c r="B811" t="s">
        <v>2663</v>
      </c>
      <c r="C811" t="s">
        <v>2999</v>
      </c>
      <c r="D811" t="s">
        <v>3744</v>
      </c>
    </row>
    <row r="812" spans="1:4" x14ac:dyDescent="0.3">
      <c r="A812" t="s">
        <v>1518</v>
      </c>
      <c r="B812" t="s">
        <v>2663</v>
      </c>
      <c r="C812" t="s">
        <v>2999</v>
      </c>
      <c r="D812" t="s">
        <v>3745</v>
      </c>
    </row>
    <row r="813" spans="1:4" x14ac:dyDescent="0.3">
      <c r="A813" t="s">
        <v>1519</v>
      </c>
      <c r="B813" t="s">
        <v>2663</v>
      </c>
      <c r="C813" t="s">
        <v>3001</v>
      </c>
      <c r="D813" t="s">
        <v>3746</v>
      </c>
    </row>
    <row r="814" spans="1:4" x14ac:dyDescent="0.3">
      <c r="A814" t="s">
        <v>1520</v>
      </c>
      <c r="B814" t="s">
        <v>2403</v>
      </c>
      <c r="C814" t="s">
        <v>2999</v>
      </c>
      <c r="D814" t="s">
        <v>3663</v>
      </c>
    </row>
    <row r="815" spans="1:4" x14ac:dyDescent="0.3">
      <c r="A815" t="s">
        <v>1521</v>
      </c>
      <c r="B815" t="s">
        <v>2200</v>
      </c>
      <c r="C815" t="s">
        <v>2999</v>
      </c>
      <c r="D815" t="s">
        <v>3747</v>
      </c>
    </row>
    <row r="816" spans="1:4" x14ac:dyDescent="0.3">
      <c r="A816" t="s">
        <v>1523</v>
      </c>
      <c r="B816" t="s">
        <v>2664</v>
      </c>
      <c r="C816" t="s">
        <v>2999</v>
      </c>
      <c r="D816" t="s">
        <v>3250</v>
      </c>
    </row>
    <row r="817" spans="1:4" x14ac:dyDescent="0.3">
      <c r="A817" t="s">
        <v>1524</v>
      </c>
      <c r="B817" t="s">
        <v>2665</v>
      </c>
      <c r="C817" t="s">
        <v>2999</v>
      </c>
      <c r="D817" t="s">
        <v>3109</v>
      </c>
    </row>
    <row r="818" spans="1:4" x14ac:dyDescent="0.3">
      <c r="A818" t="s">
        <v>1525</v>
      </c>
      <c r="B818" t="s">
        <v>2666</v>
      </c>
      <c r="C818" t="s">
        <v>2999</v>
      </c>
      <c r="D818" t="s">
        <v>3748</v>
      </c>
    </row>
    <row r="819" spans="1:4" x14ac:dyDescent="0.3">
      <c r="A819" t="s">
        <v>1526</v>
      </c>
      <c r="B819" t="s">
        <v>2667</v>
      </c>
      <c r="C819" t="s">
        <v>2999</v>
      </c>
      <c r="D819" t="s">
        <v>3749</v>
      </c>
    </row>
    <row r="820" spans="1:4" x14ac:dyDescent="0.3">
      <c r="A820" t="s">
        <v>1527</v>
      </c>
      <c r="B820" t="s">
        <v>2668</v>
      </c>
      <c r="C820" t="s">
        <v>2994</v>
      </c>
      <c r="D820" t="s">
        <v>3750</v>
      </c>
    </row>
    <row r="821" spans="1:4" x14ac:dyDescent="0.3">
      <c r="A821" t="s">
        <v>1528</v>
      </c>
      <c r="B821" t="s">
        <v>2669</v>
      </c>
      <c r="C821" t="s">
        <v>2994</v>
      </c>
      <c r="D821" t="s">
        <v>3751</v>
      </c>
    </row>
    <row r="822" spans="1:4" x14ac:dyDescent="0.3">
      <c r="A822" t="s">
        <v>1530</v>
      </c>
      <c r="B822" t="s">
        <v>2670</v>
      </c>
      <c r="C822" t="s">
        <v>2996</v>
      </c>
      <c r="D822" t="s">
        <v>3752</v>
      </c>
    </row>
    <row r="823" spans="1:4" x14ac:dyDescent="0.3">
      <c r="A823" t="s">
        <v>1533</v>
      </c>
      <c r="B823" t="s">
        <v>2670</v>
      </c>
      <c r="C823" t="s">
        <v>2999</v>
      </c>
      <c r="D823" t="s">
        <v>3753</v>
      </c>
    </row>
    <row r="824" spans="1:4" x14ac:dyDescent="0.3">
      <c r="A824" t="s">
        <v>1534</v>
      </c>
      <c r="B824" t="s">
        <v>2670</v>
      </c>
      <c r="C824" t="s">
        <v>2999</v>
      </c>
      <c r="D824" t="s">
        <v>3754</v>
      </c>
    </row>
    <row r="825" spans="1:4" x14ac:dyDescent="0.3">
      <c r="A825" t="s">
        <v>1536</v>
      </c>
      <c r="B825" t="s">
        <v>2670</v>
      </c>
      <c r="C825" t="s">
        <v>3001</v>
      </c>
      <c r="D825" t="s">
        <v>3755</v>
      </c>
    </row>
    <row r="826" spans="1:4" x14ac:dyDescent="0.3">
      <c r="A826" t="s">
        <v>1537</v>
      </c>
      <c r="B826" t="s">
        <v>2671</v>
      </c>
      <c r="C826" t="s">
        <v>2999</v>
      </c>
      <c r="D826" t="s">
        <v>3756</v>
      </c>
    </row>
    <row r="827" spans="1:4" x14ac:dyDescent="0.3">
      <c r="A827" t="s">
        <v>1539</v>
      </c>
      <c r="B827" t="s">
        <v>2672</v>
      </c>
      <c r="C827" t="s">
        <v>2996</v>
      </c>
      <c r="D827" t="s">
        <v>3757</v>
      </c>
    </row>
    <row r="828" spans="1:4" x14ac:dyDescent="0.3">
      <c r="A828" t="s">
        <v>1542</v>
      </c>
      <c r="B828" t="s">
        <v>2672</v>
      </c>
      <c r="C828" t="s">
        <v>2996</v>
      </c>
      <c r="D828" t="s">
        <v>3758</v>
      </c>
    </row>
    <row r="829" spans="1:4" x14ac:dyDescent="0.3">
      <c r="A829" t="s">
        <v>1543</v>
      </c>
      <c r="B829" t="s">
        <v>2672</v>
      </c>
      <c r="C829" t="s">
        <v>2996</v>
      </c>
      <c r="D829" t="s">
        <v>3759</v>
      </c>
    </row>
    <row r="830" spans="1:4" x14ac:dyDescent="0.3">
      <c r="A830" t="s">
        <v>1544</v>
      </c>
      <c r="B830" t="s">
        <v>2672</v>
      </c>
      <c r="C830" t="s">
        <v>2994</v>
      </c>
      <c r="D830" t="s">
        <v>3760</v>
      </c>
    </row>
    <row r="831" spans="1:4" x14ac:dyDescent="0.3">
      <c r="A831" t="s">
        <v>1545</v>
      </c>
      <c r="B831" t="s">
        <v>2672</v>
      </c>
      <c r="C831" t="s">
        <v>2994</v>
      </c>
      <c r="D831" t="s">
        <v>3761</v>
      </c>
    </row>
    <row r="832" spans="1:4" x14ac:dyDescent="0.3">
      <c r="A832" t="s">
        <v>1546</v>
      </c>
      <c r="B832" t="s">
        <v>2672</v>
      </c>
      <c r="C832" t="s">
        <v>2999</v>
      </c>
      <c r="D832" t="s">
        <v>3762</v>
      </c>
    </row>
    <row r="833" spans="1:4" x14ac:dyDescent="0.3">
      <c r="A833" t="s">
        <v>1547</v>
      </c>
      <c r="B833" t="s">
        <v>2672</v>
      </c>
      <c r="C833" t="s">
        <v>2999</v>
      </c>
      <c r="D833" t="s">
        <v>3763</v>
      </c>
    </row>
    <row r="834" spans="1:4" x14ac:dyDescent="0.3">
      <c r="A834" t="s">
        <v>1548</v>
      </c>
      <c r="B834" t="s">
        <v>2672</v>
      </c>
      <c r="C834" t="s">
        <v>3001</v>
      </c>
      <c r="D834" t="s">
        <v>3764</v>
      </c>
    </row>
    <row r="835" spans="1:4" x14ac:dyDescent="0.3">
      <c r="A835" t="s">
        <v>1549</v>
      </c>
      <c r="B835" t="s">
        <v>2673</v>
      </c>
      <c r="C835" t="s">
        <v>2999</v>
      </c>
      <c r="D835" t="s">
        <v>3444</v>
      </c>
    </row>
    <row r="836" spans="1:4" x14ac:dyDescent="0.3">
      <c r="A836" t="s">
        <v>1551</v>
      </c>
      <c r="B836" t="s">
        <v>2674</v>
      </c>
      <c r="C836" t="s">
        <v>2999</v>
      </c>
      <c r="D836" t="s">
        <v>3765</v>
      </c>
    </row>
    <row r="837" spans="1:4" x14ac:dyDescent="0.3">
      <c r="A837" t="s">
        <v>1553</v>
      </c>
      <c r="B837" t="s">
        <v>2675</v>
      </c>
      <c r="C837" t="s">
        <v>2999</v>
      </c>
      <c r="D837" t="s">
        <v>3766</v>
      </c>
    </row>
    <row r="838" spans="1:4" x14ac:dyDescent="0.3">
      <c r="A838" t="s">
        <v>1554</v>
      </c>
      <c r="B838" t="s">
        <v>2676</v>
      </c>
      <c r="C838" t="s">
        <v>2999</v>
      </c>
      <c r="D838" t="s">
        <v>3767</v>
      </c>
    </row>
    <row r="839" spans="1:4" x14ac:dyDescent="0.3">
      <c r="A839" t="s">
        <v>1556</v>
      </c>
      <c r="B839" t="s">
        <v>2676</v>
      </c>
      <c r="C839" t="s">
        <v>2999</v>
      </c>
      <c r="D839" t="s">
        <v>3768</v>
      </c>
    </row>
    <row r="840" spans="1:4" x14ac:dyDescent="0.3">
      <c r="A840" t="s">
        <v>1557</v>
      </c>
      <c r="B840" t="s">
        <v>2676</v>
      </c>
      <c r="C840" t="s">
        <v>2999</v>
      </c>
      <c r="D840" t="s">
        <v>3769</v>
      </c>
    </row>
    <row r="841" spans="1:4" x14ac:dyDescent="0.3">
      <c r="A841" t="s">
        <v>1558</v>
      </c>
      <c r="B841" t="s">
        <v>2676</v>
      </c>
      <c r="C841" t="s">
        <v>2999</v>
      </c>
      <c r="D841" t="s">
        <v>3770</v>
      </c>
    </row>
    <row r="842" spans="1:4" x14ac:dyDescent="0.3">
      <c r="A842" t="s">
        <v>1560</v>
      </c>
      <c r="B842" t="s">
        <v>2677</v>
      </c>
      <c r="C842" t="s">
        <v>2994</v>
      </c>
      <c r="D842" t="s">
        <v>3771</v>
      </c>
    </row>
    <row r="843" spans="1:4" x14ac:dyDescent="0.3">
      <c r="A843" t="s">
        <v>1561</v>
      </c>
      <c r="B843" t="s">
        <v>2678</v>
      </c>
      <c r="C843" t="s">
        <v>2994</v>
      </c>
      <c r="D843" t="s">
        <v>3359</v>
      </c>
    </row>
    <row r="844" spans="1:4" x14ac:dyDescent="0.3">
      <c r="A844" t="s">
        <v>1563</v>
      </c>
      <c r="B844" t="s">
        <v>2679</v>
      </c>
      <c r="C844" t="s">
        <v>2999</v>
      </c>
      <c r="D844" t="s">
        <v>3772</v>
      </c>
    </row>
    <row r="845" spans="1:4" x14ac:dyDescent="0.3">
      <c r="A845" t="s">
        <v>1564</v>
      </c>
      <c r="B845" t="s">
        <v>2679</v>
      </c>
      <c r="C845" t="s">
        <v>2999</v>
      </c>
      <c r="D845" t="s">
        <v>3773</v>
      </c>
    </row>
    <row r="846" spans="1:4" x14ac:dyDescent="0.3">
      <c r="A846" t="s">
        <v>1565</v>
      </c>
      <c r="B846" t="s">
        <v>2680</v>
      </c>
      <c r="C846" t="s">
        <v>2999</v>
      </c>
      <c r="D846" t="s">
        <v>3774</v>
      </c>
    </row>
    <row r="847" spans="1:4" x14ac:dyDescent="0.3">
      <c r="A847" t="s">
        <v>1567</v>
      </c>
      <c r="B847" t="s">
        <v>2680</v>
      </c>
      <c r="C847" t="s">
        <v>3001</v>
      </c>
      <c r="D847" t="s">
        <v>3775</v>
      </c>
    </row>
    <row r="848" spans="1:4" x14ac:dyDescent="0.3">
      <c r="A848" t="s">
        <v>1568</v>
      </c>
      <c r="B848" t="s">
        <v>2681</v>
      </c>
      <c r="C848" t="s">
        <v>2999</v>
      </c>
      <c r="D848" t="s">
        <v>3776</v>
      </c>
    </row>
    <row r="849" spans="1:4" x14ac:dyDescent="0.3">
      <c r="A849" t="s">
        <v>1569</v>
      </c>
      <c r="B849" t="s">
        <v>2682</v>
      </c>
      <c r="C849" t="s">
        <v>2999</v>
      </c>
      <c r="D849" t="s">
        <v>3777</v>
      </c>
    </row>
    <row r="850" spans="1:4" x14ac:dyDescent="0.3">
      <c r="A850" t="s">
        <v>1570</v>
      </c>
      <c r="B850" t="s">
        <v>2683</v>
      </c>
      <c r="C850" t="s">
        <v>2999</v>
      </c>
      <c r="D850" t="s">
        <v>3778</v>
      </c>
    </row>
    <row r="851" spans="1:4" x14ac:dyDescent="0.3">
      <c r="A851" t="s">
        <v>1571</v>
      </c>
      <c r="B851" t="s">
        <v>2683</v>
      </c>
      <c r="C851" t="s">
        <v>2999</v>
      </c>
      <c r="D851" t="s">
        <v>3779</v>
      </c>
    </row>
    <row r="852" spans="1:4" x14ac:dyDescent="0.3">
      <c r="A852" t="s">
        <v>1572</v>
      </c>
      <c r="B852" t="s">
        <v>2683</v>
      </c>
      <c r="C852" t="s">
        <v>2999</v>
      </c>
      <c r="D852" t="s">
        <v>3780</v>
      </c>
    </row>
    <row r="853" spans="1:4" x14ac:dyDescent="0.3">
      <c r="A853" t="s">
        <v>1573</v>
      </c>
      <c r="B853" t="s">
        <v>2683</v>
      </c>
      <c r="C853" t="s">
        <v>3001</v>
      </c>
      <c r="D853" t="s">
        <v>3781</v>
      </c>
    </row>
    <row r="854" spans="1:4" x14ac:dyDescent="0.3">
      <c r="A854" t="s">
        <v>1574</v>
      </c>
      <c r="B854" t="s">
        <v>2684</v>
      </c>
      <c r="C854" t="s">
        <v>2994</v>
      </c>
      <c r="D854" t="s">
        <v>3782</v>
      </c>
    </row>
    <row r="855" spans="1:4" x14ac:dyDescent="0.3">
      <c r="A855" t="s">
        <v>1576</v>
      </c>
      <c r="B855" t="s">
        <v>2685</v>
      </c>
      <c r="C855" t="s">
        <v>2999</v>
      </c>
      <c r="D855" t="s">
        <v>3783</v>
      </c>
    </row>
    <row r="856" spans="1:4" x14ac:dyDescent="0.3">
      <c r="A856" t="s">
        <v>1577</v>
      </c>
      <c r="B856" t="s">
        <v>2420</v>
      </c>
      <c r="C856" t="s">
        <v>2999</v>
      </c>
      <c r="D856" t="s">
        <v>3031</v>
      </c>
    </row>
    <row r="857" spans="1:4" x14ac:dyDescent="0.3">
      <c r="A857" t="s">
        <v>1578</v>
      </c>
      <c r="B857" t="s">
        <v>2686</v>
      </c>
      <c r="C857" t="s">
        <v>2999</v>
      </c>
      <c r="D857" t="s">
        <v>3784</v>
      </c>
    </row>
    <row r="858" spans="1:4" x14ac:dyDescent="0.3">
      <c r="A858" t="s">
        <v>1579</v>
      </c>
      <c r="B858" t="s">
        <v>2687</v>
      </c>
      <c r="C858" t="s">
        <v>2994</v>
      </c>
      <c r="D858" t="s">
        <v>3785</v>
      </c>
    </row>
    <row r="859" spans="1:4" x14ac:dyDescent="0.3">
      <c r="A859" t="s">
        <v>1580</v>
      </c>
      <c r="B859" t="s">
        <v>2688</v>
      </c>
      <c r="C859" t="s">
        <v>2999</v>
      </c>
      <c r="D859" t="s">
        <v>3786</v>
      </c>
    </row>
    <row r="860" spans="1:4" x14ac:dyDescent="0.3">
      <c r="A860" t="s">
        <v>1581</v>
      </c>
      <c r="B860" t="s">
        <v>2689</v>
      </c>
      <c r="C860" t="s">
        <v>2999</v>
      </c>
      <c r="D860" t="s">
        <v>3787</v>
      </c>
    </row>
    <row r="861" spans="1:4" x14ac:dyDescent="0.3">
      <c r="A861" t="s">
        <v>1582</v>
      </c>
      <c r="B861" t="s">
        <v>2690</v>
      </c>
      <c r="C861" t="s">
        <v>2994</v>
      </c>
      <c r="D861" t="s">
        <v>3785</v>
      </c>
    </row>
    <row r="862" spans="1:4" x14ac:dyDescent="0.3">
      <c r="A862" t="s">
        <v>1583</v>
      </c>
      <c r="B862" t="s">
        <v>2691</v>
      </c>
      <c r="C862" t="s">
        <v>2994</v>
      </c>
      <c r="D862" t="s">
        <v>3788</v>
      </c>
    </row>
    <row r="863" spans="1:4" x14ac:dyDescent="0.3">
      <c r="A863" t="s">
        <v>1585</v>
      </c>
      <c r="B863" t="s">
        <v>2692</v>
      </c>
      <c r="C863" t="s">
        <v>2994</v>
      </c>
      <c r="D863" t="s">
        <v>3789</v>
      </c>
    </row>
    <row r="864" spans="1:4" x14ac:dyDescent="0.3">
      <c r="A864" t="s">
        <v>1587</v>
      </c>
      <c r="B864" t="s">
        <v>2693</v>
      </c>
      <c r="C864" t="s">
        <v>2994</v>
      </c>
      <c r="D864" t="s">
        <v>3790</v>
      </c>
    </row>
    <row r="865" spans="1:4" x14ac:dyDescent="0.3">
      <c r="A865" t="s">
        <v>1588</v>
      </c>
      <c r="B865" t="s">
        <v>2694</v>
      </c>
      <c r="C865" t="s">
        <v>2999</v>
      </c>
      <c r="D865" t="s">
        <v>3791</v>
      </c>
    </row>
    <row r="866" spans="1:4" x14ac:dyDescent="0.3">
      <c r="A866" t="s">
        <v>1589</v>
      </c>
      <c r="B866" t="s">
        <v>2695</v>
      </c>
      <c r="C866" t="s">
        <v>2994</v>
      </c>
      <c r="D866" t="s">
        <v>3792</v>
      </c>
    </row>
    <row r="867" spans="1:4" x14ac:dyDescent="0.3">
      <c r="A867" t="s">
        <v>1590</v>
      </c>
      <c r="B867" t="s">
        <v>2696</v>
      </c>
      <c r="C867" t="s">
        <v>2994</v>
      </c>
      <c r="D867" t="s">
        <v>3793</v>
      </c>
    </row>
    <row r="868" spans="1:4" x14ac:dyDescent="0.3">
      <c r="A868" t="s">
        <v>1591</v>
      </c>
      <c r="B868" t="s">
        <v>2697</v>
      </c>
      <c r="C868" t="s">
        <v>2994</v>
      </c>
      <c r="D868" t="s">
        <v>3794</v>
      </c>
    </row>
    <row r="869" spans="1:4" x14ac:dyDescent="0.3">
      <c r="A869" t="s">
        <v>1592</v>
      </c>
      <c r="B869" t="s">
        <v>2697</v>
      </c>
      <c r="C869" t="s">
        <v>3001</v>
      </c>
      <c r="D869" t="s">
        <v>3795</v>
      </c>
    </row>
    <row r="870" spans="1:4" x14ac:dyDescent="0.3">
      <c r="A870" t="s">
        <v>1593</v>
      </c>
      <c r="B870" t="s">
        <v>2698</v>
      </c>
      <c r="C870" t="s">
        <v>2999</v>
      </c>
      <c r="D870" t="s">
        <v>3796</v>
      </c>
    </row>
    <row r="871" spans="1:4" x14ac:dyDescent="0.3">
      <c r="A871" t="s">
        <v>1595</v>
      </c>
      <c r="B871" t="s">
        <v>2699</v>
      </c>
      <c r="C871" t="s">
        <v>2999</v>
      </c>
      <c r="D871" t="s">
        <v>3797</v>
      </c>
    </row>
    <row r="872" spans="1:4" x14ac:dyDescent="0.3">
      <c r="A872" t="s">
        <v>1596</v>
      </c>
      <c r="B872" t="s">
        <v>2700</v>
      </c>
      <c r="C872" t="s">
        <v>2994</v>
      </c>
      <c r="D872" t="s">
        <v>3798</v>
      </c>
    </row>
    <row r="873" spans="1:4" x14ac:dyDescent="0.3">
      <c r="A873" t="s">
        <v>1598</v>
      </c>
      <c r="B873" t="s">
        <v>2701</v>
      </c>
      <c r="C873" t="s">
        <v>2999</v>
      </c>
      <c r="D873" t="s">
        <v>3109</v>
      </c>
    </row>
    <row r="874" spans="1:4" x14ac:dyDescent="0.3">
      <c r="A874" t="s">
        <v>1599</v>
      </c>
      <c r="B874" t="s">
        <v>2430</v>
      </c>
      <c r="C874" t="s">
        <v>2994</v>
      </c>
      <c r="D874" t="s">
        <v>3799</v>
      </c>
    </row>
    <row r="875" spans="1:4" x14ac:dyDescent="0.3">
      <c r="A875" t="s">
        <v>1601</v>
      </c>
      <c r="B875" t="s">
        <v>2702</v>
      </c>
      <c r="C875" t="s">
        <v>2999</v>
      </c>
      <c r="D875" t="s">
        <v>3800</v>
      </c>
    </row>
    <row r="876" spans="1:4" x14ac:dyDescent="0.3">
      <c r="A876" t="s">
        <v>1602</v>
      </c>
      <c r="B876" t="s">
        <v>2703</v>
      </c>
      <c r="C876" t="s">
        <v>2999</v>
      </c>
      <c r="D876" t="s">
        <v>3801</v>
      </c>
    </row>
    <row r="877" spans="1:4" x14ac:dyDescent="0.3">
      <c r="A877" t="s">
        <v>1603</v>
      </c>
      <c r="B877" t="s">
        <v>2704</v>
      </c>
      <c r="C877" t="s">
        <v>2999</v>
      </c>
      <c r="D877" t="s">
        <v>3802</v>
      </c>
    </row>
    <row r="878" spans="1:4" x14ac:dyDescent="0.3">
      <c r="A878" t="s">
        <v>1604</v>
      </c>
      <c r="B878" t="s">
        <v>2705</v>
      </c>
      <c r="C878" t="s">
        <v>2999</v>
      </c>
      <c r="D878" t="s">
        <v>3803</v>
      </c>
    </row>
    <row r="879" spans="1:4" x14ac:dyDescent="0.3">
      <c r="A879" t="s">
        <v>1605</v>
      </c>
      <c r="B879" t="s">
        <v>2706</v>
      </c>
      <c r="C879" t="s">
        <v>2994</v>
      </c>
      <c r="D879" t="s">
        <v>3804</v>
      </c>
    </row>
    <row r="880" spans="1:4" x14ac:dyDescent="0.3">
      <c r="A880" t="s">
        <v>1607</v>
      </c>
      <c r="B880" t="s">
        <v>2706</v>
      </c>
      <c r="C880" t="s">
        <v>2994</v>
      </c>
      <c r="D880" t="s">
        <v>3805</v>
      </c>
    </row>
    <row r="881" spans="1:4" x14ac:dyDescent="0.3">
      <c r="A881" t="s">
        <v>1609</v>
      </c>
      <c r="B881" t="s">
        <v>2707</v>
      </c>
      <c r="C881" t="s">
        <v>2999</v>
      </c>
      <c r="D881" t="s">
        <v>3806</v>
      </c>
    </row>
    <row r="882" spans="1:4" x14ac:dyDescent="0.3">
      <c r="A882" t="s">
        <v>1610</v>
      </c>
      <c r="B882" t="s">
        <v>2708</v>
      </c>
      <c r="C882" t="s">
        <v>2999</v>
      </c>
      <c r="D882" t="s">
        <v>3684</v>
      </c>
    </row>
    <row r="883" spans="1:4" x14ac:dyDescent="0.3">
      <c r="A883" t="s">
        <v>1611</v>
      </c>
      <c r="B883" t="s">
        <v>2709</v>
      </c>
      <c r="C883" t="s">
        <v>2999</v>
      </c>
      <c r="D883" t="s">
        <v>3807</v>
      </c>
    </row>
    <row r="884" spans="1:4" x14ac:dyDescent="0.3">
      <c r="A884" t="s">
        <v>1612</v>
      </c>
      <c r="B884" t="s">
        <v>2710</v>
      </c>
      <c r="C884" t="s">
        <v>2999</v>
      </c>
      <c r="D884" t="s">
        <v>3808</v>
      </c>
    </row>
    <row r="885" spans="1:4" x14ac:dyDescent="0.3">
      <c r="A885" t="s">
        <v>1614</v>
      </c>
      <c r="B885" t="s">
        <v>2711</v>
      </c>
      <c r="C885" t="s">
        <v>2999</v>
      </c>
      <c r="D885" t="s">
        <v>3809</v>
      </c>
    </row>
    <row r="886" spans="1:4" x14ac:dyDescent="0.3">
      <c r="A886" t="s">
        <v>1615</v>
      </c>
      <c r="B886" t="s">
        <v>2711</v>
      </c>
      <c r="C886" t="s">
        <v>2999</v>
      </c>
      <c r="D886" t="s">
        <v>3810</v>
      </c>
    </row>
    <row r="887" spans="1:4" x14ac:dyDescent="0.3">
      <c r="A887" t="s">
        <v>1616</v>
      </c>
      <c r="B887" t="s">
        <v>2711</v>
      </c>
      <c r="C887" t="s">
        <v>2999</v>
      </c>
      <c r="D887" t="s">
        <v>3811</v>
      </c>
    </row>
    <row r="888" spans="1:4" x14ac:dyDescent="0.3">
      <c r="A888" t="s">
        <v>1617</v>
      </c>
      <c r="B888" t="s">
        <v>2712</v>
      </c>
      <c r="C888" t="s">
        <v>2994</v>
      </c>
      <c r="D888" t="s">
        <v>3812</v>
      </c>
    </row>
    <row r="889" spans="1:4" x14ac:dyDescent="0.3">
      <c r="A889" t="s">
        <v>1618</v>
      </c>
      <c r="B889" t="s">
        <v>2713</v>
      </c>
      <c r="C889" t="s">
        <v>2999</v>
      </c>
      <c r="D889" t="s">
        <v>3813</v>
      </c>
    </row>
    <row r="890" spans="1:4" x14ac:dyDescent="0.3">
      <c r="A890" t="s">
        <v>1619</v>
      </c>
      <c r="B890" t="s">
        <v>2714</v>
      </c>
      <c r="C890" t="s">
        <v>2999</v>
      </c>
      <c r="D890" t="s">
        <v>3814</v>
      </c>
    </row>
    <row r="891" spans="1:4" x14ac:dyDescent="0.3">
      <c r="A891" t="s">
        <v>1620</v>
      </c>
      <c r="B891" t="s">
        <v>2715</v>
      </c>
      <c r="C891" t="s">
        <v>2999</v>
      </c>
      <c r="D891" t="s">
        <v>3815</v>
      </c>
    </row>
    <row r="892" spans="1:4" x14ac:dyDescent="0.3">
      <c r="A892" t="s">
        <v>1621</v>
      </c>
      <c r="B892" t="s">
        <v>2716</v>
      </c>
      <c r="C892" t="s">
        <v>2999</v>
      </c>
      <c r="D892" t="s">
        <v>3816</v>
      </c>
    </row>
    <row r="893" spans="1:4" x14ac:dyDescent="0.3">
      <c r="A893" t="s">
        <v>1622</v>
      </c>
      <c r="B893" t="s">
        <v>2716</v>
      </c>
      <c r="C893" t="s">
        <v>2999</v>
      </c>
      <c r="D893" t="s">
        <v>3817</v>
      </c>
    </row>
    <row r="894" spans="1:4" x14ac:dyDescent="0.3">
      <c r="A894" t="s">
        <v>1623</v>
      </c>
      <c r="B894" t="s">
        <v>2716</v>
      </c>
      <c r="C894" t="s">
        <v>2999</v>
      </c>
      <c r="D894" t="s">
        <v>3818</v>
      </c>
    </row>
    <row r="895" spans="1:4" x14ac:dyDescent="0.3">
      <c r="A895" t="s">
        <v>1624</v>
      </c>
      <c r="B895" t="s">
        <v>2716</v>
      </c>
      <c r="C895" t="s">
        <v>2999</v>
      </c>
      <c r="D895" t="s">
        <v>3819</v>
      </c>
    </row>
    <row r="896" spans="1:4" x14ac:dyDescent="0.3">
      <c r="A896" t="s">
        <v>1625</v>
      </c>
      <c r="B896" t="s">
        <v>2717</v>
      </c>
      <c r="C896" t="s">
        <v>2996</v>
      </c>
      <c r="D896" t="s">
        <v>3820</v>
      </c>
    </row>
    <row r="897" spans="1:4" x14ac:dyDescent="0.3">
      <c r="A897" t="s">
        <v>1626</v>
      </c>
      <c r="B897" t="s">
        <v>2717</v>
      </c>
      <c r="C897" t="s">
        <v>2994</v>
      </c>
      <c r="D897" t="s">
        <v>3821</v>
      </c>
    </row>
    <row r="898" spans="1:4" x14ac:dyDescent="0.3">
      <c r="A898" t="s">
        <v>1627</v>
      </c>
      <c r="B898" t="s">
        <v>2717</v>
      </c>
      <c r="C898" t="s">
        <v>2999</v>
      </c>
      <c r="D898" t="s">
        <v>3414</v>
      </c>
    </row>
    <row r="899" spans="1:4" x14ac:dyDescent="0.3">
      <c r="A899" t="s">
        <v>1629</v>
      </c>
      <c r="B899" t="s">
        <v>2717</v>
      </c>
      <c r="C899" t="s">
        <v>2999</v>
      </c>
      <c r="D899" t="s">
        <v>3822</v>
      </c>
    </row>
    <row r="900" spans="1:4" x14ac:dyDescent="0.3">
      <c r="A900" t="s">
        <v>1630</v>
      </c>
      <c r="B900" t="s">
        <v>2717</v>
      </c>
      <c r="C900" t="s">
        <v>2999</v>
      </c>
      <c r="D900" t="s">
        <v>3823</v>
      </c>
    </row>
    <row r="901" spans="1:4" x14ac:dyDescent="0.3">
      <c r="A901" t="s">
        <v>1631</v>
      </c>
      <c r="B901" t="s">
        <v>2717</v>
      </c>
      <c r="C901" t="s">
        <v>3001</v>
      </c>
      <c r="D901" t="s">
        <v>3824</v>
      </c>
    </row>
    <row r="902" spans="1:4" x14ac:dyDescent="0.3">
      <c r="A902" t="s">
        <v>1632</v>
      </c>
      <c r="B902" t="s">
        <v>2718</v>
      </c>
      <c r="C902" t="s">
        <v>2996</v>
      </c>
      <c r="D902" t="s">
        <v>3825</v>
      </c>
    </row>
    <row r="903" spans="1:4" x14ac:dyDescent="0.3">
      <c r="A903" t="s">
        <v>1634</v>
      </c>
      <c r="B903" t="s">
        <v>2718</v>
      </c>
      <c r="C903" t="s">
        <v>2994</v>
      </c>
      <c r="D903" t="s">
        <v>3826</v>
      </c>
    </row>
    <row r="904" spans="1:4" x14ac:dyDescent="0.3">
      <c r="A904" t="s">
        <v>1635</v>
      </c>
      <c r="B904" t="s">
        <v>2718</v>
      </c>
      <c r="C904" t="s">
        <v>2999</v>
      </c>
      <c r="D904" t="s">
        <v>3827</v>
      </c>
    </row>
    <row r="905" spans="1:4" x14ac:dyDescent="0.3">
      <c r="A905" t="s">
        <v>1636</v>
      </c>
      <c r="B905" t="s">
        <v>2718</v>
      </c>
      <c r="C905" t="s">
        <v>3001</v>
      </c>
      <c r="D905" t="s">
        <v>3828</v>
      </c>
    </row>
    <row r="906" spans="1:4" x14ac:dyDescent="0.3">
      <c r="A906" t="s">
        <v>1637</v>
      </c>
      <c r="B906" t="s">
        <v>2719</v>
      </c>
      <c r="C906" t="s">
        <v>2999</v>
      </c>
      <c r="D906" t="s">
        <v>3829</v>
      </c>
    </row>
    <row r="907" spans="1:4" x14ac:dyDescent="0.3">
      <c r="A907" t="s">
        <v>1638</v>
      </c>
      <c r="B907" t="s">
        <v>2720</v>
      </c>
      <c r="C907" t="s">
        <v>2999</v>
      </c>
      <c r="D907" t="s">
        <v>3830</v>
      </c>
    </row>
    <row r="908" spans="1:4" x14ac:dyDescent="0.3">
      <c r="A908" t="s">
        <v>1639</v>
      </c>
      <c r="B908" t="s">
        <v>2720</v>
      </c>
      <c r="C908" t="s">
        <v>2999</v>
      </c>
      <c r="D908" t="s">
        <v>3831</v>
      </c>
    </row>
    <row r="909" spans="1:4" x14ac:dyDescent="0.3">
      <c r="A909" t="s">
        <v>1640</v>
      </c>
      <c r="B909" t="s">
        <v>2721</v>
      </c>
      <c r="C909" t="s">
        <v>2994</v>
      </c>
      <c r="D909" t="s">
        <v>3832</v>
      </c>
    </row>
    <row r="910" spans="1:4" x14ac:dyDescent="0.3">
      <c r="A910" t="s">
        <v>1641</v>
      </c>
      <c r="B910" t="s">
        <v>2721</v>
      </c>
      <c r="C910" t="s">
        <v>2994</v>
      </c>
      <c r="D910" t="s">
        <v>3833</v>
      </c>
    </row>
    <row r="911" spans="1:4" x14ac:dyDescent="0.3">
      <c r="A911" t="s">
        <v>1642</v>
      </c>
      <c r="B911" t="s">
        <v>2721</v>
      </c>
      <c r="C911" t="s">
        <v>2999</v>
      </c>
      <c r="D911" t="s">
        <v>3834</v>
      </c>
    </row>
    <row r="912" spans="1:4" x14ac:dyDescent="0.3">
      <c r="A912" t="s">
        <v>1644</v>
      </c>
      <c r="B912" t="s">
        <v>2722</v>
      </c>
      <c r="C912" t="s">
        <v>2999</v>
      </c>
      <c r="D912" t="s">
        <v>3835</v>
      </c>
    </row>
    <row r="913" spans="1:4" x14ac:dyDescent="0.3">
      <c r="A913" t="s">
        <v>1646</v>
      </c>
      <c r="B913" t="s">
        <v>2723</v>
      </c>
      <c r="C913" t="s">
        <v>2999</v>
      </c>
      <c r="D913" t="s">
        <v>3836</v>
      </c>
    </row>
    <row r="914" spans="1:4" x14ac:dyDescent="0.3">
      <c r="A914" t="s">
        <v>1647</v>
      </c>
      <c r="B914" t="s">
        <v>2724</v>
      </c>
      <c r="C914" t="s">
        <v>2999</v>
      </c>
      <c r="D914" t="s">
        <v>3837</v>
      </c>
    </row>
    <row r="915" spans="1:4" x14ac:dyDescent="0.3">
      <c r="A915" t="s">
        <v>1648</v>
      </c>
      <c r="B915" t="s">
        <v>2725</v>
      </c>
      <c r="C915" t="s">
        <v>2999</v>
      </c>
      <c r="D915" t="s">
        <v>3838</v>
      </c>
    </row>
    <row r="916" spans="1:4" x14ac:dyDescent="0.3">
      <c r="A916" t="s">
        <v>1649</v>
      </c>
      <c r="B916" t="s">
        <v>2725</v>
      </c>
      <c r="C916" t="s">
        <v>2999</v>
      </c>
      <c r="D916" t="s">
        <v>3839</v>
      </c>
    </row>
    <row r="917" spans="1:4" x14ac:dyDescent="0.3">
      <c r="A917" t="s">
        <v>1650</v>
      </c>
      <c r="B917" t="s">
        <v>2725</v>
      </c>
      <c r="C917" t="s">
        <v>2999</v>
      </c>
      <c r="D917" t="s">
        <v>3840</v>
      </c>
    </row>
    <row r="918" spans="1:4" x14ac:dyDescent="0.3">
      <c r="A918" t="s">
        <v>1651</v>
      </c>
      <c r="B918" t="s">
        <v>2726</v>
      </c>
      <c r="C918" t="s">
        <v>2994</v>
      </c>
      <c r="D918" t="s">
        <v>3841</v>
      </c>
    </row>
    <row r="919" spans="1:4" x14ac:dyDescent="0.3">
      <c r="A919" t="s">
        <v>1652</v>
      </c>
      <c r="B919" t="s">
        <v>2726</v>
      </c>
      <c r="C919" t="s">
        <v>2999</v>
      </c>
      <c r="D919" t="s">
        <v>3513</v>
      </c>
    </row>
    <row r="920" spans="1:4" x14ac:dyDescent="0.3">
      <c r="A920" t="s">
        <v>1653</v>
      </c>
      <c r="B920" t="s">
        <v>2727</v>
      </c>
      <c r="C920" t="s">
        <v>2999</v>
      </c>
      <c r="D920" t="s">
        <v>3842</v>
      </c>
    </row>
    <row r="921" spans="1:4" x14ac:dyDescent="0.3">
      <c r="A921" t="s">
        <v>1654</v>
      </c>
      <c r="B921" t="s">
        <v>2728</v>
      </c>
      <c r="C921" t="s">
        <v>2999</v>
      </c>
      <c r="D921" t="s">
        <v>3843</v>
      </c>
    </row>
    <row r="922" spans="1:4" x14ac:dyDescent="0.3">
      <c r="A922" t="s">
        <v>1655</v>
      </c>
      <c r="B922" t="s">
        <v>2440</v>
      </c>
      <c r="C922" t="s">
        <v>2999</v>
      </c>
      <c r="D922" t="s">
        <v>3844</v>
      </c>
    </row>
    <row r="923" spans="1:4" x14ac:dyDescent="0.3">
      <c r="A923" t="s">
        <v>1656</v>
      </c>
      <c r="B923" t="s">
        <v>2729</v>
      </c>
      <c r="C923" t="s">
        <v>2999</v>
      </c>
      <c r="D923" t="s">
        <v>3743</v>
      </c>
    </row>
    <row r="924" spans="1:4" x14ac:dyDescent="0.3">
      <c r="A924" t="s">
        <v>1657</v>
      </c>
      <c r="B924" t="s">
        <v>2441</v>
      </c>
      <c r="C924" t="s">
        <v>2994</v>
      </c>
      <c r="D924" t="s">
        <v>3845</v>
      </c>
    </row>
    <row r="925" spans="1:4" x14ac:dyDescent="0.3">
      <c r="A925" t="s">
        <v>1658</v>
      </c>
      <c r="B925" t="s">
        <v>2441</v>
      </c>
      <c r="C925" t="s">
        <v>2994</v>
      </c>
      <c r="D925" t="s">
        <v>3389</v>
      </c>
    </row>
    <row r="926" spans="1:4" x14ac:dyDescent="0.3">
      <c r="A926" t="s">
        <v>1659</v>
      </c>
      <c r="B926" t="s">
        <v>2441</v>
      </c>
      <c r="C926" t="s">
        <v>2999</v>
      </c>
      <c r="D926" t="s">
        <v>3547</v>
      </c>
    </row>
    <row r="927" spans="1:4" x14ac:dyDescent="0.3">
      <c r="A927" t="s">
        <v>1659</v>
      </c>
      <c r="B927" t="s">
        <v>2441</v>
      </c>
      <c r="C927" t="s">
        <v>2999</v>
      </c>
      <c r="D927" t="s">
        <v>3547</v>
      </c>
    </row>
    <row r="928" spans="1:4" x14ac:dyDescent="0.3">
      <c r="A928" t="s">
        <v>1660</v>
      </c>
      <c r="B928" t="s">
        <v>2730</v>
      </c>
      <c r="C928" t="s">
        <v>2999</v>
      </c>
      <c r="D928" t="s">
        <v>3109</v>
      </c>
    </row>
    <row r="929" spans="1:4" x14ac:dyDescent="0.3">
      <c r="A929" t="s">
        <v>1661</v>
      </c>
      <c r="B929" t="s">
        <v>2731</v>
      </c>
      <c r="C929" t="s">
        <v>2999</v>
      </c>
      <c r="D929" t="s">
        <v>3846</v>
      </c>
    </row>
    <row r="930" spans="1:4" x14ac:dyDescent="0.3">
      <c r="A930" t="s">
        <v>1662</v>
      </c>
      <c r="B930" t="s">
        <v>2731</v>
      </c>
      <c r="C930" t="s">
        <v>3001</v>
      </c>
      <c r="D930" t="s">
        <v>3847</v>
      </c>
    </row>
    <row r="931" spans="1:4" x14ac:dyDescent="0.3">
      <c r="A931" t="s">
        <v>1663</v>
      </c>
      <c r="B931" t="s">
        <v>2732</v>
      </c>
      <c r="C931" t="s">
        <v>2999</v>
      </c>
      <c r="D931" t="s">
        <v>3109</v>
      </c>
    </row>
    <row r="932" spans="1:4" x14ac:dyDescent="0.3">
      <c r="A932" t="s">
        <v>1664</v>
      </c>
      <c r="B932" t="s">
        <v>2732</v>
      </c>
      <c r="C932" t="s">
        <v>2999</v>
      </c>
      <c r="D932" t="s">
        <v>3848</v>
      </c>
    </row>
    <row r="933" spans="1:4" x14ac:dyDescent="0.3">
      <c r="A933" t="s">
        <v>1665</v>
      </c>
      <c r="B933" t="s">
        <v>2733</v>
      </c>
      <c r="C933" t="s">
        <v>2999</v>
      </c>
      <c r="D933" t="s">
        <v>3849</v>
      </c>
    </row>
    <row r="934" spans="1:4" x14ac:dyDescent="0.3">
      <c r="A934" t="s">
        <v>1666</v>
      </c>
      <c r="B934" t="s">
        <v>2734</v>
      </c>
      <c r="C934" t="s">
        <v>2994</v>
      </c>
      <c r="D934" t="s">
        <v>3850</v>
      </c>
    </row>
    <row r="935" spans="1:4" x14ac:dyDescent="0.3">
      <c r="A935" t="s">
        <v>1667</v>
      </c>
      <c r="B935" t="s">
        <v>2734</v>
      </c>
      <c r="C935" t="s">
        <v>2999</v>
      </c>
      <c r="D935" t="s">
        <v>3851</v>
      </c>
    </row>
    <row r="936" spans="1:4" x14ac:dyDescent="0.3">
      <c r="A936" t="s">
        <v>1668</v>
      </c>
      <c r="B936" t="s">
        <v>2735</v>
      </c>
      <c r="C936" t="s">
        <v>2994</v>
      </c>
      <c r="D936" t="s">
        <v>3852</v>
      </c>
    </row>
    <row r="937" spans="1:4" x14ac:dyDescent="0.3">
      <c r="A937" t="s">
        <v>1669</v>
      </c>
      <c r="B937" t="s">
        <v>2735</v>
      </c>
      <c r="C937" t="s">
        <v>2999</v>
      </c>
      <c r="D937" t="s">
        <v>3853</v>
      </c>
    </row>
    <row r="938" spans="1:4" x14ac:dyDescent="0.3">
      <c r="A938" t="s">
        <v>1670</v>
      </c>
      <c r="B938" t="s">
        <v>2735</v>
      </c>
      <c r="C938" t="s">
        <v>3001</v>
      </c>
      <c r="D938" t="s">
        <v>3854</v>
      </c>
    </row>
    <row r="939" spans="1:4" x14ac:dyDescent="0.3">
      <c r="A939" t="s">
        <v>1671</v>
      </c>
      <c r="B939" t="s">
        <v>2736</v>
      </c>
      <c r="C939" t="s">
        <v>2994</v>
      </c>
      <c r="D939" t="s">
        <v>3855</v>
      </c>
    </row>
    <row r="940" spans="1:4" x14ac:dyDescent="0.3">
      <c r="A940" t="s">
        <v>1672</v>
      </c>
      <c r="B940" t="s">
        <v>2736</v>
      </c>
      <c r="C940" t="s">
        <v>2999</v>
      </c>
      <c r="D940" t="s">
        <v>3856</v>
      </c>
    </row>
    <row r="941" spans="1:4" x14ac:dyDescent="0.3">
      <c r="A941" t="s">
        <v>1673</v>
      </c>
      <c r="B941" t="s">
        <v>2736</v>
      </c>
      <c r="C941" t="s">
        <v>3001</v>
      </c>
      <c r="D941" t="s">
        <v>3857</v>
      </c>
    </row>
    <row r="942" spans="1:4" x14ac:dyDescent="0.3">
      <c r="A942" t="s">
        <v>1674</v>
      </c>
      <c r="B942" t="s">
        <v>2737</v>
      </c>
      <c r="C942" t="s">
        <v>2999</v>
      </c>
      <c r="D942" t="s">
        <v>3858</v>
      </c>
    </row>
    <row r="943" spans="1:4" x14ac:dyDescent="0.3">
      <c r="A943" t="s">
        <v>1675</v>
      </c>
      <c r="B943" t="s">
        <v>2738</v>
      </c>
      <c r="C943" t="s">
        <v>2999</v>
      </c>
      <c r="D943" t="s">
        <v>3859</v>
      </c>
    </row>
    <row r="944" spans="1:4" x14ac:dyDescent="0.3">
      <c r="A944" t="s">
        <v>1677</v>
      </c>
      <c r="B944" t="s">
        <v>2739</v>
      </c>
      <c r="C944" t="s">
        <v>2999</v>
      </c>
      <c r="D944" t="s">
        <v>3860</v>
      </c>
    </row>
    <row r="945" spans="1:4" x14ac:dyDescent="0.3">
      <c r="A945" t="s">
        <v>1678</v>
      </c>
      <c r="B945" t="s">
        <v>2740</v>
      </c>
      <c r="C945" t="s">
        <v>2994</v>
      </c>
      <c r="D945" t="s">
        <v>3861</v>
      </c>
    </row>
    <row r="946" spans="1:4" x14ac:dyDescent="0.3">
      <c r="A946" t="s">
        <v>1679</v>
      </c>
      <c r="B946" t="s">
        <v>2741</v>
      </c>
      <c r="C946" t="s">
        <v>2999</v>
      </c>
      <c r="D946" t="s">
        <v>3862</v>
      </c>
    </row>
    <row r="947" spans="1:4" x14ac:dyDescent="0.3">
      <c r="A947" t="s">
        <v>1680</v>
      </c>
      <c r="B947" t="s">
        <v>2742</v>
      </c>
      <c r="C947" t="s">
        <v>2999</v>
      </c>
      <c r="D947" t="s">
        <v>3615</v>
      </c>
    </row>
    <row r="948" spans="1:4" x14ac:dyDescent="0.3">
      <c r="A948" t="s">
        <v>1681</v>
      </c>
      <c r="B948" t="s">
        <v>2742</v>
      </c>
      <c r="C948" t="s">
        <v>2999</v>
      </c>
      <c r="D948" t="s">
        <v>3863</v>
      </c>
    </row>
    <row r="949" spans="1:4" x14ac:dyDescent="0.3">
      <c r="A949" t="s">
        <v>1682</v>
      </c>
      <c r="B949" t="s">
        <v>2743</v>
      </c>
      <c r="C949" t="s">
        <v>2994</v>
      </c>
      <c r="D949" t="s">
        <v>3864</v>
      </c>
    </row>
    <row r="950" spans="1:4" x14ac:dyDescent="0.3">
      <c r="A950" t="s">
        <v>1684</v>
      </c>
      <c r="B950" t="s">
        <v>2744</v>
      </c>
      <c r="C950" t="s">
        <v>2999</v>
      </c>
      <c r="D950" t="s">
        <v>3663</v>
      </c>
    </row>
    <row r="951" spans="1:4" x14ac:dyDescent="0.3">
      <c r="A951" t="s">
        <v>1685</v>
      </c>
      <c r="B951" t="s">
        <v>2745</v>
      </c>
      <c r="C951" t="s">
        <v>2999</v>
      </c>
      <c r="D951" t="s">
        <v>3865</v>
      </c>
    </row>
    <row r="952" spans="1:4" x14ac:dyDescent="0.3">
      <c r="A952" t="s">
        <v>1686</v>
      </c>
      <c r="B952" t="s">
        <v>2746</v>
      </c>
      <c r="C952" t="s">
        <v>2999</v>
      </c>
      <c r="D952" t="s">
        <v>3866</v>
      </c>
    </row>
    <row r="953" spans="1:4" x14ac:dyDescent="0.3">
      <c r="A953" t="s">
        <v>1687</v>
      </c>
      <c r="B953" t="s">
        <v>2746</v>
      </c>
      <c r="C953" t="s">
        <v>2999</v>
      </c>
      <c r="D953" t="s">
        <v>3867</v>
      </c>
    </row>
    <row r="954" spans="1:4" x14ac:dyDescent="0.3">
      <c r="A954" t="s">
        <v>1688</v>
      </c>
      <c r="B954" t="s">
        <v>2747</v>
      </c>
      <c r="C954" t="s">
        <v>2999</v>
      </c>
      <c r="D954" t="s">
        <v>3868</v>
      </c>
    </row>
    <row r="955" spans="1:4" x14ac:dyDescent="0.3">
      <c r="A955" t="s">
        <v>1689</v>
      </c>
      <c r="B955" t="s">
        <v>2748</v>
      </c>
      <c r="C955" t="s">
        <v>2999</v>
      </c>
      <c r="D955" t="s">
        <v>3869</v>
      </c>
    </row>
    <row r="956" spans="1:4" x14ac:dyDescent="0.3">
      <c r="A956" t="s">
        <v>1690</v>
      </c>
      <c r="B956" t="s">
        <v>2749</v>
      </c>
      <c r="C956" t="s">
        <v>2996</v>
      </c>
      <c r="D956" t="s">
        <v>3175</v>
      </c>
    </row>
    <row r="957" spans="1:4" x14ac:dyDescent="0.3">
      <c r="A957" t="s">
        <v>1691</v>
      </c>
      <c r="B957" t="s">
        <v>2749</v>
      </c>
      <c r="C957" t="s">
        <v>2994</v>
      </c>
      <c r="D957" t="s">
        <v>3870</v>
      </c>
    </row>
    <row r="958" spans="1:4" x14ac:dyDescent="0.3">
      <c r="A958" t="s">
        <v>1692</v>
      </c>
      <c r="B958" t="s">
        <v>2749</v>
      </c>
      <c r="C958" t="s">
        <v>2994</v>
      </c>
      <c r="D958" t="s">
        <v>3670</v>
      </c>
    </row>
    <row r="959" spans="1:4" x14ac:dyDescent="0.3">
      <c r="A959" t="s">
        <v>1693</v>
      </c>
      <c r="B959" t="s">
        <v>2749</v>
      </c>
      <c r="C959" t="s">
        <v>2994</v>
      </c>
      <c r="D959" t="s">
        <v>3871</v>
      </c>
    </row>
    <row r="960" spans="1:4" x14ac:dyDescent="0.3">
      <c r="A960" t="s">
        <v>1694</v>
      </c>
      <c r="B960" t="s">
        <v>2749</v>
      </c>
      <c r="C960" t="s">
        <v>3001</v>
      </c>
      <c r="D960" t="s">
        <v>3872</v>
      </c>
    </row>
    <row r="961" spans="1:4" x14ac:dyDescent="0.3">
      <c r="A961" t="s">
        <v>1695</v>
      </c>
      <c r="B961" t="s">
        <v>2750</v>
      </c>
      <c r="C961" t="s">
        <v>2999</v>
      </c>
      <c r="D961" t="s">
        <v>3873</v>
      </c>
    </row>
    <row r="962" spans="1:4" x14ac:dyDescent="0.3">
      <c r="A962" t="s">
        <v>1697</v>
      </c>
      <c r="B962" t="s">
        <v>2751</v>
      </c>
      <c r="C962" t="s">
        <v>2999</v>
      </c>
      <c r="D962" t="s">
        <v>3874</v>
      </c>
    </row>
    <row r="963" spans="1:4" x14ac:dyDescent="0.3">
      <c r="A963" t="s">
        <v>1698</v>
      </c>
      <c r="B963" t="s">
        <v>2752</v>
      </c>
      <c r="C963" t="s">
        <v>2994</v>
      </c>
      <c r="D963" t="s">
        <v>3389</v>
      </c>
    </row>
    <row r="964" spans="1:4" x14ac:dyDescent="0.3">
      <c r="A964" t="s">
        <v>1699</v>
      </c>
      <c r="B964" t="s">
        <v>2752</v>
      </c>
      <c r="C964" t="s">
        <v>2999</v>
      </c>
      <c r="D964" t="s">
        <v>3875</v>
      </c>
    </row>
    <row r="965" spans="1:4" x14ac:dyDescent="0.3">
      <c r="A965" t="s">
        <v>1700</v>
      </c>
      <c r="B965" t="s">
        <v>2753</v>
      </c>
      <c r="C965" t="s">
        <v>2999</v>
      </c>
      <c r="D965" t="s">
        <v>3876</v>
      </c>
    </row>
    <row r="966" spans="1:4" x14ac:dyDescent="0.3">
      <c r="A966" t="s">
        <v>1701</v>
      </c>
      <c r="B966" t="s">
        <v>2754</v>
      </c>
      <c r="C966" t="s">
        <v>2999</v>
      </c>
      <c r="D966" t="s">
        <v>3547</v>
      </c>
    </row>
    <row r="967" spans="1:4" x14ac:dyDescent="0.3">
      <c r="A967" t="s">
        <v>1702</v>
      </c>
      <c r="B967" t="s">
        <v>2755</v>
      </c>
      <c r="C967" t="s">
        <v>2999</v>
      </c>
      <c r="D967" t="s">
        <v>3877</v>
      </c>
    </row>
    <row r="968" spans="1:4" x14ac:dyDescent="0.3">
      <c r="A968" t="s">
        <v>1703</v>
      </c>
      <c r="B968" t="s">
        <v>2756</v>
      </c>
      <c r="C968" t="s">
        <v>2994</v>
      </c>
      <c r="D968" t="s">
        <v>3878</v>
      </c>
    </row>
    <row r="969" spans="1:4" x14ac:dyDescent="0.3">
      <c r="A969" t="s">
        <v>1704</v>
      </c>
      <c r="B969" t="s">
        <v>2757</v>
      </c>
      <c r="C969" t="s">
        <v>2994</v>
      </c>
      <c r="D969" t="s">
        <v>3879</v>
      </c>
    </row>
    <row r="970" spans="1:4" x14ac:dyDescent="0.3">
      <c r="A970" t="s">
        <v>1705</v>
      </c>
      <c r="B970" t="s">
        <v>2758</v>
      </c>
      <c r="C970" t="s">
        <v>2999</v>
      </c>
      <c r="D970" t="s">
        <v>3880</v>
      </c>
    </row>
    <row r="971" spans="1:4" x14ac:dyDescent="0.3">
      <c r="A971" t="s">
        <v>1706</v>
      </c>
      <c r="B971" t="s">
        <v>2758</v>
      </c>
      <c r="C971" t="s">
        <v>3001</v>
      </c>
      <c r="D971" t="s">
        <v>3881</v>
      </c>
    </row>
    <row r="972" spans="1:4" x14ac:dyDescent="0.3">
      <c r="A972" t="s">
        <v>1707</v>
      </c>
      <c r="B972" t="s">
        <v>2759</v>
      </c>
      <c r="C972" t="s">
        <v>2999</v>
      </c>
      <c r="D972" t="s">
        <v>3882</v>
      </c>
    </row>
    <row r="973" spans="1:4" x14ac:dyDescent="0.3">
      <c r="A973" t="s">
        <v>1709</v>
      </c>
      <c r="B973" t="s">
        <v>2760</v>
      </c>
      <c r="C973" t="s">
        <v>2999</v>
      </c>
      <c r="D973" t="s">
        <v>3681</v>
      </c>
    </row>
    <row r="974" spans="1:4" x14ac:dyDescent="0.3">
      <c r="A974" t="s">
        <v>1710</v>
      </c>
      <c r="B974" t="s">
        <v>2761</v>
      </c>
      <c r="C974" t="s">
        <v>2999</v>
      </c>
      <c r="D974" t="s">
        <v>3638</v>
      </c>
    </row>
    <row r="975" spans="1:4" x14ac:dyDescent="0.3">
      <c r="A975" t="s">
        <v>1711</v>
      </c>
      <c r="B975" t="s">
        <v>2762</v>
      </c>
      <c r="C975" t="s">
        <v>2999</v>
      </c>
      <c r="D975" t="s">
        <v>3883</v>
      </c>
    </row>
    <row r="976" spans="1:4" x14ac:dyDescent="0.3">
      <c r="A976" t="s">
        <v>1713</v>
      </c>
      <c r="B976" t="s">
        <v>2763</v>
      </c>
      <c r="C976" t="s">
        <v>2999</v>
      </c>
      <c r="D976" t="s">
        <v>3884</v>
      </c>
    </row>
    <row r="977" spans="1:4" x14ac:dyDescent="0.3">
      <c r="A977" t="s">
        <v>1715</v>
      </c>
      <c r="B977" t="s">
        <v>2763</v>
      </c>
      <c r="C977" t="s">
        <v>3001</v>
      </c>
      <c r="D977" t="s">
        <v>3885</v>
      </c>
    </row>
    <row r="978" spans="1:4" x14ac:dyDescent="0.3">
      <c r="A978" t="s">
        <v>1716</v>
      </c>
      <c r="B978" t="s">
        <v>2764</v>
      </c>
      <c r="C978" t="s">
        <v>2999</v>
      </c>
      <c r="D978" t="s">
        <v>3340</v>
      </c>
    </row>
    <row r="979" spans="1:4" x14ac:dyDescent="0.3">
      <c r="A979" t="s">
        <v>1717</v>
      </c>
      <c r="B979" t="s">
        <v>2765</v>
      </c>
      <c r="C979" t="s">
        <v>2999</v>
      </c>
      <c r="D979" t="s">
        <v>3886</v>
      </c>
    </row>
    <row r="980" spans="1:4" x14ac:dyDescent="0.3">
      <c r="A980" t="s">
        <v>1719</v>
      </c>
      <c r="B980" t="s">
        <v>2766</v>
      </c>
      <c r="C980" t="s">
        <v>2999</v>
      </c>
      <c r="D980" t="s">
        <v>3887</v>
      </c>
    </row>
    <row r="981" spans="1:4" x14ac:dyDescent="0.3">
      <c r="A981" t="s">
        <v>1720</v>
      </c>
      <c r="B981" t="s">
        <v>2767</v>
      </c>
      <c r="C981" t="s">
        <v>2999</v>
      </c>
      <c r="D981" t="s">
        <v>3888</v>
      </c>
    </row>
    <row r="982" spans="1:4" x14ac:dyDescent="0.3">
      <c r="A982" t="s">
        <v>1721</v>
      </c>
      <c r="B982" t="s">
        <v>2768</v>
      </c>
      <c r="C982" t="s">
        <v>2994</v>
      </c>
      <c r="D982" t="s">
        <v>3889</v>
      </c>
    </row>
    <row r="983" spans="1:4" x14ac:dyDescent="0.3">
      <c r="A983" t="s">
        <v>1722</v>
      </c>
      <c r="B983" t="s">
        <v>2769</v>
      </c>
      <c r="C983" t="s">
        <v>2999</v>
      </c>
      <c r="D983" t="s">
        <v>3890</v>
      </c>
    </row>
    <row r="984" spans="1:4" x14ac:dyDescent="0.3">
      <c r="A984" t="s">
        <v>1723</v>
      </c>
      <c r="B984" t="s">
        <v>2770</v>
      </c>
      <c r="C984" t="s">
        <v>2999</v>
      </c>
      <c r="D984" t="s">
        <v>3891</v>
      </c>
    </row>
    <row r="985" spans="1:4" x14ac:dyDescent="0.3">
      <c r="A985" t="s">
        <v>1724</v>
      </c>
      <c r="B985" t="s">
        <v>2771</v>
      </c>
      <c r="C985" t="s">
        <v>2999</v>
      </c>
      <c r="D985" t="s">
        <v>3892</v>
      </c>
    </row>
    <row r="986" spans="1:4" x14ac:dyDescent="0.3">
      <c r="A986" t="s">
        <v>1726</v>
      </c>
      <c r="B986" t="s">
        <v>2772</v>
      </c>
      <c r="C986" t="s">
        <v>2994</v>
      </c>
      <c r="D986" t="s">
        <v>3893</v>
      </c>
    </row>
    <row r="987" spans="1:4" x14ac:dyDescent="0.3">
      <c r="A987" t="s">
        <v>1727</v>
      </c>
      <c r="B987" t="s">
        <v>2773</v>
      </c>
      <c r="C987" t="s">
        <v>2999</v>
      </c>
      <c r="D987" t="s">
        <v>3894</v>
      </c>
    </row>
    <row r="988" spans="1:4" x14ac:dyDescent="0.3">
      <c r="A988" t="s">
        <v>1729</v>
      </c>
      <c r="B988" t="s">
        <v>2774</v>
      </c>
      <c r="C988" t="s">
        <v>2999</v>
      </c>
      <c r="D988" t="s">
        <v>3895</v>
      </c>
    </row>
    <row r="989" spans="1:4" x14ac:dyDescent="0.3">
      <c r="A989" t="s">
        <v>1731</v>
      </c>
      <c r="B989" t="s">
        <v>2775</v>
      </c>
      <c r="C989" t="s">
        <v>2994</v>
      </c>
      <c r="D989" t="s">
        <v>3648</v>
      </c>
    </row>
    <row r="990" spans="1:4" x14ac:dyDescent="0.3">
      <c r="A990" t="s">
        <v>1732</v>
      </c>
      <c r="B990" t="s">
        <v>2775</v>
      </c>
      <c r="C990" t="s">
        <v>2999</v>
      </c>
      <c r="D990" t="s">
        <v>3109</v>
      </c>
    </row>
    <row r="991" spans="1:4" x14ac:dyDescent="0.3">
      <c r="A991" t="s">
        <v>1734</v>
      </c>
      <c r="B991" t="s">
        <v>2776</v>
      </c>
      <c r="C991" t="s">
        <v>2999</v>
      </c>
      <c r="D991" t="s">
        <v>3883</v>
      </c>
    </row>
    <row r="992" spans="1:4" x14ac:dyDescent="0.3">
      <c r="A992" t="s">
        <v>1736</v>
      </c>
      <c r="B992" t="s">
        <v>2777</v>
      </c>
      <c r="C992" t="s">
        <v>2999</v>
      </c>
      <c r="D992" t="s">
        <v>3896</v>
      </c>
    </row>
    <row r="993" spans="1:4" x14ac:dyDescent="0.3">
      <c r="A993" t="s">
        <v>1738</v>
      </c>
      <c r="B993" t="s">
        <v>2778</v>
      </c>
      <c r="C993" t="s">
        <v>2999</v>
      </c>
      <c r="D993" t="s">
        <v>3644</v>
      </c>
    </row>
    <row r="994" spans="1:4" x14ac:dyDescent="0.3">
      <c r="A994" t="s">
        <v>1739</v>
      </c>
      <c r="B994" t="s">
        <v>2779</v>
      </c>
      <c r="C994" t="s">
        <v>2994</v>
      </c>
      <c r="D994" t="s">
        <v>3389</v>
      </c>
    </row>
    <row r="995" spans="1:4" x14ac:dyDescent="0.3">
      <c r="A995" t="s">
        <v>1740</v>
      </c>
      <c r="B995" t="s">
        <v>2780</v>
      </c>
      <c r="C995" t="s">
        <v>2994</v>
      </c>
      <c r="D995" t="s">
        <v>3897</v>
      </c>
    </row>
    <row r="996" spans="1:4" x14ac:dyDescent="0.3">
      <c r="A996" t="s">
        <v>1741</v>
      </c>
      <c r="B996" t="s">
        <v>2781</v>
      </c>
      <c r="C996" t="s">
        <v>2999</v>
      </c>
      <c r="D996" t="s">
        <v>3860</v>
      </c>
    </row>
    <row r="997" spans="1:4" x14ac:dyDescent="0.3">
      <c r="A997" t="s">
        <v>1743</v>
      </c>
      <c r="B997" t="s">
        <v>2782</v>
      </c>
      <c r="C997" t="s">
        <v>2999</v>
      </c>
      <c r="D997" t="s">
        <v>3898</v>
      </c>
    </row>
    <row r="998" spans="1:4" x14ac:dyDescent="0.3">
      <c r="A998" t="s">
        <v>1744</v>
      </c>
      <c r="B998" t="s">
        <v>2783</v>
      </c>
      <c r="C998" t="s">
        <v>2999</v>
      </c>
      <c r="D998" t="s">
        <v>3899</v>
      </c>
    </row>
    <row r="999" spans="1:4" x14ac:dyDescent="0.3">
      <c r="A999" t="s">
        <v>1745</v>
      </c>
      <c r="B999" t="s">
        <v>2784</v>
      </c>
      <c r="C999" t="s">
        <v>3001</v>
      </c>
      <c r="D999" t="s">
        <v>3900</v>
      </c>
    </row>
    <row r="1000" spans="1:4" x14ac:dyDescent="0.3">
      <c r="A1000" t="s">
        <v>1746</v>
      </c>
      <c r="B1000" t="s">
        <v>2785</v>
      </c>
      <c r="C1000" t="s">
        <v>2999</v>
      </c>
      <c r="D1000" t="s">
        <v>3901</v>
      </c>
    </row>
    <row r="1001" spans="1:4" x14ac:dyDescent="0.3">
      <c r="A1001" t="s">
        <v>1747</v>
      </c>
      <c r="B1001" t="s">
        <v>2261</v>
      </c>
      <c r="C1001" t="s">
        <v>2994</v>
      </c>
      <c r="D1001" t="s">
        <v>3902</v>
      </c>
    </row>
    <row r="1002" spans="1:4" x14ac:dyDescent="0.3">
      <c r="A1002" t="s">
        <v>1749</v>
      </c>
      <c r="B1002" t="s">
        <v>2786</v>
      </c>
      <c r="C1002" t="s">
        <v>2999</v>
      </c>
      <c r="D1002" t="s">
        <v>3903</v>
      </c>
    </row>
    <row r="1003" spans="1:4" x14ac:dyDescent="0.3">
      <c r="A1003" t="s">
        <v>1750</v>
      </c>
      <c r="B1003" t="s">
        <v>2787</v>
      </c>
      <c r="C1003" t="s">
        <v>2994</v>
      </c>
      <c r="D1003" t="s">
        <v>3904</v>
      </c>
    </row>
    <row r="1004" spans="1:4" x14ac:dyDescent="0.3">
      <c r="A1004" t="s">
        <v>1751</v>
      </c>
      <c r="B1004" t="s">
        <v>2787</v>
      </c>
      <c r="C1004" t="s">
        <v>2994</v>
      </c>
      <c r="D1004" t="s">
        <v>3905</v>
      </c>
    </row>
    <row r="1005" spans="1:4" x14ac:dyDescent="0.3">
      <c r="A1005" t="s">
        <v>1752</v>
      </c>
      <c r="B1005" t="s">
        <v>2787</v>
      </c>
      <c r="C1005" t="s">
        <v>2999</v>
      </c>
      <c r="D1005" t="s">
        <v>3906</v>
      </c>
    </row>
    <row r="1006" spans="1:4" x14ac:dyDescent="0.3">
      <c r="A1006" t="s">
        <v>1753</v>
      </c>
      <c r="B1006" t="s">
        <v>2788</v>
      </c>
      <c r="C1006" t="s">
        <v>2994</v>
      </c>
      <c r="D1006" t="s">
        <v>3907</v>
      </c>
    </row>
    <row r="1007" spans="1:4" x14ac:dyDescent="0.3">
      <c r="A1007" t="s">
        <v>1754</v>
      </c>
      <c r="B1007" t="s">
        <v>2789</v>
      </c>
      <c r="C1007" t="s">
        <v>2999</v>
      </c>
      <c r="D1007" t="s">
        <v>3681</v>
      </c>
    </row>
    <row r="1008" spans="1:4" x14ac:dyDescent="0.3">
      <c r="A1008" t="s">
        <v>1755</v>
      </c>
      <c r="B1008" t="s">
        <v>2790</v>
      </c>
      <c r="C1008" t="s">
        <v>2994</v>
      </c>
      <c r="D1008" t="s">
        <v>3389</v>
      </c>
    </row>
    <row r="1009" spans="1:4" x14ac:dyDescent="0.3">
      <c r="A1009" t="s">
        <v>1756</v>
      </c>
      <c r="B1009" t="s">
        <v>2791</v>
      </c>
      <c r="C1009" t="s">
        <v>2994</v>
      </c>
      <c r="D1009" t="s">
        <v>3908</v>
      </c>
    </row>
    <row r="1010" spans="1:4" x14ac:dyDescent="0.3">
      <c r="A1010" t="s">
        <v>1757</v>
      </c>
      <c r="B1010" t="s">
        <v>2791</v>
      </c>
      <c r="C1010" t="s">
        <v>2994</v>
      </c>
      <c r="D1010" t="s">
        <v>3654</v>
      </c>
    </row>
    <row r="1011" spans="1:4" x14ac:dyDescent="0.3">
      <c r="A1011" t="s">
        <v>1758</v>
      </c>
      <c r="B1011" t="s">
        <v>2792</v>
      </c>
      <c r="C1011" t="s">
        <v>2999</v>
      </c>
      <c r="D1011" t="s">
        <v>3250</v>
      </c>
    </row>
    <row r="1012" spans="1:4" x14ac:dyDescent="0.3">
      <c r="A1012" t="s">
        <v>1759</v>
      </c>
      <c r="B1012" t="s">
        <v>2793</v>
      </c>
      <c r="C1012" t="s">
        <v>2999</v>
      </c>
      <c r="D1012" t="s">
        <v>3909</v>
      </c>
    </row>
    <row r="1013" spans="1:4" x14ac:dyDescent="0.3">
      <c r="A1013" t="s">
        <v>1760</v>
      </c>
      <c r="B1013" t="s">
        <v>2793</v>
      </c>
      <c r="C1013" t="s">
        <v>3001</v>
      </c>
      <c r="D1013" t="s">
        <v>3910</v>
      </c>
    </row>
    <row r="1014" spans="1:4" x14ac:dyDescent="0.3">
      <c r="A1014" t="s">
        <v>1761</v>
      </c>
      <c r="B1014" t="s">
        <v>2794</v>
      </c>
      <c r="C1014" t="s">
        <v>2994</v>
      </c>
      <c r="D1014" t="s">
        <v>3911</v>
      </c>
    </row>
    <row r="1015" spans="1:4" x14ac:dyDescent="0.3">
      <c r="A1015" t="s">
        <v>1762</v>
      </c>
      <c r="B1015" t="s">
        <v>2795</v>
      </c>
      <c r="C1015" t="s">
        <v>2994</v>
      </c>
      <c r="D1015" t="s">
        <v>3912</v>
      </c>
    </row>
    <row r="1016" spans="1:4" x14ac:dyDescent="0.3">
      <c r="A1016" t="s">
        <v>1764</v>
      </c>
      <c r="B1016" t="s">
        <v>2796</v>
      </c>
      <c r="C1016" t="s">
        <v>3001</v>
      </c>
      <c r="D1016" t="s">
        <v>3913</v>
      </c>
    </row>
    <row r="1017" spans="1:4" x14ac:dyDescent="0.3">
      <c r="A1017" t="s">
        <v>1765</v>
      </c>
      <c r="B1017" t="s">
        <v>2797</v>
      </c>
      <c r="C1017" t="s">
        <v>2999</v>
      </c>
      <c r="D1017" t="s">
        <v>3914</v>
      </c>
    </row>
    <row r="1018" spans="1:4" x14ac:dyDescent="0.3">
      <c r="A1018" t="s">
        <v>1767</v>
      </c>
      <c r="B1018" t="s">
        <v>2798</v>
      </c>
      <c r="C1018" t="s">
        <v>2999</v>
      </c>
      <c r="D1018" t="s">
        <v>3766</v>
      </c>
    </row>
    <row r="1019" spans="1:4" x14ac:dyDescent="0.3">
      <c r="A1019" t="s">
        <v>1768</v>
      </c>
      <c r="B1019" t="s">
        <v>2799</v>
      </c>
      <c r="C1019" t="s">
        <v>2999</v>
      </c>
      <c r="D1019" t="s">
        <v>3915</v>
      </c>
    </row>
    <row r="1020" spans="1:4" x14ac:dyDescent="0.3">
      <c r="A1020" t="s">
        <v>1769</v>
      </c>
      <c r="B1020" t="s">
        <v>2800</v>
      </c>
      <c r="C1020" t="s">
        <v>2999</v>
      </c>
      <c r="D1020" t="s">
        <v>3726</v>
      </c>
    </row>
    <row r="1021" spans="1:4" x14ac:dyDescent="0.3">
      <c r="A1021" t="s">
        <v>1770</v>
      </c>
      <c r="B1021" t="s">
        <v>2801</v>
      </c>
      <c r="C1021" t="s">
        <v>2999</v>
      </c>
      <c r="D1021" t="s">
        <v>3684</v>
      </c>
    </row>
    <row r="1022" spans="1:4" x14ac:dyDescent="0.3">
      <c r="A1022" t="s">
        <v>1771</v>
      </c>
      <c r="B1022" t="s">
        <v>2802</v>
      </c>
      <c r="C1022" t="s">
        <v>2999</v>
      </c>
      <c r="D1022" t="s">
        <v>3916</v>
      </c>
    </row>
    <row r="1023" spans="1:4" x14ac:dyDescent="0.3">
      <c r="A1023" t="s">
        <v>1772</v>
      </c>
      <c r="B1023" t="s">
        <v>2803</v>
      </c>
      <c r="C1023" t="s">
        <v>2999</v>
      </c>
      <c r="D1023" t="s">
        <v>3917</v>
      </c>
    </row>
    <row r="1024" spans="1:4" x14ac:dyDescent="0.3">
      <c r="A1024" t="s">
        <v>1773</v>
      </c>
      <c r="B1024" t="s">
        <v>2804</v>
      </c>
      <c r="C1024" t="s">
        <v>2999</v>
      </c>
      <c r="D1024" t="s">
        <v>3918</v>
      </c>
    </row>
    <row r="1025" spans="1:4" x14ac:dyDescent="0.3">
      <c r="A1025" t="s">
        <v>1774</v>
      </c>
      <c r="B1025" t="s">
        <v>2805</v>
      </c>
      <c r="C1025" t="s">
        <v>2994</v>
      </c>
      <c r="D1025" t="s">
        <v>3919</v>
      </c>
    </row>
    <row r="1026" spans="1:4" x14ac:dyDescent="0.3">
      <c r="A1026" t="s">
        <v>1775</v>
      </c>
      <c r="B1026" t="s">
        <v>2806</v>
      </c>
      <c r="C1026" t="s">
        <v>2999</v>
      </c>
      <c r="D1026" t="s">
        <v>3920</v>
      </c>
    </row>
    <row r="1027" spans="1:4" x14ac:dyDescent="0.3">
      <c r="A1027" t="s">
        <v>1777</v>
      </c>
      <c r="B1027" t="s">
        <v>2807</v>
      </c>
      <c r="C1027" t="s">
        <v>2996</v>
      </c>
      <c r="D1027" t="s">
        <v>3921</v>
      </c>
    </row>
    <row r="1028" spans="1:4" x14ac:dyDescent="0.3">
      <c r="A1028" t="s">
        <v>1779</v>
      </c>
      <c r="B1028" t="s">
        <v>2807</v>
      </c>
      <c r="C1028" t="s">
        <v>3001</v>
      </c>
      <c r="D1028" t="s">
        <v>3922</v>
      </c>
    </row>
    <row r="1029" spans="1:4" x14ac:dyDescent="0.3">
      <c r="A1029" t="s">
        <v>1780</v>
      </c>
      <c r="B1029" t="s">
        <v>2268</v>
      </c>
      <c r="C1029" t="s">
        <v>2999</v>
      </c>
      <c r="D1029" t="s">
        <v>3923</v>
      </c>
    </row>
    <row r="1030" spans="1:4" x14ac:dyDescent="0.3">
      <c r="A1030" t="s">
        <v>1782</v>
      </c>
      <c r="B1030" t="s">
        <v>2808</v>
      </c>
      <c r="C1030" t="s">
        <v>2994</v>
      </c>
      <c r="D1030" t="s">
        <v>3185</v>
      </c>
    </row>
    <row r="1031" spans="1:4" x14ac:dyDescent="0.3">
      <c r="A1031" t="s">
        <v>1783</v>
      </c>
      <c r="B1031" t="s">
        <v>2808</v>
      </c>
      <c r="C1031" t="s">
        <v>2999</v>
      </c>
      <c r="D1031" t="s">
        <v>3924</v>
      </c>
    </row>
    <row r="1032" spans="1:4" x14ac:dyDescent="0.3">
      <c r="A1032" t="s">
        <v>1784</v>
      </c>
      <c r="B1032" t="s">
        <v>2808</v>
      </c>
      <c r="C1032" t="s">
        <v>2999</v>
      </c>
      <c r="D1032" t="s">
        <v>3547</v>
      </c>
    </row>
    <row r="1033" spans="1:4" x14ac:dyDescent="0.3">
      <c r="A1033" t="s">
        <v>1785</v>
      </c>
      <c r="B1033" t="s">
        <v>2470</v>
      </c>
      <c r="C1033" t="s">
        <v>2999</v>
      </c>
      <c r="D1033" t="s">
        <v>3153</v>
      </c>
    </row>
    <row r="1034" spans="1:4" x14ac:dyDescent="0.3">
      <c r="A1034" t="s">
        <v>1786</v>
      </c>
      <c r="B1034" t="s">
        <v>2809</v>
      </c>
      <c r="C1034" t="s">
        <v>2999</v>
      </c>
      <c r="D1034" t="s">
        <v>3925</v>
      </c>
    </row>
    <row r="1035" spans="1:4" x14ac:dyDescent="0.3">
      <c r="A1035" t="s">
        <v>1787</v>
      </c>
      <c r="B1035" t="s">
        <v>2810</v>
      </c>
      <c r="C1035" t="s">
        <v>2999</v>
      </c>
      <c r="D1035" t="s">
        <v>3926</v>
      </c>
    </row>
    <row r="1036" spans="1:4" x14ac:dyDescent="0.3">
      <c r="A1036" t="s">
        <v>1788</v>
      </c>
      <c r="B1036" t="s">
        <v>2811</v>
      </c>
      <c r="C1036" t="s">
        <v>2996</v>
      </c>
      <c r="D1036" t="s">
        <v>3614</v>
      </c>
    </row>
    <row r="1037" spans="1:4" x14ac:dyDescent="0.3">
      <c r="A1037" t="s">
        <v>1789</v>
      </c>
      <c r="B1037" t="s">
        <v>2811</v>
      </c>
      <c r="C1037" t="s">
        <v>2996</v>
      </c>
      <c r="D1037" t="s">
        <v>3927</v>
      </c>
    </row>
    <row r="1038" spans="1:4" x14ac:dyDescent="0.3">
      <c r="A1038" t="s">
        <v>1790</v>
      </c>
      <c r="B1038" t="s">
        <v>2811</v>
      </c>
      <c r="C1038" t="s">
        <v>3001</v>
      </c>
      <c r="D1038" t="s">
        <v>3928</v>
      </c>
    </row>
    <row r="1039" spans="1:4" x14ac:dyDescent="0.3">
      <c r="A1039" t="s">
        <v>1791</v>
      </c>
      <c r="B1039" t="s">
        <v>2812</v>
      </c>
      <c r="C1039" t="s">
        <v>3001</v>
      </c>
      <c r="D1039" t="s">
        <v>3929</v>
      </c>
    </row>
    <row r="1040" spans="1:4" x14ac:dyDescent="0.3">
      <c r="A1040" t="s">
        <v>1792</v>
      </c>
      <c r="B1040" t="s">
        <v>2813</v>
      </c>
      <c r="C1040" t="s">
        <v>2999</v>
      </c>
      <c r="D1040" t="s">
        <v>3930</v>
      </c>
    </row>
    <row r="1041" spans="1:4" x14ac:dyDescent="0.3">
      <c r="A1041" t="s">
        <v>1793</v>
      </c>
      <c r="B1041" t="s">
        <v>2814</v>
      </c>
      <c r="C1041" t="s">
        <v>2994</v>
      </c>
      <c r="D1041" t="s">
        <v>3750</v>
      </c>
    </row>
    <row r="1042" spans="1:4" x14ac:dyDescent="0.3">
      <c r="A1042" t="s">
        <v>1794</v>
      </c>
      <c r="B1042" t="s">
        <v>2815</v>
      </c>
      <c r="C1042" t="s">
        <v>2994</v>
      </c>
      <c r="D1042" t="s">
        <v>3931</v>
      </c>
    </row>
    <row r="1043" spans="1:4" x14ac:dyDescent="0.3">
      <c r="A1043" t="s">
        <v>1795</v>
      </c>
      <c r="B1043" t="s">
        <v>2816</v>
      </c>
      <c r="C1043" t="s">
        <v>2999</v>
      </c>
      <c r="D1043" t="s">
        <v>3665</v>
      </c>
    </row>
    <row r="1044" spans="1:4" x14ac:dyDescent="0.3">
      <c r="A1044" t="s">
        <v>1797</v>
      </c>
      <c r="B1044" t="s">
        <v>2817</v>
      </c>
      <c r="C1044" t="s">
        <v>2994</v>
      </c>
      <c r="D1044" t="s">
        <v>3932</v>
      </c>
    </row>
    <row r="1045" spans="1:4" x14ac:dyDescent="0.3">
      <c r="A1045" t="s">
        <v>1798</v>
      </c>
      <c r="B1045" t="s">
        <v>2817</v>
      </c>
      <c r="C1045" t="s">
        <v>2994</v>
      </c>
      <c r="D1045" t="s">
        <v>3933</v>
      </c>
    </row>
    <row r="1046" spans="1:4" x14ac:dyDescent="0.3">
      <c r="A1046" t="s">
        <v>1799</v>
      </c>
      <c r="B1046" t="s">
        <v>2817</v>
      </c>
      <c r="C1046" t="s">
        <v>2994</v>
      </c>
      <c r="D1046" t="s">
        <v>3934</v>
      </c>
    </row>
    <row r="1047" spans="1:4" x14ac:dyDescent="0.3">
      <c r="A1047" t="s">
        <v>1800</v>
      </c>
      <c r="B1047" t="s">
        <v>2818</v>
      </c>
      <c r="C1047" t="s">
        <v>2999</v>
      </c>
      <c r="D1047" t="s">
        <v>3935</v>
      </c>
    </row>
    <row r="1048" spans="1:4" x14ac:dyDescent="0.3">
      <c r="A1048" t="s">
        <v>1801</v>
      </c>
      <c r="B1048" t="s">
        <v>2819</v>
      </c>
      <c r="C1048" t="s">
        <v>2999</v>
      </c>
      <c r="D1048" t="s">
        <v>3936</v>
      </c>
    </row>
    <row r="1049" spans="1:4" x14ac:dyDescent="0.3">
      <c r="A1049" t="s">
        <v>1802</v>
      </c>
      <c r="B1049" t="s">
        <v>2820</v>
      </c>
      <c r="C1049" t="s">
        <v>2994</v>
      </c>
      <c r="D1049" t="s">
        <v>3937</v>
      </c>
    </row>
    <row r="1050" spans="1:4" x14ac:dyDescent="0.3">
      <c r="A1050" t="s">
        <v>1803</v>
      </c>
      <c r="B1050" t="s">
        <v>2821</v>
      </c>
      <c r="C1050" t="s">
        <v>2994</v>
      </c>
      <c r="D1050" t="s">
        <v>3938</v>
      </c>
    </row>
    <row r="1051" spans="1:4" x14ac:dyDescent="0.3">
      <c r="A1051" t="s">
        <v>1804</v>
      </c>
      <c r="B1051" t="s">
        <v>2821</v>
      </c>
      <c r="C1051" t="s">
        <v>2999</v>
      </c>
      <c r="D1051" t="s">
        <v>3939</v>
      </c>
    </row>
    <row r="1052" spans="1:4" x14ac:dyDescent="0.3">
      <c r="A1052" t="s">
        <v>1805</v>
      </c>
      <c r="B1052" t="s">
        <v>2821</v>
      </c>
      <c r="C1052" t="s">
        <v>3001</v>
      </c>
      <c r="D1052" t="s">
        <v>3940</v>
      </c>
    </row>
    <row r="1053" spans="1:4" x14ac:dyDescent="0.3">
      <c r="A1053" t="s">
        <v>1806</v>
      </c>
      <c r="B1053" t="s">
        <v>2822</v>
      </c>
      <c r="C1053" t="s">
        <v>2999</v>
      </c>
      <c r="D1053" t="s">
        <v>3419</v>
      </c>
    </row>
    <row r="1054" spans="1:4" x14ac:dyDescent="0.3">
      <c r="A1054" t="s">
        <v>1808</v>
      </c>
      <c r="B1054" t="s">
        <v>2823</v>
      </c>
      <c r="C1054" t="s">
        <v>2999</v>
      </c>
      <c r="D1054" t="s">
        <v>3600</v>
      </c>
    </row>
    <row r="1055" spans="1:4" x14ac:dyDescent="0.3">
      <c r="A1055" t="s">
        <v>1809</v>
      </c>
      <c r="B1055" t="s">
        <v>2824</v>
      </c>
      <c r="C1055" t="s">
        <v>2999</v>
      </c>
      <c r="D1055" t="s">
        <v>3941</v>
      </c>
    </row>
    <row r="1056" spans="1:4" x14ac:dyDescent="0.3">
      <c r="A1056" t="s">
        <v>1810</v>
      </c>
      <c r="B1056" t="s">
        <v>2825</v>
      </c>
      <c r="C1056" t="s">
        <v>2994</v>
      </c>
      <c r="D1056" t="s">
        <v>3942</v>
      </c>
    </row>
    <row r="1057" spans="1:4" x14ac:dyDescent="0.3">
      <c r="A1057" t="s">
        <v>1811</v>
      </c>
      <c r="B1057" t="s">
        <v>2826</v>
      </c>
      <c r="C1057" t="s">
        <v>2999</v>
      </c>
      <c r="D1057" t="s">
        <v>3943</v>
      </c>
    </row>
    <row r="1058" spans="1:4" x14ac:dyDescent="0.3">
      <c r="A1058" t="s">
        <v>1812</v>
      </c>
      <c r="B1058" t="s">
        <v>2827</v>
      </c>
      <c r="C1058" t="s">
        <v>2996</v>
      </c>
      <c r="D1058" t="s">
        <v>3944</v>
      </c>
    </row>
    <row r="1059" spans="1:4" x14ac:dyDescent="0.3">
      <c r="A1059" t="s">
        <v>1813</v>
      </c>
      <c r="B1059" t="s">
        <v>2827</v>
      </c>
      <c r="C1059" t="s">
        <v>2994</v>
      </c>
      <c r="D1059" t="s">
        <v>3945</v>
      </c>
    </row>
    <row r="1060" spans="1:4" x14ac:dyDescent="0.3">
      <c r="A1060" t="s">
        <v>1814</v>
      </c>
      <c r="B1060" t="s">
        <v>2828</v>
      </c>
      <c r="C1060" t="s">
        <v>2994</v>
      </c>
      <c r="D1060" t="s">
        <v>3946</v>
      </c>
    </row>
    <row r="1061" spans="1:4" x14ac:dyDescent="0.3">
      <c r="A1061" t="s">
        <v>1815</v>
      </c>
      <c r="B1061" t="s">
        <v>2829</v>
      </c>
      <c r="C1061" t="s">
        <v>2999</v>
      </c>
      <c r="D1061" t="s">
        <v>3327</v>
      </c>
    </row>
    <row r="1062" spans="1:4" x14ac:dyDescent="0.3">
      <c r="A1062" t="s">
        <v>1816</v>
      </c>
      <c r="B1062" t="s">
        <v>2830</v>
      </c>
      <c r="C1062" t="s">
        <v>2994</v>
      </c>
      <c r="D1062" t="s">
        <v>3947</v>
      </c>
    </row>
    <row r="1063" spans="1:4" x14ac:dyDescent="0.3">
      <c r="A1063" t="s">
        <v>1817</v>
      </c>
      <c r="B1063" t="s">
        <v>2830</v>
      </c>
      <c r="C1063" t="s">
        <v>2994</v>
      </c>
      <c r="D1063" t="s">
        <v>3948</v>
      </c>
    </row>
    <row r="1064" spans="1:4" x14ac:dyDescent="0.3">
      <c r="A1064" t="s">
        <v>1818</v>
      </c>
      <c r="B1064" t="s">
        <v>2830</v>
      </c>
      <c r="C1064" t="s">
        <v>2999</v>
      </c>
      <c r="D1064" t="s">
        <v>3949</v>
      </c>
    </row>
    <row r="1065" spans="1:4" x14ac:dyDescent="0.3">
      <c r="A1065" t="s">
        <v>1819</v>
      </c>
      <c r="B1065" t="s">
        <v>2831</v>
      </c>
      <c r="C1065" t="s">
        <v>2999</v>
      </c>
      <c r="D1065" t="s">
        <v>3950</v>
      </c>
    </row>
    <row r="1066" spans="1:4" x14ac:dyDescent="0.3">
      <c r="A1066" t="s">
        <v>1822</v>
      </c>
      <c r="B1066" t="s">
        <v>2832</v>
      </c>
      <c r="C1066" t="s">
        <v>2999</v>
      </c>
      <c r="D1066" t="s">
        <v>3951</v>
      </c>
    </row>
    <row r="1067" spans="1:4" x14ac:dyDescent="0.3">
      <c r="A1067" t="s">
        <v>1824</v>
      </c>
      <c r="B1067" t="s">
        <v>2833</v>
      </c>
      <c r="C1067" t="s">
        <v>2999</v>
      </c>
      <c r="D1067" t="s">
        <v>3952</v>
      </c>
    </row>
    <row r="1068" spans="1:4" x14ac:dyDescent="0.3">
      <c r="A1068" t="s">
        <v>1826</v>
      </c>
      <c r="B1068" t="s">
        <v>2834</v>
      </c>
      <c r="C1068" t="s">
        <v>2999</v>
      </c>
      <c r="D1068" t="s">
        <v>3953</v>
      </c>
    </row>
    <row r="1069" spans="1:4" x14ac:dyDescent="0.3">
      <c r="A1069" t="s">
        <v>1827</v>
      </c>
      <c r="B1069" t="s">
        <v>2835</v>
      </c>
      <c r="C1069" t="s">
        <v>2994</v>
      </c>
      <c r="D1069" t="s">
        <v>3954</v>
      </c>
    </row>
    <row r="1070" spans="1:4" x14ac:dyDescent="0.3">
      <c r="A1070" t="s">
        <v>1828</v>
      </c>
      <c r="B1070" t="s">
        <v>2836</v>
      </c>
      <c r="C1070" t="s">
        <v>2999</v>
      </c>
      <c r="D1070" t="s">
        <v>3955</v>
      </c>
    </row>
    <row r="1071" spans="1:4" x14ac:dyDescent="0.3">
      <c r="A1071" t="s">
        <v>1829</v>
      </c>
      <c r="B1071" t="s">
        <v>2837</v>
      </c>
      <c r="C1071" t="s">
        <v>2999</v>
      </c>
      <c r="D1071" t="s">
        <v>3956</v>
      </c>
    </row>
    <row r="1072" spans="1:4" x14ac:dyDescent="0.3">
      <c r="A1072" t="s">
        <v>1830</v>
      </c>
      <c r="B1072" t="s">
        <v>2837</v>
      </c>
      <c r="C1072" t="s">
        <v>2999</v>
      </c>
      <c r="D1072" t="s">
        <v>3957</v>
      </c>
    </row>
    <row r="1073" spans="1:4" x14ac:dyDescent="0.3">
      <c r="A1073" t="s">
        <v>1831</v>
      </c>
      <c r="B1073" t="s">
        <v>2837</v>
      </c>
      <c r="C1073" t="s">
        <v>3001</v>
      </c>
      <c r="D1073" t="s">
        <v>3958</v>
      </c>
    </row>
    <row r="1074" spans="1:4" x14ac:dyDescent="0.3">
      <c r="A1074" t="s">
        <v>1832</v>
      </c>
      <c r="B1074" t="s">
        <v>2838</v>
      </c>
      <c r="C1074" t="s">
        <v>2999</v>
      </c>
      <c r="D1074" t="s">
        <v>3959</v>
      </c>
    </row>
    <row r="1075" spans="1:4" x14ac:dyDescent="0.3">
      <c r="A1075" t="s">
        <v>1833</v>
      </c>
      <c r="B1075" t="s">
        <v>2839</v>
      </c>
      <c r="C1075" t="s">
        <v>2999</v>
      </c>
      <c r="D1075" t="s">
        <v>3960</v>
      </c>
    </row>
    <row r="1076" spans="1:4" x14ac:dyDescent="0.3">
      <c r="A1076" t="s">
        <v>1834</v>
      </c>
      <c r="B1076" t="s">
        <v>2839</v>
      </c>
      <c r="C1076" t="s">
        <v>2999</v>
      </c>
      <c r="D1076" t="s">
        <v>3663</v>
      </c>
    </row>
    <row r="1077" spans="1:4" x14ac:dyDescent="0.3">
      <c r="A1077" t="s">
        <v>1835</v>
      </c>
      <c r="B1077" t="s">
        <v>2840</v>
      </c>
      <c r="C1077" t="s">
        <v>2999</v>
      </c>
      <c r="D1077" t="s">
        <v>3961</v>
      </c>
    </row>
    <row r="1078" spans="1:4" x14ac:dyDescent="0.3">
      <c r="A1078" t="s">
        <v>1836</v>
      </c>
      <c r="B1078" t="s">
        <v>2841</v>
      </c>
      <c r="C1078" t="s">
        <v>3520</v>
      </c>
      <c r="D1078" t="s">
        <v>3911</v>
      </c>
    </row>
    <row r="1079" spans="1:4" x14ac:dyDescent="0.3">
      <c r="A1079" t="s">
        <v>1837</v>
      </c>
      <c r="B1079" t="s">
        <v>2842</v>
      </c>
      <c r="C1079" t="s">
        <v>2994</v>
      </c>
      <c r="D1079" t="s">
        <v>3911</v>
      </c>
    </row>
    <row r="1080" spans="1:4" x14ac:dyDescent="0.3">
      <c r="A1080" t="s">
        <v>1838</v>
      </c>
      <c r="B1080" t="s">
        <v>2843</v>
      </c>
      <c r="C1080" t="s">
        <v>2994</v>
      </c>
      <c r="D1080" t="s">
        <v>3013</v>
      </c>
    </row>
    <row r="1081" spans="1:4" x14ac:dyDescent="0.3">
      <c r="A1081" t="s">
        <v>1839</v>
      </c>
      <c r="B1081" t="s">
        <v>2844</v>
      </c>
      <c r="C1081" t="s">
        <v>2994</v>
      </c>
      <c r="D1081" t="s">
        <v>3962</v>
      </c>
    </row>
    <row r="1082" spans="1:4" x14ac:dyDescent="0.3">
      <c r="A1082" t="s">
        <v>1840</v>
      </c>
      <c r="B1082" t="s">
        <v>2845</v>
      </c>
      <c r="C1082" t="s">
        <v>2999</v>
      </c>
      <c r="D1082" t="s">
        <v>3663</v>
      </c>
    </row>
    <row r="1083" spans="1:4" x14ac:dyDescent="0.3">
      <c r="A1083" t="s">
        <v>1841</v>
      </c>
      <c r="B1083" t="s">
        <v>2846</v>
      </c>
      <c r="C1083" t="s">
        <v>2994</v>
      </c>
      <c r="D1083" t="s">
        <v>3963</v>
      </c>
    </row>
    <row r="1084" spans="1:4" x14ac:dyDescent="0.3">
      <c r="A1084" t="s">
        <v>1842</v>
      </c>
      <c r="B1084" t="s">
        <v>2847</v>
      </c>
      <c r="C1084" t="s">
        <v>2996</v>
      </c>
      <c r="D1084" t="s">
        <v>3964</v>
      </c>
    </row>
    <row r="1085" spans="1:4" x14ac:dyDescent="0.3">
      <c r="A1085" t="s">
        <v>1844</v>
      </c>
      <c r="B1085" t="s">
        <v>2847</v>
      </c>
      <c r="C1085" t="s">
        <v>2999</v>
      </c>
      <c r="D1085" t="s">
        <v>3965</v>
      </c>
    </row>
    <row r="1086" spans="1:4" x14ac:dyDescent="0.3">
      <c r="A1086" t="s">
        <v>1845</v>
      </c>
      <c r="B1086" t="s">
        <v>2847</v>
      </c>
      <c r="C1086" t="s">
        <v>2999</v>
      </c>
      <c r="D1086" t="s">
        <v>3966</v>
      </c>
    </row>
    <row r="1087" spans="1:4" x14ac:dyDescent="0.3">
      <c r="A1087" t="s">
        <v>1846</v>
      </c>
      <c r="B1087" t="s">
        <v>2847</v>
      </c>
      <c r="C1087" t="s">
        <v>2999</v>
      </c>
      <c r="D1087" t="s">
        <v>3967</v>
      </c>
    </row>
    <row r="1088" spans="1:4" x14ac:dyDescent="0.3">
      <c r="A1088" t="s">
        <v>1848</v>
      </c>
      <c r="B1088" t="s">
        <v>2848</v>
      </c>
      <c r="C1088" t="s">
        <v>2994</v>
      </c>
      <c r="D1088" t="s">
        <v>3968</v>
      </c>
    </row>
    <row r="1089" spans="1:4" x14ac:dyDescent="0.3">
      <c r="A1089" t="s">
        <v>1849</v>
      </c>
      <c r="B1089" t="s">
        <v>2848</v>
      </c>
      <c r="C1089" t="s">
        <v>2999</v>
      </c>
      <c r="D1089" t="s">
        <v>3969</v>
      </c>
    </row>
    <row r="1090" spans="1:4" x14ac:dyDescent="0.3">
      <c r="A1090" t="s">
        <v>1850</v>
      </c>
      <c r="B1090" t="s">
        <v>2848</v>
      </c>
      <c r="C1090" t="s">
        <v>2999</v>
      </c>
      <c r="D1090" t="s">
        <v>3970</v>
      </c>
    </row>
    <row r="1091" spans="1:4" x14ac:dyDescent="0.3">
      <c r="A1091" t="s">
        <v>1851</v>
      </c>
      <c r="B1091" t="s">
        <v>2849</v>
      </c>
      <c r="C1091" t="s">
        <v>2999</v>
      </c>
      <c r="D1091" t="s">
        <v>3971</v>
      </c>
    </row>
    <row r="1092" spans="1:4" x14ac:dyDescent="0.3">
      <c r="A1092" t="s">
        <v>1853</v>
      </c>
      <c r="B1092" t="s">
        <v>2850</v>
      </c>
      <c r="C1092" t="s">
        <v>2994</v>
      </c>
      <c r="D1092" t="s">
        <v>3972</v>
      </c>
    </row>
    <row r="1093" spans="1:4" x14ac:dyDescent="0.3">
      <c r="A1093" t="s">
        <v>1854</v>
      </c>
      <c r="B1093" t="s">
        <v>2850</v>
      </c>
      <c r="C1093" t="s">
        <v>2994</v>
      </c>
      <c r="D1093" t="s">
        <v>3658</v>
      </c>
    </row>
    <row r="1094" spans="1:4" x14ac:dyDescent="0.3">
      <c r="A1094" t="s">
        <v>1855</v>
      </c>
      <c r="B1094" t="s">
        <v>2850</v>
      </c>
      <c r="C1094" t="s">
        <v>2999</v>
      </c>
      <c r="D1094" t="s">
        <v>3660</v>
      </c>
    </row>
    <row r="1095" spans="1:4" x14ac:dyDescent="0.3">
      <c r="A1095" t="s">
        <v>1856</v>
      </c>
      <c r="B1095" t="s">
        <v>2851</v>
      </c>
      <c r="C1095" t="s">
        <v>2999</v>
      </c>
      <c r="D1095" t="s">
        <v>3973</v>
      </c>
    </row>
    <row r="1096" spans="1:4" x14ac:dyDescent="0.3">
      <c r="A1096" t="s">
        <v>1857</v>
      </c>
      <c r="B1096" t="s">
        <v>2852</v>
      </c>
      <c r="C1096" t="s">
        <v>3001</v>
      </c>
      <c r="D1096" t="s">
        <v>3974</v>
      </c>
    </row>
    <row r="1097" spans="1:4" x14ac:dyDescent="0.3">
      <c r="A1097" t="s">
        <v>1858</v>
      </c>
      <c r="B1097" t="s">
        <v>2853</v>
      </c>
      <c r="C1097" t="s">
        <v>2994</v>
      </c>
      <c r="D1097" t="s">
        <v>3975</v>
      </c>
    </row>
    <row r="1098" spans="1:4" x14ac:dyDescent="0.3">
      <c r="A1098" t="s">
        <v>1859</v>
      </c>
      <c r="B1098" t="s">
        <v>2854</v>
      </c>
      <c r="C1098" t="s">
        <v>2996</v>
      </c>
      <c r="D1098" t="s">
        <v>3976</v>
      </c>
    </row>
    <row r="1099" spans="1:4" x14ac:dyDescent="0.3">
      <c r="A1099" t="s">
        <v>1860</v>
      </c>
      <c r="B1099" t="s">
        <v>2854</v>
      </c>
      <c r="C1099" t="s">
        <v>2996</v>
      </c>
      <c r="D1099" t="s">
        <v>3977</v>
      </c>
    </row>
    <row r="1100" spans="1:4" x14ac:dyDescent="0.3">
      <c r="A1100" t="s">
        <v>1861</v>
      </c>
      <c r="B1100" t="s">
        <v>2854</v>
      </c>
      <c r="C1100" t="s">
        <v>2994</v>
      </c>
      <c r="D1100" t="s">
        <v>3978</v>
      </c>
    </row>
    <row r="1101" spans="1:4" x14ac:dyDescent="0.3">
      <c r="A1101" t="s">
        <v>1862</v>
      </c>
      <c r="B1101" t="s">
        <v>2854</v>
      </c>
      <c r="C1101" t="s">
        <v>2994</v>
      </c>
      <c r="D1101" t="s">
        <v>3979</v>
      </c>
    </row>
    <row r="1102" spans="1:4" x14ac:dyDescent="0.3">
      <c r="A1102" t="s">
        <v>1863</v>
      </c>
      <c r="B1102" t="s">
        <v>2854</v>
      </c>
      <c r="C1102" t="s">
        <v>3001</v>
      </c>
      <c r="D1102" t="s">
        <v>3980</v>
      </c>
    </row>
    <row r="1103" spans="1:4" x14ac:dyDescent="0.3">
      <c r="A1103" t="s">
        <v>1864</v>
      </c>
      <c r="B1103" t="s">
        <v>2855</v>
      </c>
      <c r="C1103" t="s">
        <v>2996</v>
      </c>
      <c r="D1103" t="s">
        <v>3981</v>
      </c>
    </row>
    <row r="1104" spans="1:4" x14ac:dyDescent="0.3">
      <c r="A1104" t="s">
        <v>1865</v>
      </c>
      <c r="B1104" t="s">
        <v>2855</v>
      </c>
      <c r="C1104" t="s">
        <v>2996</v>
      </c>
      <c r="D1104" t="s">
        <v>3982</v>
      </c>
    </row>
    <row r="1105" spans="1:4" x14ac:dyDescent="0.3">
      <c r="A1105" t="s">
        <v>1866</v>
      </c>
      <c r="B1105" t="s">
        <v>2855</v>
      </c>
      <c r="C1105" t="s">
        <v>2996</v>
      </c>
      <c r="D1105" t="s">
        <v>3983</v>
      </c>
    </row>
    <row r="1106" spans="1:4" x14ac:dyDescent="0.3">
      <c r="A1106" t="s">
        <v>1867</v>
      </c>
      <c r="B1106" t="s">
        <v>2855</v>
      </c>
      <c r="C1106" t="s">
        <v>2999</v>
      </c>
      <c r="D1106" t="s">
        <v>3984</v>
      </c>
    </row>
    <row r="1107" spans="1:4" x14ac:dyDescent="0.3">
      <c r="A1107" t="s">
        <v>1868</v>
      </c>
      <c r="B1107" t="s">
        <v>2855</v>
      </c>
      <c r="C1107" t="s">
        <v>2999</v>
      </c>
      <c r="D1107" t="s">
        <v>3985</v>
      </c>
    </row>
    <row r="1108" spans="1:4" x14ac:dyDescent="0.3">
      <c r="A1108" t="s">
        <v>1869</v>
      </c>
      <c r="B1108" t="s">
        <v>2855</v>
      </c>
      <c r="C1108" t="s">
        <v>3001</v>
      </c>
      <c r="D1108" t="s">
        <v>3986</v>
      </c>
    </row>
    <row r="1109" spans="1:4" x14ac:dyDescent="0.3">
      <c r="A1109" t="s">
        <v>1870</v>
      </c>
      <c r="B1109" t="s">
        <v>2856</v>
      </c>
      <c r="C1109" t="s">
        <v>2999</v>
      </c>
      <c r="D1109" t="s">
        <v>3025</v>
      </c>
    </row>
    <row r="1110" spans="1:4" x14ac:dyDescent="0.3">
      <c r="A1110" t="s">
        <v>1871</v>
      </c>
      <c r="B1110" t="s">
        <v>2857</v>
      </c>
      <c r="C1110" t="s">
        <v>2999</v>
      </c>
      <c r="D1110" t="s">
        <v>3325</v>
      </c>
    </row>
    <row r="1111" spans="1:4" x14ac:dyDescent="0.3">
      <c r="A1111" t="s">
        <v>1872</v>
      </c>
      <c r="B1111" t="s">
        <v>2858</v>
      </c>
      <c r="C1111" t="s">
        <v>2999</v>
      </c>
      <c r="D1111" t="s">
        <v>3987</v>
      </c>
    </row>
    <row r="1112" spans="1:4" x14ac:dyDescent="0.3">
      <c r="A1112" t="s">
        <v>1873</v>
      </c>
      <c r="B1112" t="s">
        <v>2859</v>
      </c>
      <c r="C1112" t="s">
        <v>2999</v>
      </c>
      <c r="D1112" t="s">
        <v>3988</v>
      </c>
    </row>
    <row r="1113" spans="1:4" x14ac:dyDescent="0.3">
      <c r="A1113" t="s">
        <v>1874</v>
      </c>
      <c r="B1113" t="s">
        <v>2860</v>
      </c>
      <c r="C1113" t="s">
        <v>2996</v>
      </c>
      <c r="D1113" t="s">
        <v>3989</v>
      </c>
    </row>
    <row r="1114" spans="1:4" x14ac:dyDescent="0.3">
      <c r="A1114" t="s">
        <v>1876</v>
      </c>
      <c r="B1114" t="s">
        <v>2860</v>
      </c>
      <c r="C1114" t="s">
        <v>2994</v>
      </c>
      <c r="D1114" t="s">
        <v>3990</v>
      </c>
    </row>
    <row r="1115" spans="1:4" x14ac:dyDescent="0.3">
      <c r="A1115" t="s">
        <v>1877</v>
      </c>
      <c r="B1115" t="s">
        <v>2860</v>
      </c>
      <c r="C1115" t="s">
        <v>3001</v>
      </c>
      <c r="D1115" t="s">
        <v>3991</v>
      </c>
    </row>
    <row r="1116" spans="1:4" x14ac:dyDescent="0.3">
      <c r="A1116" t="s">
        <v>1878</v>
      </c>
      <c r="B1116" t="s">
        <v>2861</v>
      </c>
      <c r="C1116" t="s">
        <v>2999</v>
      </c>
      <c r="D1116" t="s">
        <v>3488</v>
      </c>
    </row>
    <row r="1117" spans="1:4" x14ac:dyDescent="0.3">
      <c r="A1117" t="s">
        <v>1879</v>
      </c>
      <c r="B1117" t="s">
        <v>2862</v>
      </c>
      <c r="C1117" t="s">
        <v>2999</v>
      </c>
      <c r="D1117" t="s">
        <v>3992</v>
      </c>
    </row>
    <row r="1118" spans="1:4" x14ac:dyDescent="0.3">
      <c r="A1118" t="s">
        <v>1880</v>
      </c>
      <c r="B1118" t="s">
        <v>2863</v>
      </c>
      <c r="C1118" t="s">
        <v>2999</v>
      </c>
      <c r="D1118" t="s">
        <v>3665</v>
      </c>
    </row>
    <row r="1119" spans="1:4" x14ac:dyDescent="0.3">
      <c r="A1119" t="s">
        <v>1882</v>
      </c>
      <c r="B1119" t="s">
        <v>2864</v>
      </c>
      <c r="C1119" t="s">
        <v>2999</v>
      </c>
      <c r="D1119" t="s">
        <v>3993</v>
      </c>
    </row>
    <row r="1120" spans="1:4" x14ac:dyDescent="0.3">
      <c r="A1120" t="s">
        <v>1884</v>
      </c>
      <c r="B1120" t="s">
        <v>2865</v>
      </c>
      <c r="C1120" t="s">
        <v>2999</v>
      </c>
      <c r="D1120" t="s">
        <v>3994</v>
      </c>
    </row>
    <row r="1121" spans="1:4" x14ac:dyDescent="0.3">
      <c r="A1121" t="s">
        <v>1886</v>
      </c>
      <c r="B1121" t="s">
        <v>2866</v>
      </c>
      <c r="C1121" t="s">
        <v>2999</v>
      </c>
      <c r="D1121" t="s">
        <v>3370</v>
      </c>
    </row>
    <row r="1122" spans="1:4" x14ac:dyDescent="0.3">
      <c r="A1122" t="s">
        <v>1888</v>
      </c>
      <c r="B1122" t="s">
        <v>2867</v>
      </c>
      <c r="C1122" t="s">
        <v>2999</v>
      </c>
      <c r="D1122" t="s">
        <v>3995</v>
      </c>
    </row>
    <row r="1123" spans="1:4" x14ac:dyDescent="0.3">
      <c r="A1123" t="s">
        <v>1889</v>
      </c>
      <c r="B1123" t="s">
        <v>2868</v>
      </c>
      <c r="C1123" t="s">
        <v>2996</v>
      </c>
      <c r="D1123" t="s">
        <v>3996</v>
      </c>
    </row>
    <row r="1124" spans="1:4" x14ac:dyDescent="0.3">
      <c r="A1124" t="s">
        <v>1890</v>
      </c>
      <c r="B1124" t="s">
        <v>2868</v>
      </c>
      <c r="C1124" t="s">
        <v>2994</v>
      </c>
      <c r="D1124" t="s">
        <v>3307</v>
      </c>
    </row>
    <row r="1125" spans="1:4" x14ac:dyDescent="0.3">
      <c r="A1125" t="s">
        <v>1892</v>
      </c>
      <c r="B1125" t="s">
        <v>2868</v>
      </c>
      <c r="C1125" t="s">
        <v>3001</v>
      </c>
      <c r="D1125" t="s">
        <v>3997</v>
      </c>
    </row>
    <row r="1126" spans="1:4" x14ac:dyDescent="0.3">
      <c r="A1126" t="s">
        <v>1893</v>
      </c>
      <c r="B1126" t="s">
        <v>2869</v>
      </c>
      <c r="C1126" t="s">
        <v>2994</v>
      </c>
      <c r="D1126" t="s">
        <v>3998</v>
      </c>
    </row>
    <row r="1127" spans="1:4" x14ac:dyDescent="0.3">
      <c r="A1127" t="s">
        <v>1894</v>
      </c>
      <c r="B1127" t="s">
        <v>2870</v>
      </c>
      <c r="C1127" t="s">
        <v>2999</v>
      </c>
      <c r="D1127" t="s">
        <v>3999</v>
      </c>
    </row>
    <row r="1128" spans="1:4" x14ac:dyDescent="0.3">
      <c r="A1128" t="s">
        <v>1895</v>
      </c>
      <c r="B1128" t="s">
        <v>2871</v>
      </c>
      <c r="C1128" t="s">
        <v>2994</v>
      </c>
      <c r="D1128" t="s">
        <v>4000</v>
      </c>
    </row>
    <row r="1129" spans="1:4" x14ac:dyDescent="0.3">
      <c r="A1129" t="s">
        <v>1896</v>
      </c>
      <c r="B1129" t="s">
        <v>2872</v>
      </c>
      <c r="C1129" t="s">
        <v>2999</v>
      </c>
      <c r="D1129" t="s">
        <v>4001</v>
      </c>
    </row>
    <row r="1130" spans="1:4" x14ac:dyDescent="0.3">
      <c r="A1130" t="s">
        <v>1897</v>
      </c>
      <c r="B1130" t="s">
        <v>2872</v>
      </c>
      <c r="C1130" t="s">
        <v>2999</v>
      </c>
      <c r="D1130" t="s">
        <v>4002</v>
      </c>
    </row>
    <row r="1131" spans="1:4" x14ac:dyDescent="0.3">
      <c r="A1131" t="s">
        <v>1898</v>
      </c>
      <c r="B1131" t="s">
        <v>2873</v>
      </c>
      <c r="C1131" t="s">
        <v>2999</v>
      </c>
      <c r="D1131" t="s">
        <v>4003</v>
      </c>
    </row>
    <row r="1132" spans="1:4" x14ac:dyDescent="0.3">
      <c r="A1132" t="s">
        <v>1899</v>
      </c>
      <c r="B1132" t="s">
        <v>2874</v>
      </c>
      <c r="C1132" t="s">
        <v>2994</v>
      </c>
      <c r="D1132" t="s">
        <v>4004</v>
      </c>
    </row>
    <row r="1133" spans="1:4" x14ac:dyDescent="0.3">
      <c r="A1133" t="s">
        <v>1900</v>
      </c>
      <c r="B1133" t="s">
        <v>2875</v>
      </c>
      <c r="C1133" t="s">
        <v>2999</v>
      </c>
      <c r="D1133" t="s">
        <v>4005</v>
      </c>
    </row>
    <row r="1134" spans="1:4" x14ac:dyDescent="0.3">
      <c r="A1134" t="s">
        <v>1903</v>
      </c>
      <c r="B1134" t="s">
        <v>2876</v>
      </c>
      <c r="C1134" t="s">
        <v>2999</v>
      </c>
      <c r="D1134" t="s">
        <v>4006</v>
      </c>
    </row>
    <row r="1135" spans="1:4" x14ac:dyDescent="0.3">
      <c r="A1135" t="s">
        <v>1904</v>
      </c>
      <c r="B1135" t="s">
        <v>2877</v>
      </c>
      <c r="C1135" t="s">
        <v>2999</v>
      </c>
      <c r="D1135" t="s">
        <v>4007</v>
      </c>
    </row>
    <row r="1136" spans="1:4" x14ac:dyDescent="0.3">
      <c r="A1136" t="s">
        <v>1905</v>
      </c>
      <c r="B1136" t="s">
        <v>2877</v>
      </c>
      <c r="C1136" t="s">
        <v>2999</v>
      </c>
      <c r="D1136" t="s">
        <v>4008</v>
      </c>
    </row>
    <row r="1137" spans="1:4" x14ac:dyDescent="0.3">
      <c r="A1137" t="s">
        <v>1906</v>
      </c>
      <c r="B1137" t="s">
        <v>2878</v>
      </c>
      <c r="C1137" t="s">
        <v>2999</v>
      </c>
      <c r="D1137" t="s">
        <v>3048</v>
      </c>
    </row>
    <row r="1138" spans="1:4" x14ac:dyDescent="0.3">
      <c r="A1138" t="s">
        <v>1907</v>
      </c>
      <c r="B1138" t="s">
        <v>2879</v>
      </c>
      <c r="C1138" t="s">
        <v>3001</v>
      </c>
      <c r="D1138" t="s">
        <v>4009</v>
      </c>
    </row>
    <row r="1139" spans="1:4" x14ac:dyDescent="0.3">
      <c r="A1139" t="s">
        <v>1908</v>
      </c>
      <c r="B1139" t="s">
        <v>2880</v>
      </c>
      <c r="C1139" t="s">
        <v>2999</v>
      </c>
      <c r="D1139" t="s">
        <v>4010</v>
      </c>
    </row>
    <row r="1140" spans="1:4" x14ac:dyDescent="0.3">
      <c r="A1140" t="s">
        <v>1909</v>
      </c>
      <c r="B1140" t="s">
        <v>2881</v>
      </c>
      <c r="C1140" t="s">
        <v>2999</v>
      </c>
      <c r="D1140" t="s">
        <v>4011</v>
      </c>
    </row>
    <row r="1141" spans="1:4" x14ac:dyDescent="0.3">
      <c r="A1141" t="s">
        <v>1910</v>
      </c>
      <c r="B1141" t="s">
        <v>2882</v>
      </c>
      <c r="C1141" t="s">
        <v>2999</v>
      </c>
      <c r="D1141" t="s">
        <v>4012</v>
      </c>
    </row>
    <row r="1142" spans="1:4" x14ac:dyDescent="0.3">
      <c r="A1142" t="s">
        <v>1911</v>
      </c>
      <c r="B1142" t="s">
        <v>2883</v>
      </c>
      <c r="C1142" t="s">
        <v>2999</v>
      </c>
      <c r="D1142" t="s">
        <v>4013</v>
      </c>
    </row>
    <row r="1143" spans="1:4" x14ac:dyDescent="0.3">
      <c r="A1143" t="s">
        <v>1912</v>
      </c>
      <c r="B1143" t="s">
        <v>2884</v>
      </c>
      <c r="C1143" t="s">
        <v>2996</v>
      </c>
      <c r="D1143" t="s">
        <v>3475</v>
      </c>
    </row>
    <row r="1144" spans="1:4" x14ac:dyDescent="0.3">
      <c r="A1144" t="s">
        <v>1913</v>
      </c>
      <c r="B1144" t="s">
        <v>2884</v>
      </c>
      <c r="C1144" t="s">
        <v>2996</v>
      </c>
      <c r="D1144" t="s">
        <v>3743</v>
      </c>
    </row>
    <row r="1145" spans="1:4" x14ac:dyDescent="0.3">
      <c r="A1145" t="s">
        <v>1914</v>
      </c>
      <c r="B1145" t="s">
        <v>2884</v>
      </c>
      <c r="C1145" t="s">
        <v>2996</v>
      </c>
      <c r="D1145" t="s">
        <v>4014</v>
      </c>
    </row>
    <row r="1146" spans="1:4" x14ac:dyDescent="0.3">
      <c r="A1146" t="s">
        <v>1915</v>
      </c>
      <c r="B1146" t="s">
        <v>2884</v>
      </c>
      <c r="C1146" t="s">
        <v>2996</v>
      </c>
      <c r="D1146" t="s">
        <v>4015</v>
      </c>
    </row>
    <row r="1147" spans="1:4" x14ac:dyDescent="0.3">
      <c r="A1147" t="s">
        <v>1916</v>
      </c>
      <c r="B1147" t="s">
        <v>2884</v>
      </c>
      <c r="C1147" t="s">
        <v>2996</v>
      </c>
      <c r="D1147" t="s">
        <v>4016</v>
      </c>
    </row>
    <row r="1148" spans="1:4" x14ac:dyDescent="0.3">
      <c r="A1148" t="s">
        <v>1917</v>
      </c>
      <c r="B1148" t="s">
        <v>2884</v>
      </c>
      <c r="C1148" t="s">
        <v>3001</v>
      </c>
      <c r="D1148" t="s">
        <v>4017</v>
      </c>
    </row>
    <row r="1149" spans="1:4" x14ac:dyDescent="0.3">
      <c r="A1149" t="s">
        <v>1918</v>
      </c>
      <c r="B1149" t="s">
        <v>2885</v>
      </c>
      <c r="C1149" t="s">
        <v>2994</v>
      </c>
      <c r="D1149" t="s">
        <v>4018</v>
      </c>
    </row>
    <row r="1150" spans="1:4" x14ac:dyDescent="0.3">
      <c r="A1150" t="s">
        <v>1919</v>
      </c>
      <c r="B1150" t="s">
        <v>2886</v>
      </c>
      <c r="C1150" t="s">
        <v>2999</v>
      </c>
      <c r="D1150" t="s">
        <v>4019</v>
      </c>
    </row>
    <row r="1151" spans="1:4" x14ac:dyDescent="0.3">
      <c r="A1151" t="s">
        <v>1921</v>
      </c>
      <c r="B1151" t="s">
        <v>2887</v>
      </c>
      <c r="C1151" t="s">
        <v>2994</v>
      </c>
      <c r="D1151" t="s">
        <v>4020</v>
      </c>
    </row>
    <row r="1152" spans="1:4" x14ac:dyDescent="0.3">
      <c r="A1152" t="s">
        <v>1922</v>
      </c>
      <c r="B1152" t="s">
        <v>2888</v>
      </c>
      <c r="C1152" t="s">
        <v>2999</v>
      </c>
      <c r="D1152" t="s">
        <v>4021</v>
      </c>
    </row>
    <row r="1153" spans="1:4" x14ac:dyDescent="0.3">
      <c r="A1153" t="s">
        <v>1923</v>
      </c>
      <c r="B1153" t="s">
        <v>2888</v>
      </c>
      <c r="C1153" t="s">
        <v>3001</v>
      </c>
      <c r="D1153" t="s">
        <v>4022</v>
      </c>
    </row>
    <row r="1154" spans="1:4" x14ac:dyDescent="0.3">
      <c r="A1154" t="s">
        <v>1924</v>
      </c>
      <c r="B1154" t="s">
        <v>2889</v>
      </c>
      <c r="C1154" t="s">
        <v>2999</v>
      </c>
      <c r="D1154" t="s">
        <v>4023</v>
      </c>
    </row>
    <row r="1155" spans="1:4" x14ac:dyDescent="0.3">
      <c r="A1155" t="s">
        <v>1926</v>
      </c>
      <c r="B1155" t="s">
        <v>2889</v>
      </c>
      <c r="C1155" t="s">
        <v>3001</v>
      </c>
      <c r="D1155" t="s">
        <v>4024</v>
      </c>
    </row>
    <row r="1156" spans="1:4" x14ac:dyDescent="0.3">
      <c r="A1156" t="s">
        <v>1927</v>
      </c>
      <c r="B1156" t="s">
        <v>2503</v>
      </c>
      <c r="C1156" t="s">
        <v>2999</v>
      </c>
      <c r="D1156" t="s">
        <v>3349</v>
      </c>
    </row>
    <row r="1157" spans="1:4" x14ac:dyDescent="0.3">
      <c r="A1157" t="s">
        <v>1929</v>
      </c>
      <c r="B1157" t="s">
        <v>2890</v>
      </c>
      <c r="C1157" t="s">
        <v>2999</v>
      </c>
      <c r="D1157" t="s">
        <v>4025</v>
      </c>
    </row>
    <row r="1158" spans="1:4" x14ac:dyDescent="0.3">
      <c r="A1158" t="s">
        <v>1930</v>
      </c>
      <c r="B1158" t="s">
        <v>2891</v>
      </c>
      <c r="C1158" t="s">
        <v>2994</v>
      </c>
      <c r="D1158" t="s">
        <v>4026</v>
      </c>
    </row>
    <row r="1159" spans="1:4" x14ac:dyDescent="0.3">
      <c r="A1159" t="s">
        <v>1931</v>
      </c>
      <c r="B1159" t="s">
        <v>2891</v>
      </c>
      <c r="C1159" t="s">
        <v>2999</v>
      </c>
      <c r="D1159" t="s">
        <v>4027</v>
      </c>
    </row>
    <row r="1160" spans="1:4" x14ac:dyDescent="0.3">
      <c r="A1160" t="s">
        <v>1932</v>
      </c>
      <c r="B1160" t="s">
        <v>2891</v>
      </c>
      <c r="C1160" t="s">
        <v>3001</v>
      </c>
      <c r="D1160" t="s">
        <v>4028</v>
      </c>
    </row>
    <row r="1161" spans="1:4" x14ac:dyDescent="0.3">
      <c r="A1161" t="s">
        <v>1933</v>
      </c>
      <c r="B1161" t="s">
        <v>2892</v>
      </c>
      <c r="C1161" t="s">
        <v>2994</v>
      </c>
      <c r="D1161" t="s">
        <v>4029</v>
      </c>
    </row>
    <row r="1162" spans="1:4" x14ac:dyDescent="0.3">
      <c r="A1162" t="s">
        <v>1934</v>
      </c>
      <c r="B1162" t="s">
        <v>2893</v>
      </c>
      <c r="C1162" t="s">
        <v>2999</v>
      </c>
      <c r="D1162" t="s">
        <v>4030</v>
      </c>
    </row>
    <row r="1163" spans="1:4" x14ac:dyDescent="0.3">
      <c r="A1163" t="s">
        <v>1936</v>
      </c>
      <c r="B1163" t="s">
        <v>2894</v>
      </c>
      <c r="C1163" t="s">
        <v>2999</v>
      </c>
      <c r="D1163" t="s">
        <v>4031</v>
      </c>
    </row>
    <row r="1164" spans="1:4" x14ac:dyDescent="0.3">
      <c r="A1164" t="s">
        <v>1938</v>
      </c>
      <c r="B1164" t="s">
        <v>2895</v>
      </c>
      <c r="C1164" t="s">
        <v>2999</v>
      </c>
      <c r="D1164" t="s">
        <v>3340</v>
      </c>
    </row>
    <row r="1165" spans="1:4" x14ac:dyDescent="0.3">
      <c r="A1165" t="s">
        <v>1939</v>
      </c>
      <c r="B1165" t="s">
        <v>2895</v>
      </c>
      <c r="C1165" t="s">
        <v>2999</v>
      </c>
      <c r="D1165" t="s">
        <v>3663</v>
      </c>
    </row>
    <row r="1166" spans="1:4" x14ac:dyDescent="0.3">
      <c r="A1166" t="s">
        <v>1940</v>
      </c>
      <c r="B1166" t="s">
        <v>2896</v>
      </c>
      <c r="C1166" t="s">
        <v>2999</v>
      </c>
      <c r="D1166" t="s">
        <v>4032</v>
      </c>
    </row>
    <row r="1167" spans="1:4" x14ac:dyDescent="0.3">
      <c r="A1167" t="s">
        <v>1941</v>
      </c>
      <c r="B1167" t="s">
        <v>2896</v>
      </c>
      <c r="C1167" t="s">
        <v>2999</v>
      </c>
      <c r="D1167" t="s">
        <v>4033</v>
      </c>
    </row>
    <row r="1168" spans="1:4" x14ac:dyDescent="0.3">
      <c r="A1168" t="s">
        <v>1942</v>
      </c>
      <c r="B1168" t="s">
        <v>2897</v>
      </c>
      <c r="C1168" t="s">
        <v>2999</v>
      </c>
      <c r="D1168" t="s">
        <v>4034</v>
      </c>
    </row>
    <row r="1169" spans="1:4" x14ac:dyDescent="0.3">
      <c r="A1169" t="s">
        <v>1943</v>
      </c>
      <c r="B1169" t="s">
        <v>2898</v>
      </c>
      <c r="C1169" t="s">
        <v>2999</v>
      </c>
      <c r="D1169" t="s">
        <v>4035</v>
      </c>
    </row>
    <row r="1170" spans="1:4" x14ac:dyDescent="0.3">
      <c r="A1170" t="s">
        <v>1944</v>
      </c>
      <c r="B1170" t="s">
        <v>2899</v>
      </c>
      <c r="C1170" t="s">
        <v>2999</v>
      </c>
      <c r="D1170" t="s">
        <v>3003</v>
      </c>
    </row>
    <row r="1171" spans="1:4" x14ac:dyDescent="0.3">
      <c r="A1171" t="s">
        <v>1946</v>
      </c>
      <c r="B1171" t="s">
        <v>2900</v>
      </c>
      <c r="C1171" t="s">
        <v>2999</v>
      </c>
      <c r="D1171" t="s">
        <v>4036</v>
      </c>
    </row>
    <row r="1172" spans="1:4" x14ac:dyDescent="0.3">
      <c r="A1172" t="s">
        <v>1948</v>
      </c>
      <c r="B1172" t="s">
        <v>2901</v>
      </c>
      <c r="C1172" t="s">
        <v>2996</v>
      </c>
      <c r="D1172" t="s">
        <v>3680</v>
      </c>
    </row>
    <row r="1173" spans="1:4" x14ac:dyDescent="0.3">
      <c r="A1173" t="s">
        <v>1950</v>
      </c>
      <c r="B1173" t="s">
        <v>2901</v>
      </c>
      <c r="C1173" t="s">
        <v>2996</v>
      </c>
      <c r="D1173" t="s">
        <v>3419</v>
      </c>
    </row>
    <row r="1174" spans="1:4" x14ac:dyDescent="0.3">
      <c r="A1174" t="s">
        <v>1951</v>
      </c>
      <c r="B1174" t="s">
        <v>2901</v>
      </c>
      <c r="C1174" t="s">
        <v>2994</v>
      </c>
      <c r="D1174" t="s">
        <v>4037</v>
      </c>
    </row>
    <row r="1175" spans="1:4" x14ac:dyDescent="0.3">
      <c r="A1175" t="s">
        <v>1952</v>
      </c>
      <c r="B1175" t="s">
        <v>2901</v>
      </c>
      <c r="C1175" t="s">
        <v>2994</v>
      </c>
      <c r="D1175" t="s">
        <v>4038</v>
      </c>
    </row>
    <row r="1176" spans="1:4" x14ac:dyDescent="0.3">
      <c r="A1176" t="s">
        <v>1953</v>
      </c>
      <c r="B1176" t="s">
        <v>2901</v>
      </c>
      <c r="C1176" t="s">
        <v>2994</v>
      </c>
      <c r="D1176" t="s">
        <v>4039</v>
      </c>
    </row>
    <row r="1177" spans="1:4" x14ac:dyDescent="0.3">
      <c r="A1177" t="s">
        <v>1954</v>
      </c>
      <c r="B1177" t="s">
        <v>2901</v>
      </c>
      <c r="C1177" t="s">
        <v>2994</v>
      </c>
      <c r="D1177" t="s">
        <v>4040</v>
      </c>
    </row>
    <row r="1178" spans="1:4" x14ac:dyDescent="0.3">
      <c r="A1178" t="s">
        <v>1955</v>
      </c>
      <c r="B1178" t="s">
        <v>2901</v>
      </c>
      <c r="C1178" t="s">
        <v>2999</v>
      </c>
      <c r="D1178" t="s">
        <v>4041</v>
      </c>
    </row>
    <row r="1179" spans="1:4" x14ac:dyDescent="0.3">
      <c r="A1179" t="s">
        <v>1956</v>
      </c>
      <c r="B1179" t="s">
        <v>2901</v>
      </c>
      <c r="C1179" t="s">
        <v>2999</v>
      </c>
      <c r="D1179" t="s">
        <v>3292</v>
      </c>
    </row>
    <row r="1180" spans="1:4" x14ac:dyDescent="0.3">
      <c r="A1180" t="s">
        <v>1957</v>
      </c>
      <c r="B1180" t="s">
        <v>2901</v>
      </c>
      <c r="C1180" t="s">
        <v>2999</v>
      </c>
      <c r="D1180" t="s">
        <v>4042</v>
      </c>
    </row>
    <row r="1181" spans="1:4" x14ac:dyDescent="0.3">
      <c r="A1181" t="s">
        <v>1958</v>
      </c>
      <c r="B1181" t="s">
        <v>2901</v>
      </c>
      <c r="C1181" t="s">
        <v>2999</v>
      </c>
      <c r="D1181" t="s">
        <v>3238</v>
      </c>
    </row>
    <row r="1182" spans="1:4" x14ac:dyDescent="0.3">
      <c r="A1182" t="s">
        <v>1959</v>
      </c>
      <c r="B1182" t="s">
        <v>2901</v>
      </c>
      <c r="C1182" t="s">
        <v>3001</v>
      </c>
      <c r="D1182" t="s">
        <v>4043</v>
      </c>
    </row>
    <row r="1183" spans="1:4" x14ac:dyDescent="0.3">
      <c r="A1183" t="s">
        <v>1960</v>
      </c>
      <c r="B1183" t="s">
        <v>2902</v>
      </c>
      <c r="C1183" t="s">
        <v>2999</v>
      </c>
      <c r="D1183" t="s">
        <v>3818</v>
      </c>
    </row>
    <row r="1184" spans="1:4" x14ac:dyDescent="0.3">
      <c r="A1184" t="s">
        <v>1961</v>
      </c>
      <c r="B1184" t="s">
        <v>2903</v>
      </c>
      <c r="C1184" t="s">
        <v>2994</v>
      </c>
      <c r="D1184" t="s">
        <v>4044</v>
      </c>
    </row>
    <row r="1185" spans="1:4" x14ac:dyDescent="0.3">
      <c r="A1185" t="s">
        <v>1962</v>
      </c>
      <c r="B1185" t="s">
        <v>2904</v>
      </c>
      <c r="C1185" t="s">
        <v>2999</v>
      </c>
      <c r="D1185" t="s">
        <v>4045</v>
      </c>
    </row>
    <row r="1186" spans="1:4" x14ac:dyDescent="0.3">
      <c r="A1186" t="s">
        <v>1963</v>
      </c>
      <c r="B1186" t="s">
        <v>2905</v>
      </c>
      <c r="C1186" t="s">
        <v>2999</v>
      </c>
      <c r="D1186" t="s">
        <v>3944</v>
      </c>
    </row>
    <row r="1187" spans="1:4" x14ac:dyDescent="0.3">
      <c r="A1187" t="s">
        <v>1964</v>
      </c>
      <c r="B1187" t="s">
        <v>2905</v>
      </c>
      <c r="C1187" t="s">
        <v>2999</v>
      </c>
      <c r="D1187" t="s">
        <v>3644</v>
      </c>
    </row>
    <row r="1188" spans="1:4" x14ac:dyDescent="0.3">
      <c r="A1188" t="s">
        <v>1965</v>
      </c>
      <c r="B1188" t="s">
        <v>2905</v>
      </c>
      <c r="C1188" t="s">
        <v>2999</v>
      </c>
      <c r="D1188" t="s">
        <v>4046</v>
      </c>
    </row>
    <row r="1189" spans="1:4" x14ac:dyDescent="0.3">
      <c r="A1189" t="s">
        <v>1966</v>
      </c>
      <c r="B1189" t="s">
        <v>2906</v>
      </c>
      <c r="C1189" t="s">
        <v>2994</v>
      </c>
      <c r="D1189" t="s">
        <v>4047</v>
      </c>
    </row>
    <row r="1190" spans="1:4" x14ac:dyDescent="0.3">
      <c r="A1190" t="s">
        <v>1969</v>
      </c>
      <c r="B1190" t="s">
        <v>2906</v>
      </c>
      <c r="C1190" t="s">
        <v>3001</v>
      </c>
      <c r="D1190" t="s">
        <v>4048</v>
      </c>
    </row>
    <row r="1191" spans="1:4" x14ac:dyDescent="0.3">
      <c r="A1191" t="s">
        <v>1970</v>
      </c>
      <c r="B1191" t="s">
        <v>2906</v>
      </c>
      <c r="C1191" t="s">
        <v>2994</v>
      </c>
      <c r="D1191" t="s">
        <v>4049</v>
      </c>
    </row>
    <row r="1192" spans="1:4" x14ac:dyDescent="0.3">
      <c r="A1192" t="s">
        <v>1971</v>
      </c>
      <c r="B1192" t="s">
        <v>2907</v>
      </c>
      <c r="C1192" t="s">
        <v>2999</v>
      </c>
      <c r="D1192" t="s">
        <v>4050</v>
      </c>
    </row>
    <row r="1193" spans="1:4" x14ac:dyDescent="0.3">
      <c r="A1193" t="s">
        <v>1972</v>
      </c>
      <c r="B1193" t="s">
        <v>2908</v>
      </c>
      <c r="C1193" t="s">
        <v>2999</v>
      </c>
      <c r="D1193" t="s">
        <v>3419</v>
      </c>
    </row>
    <row r="1194" spans="1:4" x14ac:dyDescent="0.3">
      <c r="A1194" t="s">
        <v>1974</v>
      </c>
      <c r="B1194" t="s">
        <v>2909</v>
      </c>
      <c r="C1194" t="s">
        <v>2999</v>
      </c>
      <c r="D1194" t="s">
        <v>4051</v>
      </c>
    </row>
    <row r="1195" spans="1:4" x14ac:dyDescent="0.3">
      <c r="A1195" t="s">
        <v>1975</v>
      </c>
      <c r="B1195" t="s">
        <v>2910</v>
      </c>
      <c r="C1195" t="s">
        <v>2999</v>
      </c>
      <c r="D1195" t="s">
        <v>3547</v>
      </c>
    </row>
    <row r="1196" spans="1:4" x14ac:dyDescent="0.3">
      <c r="A1196" t="s">
        <v>1976</v>
      </c>
      <c r="B1196" t="s">
        <v>2911</v>
      </c>
      <c r="C1196" t="s">
        <v>2999</v>
      </c>
      <c r="D1196" t="s">
        <v>4052</v>
      </c>
    </row>
    <row r="1197" spans="1:4" x14ac:dyDescent="0.3">
      <c r="A1197" t="s">
        <v>1977</v>
      </c>
      <c r="B1197" t="s">
        <v>2912</v>
      </c>
      <c r="C1197" t="s">
        <v>2999</v>
      </c>
      <c r="D1197" t="s">
        <v>3663</v>
      </c>
    </row>
    <row r="1198" spans="1:4" x14ac:dyDescent="0.3">
      <c r="A1198" t="s">
        <v>1978</v>
      </c>
      <c r="B1198" t="s">
        <v>2913</v>
      </c>
      <c r="C1198" t="s">
        <v>2999</v>
      </c>
      <c r="D1198" t="s">
        <v>4053</v>
      </c>
    </row>
    <row r="1199" spans="1:4" x14ac:dyDescent="0.3">
      <c r="A1199" t="s">
        <v>1979</v>
      </c>
      <c r="B1199" t="s">
        <v>2914</v>
      </c>
      <c r="C1199" t="s">
        <v>2999</v>
      </c>
      <c r="D1199" t="s">
        <v>3505</v>
      </c>
    </row>
    <row r="1200" spans="1:4" x14ac:dyDescent="0.3">
      <c r="A1200" t="s">
        <v>1980</v>
      </c>
      <c r="B1200" t="s">
        <v>2915</v>
      </c>
      <c r="C1200" t="s">
        <v>2994</v>
      </c>
      <c r="D1200" t="s">
        <v>4004</v>
      </c>
    </row>
    <row r="1201" spans="1:4" x14ac:dyDescent="0.3">
      <c r="A1201" t="s">
        <v>1981</v>
      </c>
      <c r="B1201" t="s">
        <v>2916</v>
      </c>
      <c r="C1201" t="s">
        <v>2999</v>
      </c>
      <c r="D1201" t="s">
        <v>4054</v>
      </c>
    </row>
    <row r="1202" spans="1:4" x14ac:dyDescent="0.3">
      <c r="A1202" t="s">
        <v>1982</v>
      </c>
      <c r="B1202" t="s">
        <v>2917</v>
      </c>
      <c r="C1202" t="s">
        <v>2999</v>
      </c>
      <c r="D1202" t="s">
        <v>3109</v>
      </c>
    </row>
    <row r="1203" spans="1:4" x14ac:dyDescent="0.3">
      <c r="A1203" t="s">
        <v>1984</v>
      </c>
      <c r="B1203" t="s">
        <v>2918</v>
      </c>
      <c r="C1203" t="s">
        <v>2999</v>
      </c>
      <c r="D1203" t="s">
        <v>4055</v>
      </c>
    </row>
    <row r="1204" spans="1:4" x14ac:dyDescent="0.3">
      <c r="A1204" t="s">
        <v>1985</v>
      </c>
      <c r="B1204" t="s">
        <v>2919</v>
      </c>
      <c r="C1204" t="s">
        <v>2999</v>
      </c>
      <c r="D1204" t="s">
        <v>3960</v>
      </c>
    </row>
    <row r="1205" spans="1:4" x14ac:dyDescent="0.3">
      <c r="A1205" t="s">
        <v>1986</v>
      </c>
      <c r="B1205" t="s">
        <v>2920</v>
      </c>
      <c r="C1205" t="s">
        <v>2999</v>
      </c>
      <c r="D1205" t="s">
        <v>4056</v>
      </c>
    </row>
    <row r="1206" spans="1:4" x14ac:dyDescent="0.3">
      <c r="A1206" t="s">
        <v>1987</v>
      </c>
      <c r="B1206" t="s">
        <v>2921</v>
      </c>
      <c r="C1206" t="s">
        <v>2999</v>
      </c>
      <c r="D1206" t="s">
        <v>4057</v>
      </c>
    </row>
    <row r="1207" spans="1:4" x14ac:dyDescent="0.3">
      <c r="A1207" t="s">
        <v>1989</v>
      </c>
      <c r="B1207" t="s">
        <v>2922</v>
      </c>
      <c r="C1207" t="s">
        <v>2994</v>
      </c>
      <c r="D1207" t="s">
        <v>3954</v>
      </c>
    </row>
    <row r="1208" spans="1:4" x14ac:dyDescent="0.3">
      <c r="A1208" t="s">
        <v>1990</v>
      </c>
      <c r="B1208" t="s">
        <v>2923</v>
      </c>
      <c r="C1208" t="s">
        <v>2996</v>
      </c>
      <c r="D1208" t="s">
        <v>4058</v>
      </c>
    </row>
    <row r="1209" spans="1:4" x14ac:dyDescent="0.3">
      <c r="A1209" t="s">
        <v>1991</v>
      </c>
      <c r="B1209" t="s">
        <v>2923</v>
      </c>
      <c r="C1209" t="s">
        <v>2996</v>
      </c>
      <c r="D1209" t="s">
        <v>4059</v>
      </c>
    </row>
    <row r="1210" spans="1:4" x14ac:dyDescent="0.3">
      <c r="A1210" t="s">
        <v>1992</v>
      </c>
      <c r="B1210" t="s">
        <v>2923</v>
      </c>
      <c r="C1210" t="s">
        <v>2994</v>
      </c>
      <c r="D1210" t="s">
        <v>4060</v>
      </c>
    </row>
    <row r="1211" spans="1:4" x14ac:dyDescent="0.3">
      <c r="A1211" t="s">
        <v>1993</v>
      </c>
      <c r="B1211" t="s">
        <v>2923</v>
      </c>
      <c r="C1211" t="s">
        <v>2994</v>
      </c>
      <c r="D1211" t="s">
        <v>4061</v>
      </c>
    </row>
    <row r="1212" spans="1:4" x14ac:dyDescent="0.3">
      <c r="A1212" t="s">
        <v>1994</v>
      </c>
      <c r="B1212" t="s">
        <v>2923</v>
      </c>
      <c r="C1212" t="s">
        <v>2999</v>
      </c>
      <c r="D1212" t="s">
        <v>4062</v>
      </c>
    </row>
    <row r="1213" spans="1:4" x14ac:dyDescent="0.3">
      <c r="A1213" t="s">
        <v>1995</v>
      </c>
      <c r="B1213" t="s">
        <v>2923</v>
      </c>
      <c r="C1213" t="s">
        <v>3001</v>
      </c>
      <c r="D1213" t="s">
        <v>4063</v>
      </c>
    </row>
    <row r="1214" spans="1:4" x14ac:dyDescent="0.3">
      <c r="A1214" t="s">
        <v>1996</v>
      </c>
      <c r="B1214" t="s">
        <v>2924</v>
      </c>
      <c r="C1214" t="s">
        <v>2999</v>
      </c>
      <c r="D1214" t="s">
        <v>4064</v>
      </c>
    </row>
    <row r="1215" spans="1:4" x14ac:dyDescent="0.3">
      <c r="A1215" t="s">
        <v>1997</v>
      </c>
      <c r="B1215" t="s">
        <v>2925</v>
      </c>
      <c r="C1215" t="s">
        <v>2999</v>
      </c>
      <c r="D1215" t="s">
        <v>4065</v>
      </c>
    </row>
    <row r="1216" spans="1:4" x14ac:dyDescent="0.3">
      <c r="A1216" t="s">
        <v>1999</v>
      </c>
      <c r="B1216" t="s">
        <v>2926</v>
      </c>
      <c r="C1216" t="s">
        <v>2999</v>
      </c>
      <c r="D1216" t="s">
        <v>4066</v>
      </c>
    </row>
    <row r="1217" spans="1:4" x14ac:dyDescent="0.3">
      <c r="A1217" t="s">
        <v>2000</v>
      </c>
      <c r="B1217" t="s">
        <v>2313</v>
      </c>
      <c r="C1217" t="s">
        <v>2999</v>
      </c>
      <c r="D1217" t="s">
        <v>3956</v>
      </c>
    </row>
    <row r="1218" spans="1:4" x14ac:dyDescent="0.3">
      <c r="A1218" t="s">
        <v>2001</v>
      </c>
      <c r="B1218" t="s">
        <v>2927</v>
      </c>
      <c r="C1218" t="s">
        <v>2994</v>
      </c>
      <c r="D1218" t="s">
        <v>3632</v>
      </c>
    </row>
    <row r="1219" spans="1:4" x14ac:dyDescent="0.3">
      <c r="A1219" t="s">
        <v>2002</v>
      </c>
      <c r="B1219" t="s">
        <v>2928</v>
      </c>
      <c r="C1219" t="s">
        <v>2999</v>
      </c>
      <c r="D1219" t="s">
        <v>4067</v>
      </c>
    </row>
    <row r="1220" spans="1:4" x14ac:dyDescent="0.3">
      <c r="A1220" t="s">
        <v>2003</v>
      </c>
      <c r="B1220" t="s">
        <v>2929</v>
      </c>
      <c r="C1220" t="s">
        <v>2999</v>
      </c>
      <c r="D1220" t="s">
        <v>4068</v>
      </c>
    </row>
    <row r="1221" spans="1:4" x14ac:dyDescent="0.3">
      <c r="A1221" t="s">
        <v>2005</v>
      </c>
      <c r="B1221" t="s">
        <v>2930</v>
      </c>
      <c r="C1221" t="s">
        <v>2999</v>
      </c>
      <c r="D1221" t="s">
        <v>4069</v>
      </c>
    </row>
    <row r="1222" spans="1:4" x14ac:dyDescent="0.3">
      <c r="A1222" t="s">
        <v>2007</v>
      </c>
      <c r="B1222" t="s">
        <v>2931</v>
      </c>
      <c r="C1222" t="s">
        <v>2999</v>
      </c>
      <c r="D1222" t="s">
        <v>4070</v>
      </c>
    </row>
    <row r="1223" spans="1:4" x14ac:dyDescent="0.3">
      <c r="A1223" t="s">
        <v>2009</v>
      </c>
      <c r="B1223" t="s">
        <v>2932</v>
      </c>
      <c r="C1223" t="s">
        <v>2999</v>
      </c>
      <c r="D1223" t="s">
        <v>3684</v>
      </c>
    </row>
    <row r="1224" spans="1:4" x14ac:dyDescent="0.3">
      <c r="A1224" t="s">
        <v>2010</v>
      </c>
      <c r="B1224" t="s">
        <v>2933</v>
      </c>
      <c r="C1224" t="s">
        <v>2999</v>
      </c>
      <c r="D1224" t="s">
        <v>3684</v>
      </c>
    </row>
    <row r="1225" spans="1:4" x14ac:dyDescent="0.3">
      <c r="A1225" t="s">
        <v>2011</v>
      </c>
      <c r="B1225" t="s">
        <v>2934</v>
      </c>
      <c r="C1225" t="s">
        <v>2994</v>
      </c>
      <c r="D1225" t="s">
        <v>4071</v>
      </c>
    </row>
    <row r="1226" spans="1:4" x14ac:dyDescent="0.3">
      <c r="A1226" t="s">
        <v>2013</v>
      </c>
      <c r="B1226" t="s">
        <v>2934</v>
      </c>
      <c r="C1226" t="s">
        <v>2999</v>
      </c>
      <c r="D1226" t="s">
        <v>4072</v>
      </c>
    </row>
    <row r="1227" spans="1:4" x14ac:dyDescent="0.3">
      <c r="A1227" t="s">
        <v>2015</v>
      </c>
      <c r="B1227" t="s">
        <v>2935</v>
      </c>
      <c r="C1227" t="s">
        <v>2999</v>
      </c>
      <c r="D1227" t="s">
        <v>3956</v>
      </c>
    </row>
    <row r="1228" spans="1:4" x14ac:dyDescent="0.3">
      <c r="A1228" t="s">
        <v>2016</v>
      </c>
      <c r="B1228" t="s">
        <v>2936</v>
      </c>
      <c r="C1228" t="s">
        <v>2999</v>
      </c>
      <c r="D1228" t="s">
        <v>4073</v>
      </c>
    </row>
    <row r="1229" spans="1:4" x14ac:dyDescent="0.3">
      <c r="A1229" t="s">
        <v>2017</v>
      </c>
      <c r="B1229" t="s">
        <v>2937</v>
      </c>
      <c r="C1229" t="s">
        <v>2994</v>
      </c>
      <c r="D1229" t="s">
        <v>4074</v>
      </c>
    </row>
    <row r="1230" spans="1:4" x14ac:dyDescent="0.3">
      <c r="A1230" t="s">
        <v>2018</v>
      </c>
      <c r="B1230" t="s">
        <v>2938</v>
      </c>
      <c r="C1230" t="s">
        <v>2999</v>
      </c>
      <c r="D1230" t="s">
        <v>4075</v>
      </c>
    </row>
    <row r="1231" spans="1:4" x14ac:dyDescent="0.3">
      <c r="A1231" t="s">
        <v>2020</v>
      </c>
      <c r="B1231" t="s">
        <v>2939</v>
      </c>
      <c r="C1231" t="s">
        <v>2999</v>
      </c>
      <c r="D1231" t="s">
        <v>3684</v>
      </c>
    </row>
    <row r="1232" spans="1:4" x14ac:dyDescent="0.3">
      <c r="A1232" t="s">
        <v>2021</v>
      </c>
      <c r="B1232" t="s">
        <v>2940</v>
      </c>
      <c r="C1232" t="s">
        <v>2994</v>
      </c>
      <c r="D1232" t="s">
        <v>4076</v>
      </c>
    </row>
    <row r="1233" spans="1:4" x14ac:dyDescent="0.3">
      <c r="A1233" t="s">
        <v>2022</v>
      </c>
      <c r="B1233" t="s">
        <v>2940</v>
      </c>
      <c r="C1233" t="s">
        <v>3001</v>
      </c>
      <c r="D1233" t="s">
        <v>4077</v>
      </c>
    </row>
    <row r="1234" spans="1:4" x14ac:dyDescent="0.3">
      <c r="A1234" t="s">
        <v>2023</v>
      </c>
      <c r="B1234" t="s">
        <v>2941</v>
      </c>
      <c r="C1234" t="s">
        <v>2999</v>
      </c>
      <c r="D1234" t="s">
        <v>4078</v>
      </c>
    </row>
    <row r="1235" spans="1:4" x14ac:dyDescent="0.3">
      <c r="A1235" t="s">
        <v>2025</v>
      </c>
      <c r="B1235" t="s">
        <v>2942</v>
      </c>
      <c r="C1235" t="s">
        <v>2999</v>
      </c>
      <c r="D1235" t="s">
        <v>4079</v>
      </c>
    </row>
    <row r="1236" spans="1:4" x14ac:dyDescent="0.3">
      <c r="A1236" t="s">
        <v>2027</v>
      </c>
      <c r="B1236" t="s">
        <v>2943</v>
      </c>
      <c r="C1236" t="s">
        <v>2999</v>
      </c>
      <c r="D1236" t="s">
        <v>4080</v>
      </c>
    </row>
    <row r="1237" spans="1:4" x14ac:dyDescent="0.3">
      <c r="A1237" t="s">
        <v>2029</v>
      </c>
      <c r="B1237" t="s">
        <v>2944</v>
      </c>
      <c r="C1237" t="s">
        <v>2999</v>
      </c>
      <c r="D1237" t="s">
        <v>3731</v>
      </c>
    </row>
    <row r="1238" spans="1:4" x14ac:dyDescent="0.3">
      <c r="A1238" t="s">
        <v>2030</v>
      </c>
      <c r="B1238" t="s">
        <v>2944</v>
      </c>
      <c r="C1238" t="s">
        <v>2999</v>
      </c>
      <c r="D1238" t="s">
        <v>4081</v>
      </c>
    </row>
    <row r="1239" spans="1:4" x14ac:dyDescent="0.3">
      <c r="A1239" t="s">
        <v>2031</v>
      </c>
      <c r="B1239" t="s">
        <v>2944</v>
      </c>
      <c r="C1239" t="s">
        <v>2999</v>
      </c>
      <c r="D1239" t="s">
        <v>4082</v>
      </c>
    </row>
    <row r="1240" spans="1:4" x14ac:dyDescent="0.3">
      <c r="A1240" t="s">
        <v>2032</v>
      </c>
      <c r="B1240" t="s">
        <v>2945</v>
      </c>
      <c r="C1240" t="s">
        <v>2999</v>
      </c>
      <c r="D1240" t="s">
        <v>4083</v>
      </c>
    </row>
    <row r="1241" spans="1:4" x14ac:dyDescent="0.3">
      <c r="A1241" t="s">
        <v>2034</v>
      </c>
      <c r="B1241" t="s">
        <v>2946</v>
      </c>
      <c r="C1241" t="s">
        <v>2999</v>
      </c>
      <c r="D1241" t="s">
        <v>4084</v>
      </c>
    </row>
    <row r="1242" spans="1:4" x14ac:dyDescent="0.3">
      <c r="A1242" t="s">
        <v>2035</v>
      </c>
      <c r="B1242" t="s">
        <v>2947</v>
      </c>
      <c r="C1242" t="s">
        <v>2996</v>
      </c>
      <c r="D1242" t="s">
        <v>4085</v>
      </c>
    </row>
    <row r="1243" spans="1:4" x14ac:dyDescent="0.3">
      <c r="A1243" t="s">
        <v>2036</v>
      </c>
      <c r="B1243" t="s">
        <v>2947</v>
      </c>
      <c r="C1243" t="s">
        <v>2999</v>
      </c>
      <c r="D1243" t="s">
        <v>4086</v>
      </c>
    </row>
    <row r="1244" spans="1:4" x14ac:dyDescent="0.3">
      <c r="A1244" t="s">
        <v>2037</v>
      </c>
      <c r="B1244" t="s">
        <v>2947</v>
      </c>
      <c r="C1244" t="s">
        <v>2999</v>
      </c>
      <c r="D1244" t="s">
        <v>3109</v>
      </c>
    </row>
    <row r="1245" spans="1:4" x14ac:dyDescent="0.3">
      <c r="A1245" t="s">
        <v>2038</v>
      </c>
      <c r="B1245" t="s">
        <v>2947</v>
      </c>
      <c r="C1245" t="s">
        <v>2999</v>
      </c>
      <c r="D1245" t="s">
        <v>3637</v>
      </c>
    </row>
    <row r="1246" spans="1:4" x14ac:dyDescent="0.3">
      <c r="A1246" t="s">
        <v>2039</v>
      </c>
      <c r="B1246" t="s">
        <v>2947</v>
      </c>
      <c r="C1246" t="s">
        <v>3001</v>
      </c>
      <c r="D1246" t="s">
        <v>4087</v>
      </c>
    </row>
    <row r="1247" spans="1:4" x14ac:dyDescent="0.3">
      <c r="A1247" t="s">
        <v>2040</v>
      </c>
      <c r="B1247" t="s">
        <v>2948</v>
      </c>
      <c r="C1247" t="s">
        <v>2999</v>
      </c>
      <c r="D1247" t="s">
        <v>4088</v>
      </c>
    </row>
    <row r="1248" spans="1:4" x14ac:dyDescent="0.3">
      <c r="A1248" t="s">
        <v>2041</v>
      </c>
      <c r="B1248" t="s">
        <v>2949</v>
      </c>
      <c r="C1248" t="s">
        <v>2999</v>
      </c>
      <c r="D1248" t="s">
        <v>4089</v>
      </c>
    </row>
    <row r="1249" spans="1:4" x14ac:dyDescent="0.3">
      <c r="A1249" t="s">
        <v>2042</v>
      </c>
      <c r="B1249" t="s">
        <v>2949</v>
      </c>
      <c r="C1249" t="s">
        <v>3001</v>
      </c>
      <c r="D1249" t="s">
        <v>4090</v>
      </c>
    </row>
    <row r="1250" spans="1:4" x14ac:dyDescent="0.3">
      <c r="A1250" t="s">
        <v>2043</v>
      </c>
      <c r="B1250" t="s">
        <v>2950</v>
      </c>
      <c r="C1250" t="s">
        <v>2999</v>
      </c>
      <c r="D1250" t="s">
        <v>4075</v>
      </c>
    </row>
    <row r="1251" spans="1:4" x14ac:dyDescent="0.3">
      <c r="A1251" t="s">
        <v>2045</v>
      </c>
      <c r="B1251" t="s">
        <v>2951</v>
      </c>
      <c r="C1251" t="s">
        <v>2999</v>
      </c>
      <c r="D1251" t="s">
        <v>4091</v>
      </c>
    </row>
    <row r="1252" spans="1:4" x14ac:dyDescent="0.3">
      <c r="A1252" t="s">
        <v>2047</v>
      </c>
      <c r="B1252" t="s">
        <v>2952</v>
      </c>
      <c r="C1252" t="s">
        <v>2999</v>
      </c>
      <c r="D1252" t="s">
        <v>3829</v>
      </c>
    </row>
    <row r="1253" spans="1:4" x14ac:dyDescent="0.3">
      <c r="A1253" t="s">
        <v>2048</v>
      </c>
      <c r="B1253" t="s">
        <v>2953</v>
      </c>
      <c r="C1253" t="s">
        <v>2999</v>
      </c>
      <c r="D1253" t="s">
        <v>4092</v>
      </c>
    </row>
    <row r="1254" spans="1:4" x14ac:dyDescent="0.3">
      <c r="A1254" t="s">
        <v>2049</v>
      </c>
      <c r="B1254" t="s">
        <v>2954</v>
      </c>
      <c r="C1254" t="s">
        <v>2999</v>
      </c>
      <c r="D1254" t="s">
        <v>4093</v>
      </c>
    </row>
    <row r="1255" spans="1:4" x14ac:dyDescent="0.3">
      <c r="A1255" t="s">
        <v>2050</v>
      </c>
      <c r="B1255" t="s">
        <v>2955</v>
      </c>
      <c r="C1255" t="s">
        <v>2999</v>
      </c>
      <c r="D1255" t="s">
        <v>4094</v>
      </c>
    </row>
    <row r="1256" spans="1:4" x14ac:dyDescent="0.3">
      <c r="A1256" t="s">
        <v>2051</v>
      </c>
      <c r="B1256" t="s">
        <v>2956</v>
      </c>
      <c r="C1256" t="s">
        <v>2999</v>
      </c>
      <c r="D1256" t="s">
        <v>3419</v>
      </c>
    </row>
    <row r="1257" spans="1:4" x14ac:dyDescent="0.3">
      <c r="A1257" t="s">
        <v>2052</v>
      </c>
      <c r="B1257" t="s">
        <v>2957</v>
      </c>
      <c r="C1257" t="s">
        <v>2999</v>
      </c>
      <c r="D1257" t="s">
        <v>4095</v>
      </c>
    </row>
    <row r="1258" spans="1:4" x14ac:dyDescent="0.3">
      <c r="A1258" t="s">
        <v>2053</v>
      </c>
      <c r="B1258" t="s">
        <v>2958</v>
      </c>
      <c r="C1258" t="s">
        <v>2996</v>
      </c>
      <c r="D1258" t="s">
        <v>4096</v>
      </c>
    </row>
    <row r="1259" spans="1:4" x14ac:dyDescent="0.3">
      <c r="A1259" t="s">
        <v>2054</v>
      </c>
      <c r="B1259" t="s">
        <v>2958</v>
      </c>
      <c r="C1259" t="s">
        <v>2994</v>
      </c>
      <c r="D1259" t="s">
        <v>4097</v>
      </c>
    </row>
    <row r="1260" spans="1:4" x14ac:dyDescent="0.3">
      <c r="A1260" t="s">
        <v>2055</v>
      </c>
      <c r="B1260" t="s">
        <v>2958</v>
      </c>
      <c r="C1260" t="s">
        <v>3001</v>
      </c>
      <c r="D1260" t="s">
        <v>4098</v>
      </c>
    </row>
    <row r="1261" spans="1:4" x14ac:dyDescent="0.3">
      <c r="A1261" t="s">
        <v>2056</v>
      </c>
      <c r="B1261" t="s">
        <v>2959</v>
      </c>
      <c r="C1261" t="s">
        <v>2999</v>
      </c>
      <c r="D1261" t="s">
        <v>4099</v>
      </c>
    </row>
    <row r="1262" spans="1:4" x14ac:dyDescent="0.3">
      <c r="A1262" t="s">
        <v>2057</v>
      </c>
      <c r="B1262" t="s">
        <v>2960</v>
      </c>
      <c r="C1262" t="s">
        <v>2994</v>
      </c>
      <c r="D1262" t="s">
        <v>3954</v>
      </c>
    </row>
    <row r="1263" spans="1:4" x14ac:dyDescent="0.3">
      <c r="A1263" t="s">
        <v>2058</v>
      </c>
      <c r="B1263" t="s">
        <v>2961</v>
      </c>
      <c r="C1263" t="s">
        <v>3001</v>
      </c>
      <c r="D1263" t="s">
        <v>4100</v>
      </c>
    </row>
    <row r="1264" spans="1:4" x14ac:dyDescent="0.3">
      <c r="A1264" t="s">
        <v>2059</v>
      </c>
      <c r="B1264" t="s">
        <v>2962</v>
      </c>
      <c r="C1264" t="s">
        <v>2996</v>
      </c>
      <c r="D1264" t="s">
        <v>4101</v>
      </c>
    </row>
    <row r="1265" spans="1:4" x14ac:dyDescent="0.3">
      <c r="A1265" t="s">
        <v>2061</v>
      </c>
      <c r="B1265" t="s">
        <v>2962</v>
      </c>
      <c r="C1265" t="s">
        <v>2996</v>
      </c>
      <c r="D1265" t="s">
        <v>4102</v>
      </c>
    </row>
    <row r="1266" spans="1:4" x14ac:dyDescent="0.3">
      <c r="A1266" t="s">
        <v>2062</v>
      </c>
      <c r="B1266" t="s">
        <v>2962</v>
      </c>
      <c r="C1266" t="s">
        <v>2999</v>
      </c>
      <c r="D1266" t="s">
        <v>4103</v>
      </c>
    </row>
    <row r="1267" spans="1:4" x14ac:dyDescent="0.3">
      <c r="A1267" t="s">
        <v>2063</v>
      </c>
      <c r="B1267" t="s">
        <v>2963</v>
      </c>
      <c r="C1267" t="s">
        <v>2994</v>
      </c>
      <c r="D1267" t="s">
        <v>4104</v>
      </c>
    </row>
    <row r="1268" spans="1:4" x14ac:dyDescent="0.3">
      <c r="A1268" t="s">
        <v>2064</v>
      </c>
      <c r="B1268" t="s">
        <v>2963</v>
      </c>
      <c r="C1268" t="s">
        <v>2999</v>
      </c>
      <c r="D1268" t="s">
        <v>4105</v>
      </c>
    </row>
    <row r="1269" spans="1:4" x14ac:dyDescent="0.3">
      <c r="A1269" t="s">
        <v>2065</v>
      </c>
      <c r="B1269" t="s">
        <v>2963</v>
      </c>
      <c r="C1269" t="s">
        <v>3001</v>
      </c>
      <c r="D1269" t="s">
        <v>4106</v>
      </c>
    </row>
    <row r="1270" spans="1:4" x14ac:dyDescent="0.3">
      <c r="A1270" t="s">
        <v>2066</v>
      </c>
      <c r="B1270" t="s">
        <v>2964</v>
      </c>
      <c r="C1270" t="s">
        <v>2999</v>
      </c>
      <c r="D1270" t="s">
        <v>4107</v>
      </c>
    </row>
    <row r="1271" spans="1:4" x14ac:dyDescent="0.3">
      <c r="A1271" t="s">
        <v>2067</v>
      </c>
      <c r="B1271" t="s">
        <v>2965</v>
      </c>
      <c r="C1271" t="s">
        <v>2999</v>
      </c>
      <c r="D1271" t="s">
        <v>4108</v>
      </c>
    </row>
    <row r="1272" spans="1:4" x14ac:dyDescent="0.3">
      <c r="A1272" t="s">
        <v>2068</v>
      </c>
      <c r="B1272" t="s">
        <v>2966</v>
      </c>
      <c r="C1272" t="s">
        <v>2999</v>
      </c>
      <c r="D1272" t="s">
        <v>4109</v>
      </c>
    </row>
    <row r="1273" spans="1:4" x14ac:dyDescent="0.3">
      <c r="A1273" t="s">
        <v>2069</v>
      </c>
      <c r="B1273" t="s">
        <v>2967</v>
      </c>
      <c r="C1273" t="s">
        <v>2999</v>
      </c>
      <c r="D1273" t="s">
        <v>4110</v>
      </c>
    </row>
    <row r="1274" spans="1:4" x14ac:dyDescent="0.3">
      <c r="A1274" t="s">
        <v>2070</v>
      </c>
      <c r="B1274" t="s">
        <v>2968</v>
      </c>
      <c r="C1274" t="s">
        <v>2999</v>
      </c>
      <c r="D1274" t="s">
        <v>3135</v>
      </c>
    </row>
    <row r="1275" spans="1:4" x14ac:dyDescent="0.3">
      <c r="A1275" t="s">
        <v>2071</v>
      </c>
      <c r="B1275" t="s">
        <v>2969</v>
      </c>
      <c r="C1275" t="s">
        <v>2994</v>
      </c>
      <c r="D1275" t="s">
        <v>4111</v>
      </c>
    </row>
    <row r="1276" spans="1:4" x14ac:dyDescent="0.3">
      <c r="A1276" t="s">
        <v>2072</v>
      </c>
      <c r="B1276" t="s">
        <v>2969</v>
      </c>
      <c r="C1276" t="s">
        <v>2999</v>
      </c>
      <c r="D1276" t="s">
        <v>4050</v>
      </c>
    </row>
    <row r="1277" spans="1:4" x14ac:dyDescent="0.3">
      <c r="A1277" t="s">
        <v>2073</v>
      </c>
      <c r="B1277" t="s">
        <v>2969</v>
      </c>
      <c r="C1277" t="s">
        <v>2999</v>
      </c>
      <c r="D1277" t="s">
        <v>4112</v>
      </c>
    </row>
    <row r="1278" spans="1:4" x14ac:dyDescent="0.3">
      <c r="A1278" t="s">
        <v>2074</v>
      </c>
      <c r="B1278" t="s">
        <v>2969</v>
      </c>
      <c r="C1278" t="s">
        <v>3001</v>
      </c>
      <c r="D1278" t="s">
        <v>4113</v>
      </c>
    </row>
    <row r="1279" spans="1:4" x14ac:dyDescent="0.3">
      <c r="A1279" t="s">
        <v>2075</v>
      </c>
      <c r="B1279" t="s">
        <v>2970</v>
      </c>
      <c r="C1279" t="s">
        <v>2999</v>
      </c>
      <c r="D1279" t="s">
        <v>3517</v>
      </c>
    </row>
    <row r="1280" spans="1:4" x14ac:dyDescent="0.3">
      <c r="A1280" t="s">
        <v>2076</v>
      </c>
      <c r="B1280" t="s">
        <v>2971</v>
      </c>
      <c r="C1280" t="s">
        <v>2999</v>
      </c>
      <c r="D1280" t="s">
        <v>4114</v>
      </c>
    </row>
    <row r="1281" spans="1:4" x14ac:dyDescent="0.3">
      <c r="A1281" t="s">
        <v>2077</v>
      </c>
      <c r="B1281" t="s">
        <v>2972</v>
      </c>
      <c r="C1281" t="s">
        <v>2994</v>
      </c>
      <c r="D1281" t="s">
        <v>4115</v>
      </c>
    </row>
    <row r="1282" spans="1:4" x14ac:dyDescent="0.3">
      <c r="A1282" t="s">
        <v>2078</v>
      </c>
      <c r="B1282" t="s">
        <v>2973</v>
      </c>
      <c r="C1282" t="s">
        <v>2999</v>
      </c>
      <c r="D1282" t="s">
        <v>4116</v>
      </c>
    </row>
    <row r="1283" spans="1:4" x14ac:dyDescent="0.3">
      <c r="A1283" t="s">
        <v>2079</v>
      </c>
      <c r="B1283" t="s">
        <v>2974</v>
      </c>
      <c r="C1283" t="s">
        <v>2999</v>
      </c>
      <c r="D1283" t="s">
        <v>4117</v>
      </c>
    </row>
    <row r="1284" spans="1:4" x14ac:dyDescent="0.3">
      <c r="A1284" t="s">
        <v>2081</v>
      </c>
      <c r="B1284" t="s">
        <v>2527</v>
      </c>
      <c r="C1284" t="s">
        <v>2999</v>
      </c>
      <c r="D1284" t="s">
        <v>3292</v>
      </c>
    </row>
    <row r="1285" spans="1:4" x14ac:dyDescent="0.3">
      <c r="A1285" t="s">
        <v>2082</v>
      </c>
      <c r="B1285" t="s">
        <v>2335</v>
      </c>
      <c r="C1285" t="s">
        <v>2999</v>
      </c>
      <c r="D1285" t="s">
        <v>4118</v>
      </c>
    </row>
    <row r="1286" spans="1:4" x14ac:dyDescent="0.3">
      <c r="A1286" t="s">
        <v>2084</v>
      </c>
      <c r="B1286" t="s">
        <v>2530</v>
      </c>
      <c r="C1286" t="s">
        <v>2999</v>
      </c>
      <c r="D1286" t="s">
        <v>3547</v>
      </c>
    </row>
    <row r="1287" spans="1:4" x14ac:dyDescent="0.3">
      <c r="A1287" t="s">
        <v>2086</v>
      </c>
      <c r="B1287" t="s">
        <v>2975</v>
      </c>
      <c r="C1287" t="s">
        <v>2999</v>
      </c>
      <c r="D1287" t="s">
        <v>4119</v>
      </c>
    </row>
    <row r="1288" spans="1:4" x14ac:dyDescent="0.3">
      <c r="A1288" t="s">
        <v>2087</v>
      </c>
      <c r="B1288" t="s">
        <v>2976</v>
      </c>
      <c r="C1288" t="s">
        <v>3001</v>
      </c>
      <c r="D1288" t="s">
        <v>4120</v>
      </c>
    </row>
    <row r="1289" spans="1:4" x14ac:dyDescent="0.3">
      <c r="A1289" t="s">
        <v>2088</v>
      </c>
      <c r="B1289" t="s">
        <v>2977</v>
      </c>
      <c r="C1289" t="s">
        <v>2999</v>
      </c>
      <c r="D1289" t="s">
        <v>4121</v>
      </c>
    </row>
    <row r="1290" spans="1:4" x14ac:dyDescent="0.3">
      <c r="A1290" t="s">
        <v>2089</v>
      </c>
      <c r="B1290" t="s">
        <v>2978</v>
      </c>
      <c r="C1290" t="s">
        <v>2999</v>
      </c>
      <c r="D1290" t="s">
        <v>3814</v>
      </c>
    </row>
    <row r="1291" spans="1:4" x14ac:dyDescent="0.3">
      <c r="A1291" t="s">
        <v>2090</v>
      </c>
      <c r="B1291" t="s">
        <v>2978</v>
      </c>
      <c r="C1291" t="s">
        <v>2999</v>
      </c>
      <c r="D1291" t="s">
        <v>3818</v>
      </c>
    </row>
    <row r="1292" spans="1:4" x14ac:dyDescent="0.3">
      <c r="A1292" t="s">
        <v>2091</v>
      </c>
      <c r="B1292" t="s">
        <v>2979</v>
      </c>
      <c r="C1292" t="s">
        <v>3001</v>
      </c>
      <c r="D1292" t="s">
        <v>4122</v>
      </c>
    </row>
    <row r="1293" spans="1:4" x14ac:dyDescent="0.3">
      <c r="A1293" t="s">
        <v>2092</v>
      </c>
      <c r="B1293" t="s">
        <v>2980</v>
      </c>
      <c r="C1293" t="s">
        <v>2999</v>
      </c>
      <c r="D1293" t="s">
        <v>4123</v>
      </c>
    </row>
    <row r="1294" spans="1:4" x14ac:dyDescent="0.3">
      <c r="A1294" t="s">
        <v>2093</v>
      </c>
      <c r="B1294" t="s">
        <v>2981</v>
      </c>
      <c r="C1294" t="s">
        <v>2999</v>
      </c>
      <c r="D1294" t="s">
        <v>3340</v>
      </c>
    </row>
    <row r="1295" spans="1:4" x14ac:dyDescent="0.3">
      <c r="A1295" t="s">
        <v>2095</v>
      </c>
      <c r="B1295" t="s">
        <v>2341</v>
      </c>
      <c r="C1295" t="s">
        <v>2999</v>
      </c>
      <c r="D1295" t="s">
        <v>4124</v>
      </c>
    </row>
    <row r="1296" spans="1:4" x14ac:dyDescent="0.3">
      <c r="A1296" t="s">
        <v>2097</v>
      </c>
      <c r="B1296" t="s">
        <v>2341</v>
      </c>
      <c r="C1296" t="s">
        <v>2999</v>
      </c>
      <c r="D1296" t="s">
        <v>4125</v>
      </c>
    </row>
    <row r="1297" spans="1:4" x14ac:dyDescent="0.3">
      <c r="A1297" t="s">
        <v>2098</v>
      </c>
      <c r="B1297" t="s">
        <v>2982</v>
      </c>
      <c r="C1297" t="s">
        <v>2999</v>
      </c>
      <c r="D1297" t="s">
        <v>4126</v>
      </c>
    </row>
    <row r="1298" spans="1:4" x14ac:dyDescent="0.3">
      <c r="A1298" t="s">
        <v>2100</v>
      </c>
      <c r="B1298" t="s">
        <v>2983</v>
      </c>
      <c r="C1298" t="s">
        <v>2999</v>
      </c>
      <c r="D1298" t="s">
        <v>3475</v>
      </c>
    </row>
    <row r="1299" spans="1:4" x14ac:dyDescent="0.3">
      <c r="A1299" t="s">
        <v>2101</v>
      </c>
      <c r="B1299" t="s">
        <v>2984</v>
      </c>
      <c r="C1299" t="s">
        <v>2999</v>
      </c>
      <c r="D1299" t="s">
        <v>4127</v>
      </c>
    </row>
    <row r="1300" spans="1:4" x14ac:dyDescent="0.3">
      <c r="A1300" t="s">
        <v>2103</v>
      </c>
      <c r="B1300" t="s">
        <v>2985</v>
      </c>
      <c r="C1300" t="s">
        <v>2999</v>
      </c>
      <c r="D1300" t="s">
        <v>4128</v>
      </c>
    </row>
    <row r="1301" spans="1:4" x14ac:dyDescent="0.3">
      <c r="A1301" t="s">
        <v>2104</v>
      </c>
      <c r="B1301" t="s">
        <v>2986</v>
      </c>
      <c r="C1301" t="s">
        <v>2999</v>
      </c>
      <c r="D1301" t="s">
        <v>4129</v>
      </c>
    </row>
    <row r="1302" spans="1:4" x14ac:dyDescent="0.3">
      <c r="A1302" t="s">
        <v>2105</v>
      </c>
      <c r="B1302" t="s">
        <v>2986</v>
      </c>
      <c r="C1302" t="s">
        <v>3001</v>
      </c>
      <c r="D1302" t="s">
        <v>4130</v>
      </c>
    </row>
    <row r="1303" spans="1:4" x14ac:dyDescent="0.3">
      <c r="A1303" t="s">
        <v>2106</v>
      </c>
      <c r="B1303" t="s">
        <v>2987</v>
      </c>
      <c r="C1303" t="s">
        <v>2999</v>
      </c>
      <c r="D1303" t="s">
        <v>4131</v>
      </c>
    </row>
    <row r="1304" spans="1:4" x14ac:dyDescent="0.3">
      <c r="A1304" t="s">
        <v>2107</v>
      </c>
      <c r="B1304" t="s">
        <v>2988</v>
      </c>
      <c r="C1304" t="s">
        <v>2999</v>
      </c>
      <c r="D1304" t="s">
        <v>4132</v>
      </c>
    </row>
    <row r="1305" spans="1:4" x14ac:dyDescent="0.3">
      <c r="A1305" t="s">
        <v>2108</v>
      </c>
      <c r="B1305" t="s">
        <v>2989</v>
      </c>
      <c r="C1305" t="s">
        <v>2999</v>
      </c>
      <c r="D1305" t="s">
        <v>4131</v>
      </c>
    </row>
    <row r="1306" spans="1:4" x14ac:dyDescent="0.3">
      <c r="A1306" t="s">
        <v>2109</v>
      </c>
      <c r="B1306" t="s">
        <v>2990</v>
      </c>
      <c r="C1306" t="s">
        <v>2994</v>
      </c>
      <c r="D1306" t="s">
        <v>4133</v>
      </c>
    </row>
    <row r="1307" spans="1:4" x14ac:dyDescent="0.3">
      <c r="A1307" t="s">
        <v>2110</v>
      </c>
      <c r="B1307" t="s">
        <v>2990</v>
      </c>
      <c r="C1307" t="s">
        <v>2994</v>
      </c>
      <c r="D1307" t="s">
        <v>4134</v>
      </c>
    </row>
    <row r="1308" spans="1:4" x14ac:dyDescent="0.3">
      <c r="A1308" t="s">
        <v>2111</v>
      </c>
      <c r="B1308" t="s">
        <v>2991</v>
      </c>
      <c r="C1308" t="s">
        <v>2999</v>
      </c>
      <c r="D1308" t="s">
        <v>4135</v>
      </c>
    </row>
    <row r="1309" spans="1:4" x14ac:dyDescent="0.3">
      <c r="A1309" t="s">
        <v>2112</v>
      </c>
      <c r="B1309" t="s">
        <v>2991</v>
      </c>
      <c r="C1309" t="s">
        <v>2999</v>
      </c>
      <c r="D1309" t="s">
        <v>4136</v>
      </c>
    </row>
    <row r="1310" spans="1:4" x14ac:dyDescent="0.3">
      <c r="A1310" t="s">
        <v>2113</v>
      </c>
      <c r="B1310" t="s">
        <v>2992</v>
      </c>
      <c r="C1310" t="s">
        <v>2999</v>
      </c>
      <c r="D1310" t="s">
        <v>4137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AF1DF65F-1BAA-464D-8ECC-4BC172FC0E29}">
  <ds:schemaRefs/>
</ds:datastoreItem>
</file>

<file path=customXml/itemProps2.xml><?xml version="1.0" encoding="utf-8"?>
<ds:datastoreItem xmlns:ds="http://schemas.openxmlformats.org/officeDocument/2006/customXml" ds:itemID="{A3F194BD-C8CA-4ECD-898F-7E05B6F53719}">
  <ds:schemaRefs/>
</ds:datastoreItem>
</file>

<file path=customXml/itemProps3.xml><?xml version="1.0" encoding="utf-8"?>
<ds:datastoreItem xmlns:ds="http://schemas.openxmlformats.org/officeDocument/2006/customXml" ds:itemID="{6E3C76A6-5EBF-459C-B0B7-C061025C9115}">
  <ds:schemaRefs/>
</ds:datastoreItem>
</file>

<file path=customXml/itemProps4.xml><?xml version="1.0" encoding="utf-8"?>
<ds:datastoreItem xmlns:ds="http://schemas.openxmlformats.org/officeDocument/2006/customXml" ds:itemID="{4945AEA7-7278-4B7A-8CA4-9738F0FC7B97}">
  <ds:schemaRefs/>
</ds:datastoreItem>
</file>

<file path=customXml/itemProps5.xml><?xml version="1.0" encoding="utf-8"?>
<ds:datastoreItem xmlns:ds="http://schemas.openxmlformats.org/officeDocument/2006/customXml" ds:itemID="{78E13254-0A71-474A-B49F-7111E3D5709F}">
  <ds:schemaRefs/>
</ds:datastoreItem>
</file>

<file path=customXml/itemProps6.xml><?xml version="1.0" encoding="utf-8"?>
<ds:datastoreItem xmlns:ds="http://schemas.openxmlformats.org/officeDocument/2006/customXml" ds:itemID="{67EA58AB-E05F-4E15-8FB8-2896A85743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Working | Formulas</vt:lpstr>
      <vt:lpstr>Final | Formulas</vt:lpstr>
      <vt:lpstr>Working | Power Query</vt:lpstr>
      <vt:lpstr>Final | Power Query</vt:lpstr>
      <vt:lpstr>Pivot Report | Insights</vt:lpstr>
      <vt:lpstr>Pivot Report | Dashboard</vt:lpstr>
      <vt:lpstr>Dashboard</vt:lpstr>
      <vt:lpstr>Text-to-column (Data Split)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PMYLS</dc:creator>
  <cp:lastModifiedBy>Mariam Khan</cp:lastModifiedBy>
  <cp:lastPrinted>2026-10-01T19:18:06Z</cp:lastPrinted>
  <dcterms:modified xsi:type="dcterms:W3CDTF">2026-10-01T19:21:20Z</dcterms:modified>
</cp:coreProperties>
</file>